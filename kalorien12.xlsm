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temp\kalorien\"/>
    </mc:Choice>
  </mc:AlternateContent>
  <bookViews>
    <workbookView xWindow="0" yWindow="0" windowWidth="28800" windowHeight="12435"/>
  </bookViews>
  <sheets>
    <sheet name="Woche" sheetId="10" r:id="rId1"/>
    <sheet name="Montag" sheetId="9" r:id="rId2"/>
    <sheet name="Dienstag" sheetId="8" r:id="rId3"/>
    <sheet name="Mittwoch" sheetId="7" r:id="rId4"/>
    <sheet name="Donnerstag" sheetId="6" r:id="rId5"/>
    <sheet name="Freitag" sheetId="5" r:id="rId6"/>
    <sheet name="Sonnabend" sheetId="4" r:id="rId7"/>
    <sheet name="Sonntag" sheetId="3" r:id="rId8"/>
    <sheet name="Lebensmittel" sheetId="1" r:id="rId9"/>
  </sheets>
  <definedNames>
    <definedName name="Country_list">OFFSET(Lebensmittel!$K$2,,,COUNTIF(Lebensmittel!$K:$K,"*?")-1)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0" l="1"/>
  <c r="H6" i="10"/>
  <c r="H5" i="10"/>
  <c r="H4" i="10"/>
  <c r="H3" i="10"/>
  <c r="H2" i="10"/>
  <c r="H8" i="10"/>
  <c r="G8" i="10"/>
  <c r="G7" i="10"/>
  <c r="G6" i="10"/>
  <c r="G5" i="10"/>
  <c r="G4" i="10"/>
  <c r="G3" i="10"/>
  <c r="G2" i="10"/>
  <c r="F8" i="10"/>
  <c r="E8" i="10"/>
  <c r="D8" i="10"/>
  <c r="C8" i="10"/>
  <c r="F7" i="10"/>
  <c r="E7" i="10"/>
  <c r="D7" i="10"/>
  <c r="C7" i="10"/>
  <c r="F6" i="10"/>
  <c r="E6" i="10"/>
  <c r="D6" i="10"/>
  <c r="C6" i="10"/>
  <c r="F5" i="10"/>
  <c r="E5" i="10"/>
  <c r="D5" i="10"/>
  <c r="C5" i="10"/>
  <c r="F4" i="10"/>
  <c r="E4" i="10"/>
  <c r="D4" i="10"/>
  <c r="C4" i="10"/>
  <c r="F3" i="10"/>
  <c r="E3" i="10"/>
  <c r="D3" i="10"/>
  <c r="C3" i="10"/>
  <c r="F2" i="10"/>
  <c r="E2" i="10"/>
  <c r="D2" i="10"/>
  <c r="C2" i="10"/>
  <c r="A3" i="10"/>
  <c r="B3" i="10" s="1"/>
  <c r="B2" i="10"/>
  <c r="A4" i="10" l="1"/>
  <c r="C76" i="9"/>
  <c r="H75" i="9"/>
  <c r="G75" i="9"/>
  <c r="F75" i="9"/>
  <c r="E75" i="9"/>
  <c r="D75" i="9"/>
  <c r="H74" i="9"/>
  <c r="G74" i="9"/>
  <c r="F74" i="9"/>
  <c r="E74" i="9"/>
  <c r="D74" i="9"/>
  <c r="H73" i="9"/>
  <c r="G73" i="9"/>
  <c r="F73" i="9"/>
  <c r="E73" i="9"/>
  <c r="D73" i="9"/>
  <c r="H72" i="9"/>
  <c r="G72" i="9"/>
  <c r="F72" i="9"/>
  <c r="E72" i="9"/>
  <c r="D72" i="9"/>
  <c r="H71" i="9"/>
  <c r="G71" i="9"/>
  <c r="F71" i="9"/>
  <c r="E71" i="9"/>
  <c r="D71" i="9"/>
  <c r="H70" i="9"/>
  <c r="G70" i="9"/>
  <c r="F70" i="9"/>
  <c r="E70" i="9"/>
  <c r="D70" i="9"/>
  <c r="H69" i="9"/>
  <c r="G69" i="9"/>
  <c r="F69" i="9"/>
  <c r="F76" i="9" s="1"/>
  <c r="E69" i="9"/>
  <c r="D69" i="9"/>
  <c r="H68" i="9"/>
  <c r="G68" i="9"/>
  <c r="F68" i="9"/>
  <c r="E68" i="9"/>
  <c r="D68" i="9"/>
  <c r="H67" i="9"/>
  <c r="G67" i="9"/>
  <c r="F67" i="9"/>
  <c r="E67" i="9"/>
  <c r="D67" i="9"/>
  <c r="H66" i="9"/>
  <c r="H76" i="9" s="1"/>
  <c r="G66" i="9"/>
  <c r="G76" i="9" s="1"/>
  <c r="F66" i="9"/>
  <c r="E66" i="9"/>
  <c r="E76" i="9" s="1"/>
  <c r="D66" i="9"/>
  <c r="D76" i="9" s="1"/>
  <c r="C62" i="9"/>
  <c r="H61" i="9"/>
  <c r="G61" i="9"/>
  <c r="F61" i="9"/>
  <c r="E61" i="9"/>
  <c r="D61" i="9"/>
  <c r="H60" i="9"/>
  <c r="G60" i="9"/>
  <c r="F60" i="9"/>
  <c r="E60" i="9"/>
  <c r="D60" i="9"/>
  <c r="H59" i="9"/>
  <c r="G59" i="9"/>
  <c r="F59" i="9"/>
  <c r="E59" i="9"/>
  <c r="D59" i="9"/>
  <c r="H58" i="9"/>
  <c r="G58" i="9"/>
  <c r="F58" i="9"/>
  <c r="E58" i="9"/>
  <c r="D58" i="9"/>
  <c r="H57" i="9"/>
  <c r="G57" i="9"/>
  <c r="F57" i="9"/>
  <c r="E57" i="9"/>
  <c r="D57" i="9"/>
  <c r="H56" i="9"/>
  <c r="G56" i="9"/>
  <c r="F56" i="9"/>
  <c r="E56" i="9"/>
  <c r="D56" i="9"/>
  <c r="H55" i="9"/>
  <c r="G55" i="9"/>
  <c r="F55" i="9"/>
  <c r="F62" i="9" s="1"/>
  <c r="E55" i="9"/>
  <c r="D55" i="9"/>
  <c r="H54" i="9"/>
  <c r="G54" i="9"/>
  <c r="F54" i="9"/>
  <c r="E54" i="9"/>
  <c r="D54" i="9"/>
  <c r="H53" i="9"/>
  <c r="G53" i="9"/>
  <c r="F53" i="9"/>
  <c r="E53" i="9"/>
  <c r="D53" i="9"/>
  <c r="H52" i="9"/>
  <c r="H62" i="9" s="1"/>
  <c r="G52" i="9"/>
  <c r="G62" i="9" s="1"/>
  <c r="F52" i="9"/>
  <c r="E52" i="9"/>
  <c r="E62" i="9" s="1"/>
  <c r="D52" i="9"/>
  <c r="D62" i="9" s="1"/>
  <c r="C48" i="9"/>
  <c r="H47" i="9"/>
  <c r="G47" i="9"/>
  <c r="F47" i="9"/>
  <c r="E47" i="9"/>
  <c r="D47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3" i="9"/>
  <c r="G43" i="9"/>
  <c r="F43" i="9"/>
  <c r="E43" i="9"/>
  <c r="D43" i="9"/>
  <c r="H42" i="9"/>
  <c r="G42" i="9"/>
  <c r="F42" i="9"/>
  <c r="E42" i="9"/>
  <c r="D42" i="9"/>
  <c r="H41" i="9"/>
  <c r="G41" i="9"/>
  <c r="F41" i="9"/>
  <c r="F48" i="9" s="1"/>
  <c r="E41" i="9"/>
  <c r="D41" i="9"/>
  <c r="H40" i="9"/>
  <c r="G40" i="9"/>
  <c r="F40" i="9"/>
  <c r="E40" i="9"/>
  <c r="D40" i="9"/>
  <c r="H39" i="9"/>
  <c r="G39" i="9"/>
  <c r="F39" i="9"/>
  <c r="E39" i="9"/>
  <c r="D39" i="9"/>
  <c r="H38" i="9"/>
  <c r="H48" i="9" s="1"/>
  <c r="G38" i="9"/>
  <c r="G48" i="9" s="1"/>
  <c r="F38" i="9"/>
  <c r="E38" i="9"/>
  <c r="E48" i="9" s="1"/>
  <c r="D38" i="9"/>
  <c r="D48" i="9" s="1"/>
  <c r="C34" i="9"/>
  <c r="C4" i="9" s="1"/>
  <c r="H33" i="9"/>
  <c r="G33" i="9"/>
  <c r="F33" i="9"/>
  <c r="E33" i="9"/>
  <c r="D33" i="9"/>
  <c r="H32" i="9"/>
  <c r="G32" i="9"/>
  <c r="F32" i="9"/>
  <c r="E32" i="9"/>
  <c r="D32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8" i="9"/>
  <c r="G28" i="9"/>
  <c r="F28" i="9"/>
  <c r="E28" i="9"/>
  <c r="D28" i="9"/>
  <c r="H27" i="9"/>
  <c r="G27" i="9"/>
  <c r="F27" i="9"/>
  <c r="F34" i="9" s="1"/>
  <c r="E27" i="9"/>
  <c r="D27" i="9"/>
  <c r="H26" i="9"/>
  <c r="G26" i="9"/>
  <c r="F26" i="9"/>
  <c r="E26" i="9"/>
  <c r="D26" i="9"/>
  <c r="H25" i="9"/>
  <c r="G25" i="9"/>
  <c r="F25" i="9"/>
  <c r="E25" i="9"/>
  <c r="D25" i="9"/>
  <c r="H24" i="9"/>
  <c r="G24" i="9"/>
  <c r="G34" i="9" s="1"/>
  <c r="F24" i="9"/>
  <c r="E24" i="9"/>
  <c r="E34" i="9" s="1"/>
  <c r="D24" i="9"/>
  <c r="C20" i="9"/>
  <c r="H19" i="9"/>
  <c r="G19" i="9"/>
  <c r="F19" i="9"/>
  <c r="E19" i="9"/>
  <c r="D19" i="9"/>
  <c r="H18" i="9"/>
  <c r="G18" i="9"/>
  <c r="F18" i="9"/>
  <c r="E18" i="9"/>
  <c r="D18" i="9"/>
  <c r="H17" i="9"/>
  <c r="G17" i="9"/>
  <c r="F17" i="9"/>
  <c r="E17" i="9"/>
  <c r="D17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F20" i="9" s="1"/>
  <c r="E13" i="9"/>
  <c r="D13" i="9"/>
  <c r="H12" i="9"/>
  <c r="G12" i="9"/>
  <c r="F12" i="9"/>
  <c r="E12" i="9"/>
  <c r="D12" i="9"/>
  <c r="H11" i="9"/>
  <c r="G11" i="9"/>
  <c r="F11" i="9"/>
  <c r="E11" i="9"/>
  <c r="D11" i="9"/>
  <c r="H10" i="9"/>
  <c r="H20" i="9" s="1"/>
  <c r="G10" i="9"/>
  <c r="G20" i="9" s="1"/>
  <c r="F10" i="9"/>
  <c r="E10" i="9"/>
  <c r="E20" i="9" s="1"/>
  <c r="D10" i="9"/>
  <c r="D20" i="9" s="1"/>
  <c r="C76" i="8"/>
  <c r="H75" i="8"/>
  <c r="G75" i="8"/>
  <c r="F75" i="8"/>
  <c r="E75" i="8"/>
  <c r="D75" i="8"/>
  <c r="H74" i="8"/>
  <c r="G74" i="8"/>
  <c r="F74" i="8"/>
  <c r="E74" i="8"/>
  <c r="D74" i="8"/>
  <c r="H73" i="8"/>
  <c r="G73" i="8"/>
  <c r="F73" i="8"/>
  <c r="E73" i="8"/>
  <c r="D73" i="8"/>
  <c r="H72" i="8"/>
  <c r="G72" i="8"/>
  <c r="F72" i="8"/>
  <c r="E72" i="8"/>
  <c r="D72" i="8"/>
  <c r="H71" i="8"/>
  <c r="G71" i="8"/>
  <c r="F71" i="8"/>
  <c r="E71" i="8"/>
  <c r="D71" i="8"/>
  <c r="H70" i="8"/>
  <c r="G70" i="8"/>
  <c r="F70" i="8"/>
  <c r="E70" i="8"/>
  <c r="D70" i="8"/>
  <c r="H69" i="8"/>
  <c r="G69" i="8"/>
  <c r="F69" i="8"/>
  <c r="E69" i="8"/>
  <c r="E76" i="8" s="1"/>
  <c r="D69" i="8"/>
  <c r="H68" i="8"/>
  <c r="G68" i="8"/>
  <c r="F68" i="8"/>
  <c r="E68" i="8"/>
  <c r="D68" i="8"/>
  <c r="H67" i="8"/>
  <c r="G67" i="8"/>
  <c r="F67" i="8"/>
  <c r="E67" i="8"/>
  <c r="D67" i="8"/>
  <c r="H66" i="8"/>
  <c r="H76" i="8" s="1"/>
  <c r="G66" i="8"/>
  <c r="G76" i="8" s="1"/>
  <c r="F66" i="8"/>
  <c r="F76" i="8" s="1"/>
  <c r="E66" i="8"/>
  <c r="D66" i="8"/>
  <c r="D76" i="8" s="1"/>
  <c r="C62" i="8"/>
  <c r="H61" i="8"/>
  <c r="G61" i="8"/>
  <c r="F61" i="8"/>
  <c r="E61" i="8"/>
  <c r="D61" i="8"/>
  <c r="H60" i="8"/>
  <c r="G60" i="8"/>
  <c r="F60" i="8"/>
  <c r="E60" i="8"/>
  <c r="D60" i="8"/>
  <c r="H59" i="8"/>
  <c r="G59" i="8"/>
  <c r="F59" i="8"/>
  <c r="E59" i="8"/>
  <c r="D59" i="8"/>
  <c r="H58" i="8"/>
  <c r="G58" i="8"/>
  <c r="F58" i="8"/>
  <c r="E58" i="8"/>
  <c r="D58" i="8"/>
  <c r="H57" i="8"/>
  <c r="G57" i="8"/>
  <c r="F57" i="8"/>
  <c r="E57" i="8"/>
  <c r="D57" i="8"/>
  <c r="H56" i="8"/>
  <c r="G56" i="8"/>
  <c r="F56" i="8"/>
  <c r="E56" i="8"/>
  <c r="D56" i="8"/>
  <c r="H55" i="8"/>
  <c r="G55" i="8"/>
  <c r="F55" i="8"/>
  <c r="E55" i="8"/>
  <c r="D55" i="8"/>
  <c r="H54" i="8"/>
  <c r="G54" i="8"/>
  <c r="F54" i="8"/>
  <c r="E54" i="8"/>
  <c r="D54" i="8"/>
  <c r="H53" i="8"/>
  <c r="G53" i="8"/>
  <c r="F53" i="8"/>
  <c r="E53" i="8"/>
  <c r="D53" i="8"/>
  <c r="H52" i="8"/>
  <c r="H62" i="8" s="1"/>
  <c r="G52" i="8"/>
  <c r="G62" i="8" s="1"/>
  <c r="F52" i="8"/>
  <c r="F62" i="8" s="1"/>
  <c r="E52" i="8"/>
  <c r="E62" i="8" s="1"/>
  <c r="D52" i="8"/>
  <c r="D62" i="8" s="1"/>
  <c r="C48" i="8"/>
  <c r="H47" i="8"/>
  <c r="G47" i="8"/>
  <c r="F47" i="8"/>
  <c r="E47" i="8"/>
  <c r="D47" i="8"/>
  <c r="H46" i="8"/>
  <c r="G46" i="8"/>
  <c r="F46" i="8"/>
  <c r="E46" i="8"/>
  <c r="D46" i="8"/>
  <c r="H45" i="8"/>
  <c r="G45" i="8"/>
  <c r="F45" i="8"/>
  <c r="E45" i="8"/>
  <c r="D45" i="8"/>
  <c r="H44" i="8"/>
  <c r="G44" i="8"/>
  <c r="F44" i="8"/>
  <c r="E44" i="8"/>
  <c r="D44" i="8"/>
  <c r="H43" i="8"/>
  <c r="G43" i="8"/>
  <c r="F43" i="8"/>
  <c r="E43" i="8"/>
  <c r="D43" i="8"/>
  <c r="H42" i="8"/>
  <c r="G42" i="8"/>
  <c r="F42" i="8"/>
  <c r="E42" i="8"/>
  <c r="D42" i="8"/>
  <c r="H41" i="8"/>
  <c r="G41" i="8"/>
  <c r="F41" i="8"/>
  <c r="E41" i="8"/>
  <c r="E48" i="8" s="1"/>
  <c r="D41" i="8"/>
  <c r="H40" i="8"/>
  <c r="G40" i="8"/>
  <c r="F40" i="8"/>
  <c r="E40" i="8"/>
  <c r="D40" i="8"/>
  <c r="H39" i="8"/>
  <c r="G39" i="8"/>
  <c r="F39" i="8"/>
  <c r="E39" i="8"/>
  <c r="D39" i="8"/>
  <c r="H38" i="8"/>
  <c r="H48" i="8" s="1"/>
  <c r="G38" i="8"/>
  <c r="G48" i="8" s="1"/>
  <c r="F38" i="8"/>
  <c r="F48" i="8" s="1"/>
  <c r="E38" i="8"/>
  <c r="D38" i="8"/>
  <c r="D48" i="8" s="1"/>
  <c r="C34" i="8"/>
  <c r="H33" i="8"/>
  <c r="G33" i="8"/>
  <c r="F33" i="8"/>
  <c r="E33" i="8"/>
  <c r="D33" i="8"/>
  <c r="H32" i="8"/>
  <c r="G32" i="8"/>
  <c r="F32" i="8"/>
  <c r="E32" i="8"/>
  <c r="D32" i="8"/>
  <c r="H31" i="8"/>
  <c r="G31" i="8"/>
  <c r="F31" i="8"/>
  <c r="E31" i="8"/>
  <c r="D31" i="8"/>
  <c r="H30" i="8"/>
  <c r="G30" i="8"/>
  <c r="F30" i="8"/>
  <c r="E30" i="8"/>
  <c r="D30" i="8"/>
  <c r="H29" i="8"/>
  <c r="G29" i="8"/>
  <c r="F29" i="8"/>
  <c r="E29" i="8"/>
  <c r="D29" i="8"/>
  <c r="H28" i="8"/>
  <c r="G28" i="8"/>
  <c r="F28" i="8"/>
  <c r="E28" i="8"/>
  <c r="D28" i="8"/>
  <c r="H27" i="8"/>
  <c r="G27" i="8"/>
  <c r="F27" i="8"/>
  <c r="E27" i="8"/>
  <c r="D27" i="8"/>
  <c r="H26" i="8"/>
  <c r="G26" i="8"/>
  <c r="F26" i="8"/>
  <c r="E26" i="8"/>
  <c r="D26" i="8"/>
  <c r="H25" i="8"/>
  <c r="G25" i="8"/>
  <c r="F25" i="8"/>
  <c r="E25" i="8"/>
  <c r="D25" i="8"/>
  <c r="H24" i="8"/>
  <c r="G24" i="8"/>
  <c r="G34" i="8" s="1"/>
  <c r="F24" i="8"/>
  <c r="F34" i="8" s="1"/>
  <c r="E24" i="8"/>
  <c r="D24" i="8"/>
  <c r="C20" i="8"/>
  <c r="H19" i="8"/>
  <c r="G19" i="8"/>
  <c r="F19" i="8"/>
  <c r="E19" i="8"/>
  <c r="D19" i="8"/>
  <c r="H18" i="8"/>
  <c r="G18" i="8"/>
  <c r="F18" i="8"/>
  <c r="E18" i="8"/>
  <c r="D18" i="8"/>
  <c r="H17" i="8"/>
  <c r="G17" i="8"/>
  <c r="F17" i="8"/>
  <c r="E17" i="8"/>
  <c r="D17" i="8"/>
  <c r="H16" i="8"/>
  <c r="G16" i="8"/>
  <c r="F16" i="8"/>
  <c r="E16" i="8"/>
  <c r="D16" i="8"/>
  <c r="H15" i="8"/>
  <c r="G15" i="8"/>
  <c r="F15" i="8"/>
  <c r="E15" i="8"/>
  <c r="D15" i="8"/>
  <c r="H14" i="8"/>
  <c r="G14" i="8"/>
  <c r="F14" i="8"/>
  <c r="E14" i="8"/>
  <c r="D14" i="8"/>
  <c r="H13" i="8"/>
  <c r="G13" i="8"/>
  <c r="F13" i="8"/>
  <c r="E13" i="8"/>
  <c r="D13" i="8"/>
  <c r="H12" i="8"/>
  <c r="G12" i="8"/>
  <c r="F12" i="8"/>
  <c r="E12" i="8"/>
  <c r="D12" i="8"/>
  <c r="H11" i="8"/>
  <c r="G11" i="8"/>
  <c r="F11" i="8"/>
  <c r="E11" i="8"/>
  <c r="D11" i="8"/>
  <c r="H10" i="8"/>
  <c r="H20" i="8" s="1"/>
  <c r="G10" i="8"/>
  <c r="G20" i="8" s="1"/>
  <c r="G4" i="8" s="1"/>
  <c r="F10" i="8"/>
  <c r="F20" i="8" s="1"/>
  <c r="E10" i="8"/>
  <c r="D10" i="8"/>
  <c r="D20" i="8" s="1"/>
  <c r="C4" i="8"/>
  <c r="C76" i="7"/>
  <c r="H75" i="7"/>
  <c r="G75" i="7"/>
  <c r="F75" i="7"/>
  <c r="E75" i="7"/>
  <c r="D75" i="7"/>
  <c r="H74" i="7"/>
  <c r="G74" i="7"/>
  <c r="F74" i="7"/>
  <c r="E74" i="7"/>
  <c r="D74" i="7"/>
  <c r="H73" i="7"/>
  <c r="G73" i="7"/>
  <c r="F73" i="7"/>
  <c r="E73" i="7"/>
  <c r="D73" i="7"/>
  <c r="H72" i="7"/>
  <c r="G72" i="7"/>
  <c r="F72" i="7"/>
  <c r="E72" i="7"/>
  <c r="D72" i="7"/>
  <c r="H71" i="7"/>
  <c r="G71" i="7"/>
  <c r="F71" i="7"/>
  <c r="E71" i="7"/>
  <c r="D71" i="7"/>
  <c r="H70" i="7"/>
  <c r="G70" i="7"/>
  <c r="F70" i="7"/>
  <c r="E70" i="7"/>
  <c r="D70" i="7"/>
  <c r="H69" i="7"/>
  <c r="G69" i="7"/>
  <c r="G76" i="7" s="1"/>
  <c r="F69" i="7"/>
  <c r="E69" i="7"/>
  <c r="D69" i="7"/>
  <c r="H68" i="7"/>
  <c r="G68" i="7"/>
  <c r="F68" i="7"/>
  <c r="E68" i="7"/>
  <c r="D68" i="7"/>
  <c r="H67" i="7"/>
  <c r="G67" i="7"/>
  <c r="F67" i="7"/>
  <c r="E67" i="7"/>
  <c r="D67" i="7"/>
  <c r="H66" i="7"/>
  <c r="H76" i="7" s="1"/>
  <c r="G66" i="7"/>
  <c r="F66" i="7"/>
  <c r="F76" i="7" s="1"/>
  <c r="E66" i="7"/>
  <c r="E76" i="7" s="1"/>
  <c r="D66" i="7"/>
  <c r="D76" i="7" s="1"/>
  <c r="C62" i="7"/>
  <c r="H61" i="7"/>
  <c r="G61" i="7"/>
  <c r="F61" i="7"/>
  <c r="E61" i="7"/>
  <c r="D61" i="7"/>
  <c r="H60" i="7"/>
  <c r="G60" i="7"/>
  <c r="F60" i="7"/>
  <c r="E60" i="7"/>
  <c r="D60" i="7"/>
  <c r="H59" i="7"/>
  <c r="G59" i="7"/>
  <c r="F59" i="7"/>
  <c r="E59" i="7"/>
  <c r="D59" i="7"/>
  <c r="H58" i="7"/>
  <c r="G58" i="7"/>
  <c r="F58" i="7"/>
  <c r="E58" i="7"/>
  <c r="D58" i="7"/>
  <c r="H57" i="7"/>
  <c r="G57" i="7"/>
  <c r="F57" i="7"/>
  <c r="E57" i="7"/>
  <c r="D57" i="7"/>
  <c r="H56" i="7"/>
  <c r="G56" i="7"/>
  <c r="F56" i="7"/>
  <c r="E56" i="7"/>
  <c r="D56" i="7"/>
  <c r="H55" i="7"/>
  <c r="G55" i="7"/>
  <c r="G62" i="7" s="1"/>
  <c r="F55" i="7"/>
  <c r="E55" i="7"/>
  <c r="D55" i="7"/>
  <c r="H54" i="7"/>
  <c r="G54" i="7"/>
  <c r="F54" i="7"/>
  <c r="E54" i="7"/>
  <c r="D54" i="7"/>
  <c r="H53" i="7"/>
  <c r="G53" i="7"/>
  <c r="F53" i="7"/>
  <c r="E53" i="7"/>
  <c r="D53" i="7"/>
  <c r="H52" i="7"/>
  <c r="H62" i="7" s="1"/>
  <c r="G52" i="7"/>
  <c r="F52" i="7"/>
  <c r="F62" i="7" s="1"/>
  <c r="E52" i="7"/>
  <c r="E62" i="7" s="1"/>
  <c r="D52" i="7"/>
  <c r="D62" i="7" s="1"/>
  <c r="C48" i="7"/>
  <c r="H47" i="7"/>
  <c r="G47" i="7"/>
  <c r="F47" i="7"/>
  <c r="E47" i="7"/>
  <c r="D47" i="7"/>
  <c r="H46" i="7"/>
  <c r="G46" i="7"/>
  <c r="F46" i="7"/>
  <c r="E46" i="7"/>
  <c r="D46" i="7"/>
  <c r="H45" i="7"/>
  <c r="G45" i="7"/>
  <c r="F45" i="7"/>
  <c r="E45" i="7"/>
  <c r="D45" i="7"/>
  <c r="H44" i="7"/>
  <c r="G44" i="7"/>
  <c r="F44" i="7"/>
  <c r="E44" i="7"/>
  <c r="D44" i="7"/>
  <c r="H43" i="7"/>
  <c r="G43" i="7"/>
  <c r="F43" i="7"/>
  <c r="E43" i="7"/>
  <c r="D43" i="7"/>
  <c r="H42" i="7"/>
  <c r="G42" i="7"/>
  <c r="F42" i="7"/>
  <c r="E42" i="7"/>
  <c r="D42" i="7"/>
  <c r="H41" i="7"/>
  <c r="G41" i="7"/>
  <c r="G48" i="7" s="1"/>
  <c r="F41" i="7"/>
  <c r="E41" i="7"/>
  <c r="D41" i="7"/>
  <c r="H40" i="7"/>
  <c r="G40" i="7"/>
  <c r="F40" i="7"/>
  <c r="E40" i="7"/>
  <c r="D40" i="7"/>
  <c r="H39" i="7"/>
  <c r="G39" i="7"/>
  <c r="F39" i="7"/>
  <c r="E39" i="7"/>
  <c r="D39" i="7"/>
  <c r="H38" i="7"/>
  <c r="H48" i="7" s="1"/>
  <c r="G38" i="7"/>
  <c r="F38" i="7"/>
  <c r="F48" i="7" s="1"/>
  <c r="E38" i="7"/>
  <c r="E48" i="7" s="1"/>
  <c r="D38" i="7"/>
  <c r="D48" i="7" s="1"/>
  <c r="C34" i="7"/>
  <c r="H33" i="7"/>
  <c r="G33" i="7"/>
  <c r="F33" i="7"/>
  <c r="E33" i="7"/>
  <c r="D33" i="7"/>
  <c r="H32" i="7"/>
  <c r="G32" i="7"/>
  <c r="F32" i="7"/>
  <c r="E32" i="7"/>
  <c r="D32" i="7"/>
  <c r="H31" i="7"/>
  <c r="G31" i="7"/>
  <c r="F31" i="7"/>
  <c r="E31" i="7"/>
  <c r="D31" i="7"/>
  <c r="H30" i="7"/>
  <c r="G30" i="7"/>
  <c r="F30" i="7"/>
  <c r="E30" i="7"/>
  <c r="D30" i="7"/>
  <c r="H29" i="7"/>
  <c r="G29" i="7"/>
  <c r="F29" i="7"/>
  <c r="E29" i="7"/>
  <c r="D29" i="7"/>
  <c r="H28" i="7"/>
  <c r="G28" i="7"/>
  <c r="F28" i="7"/>
  <c r="E28" i="7"/>
  <c r="D28" i="7"/>
  <c r="H27" i="7"/>
  <c r="G27" i="7"/>
  <c r="G34" i="7" s="1"/>
  <c r="F27" i="7"/>
  <c r="E27" i="7"/>
  <c r="D27" i="7"/>
  <c r="H26" i="7"/>
  <c r="G26" i="7"/>
  <c r="F26" i="7"/>
  <c r="E26" i="7"/>
  <c r="D26" i="7"/>
  <c r="H25" i="7"/>
  <c r="G25" i="7"/>
  <c r="F25" i="7"/>
  <c r="E25" i="7"/>
  <c r="D25" i="7"/>
  <c r="H24" i="7"/>
  <c r="H34" i="7" s="1"/>
  <c r="G24" i="7"/>
  <c r="F24" i="7"/>
  <c r="F34" i="7" s="1"/>
  <c r="E24" i="7"/>
  <c r="E34" i="7" s="1"/>
  <c r="D24" i="7"/>
  <c r="D34" i="7" s="1"/>
  <c r="C20" i="7"/>
  <c r="H19" i="7"/>
  <c r="G19" i="7"/>
  <c r="F19" i="7"/>
  <c r="E19" i="7"/>
  <c r="D19" i="7"/>
  <c r="H18" i="7"/>
  <c r="G18" i="7"/>
  <c r="F18" i="7"/>
  <c r="E18" i="7"/>
  <c r="D18" i="7"/>
  <c r="H17" i="7"/>
  <c r="G17" i="7"/>
  <c r="F17" i="7"/>
  <c r="E17" i="7"/>
  <c r="D17" i="7"/>
  <c r="H16" i="7"/>
  <c r="G16" i="7"/>
  <c r="F16" i="7"/>
  <c r="E16" i="7"/>
  <c r="D16" i="7"/>
  <c r="H15" i="7"/>
  <c r="G15" i="7"/>
  <c r="F15" i="7"/>
  <c r="E15" i="7"/>
  <c r="D15" i="7"/>
  <c r="H14" i="7"/>
  <c r="G14" i="7"/>
  <c r="F14" i="7"/>
  <c r="E14" i="7"/>
  <c r="D14" i="7"/>
  <c r="H13" i="7"/>
  <c r="G13" i="7"/>
  <c r="F13" i="7"/>
  <c r="E13" i="7"/>
  <c r="D13" i="7"/>
  <c r="H12" i="7"/>
  <c r="G12" i="7"/>
  <c r="F12" i="7"/>
  <c r="E12" i="7"/>
  <c r="D12" i="7"/>
  <c r="H11" i="7"/>
  <c r="G11" i="7"/>
  <c r="F11" i="7"/>
  <c r="E11" i="7"/>
  <c r="D11" i="7"/>
  <c r="H10" i="7"/>
  <c r="H20" i="7" s="1"/>
  <c r="G10" i="7"/>
  <c r="F10" i="7"/>
  <c r="F20" i="7" s="1"/>
  <c r="E10" i="7"/>
  <c r="E20" i="7" s="1"/>
  <c r="D10" i="7"/>
  <c r="D20" i="7" s="1"/>
  <c r="C4" i="7"/>
  <c r="C76" i="6"/>
  <c r="H75" i="6"/>
  <c r="G75" i="6"/>
  <c r="F75" i="6"/>
  <c r="E75" i="6"/>
  <c r="D75" i="6"/>
  <c r="H74" i="6"/>
  <c r="G74" i="6"/>
  <c r="F74" i="6"/>
  <c r="E74" i="6"/>
  <c r="D74" i="6"/>
  <c r="H73" i="6"/>
  <c r="G73" i="6"/>
  <c r="F73" i="6"/>
  <c r="E73" i="6"/>
  <c r="D73" i="6"/>
  <c r="H72" i="6"/>
  <c r="G72" i="6"/>
  <c r="F72" i="6"/>
  <c r="E72" i="6"/>
  <c r="D72" i="6"/>
  <c r="H71" i="6"/>
  <c r="G71" i="6"/>
  <c r="F71" i="6"/>
  <c r="E71" i="6"/>
  <c r="D71" i="6"/>
  <c r="H70" i="6"/>
  <c r="G70" i="6"/>
  <c r="F70" i="6"/>
  <c r="E70" i="6"/>
  <c r="D70" i="6"/>
  <c r="H69" i="6"/>
  <c r="G69" i="6"/>
  <c r="G76" i="6" s="1"/>
  <c r="F69" i="6"/>
  <c r="E69" i="6"/>
  <c r="D69" i="6"/>
  <c r="H68" i="6"/>
  <c r="G68" i="6"/>
  <c r="F68" i="6"/>
  <c r="E68" i="6"/>
  <c r="D68" i="6"/>
  <c r="H67" i="6"/>
  <c r="G67" i="6"/>
  <c r="F67" i="6"/>
  <c r="E67" i="6"/>
  <c r="D67" i="6"/>
  <c r="H66" i="6"/>
  <c r="H76" i="6" s="1"/>
  <c r="G66" i="6"/>
  <c r="F66" i="6"/>
  <c r="F76" i="6" s="1"/>
  <c r="E66" i="6"/>
  <c r="E76" i="6" s="1"/>
  <c r="D66" i="6"/>
  <c r="D76" i="6" s="1"/>
  <c r="C62" i="6"/>
  <c r="H61" i="6"/>
  <c r="G61" i="6"/>
  <c r="F61" i="6"/>
  <c r="E61" i="6"/>
  <c r="D61" i="6"/>
  <c r="H60" i="6"/>
  <c r="G60" i="6"/>
  <c r="F60" i="6"/>
  <c r="E60" i="6"/>
  <c r="D60" i="6"/>
  <c r="H59" i="6"/>
  <c r="G59" i="6"/>
  <c r="F59" i="6"/>
  <c r="E59" i="6"/>
  <c r="D59" i="6"/>
  <c r="H58" i="6"/>
  <c r="G58" i="6"/>
  <c r="F58" i="6"/>
  <c r="E58" i="6"/>
  <c r="D58" i="6"/>
  <c r="H57" i="6"/>
  <c r="G57" i="6"/>
  <c r="F57" i="6"/>
  <c r="E57" i="6"/>
  <c r="D57" i="6"/>
  <c r="H56" i="6"/>
  <c r="G56" i="6"/>
  <c r="F56" i="6"/>
  <c r="E56" i="6"/>
  <c r="D56" i="6"/>
  <c r="H55" i="6"/>
  <c r="G55" i="6"/>
  <c r="G62" i="6" s="1"/>
  <c r="F55" i="6"/>
  <c r="E55" i="6"/>
  <c r="D55" i="6"/>
  <c r="H54" i="6"/>
  <c r="G54" i="6"/>
  <c r="F54" i="6"/>
  <c r="E54" i="6"/>
  <c r="D54" i="6"/>
  <c r="H53" i="6"/>
  <c r="G53" i="6"/>
  <c r="F53" i="6"/>
  <c r="E53" i="6"/>
  <c r="D53" i="6"/>
  <c r="H52" i="6"/>
  <c r="H62" i="6" s="1"/>
  <c r="G52" i="6"/>
  <c r="F52" i="6"/>
  <c r="F62" i="6" s="1"/>
  <c r="E52" i="6"/>
  <c r="E62" i="6" s="1"/>
  <c r="D52" i="6"/>
  <c r="D62" i="6" s="1"/>
  <c r="C48" i="6"/>
  <c r="H47" i="6"/>
  <c r="G47" i="6"/>
  <c r="F47" i="6"/>
  <c r="E47" i="6"/>
  <c r="D47" i="6"/>
  <c r="H46" i="6"/>
  <c r="G46" i="6"/>
  <c r="F46" i="6"/>
  <c r="E46" i="6"/>
  <c r="D46" i="6"/>
  <c r="H45" i="6"/>
  <c r="G45" i="6"/>
  <c r="F45" i="6"/>
  <c r="E45" i="6"/>
  <c r="D45" i="6"/>
  <c r="H44" i="6"/>
  <c r="G44" i="6"/>
  <c r="F44" i="6"/>
  <c r="E44" i="6"/>
  <c r="D44" i="6"/>
  <c r="H43" i="6"/>
  <c r="G43" i="6"/>
  <c r="F43" i="6"/>
  <c r="E43" i="6"/>
  <c r="D43" i="6"/>
  <c r="H42" i="6"/>
  <c r="G42" i="6"/>
  <c r="F42" i="6"/>
  <c r="E42" i="6"/>
  <c r="D42" i="6"/>
  <c r="H41" i="6"/>
  <c r="G41" i="6"/>
  <c r="G48" i="6" s="1"/>
  <c r="F41" i="6"/>
  <c r="E41" i="6"/>
  <c r="D41" i="6"/>
  <c r="H40" i="6"/>
  <c r="G40" i="6"/>
  <c r="F40" i="6"/>
  <c r="E40" i="6"/>
  <c r="D40" i="6"/>
  <c r="H39" i="6"/>
  <c r="G39" i="6"/>
  <c r="F39" i="6"/>
  <c r="E39" i="6"/>
  <c r="D39" i="6"/>
  <c r="H38" i="6"/>
  <c r="H48" i="6" s="1"/>
  <c r="G38" i="6"/>
  <c r="F38" i="6"/>
  <c r="F48" i="6" s="1"/>
  <c r="E38" i="6"/>
  <c r="E48" i="6" s="1"/>
  <c r="D38" i="6"/>
  <c r="D48" i="6" s="1"/>
  <c r="C34" i="6"/>
  <c r="H33" i="6"/>
  <c r="G33" i="6"/>
  <c r="F33" i="6"/>
  <c r="E33" i="6"/>
  <c r="D33" i="6"/>
  <c r="H32" i="6"/>
  <c r="G32" i="6"/>
  <c r="F32" i="6"/>
  <c r="E32" i="6"/>
  <c r="D32" i="6"/>
  <c r="H31" i="6"/>
  <c r="G31" i="6"/>
  <c r="F31" i="6"/>
  <c r="E31" i="6"/>
  <c r="D31" i="6"/>
  <c r="H30" i="6"/>
  <c r="G30" i="6"/>
  <c r="F30" i="6"/>
  <c r="E30" i="6"/>
  <c r="D30" i="6"/>
  <c r="H29" i="6"/>
  <c r="G29" i="6"/>
  <c r="F29" i="6"/>
  <c r="E29" i="6"/>
  <c r="D29" i="6"/>
  <c r="H28" i="6"/>
  <c r="G28" i="6"/>
  <c r="F28" i="6"/>
  <c r="E28" i="6"/>
  <c r="D28" i="6"/>
  <c r="H27" i="6"/>
  <c r="G27" i="6"/>
  <c r="G34" i="6" s="1"/>
  <c r="F27" i="6"/>
  <c r="E27" i="6"/>
  <c r="D27" i="6"/>
  <c r="H26" i="6"/>
  <c r="G26" i="6"/>
  <c r="F26" i="6"/>
  <c r="E26" i="6"/>
  <c r="D26" i="6"/>
  <c r="H25" i="6"/>
  <c r="G25" i="6"/>
  <c r="F25" i="6"/>
  <c r="E25" i="6"/>
  <c r="D25" i="6"/>
  <c r="H24" i="6"/>
  <c r="H34" i="6" s="1"/>
  <c r="G24" i="6"/>
  <c r="F24" i="6"/>
  <c r="F34" i="6" s="1"/>
  <c r="E24" i="6"/>
  <c r="E34" i="6" s="1"/>
  <c r="D24" i="6"/>
  <c r="D34" i="6" s="1"/>
  <c r="C20" i="6"/>
  <c r="H19" i="6"/>
  <c r="G19" i="6"/>
  <c r="F19" i="6"/>
  <c r="E19" i="6"/>
  <c r="D19" i="6"/>
  <c r="H18" i="6"/>
  <c r="G18" i="6"/>
  <c r="F18" i="6"/>
  <c r="E18" i="6"/>
  <c r="D18" i="6"/>
  <c r="H17" i="6"/>
  <c r="G17" i="6"/>
  <c r="F17" i="6"/>
  <c r="E17" i="6"/>
  <c r="D17" i="6"/>
  <c r="H16" i="6"/>
  <c r="G16" i="6"/>
  <c r="F16" i="6"/>
  <c r="E16" i="6"/>
  <c r="D16" i="6"/>
  <c r="H15" i="6"/>
  <c r="G15" i="6"/>
  <c r="F15" i="6"/>
  <c r="E15" i="6"/>
  <c r="D15" i="6"/>
  <c r="H14" i="6"/>
  <c r="G14" i="6"/>
  <c r="F14" i="6"/>
  <c r="E14" i="6"/>
  <c r="D14" i="6"/>
  <c r="H13" i="6"/>
  <c r="G13" i="6"/>
  <c r="F13" i="6"/>
  <c r="E13" i="6"/>
  <c r="D13" i="6"/>
  <c r="H12" i="6"/>
  <c r="G12" i="6"/>
  <c r="F12" i="6"/>
  <c r="E12" i="6"/>
  <c r="D12" i="6"/>
  <c r="H11" i="6"/>
  <c r="G11" i="6"/>
  <c r="F11" i="6"/>
  <c r="E11" i="6"/>
  <c r="D11" i="6"/>
  <c r="H10" i="6"/>
  <c r="H20" i="6" s="1"/>
  <c r="G10" i="6"/>
  <c r="F10" i="6"/>
  <c r="F20" i="6" s="1"/>
  <c r="E10" i="6"/>
  <c r="E20" i="6" s="1"/>
  <c r="E4" i="6" s="1"/>
  <c r="D10" i="6"/>
  <c r="D20" i="6" s="1"/>
  <c r="C4" i="6"/>
  <c r="C76" i="5"/>
  <c r="H75" i="5"/>
  <c r="G75" i="5"/>
  <c r="F75" i="5"/>
  <c r="E75" i="5"/>
  <c r="D75" i="5"/>
  <c r="H74" i="5"/>
  <c r="G74" i="5"/>
  <c r="F74" i="5"/>
  <c r="E74" i="5"/>
  <c r="D74" i="5"/>
  <c r="H73" i="5"/>
  <c r="G73" i="5"/>
  <c r="F73" i="5"/>
  <c r="E73" i="5"/>
  <c r="D73" i="5"/>
  <c r="H72" i="5"/>
  <c r="G72" i="5"/>
  <c r="F72" i="5"/>
  <c r="E72" i="5"/>
  <c r="D72" i="5"/>
  <c r="H71" i="5"/>
  <c r="G71" i="5"/>
  <c r="F71" i="5"/>
  <c r="E71" i="5"/>
  <c r="D71" i="5"/>
  <c r="H70" i="5"/>
  <c r="G70" i="5"/>
  <c r="F70" i="5"/>
  <c r="E70" i="5"/>
  <c r="D70" i="5"/>
  <c r="H69" i="5"/>
  <c r="G69" i="5"/>
  <c r="F69" i="5"/>
  <c r="E69" i="5"/>
  <c r="E76" i="5" s="1"/>
  <c r="D69" i="5"/>
  <c r="H68" i="5"/>
  <c r="G68" i="5"/>
  <c r="F68" i="5"/>
  <c r="E68" i="5"/>
  <c r="D68" i="5"/>
  <c r="H67" i="5"/>
  <c r="G67" i="5"/>
  <c r="F67" i="5"/>
  <c r="E67" i="5"/>
  <c r="D67" i="5"/>
  <c r="H66" i="5"/>
  <c r="H76" i="5" s="1"/>
  <c r="G66" i="5"/>
  <c r="G76" i="5" s="1"/>
  <c r="F66" i="5"/>
  <c r="F76" i="5" s="1"/>
  <c r="E66" i="5"/>
  <c r="D66" i="5"/>
  <c r="D76" i="5" s="1"/>
  <c r="C62" i="5"/>
  <c r="H61" i="5"/>
  <c r="G61" i="5"/>
  <c r="F61" i="5"/>
  <c r="E61" i="5"/>
  <c r="D61" i="5"/>
  <c r="H60" i="5"/>
  <c r="G60" i="5"/>
  <c r="F60" i="5"/>
  <c r="E60" i="5"/>
  <c r="D60" i="5"/>
  <c r="H59" i="5"/>
  <c r="G59" i="5"/>
  <c r="F59" i="5"/>
  <c r="E59" i="5"/>
  <c r="D59" i="5"/>
  <c r="H58" i="5"/>
  <c r="G58" i="5"/>
  <c r="F58" i="5"/>
  <c r="E58" i="5"/>
  <c r="D58" i="5"/>
  <c r="H57" i="5"/>
  <c r="G57" i="5"/>
  <c r="F57" i="5"/>
  <c r="E57" i="5"/>
  <c r="D57" i="5"/>
  <c r="H56" i="5"/>
  <c r="G56" i="5"/>
  <c r="F56" i="5"/>
  <c r="E56" i="5"/>
  <c r="D56" i="5"/>
  <c r="H55" i="5"/>
  <c r="G55" i="5"/>
  <c r="F55" i="5"/>
  <c r="E55" i="5"/>
  <c r="E62" i="5" s="1"/>
  <c r="D55" i="5"/>
  <c r="H54" i="5"/>
  <c r="G54" i="5"/>
  <c r="F54" i="5"/>
  <c r="E54" i="5"/>
  <c r="D54" i="5"/>
  <c r="H53" i="5"/>
  <c r="G53" i="5"/>
  <c r="F53" i="5"/>
  <c r="E53" i="5"/>
  <c r="D53" i="5"/>
  <c r="H52" i="5"/>
  <c r="H62" i="5" s="1"/>
  <c r="G52" i="5"/>
  <c r="G62" i="5" s="1"/>
  <c r="F52" i="5"/>
  <c r="F62" i="5" s="1"/>
  <c r="E52" i="5"/>
  <c r="D52" i="5"/>
  <c r="D62" i="5" s="1"/>
  <c r="C48" i="5"/>
  <c r="H47" i="5"/>
  <c r="G47" i="5"/>
  <c r="F47" i="5"/>
  <c r="E47" i="5"/>
  <c r="D47" i="5"/>
  <c r="H46" i="5"/>
  <c r="G46" i="5"/>
  <c r="F46" i="5"/>
  <c r="E46" i="5"/>
  <c r="D46" i="5"/>
  <c r="H45" i="5"/>
  <c r="G45" i="5"/>
  <c r="F45" i="5"/>
  <c r="E45" i="5"/>
  <c r="D45" i="5"/>
  <c r="H44" i="5"/>
  <c r="G44" i="5"/>
  <c r="F44" i="5"/>
  <c r="E44" i="5"/>
  <c r="D44" i="5"/>
  <c r="H43" i="5"/>
  <c r="G43" i="5"/>
  <c r="F43" i="5"/>
  <c r="E43" i="5"/>
  <c r="D43" i="5"/>
  <c r="H42" i="5"/>
  <c r="G42" i="5"/>
  <c r="F42" i="5"/>
  <c r="E42" i="5"/>
  <c r="D42" i="5"/>
  <c r="H41" i="5"/>
  <c r="G41" i="5"/>
  <c r="F41" i="5"/>
  <c r="E41" i="5"/>
  <c r="E48" i="5" s="1"/>
  <c r="D41" i="5"/>
  <c r="H40" i="5"/>
  <c r="G40" i="5"/>
  <c r="F40" i="5"/>
  <c r="E40" i="5"/>
  <c r="D40" i="5"/>
  <c r="H39" i="5"/>
  <c r="G39" i="5"/>
  <c r="F39" i="5"/>
  <c r="E39" i="5"/>
  <c r="D39" i="5"/>
  <c r="H38" i="5"/>
  <c r="H48" i="5" s="1"/>
  <c r="G38" i="5"/>
  <c r="G48" i="5" s="1"/>
  <c r="F38" i="5"/>
  <c r="F48" i="5" s="1"/>
  <c r="E38" i="5"/>
  <c r="D38" i="5"/>
  <c r="D48" i="5" s="1"/>
  <c r="C34" i="5"/>
  <c r="H33" i="5"/>
  <c r="G33" i="5"/>
  <c r="F33" i="5"/>
  <c r="E33" i="5"/>
  <c r="D33" i="5"/>
  <c r="H32" i="5"/>
  <c r="G32" i="5"/>
  <c r="F32" i="5"/>
  <c r="E32" i="5"/>
  <c r="D32" i="5"/>
  <c r="H31" i="5"/>
  <c r="G31" i="5"/>
  <c r="F31" i="5"/>
  <c r="E31" i="5"/>
  <c r="D31" i="5"/>
  <c r="H30" i="5"/>
  <c r="G30" i="5"/>
  <c r="F30" i="5"/>
  <c r="E30" i="5"/>
  <c r="D30" i="5"/>
  <c r="H29" i="5"/>
  <c r="G29" i="5"/>
  <c r="F29" i="5"/>
  <c r="E29" i="5"/>
  <c r="D29" i="5"/>
  <c r="H28" i="5"/>
  <c r="G28" i="5"/>
  <c r="F28" i="5"/>
  <c r="E28" i="5"/>
  <c r="D28" i="5"/>
  <c r="H27" i="5"/>
  <c r="G27" i="5"/>
  <c r="F27" i="5"/>
  <c r="E27" i="5"/>
  <c r="E34" i="5" s="1"/>
  <c r="D27" i="5"/>
  <c r="H26" i="5"/>
  <c r="G26" i="5"/>
  <c r="F26" i="5"/>
  <c r="E26" i="5"/>
  <c r="D26" i="5"/>
  <c r="H25" i="5"/>
  <c r="G25" i="5"/>
  <c r="F25" i="5"/>
  <c r="E25" i="5"/>
  <c r="D25" i="5"/>
  <c r="H24" i="5"/>
  <c r="H34" i="5" s="1"/>
  <c r="G24" i="5"/>
  <c r="G34" i="5" s="1"/>
  <c r="F24" i="5"/>
  <c r="F34" i="5" s="1"/>
  <c r="E24" i="5"/>
  <c r="D24" i="5"/>
  <c r="D34" i="5" s="1"/>
  <c r="C20" i="5"/>
  <c r="H19" i="5"/>
  <c r="G19" i="5"/>
  <c r="F19" i="5"/>
  <c r="E19" i="5"/>
  <c r="D19" i="5"/>
  <c r="H18" i="5"/>
  <c r="G18" i="5"/>
  <c r="F18" i="5"/>
  <c r="E18" i="5"/>
  <c r="D18" i="5"/>
  <c r="H17" i="5"/>
  <c r="G17" i="5"/>
  <c r="F17" i="5"/>
  <c r="E17" i="5"/>
  <c r="D17" i="5"/>
  <c r="H16" i="5"/>
  <c r="G16" i="5"/>
  <c r="F16" i="5"/>
  <c r="E16" i="5"/>
  <c r="D16" i="5"/>
  <c r="H15" i="5"/>
  <c r="G15" i="5"/>
  <c r="F15" i="5"/>
  <c r="E15" i="5"/>
  <c r="D15" i="5"/>
  <c r="H14" i="5"/>
  <c r="G14" i="5"/>
  <c r="F14" i="5"/>
  <c r="E14" i="5"/>
  <c r="D14" i="5"/>
  <c r="H13" i="5"/>
  <c r="G13" i="5"/>
  <c r="F13" i="5"/>
  <c r="E13" i="5"/>
  <c r="D13" i="5"/>
  <c r="H12" i="5"/>
  <c r="G12" i="5"/>
  <c r="F12" i="5"/>
  <c r="E12" i="5"/>
  <c r="D12" i="5"/>
  <c r="H11" i="5"/>
  <c r="G11" i="5"/>
  <c r="F11" i="5"/>
  <c r="E11" i="5"/>
  <c r="D11" i="5"/>
  <c r="H10" i="5"/>
  <c r="H20" i="5" s="1"/>
  <c r="H4" i="5" s="1"/>
  <c r="G10" i="5"/>
  <c r="G20" i="5" s="1"/>
  <c r="F10" i="5"/>
  <c r="F20" i="5" s="1"/>
  <c r="E10" i="5"/>
  <c r="D10" i="5"/>
  <c r="D20" i="5" s="1"/>
  <c r="D4" i="5" s="1"/>
  <c r="C4" i="5"/>
  <c r="C76" i="4"/>
  <c r="H75" i="4"/>
  <c r="G75" i="4"/>
  <c r="F75" i="4"/>
  <c r="E75" i="4"/>
  <c r="D75" i="4"/>
  <c r="H74" i="4"/>
  <c r="G74" i="4"/>
  <c r="F74" i="4"/>
  <c r="E74" i="4"/>
  <c r="D74" i="4"/>
  <c r="H73" i="4"/>
  <c r="G73" i="4"/>
  <c r="F73" i="4"/>
  <c r="E73" i="4"/>
  <c r="D73" i="4"/>
  <c r="H72" i="4"/>
  <c r="G72" i="4"/>
  <c r="F72" i="4"/>
  <c r="E72" i="4"/>
  <c r="D72" i="4"/>
  <c r="H71" i="4"/>
  <c r="G71" i="4"/>
  <c r="F71" i="4"/>
  <c r="E71" i="4"/>
  <c r="D71" i="4"/>
  <c r="H70" i="4"/>
  <c r="G70" i="4"/>
  <c r="F70" i="4"/>
  <c r="E70" i="4"/>
  <c r="D70" i="4"/>
  <c r="H69" i="4"/>
  <c r="G69" i="4"/>
  <c r="F69" i="4"/>
  <c r="E69" i="4"/>
  <c r="D69" i="4"/>
  <c r="H68" i="4"/>
  <c r="G68" i="4"/>
  <c r="F68" i="4"/>
  <c r="E68" i="4"/>
  <c r="D68" i="4"/>
  <c r="H67" i="4"/>
  <c r="G67" i="4"/>
  <c r="F67" i="4"/>
  <c r="E67" i="4"/>
  <c r="D67" i="4"/>
  <c r="H66" i="4"/>
  <c r="H76" i="4" s="1"/>
  <c r="G66" i="4"/>
  <c r="F66" i="4"/>
  <c r="F76" i="4" s="1"/>
  <c r="E66" i="4"/>
  <c r="E76" i="4" s="1"/>
  <c r="D66" i="4"/>
  <c r="D76" i="4" s="1"/>
  <c r="C62" i="4"/>
  <c r="H61" i="4"/>
  <c r="G61" i="4"/>
  <c r="F61" i="4"/>
  <c r="E61" i="4"/>
  <c r="D61" i="4"/>
  <c r="H60" i="4"/>
  <c r="G60" i="4"/>
  <c r="F60" i="4"/>
  <c r="E60" i="4"/>
  <c r="D60" i="4"/>
  <c r="H59" i="4"/>
  <c r="G59" i="4"/>
  <c r="F59" i="4"/>
  <c r="E59" i="4"/>
  <c r="D59" i="4"/>
  <c r="H58" i="4"/>
  <c r="G58" i="4"/>
  <c r="F58" i="4"/>
  <c r="E58" i="4"/>
  <c r="D58" i="4"/>
  <c r="H57" i="4"/>
  <c r="G57" i="4"/>
  <c r="F57" i="4"/>
  <c r="E57" i="4"/>
  <c r="D57" i="4"/>
  <c r="H56" i="4"/>
  <c r="G56" i="4"/>
  <c r="F56" i="4"/>
  <c r="E56" i="4"/>
  <c r="D56" i="4"/>
  <c r="H55" i="4"/>
  <c r="G55" i="4"/>
  <c r="G62" i="4" s="1"/>
  <c r="F55" i="4"/>
  <c r="E55" i="4"/>
  <c r="D55" i="4"/>
  <c r="H54" i="4"/>
  <c r="G54" i="4"/>
  <c r="F54" i="4"/>
  <c r="E54" i="4"/>
  <c r="D54" i="4"/>
  <c r="H53" i="4"/>
  <c r="G53" i="4"/>
  <c r="F53" i="4"/>
  <c r="E53" i="4"/>
  <c r="D53" i="4"/>
  <c r="H52" i="4"/>
  <c r="H62" i="4" s="1"/>
  <c r="G52" i="4"/>
  <c r="F52" i="4"/>
  <c r="F62" i="4" s="1"/>
  <c r="E52" i="4"/>
  <c r="E62" i="4" s="1"/>
  <c r="D52" i="4"/>
  <c r="D62" i="4" s="1"/>
  <c r="C48" i="4"/>
  <c r="H47" i="4"/>
  <c r="G47" i="4"/>
  <c r="F47" i="4"/>
  <c r="E47" i="4"/>
  <c r="D47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H40" i="4"/>
  <c r="G40" i="4"/>
  <c r="F40" i="4"/>
  <c r="E40" i="4"/>
  <c r="D40" i="4"/>
  <c r="H39" i="4"/>
  <c r="G39" i="4"/>
  <c r="F39" i="4"/>
  <c r="E39" i="4"/>
  <c r="D39" i="4"/>
  <c r="H38" i="4"/>
  <c r="H48" i="4" s="1"/>
  <c r="G38" i="4"/>
  <c r="F38" i="4"/>
  <c r="F48" i="4" s="1"/>
  <c r="E38" i="4"/>
  <c r="E48" i="4" s="1"/>
  <c r="D38" i="4"/>
  <c r="D48" i="4" s="1"/>
  <c r="C34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4" i="4"/>
  <c r="G24" i="4"/>
  <c r="F24" i="4"/>
  <c r="F34" i="4" s="1"/>
  <c r="E24" i="4"/>
  <c r="D24" i="4"/>
  <c r="C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H13" i="4"/>
  <c r="G13" i="4"/>
  <c r="F13" i="4"/>
  <c r="E13" i="4"/>
  <c r="D13" i="4"/>
  <c r="H12" i="4"/>
  <c r="G12" i="4"/>
  <c r="F12" i="4"/>
  <c r="E12" i="4"/>
  <c r="D12" i="4"/>
  <c r="H11" i="4"/>
  <c r="G11" i="4"/>
  <c r="F11" i="4"/>
  <c r="E11" i="4"/>
  <c r="D11" i="4"/>
  <c r="H10" i="4"/>
  <c r="H20" i="4" s="1"/>
  <c r="G10" i="4"/>
  <c r="F10" i="4"/>
  <c r="F20" i="4" s="1"/>
  <c r="E10" i="4"/>
  <c r="D10" i="4"/>
  <c r="D20" i="4" s="1"/>
  <c r="C76" i="3"/>
  <c r="H75" i="3"/>
  <c r="G75" i="3"/>
  <c r="F75" i="3"/>
  <c r="E75" i="3"/>
  <c r="D75" i="3"/>
  <c r="H74" i="3"/>
  <c r="G74" i="3"/>
  <c r="F74" i="3"/>
  <c r="E74" i="3"/>
  <c r="D74" i="3"/>
  <c r="H73" i="3"/>
  <c r="G73" i="3"/>
  <c r="F73" i="3"/>
  <c r="E73" i="3"/>
  <c r="D73" i="3"/>
  <c r="H72" i="3"/>
  <c r="G72" i="3"/>
  <c r="F72" i="3"/>
  <c r="E72" i="3"/>
  <c r="D72" i="3"/>
  <c r="H71" i="3"/>
  <c r="G71" i="3"/>
  <c r="F71" i="3"/>
  <c r="E71" i="3"/>
  <c r="D71" i="3"/>
  <c r="H70" i="3"/>
  <c r="G70" i="3"/>
  <c r="F70" i="3"/>
  <c r="E70" i="3"/>
  <c r="D70" i="3"/>
  <c r="H69" i="3"/>
  <c r="G69" i="3"/>
  <c r="F69" i="3"/>
  <c r="E69" i="3"/>
  <c r="D69" i="3"/>
  <c r="H68" i="3"/>
  <c r="G68" i="3"/>
  <c r="F68" i="3"/>
  <c r="E68" i="3"/>
  <c r="D68" i="3"/>
  <c r="H67" i="3"/>
  <c r="G67" i="3"/>
  <c r="F67" i="3"/>
  <c r="E67" i="3"/>
  <c r="D67" i="3"/>
  <c r="H66" i="3"/>
  <c r="G66" i="3"/>
  <c r="F66" i="3"/>
  <c r="E66" i="3"/>
  <c r="D66" i="3"/>
  <c r="C62" i="3"/>
  <c r="H61" i="3"/>
  <c r="G61" i="3"/>
  <c r="F61" i="3"/>
  <c r="E61" i="3"/>
  <c r="D61" i="3"/>
  <c r="H60" i="3"/>
  <c r="G60" i="3"/>
  <c r="F60" i="3"/>
  <c r="E60" i="3"/>
  <c r="D60" i="3"/>
  <c r="H59" i="3"/>
  <c r="G59" i="3"/>
  <c r="F59" i="3"/>
  <c r="E59" i="3"/>
  <c r="D59" i="3"/>
  <c r="H58" i="3"/>
  <c r="G58" i="3"/>
  <c r="F58" i="3"/>
  <c r="E58" i="3"/>
  <c r="D58" i="3"/>
  <c r="H57" i="3"/>
  <c r="G57" i="3"/>
  <c r="F57" i="3"/>
  <c r="E57" i="3"/>
  <c r="D57" i="3"/>
  <c r="H56" i="3"/>
  <c r="G56" i="3"/>
  <c r="F56" i="3"/>
  <c r="E56" i="3"/>
  <c r="D56" i="3"/>
  <c r="H55" i="3"/>
  <c r="G55" i="3"/>
  <c r="F55" i="3"/>
  <c r="E55" i="3"/>
  <c r="D55" i="3"/>
  <c r="H54" i="3"/>
  <c r="G54" i="3"/>
  <c r="F54" i="3"/>
  <c r="E54" i="3"/>
  <c r="D54" i="3"/>
  <c r="H53" i="3"/>
  <c r="G53" i="3"/>
  <c r="F53" i="3"/>
  <c r="E53" i="3"/>
  <c r="D53" i="3"/>
  <c r="H52" i="3"/>
  <c r="G52" i="3"/>
  <c r="F52" i="3"/>
  <c r="E52" i="3"/>
  <c r="D52" i="3"/>
  <c r="C48" i="3"/>
  <c r="H47" i="3"/>
  <c r="G47" i="3"/>
  <c r="F47" i="3"/>
  <c r="E47" i="3"/>
  <c r="D47" i="3"/>
  <c r="H46" i="3"/>
  <c r="G46" i="3"/>
  <c r="F46" i="3"/>
  <c r="E46" i="3"/>
  <c r="D46" i="3"/>
  <c r="H45" i="3"/>
  <c r="G45" i="3"/>
  <c r="F45" i="3"/>
  <c r="E45" i="3"/>
  <c r="D45" i="3"/>
  <c r="H44" i="3"/>
  <c r="G44" i="3"/>
  <c r="F44" i="3"/>
  <c r="E44" i="3"/>
  <c r="D44" i="3"/>
  <c r="H43" i="3"/>
  <c r="G43" i="3"/>
  <c r="F43" i="3"/>
  <c r="E43" i="3"/>
  <c r="D43" i="3"/>
  <c r="H42" i="3"/>
  <c r="G42" i="3"/>
  <c r="F42" i="3"/>
  <c r="E42" i="3"/>
  <c r="D42" i="3"/>
  <c r="H41" i="3"/>
  <c r="G41" i="3"/>
  <c r="F41" i="3"/>
  <c r="E41" i="3"/>
  <c r="D41" i="3"/>
  <c r="H40" i="3"/>
  <c r="G40" i="3"/>
  <c r="F40" i="3"/>
  <c r="E40" i="3"/>
  <c r="D40" i="3"/>
  <c r="H39" i="3"/>
  <c r="G39" i="3"/>
  <c r="F39" i="3"/>
  <c r="E39" i="3"/>
  <c r="D39" i="3"/>
  <c r="H38" i="3"/>
  <c r="G38" i="3"/>
  <c r="F38" i="3"/>
  <c r="E38" i="3"/>
  <c r="D38" i="3"/>
  <c r="C34" i="3"/>
  <c r="H33" i="3"/>
  <c r="G33" i="3"/>
  <c r="F33" i="3"/>
  <c r="E33" i="3"/>
  <c r="D33" i="3"/>
  <c r="H32" i="3"/>
  <c r="G32" i="3"/>
  <c r="F32" i="3"/>
  <c r="E32" i="3"/>
  <c r="D32" i="3"/>
  <c r="H31" i="3"/>
  <c r="G31" i="3"/>
  <c r="F31" i="3"/>
  <c r="E31" i="3"/>
  <c r="D31" i="3"/>
  <c r="H30" i="3"/>
  <c r="G30" i="3"/>
  <c r="F30" i="3"/>
  <c r="E30" i="3"/>
  <c r="D30" i="3"/>
  <c r="H29" i="3"/>
  <c r="G29" i="3"/>
  <c r="F29" i="3"/>
  <c r="E29" i="3"/>
  <c r="D29" i="3"/>
  <c r="H28" i="3"/>
  <c r="G28" i="3"/>
  <c r="F28" i="3"/>
  <c r="E28" i="3"/>
  <c r="D28" i="3"/>
  <c r="H27" i="3"/>
  <c r="G27" i="3"/>
  <c r="F27" i="3"/>
  <c r="E27" i="3"/>
  <c r="D27" i="3"/>
  <c r="H26" i="3"/>
  <c r="G26" i="3"/>
  <c r="F26" i="3"/>
  <c r="E26" i="3"/>
  <c r="D26" i="3"/>
  <c r="H25" i="3"/>
  <c r="G25" i="3"/>
  <c r="F25" i="3"/>
  <c r="E25" i="3"/>
  <c r="D25" i="3"/>
  <c r="H24" i="3"/>
  <c r="G24" i="3"/>
  <c r="F24" i="3"/>
  <c r="E24" i="3"/>
  <c r="D24" i="3"/>
  <c r="C20" i="3"/>
  <c r="B4" i="10" l="1"/>
  <c r="A5" i="10"/>
  <c r="D34" i="9"/>
  <c r="D4" i="9" s="1"/>
  <c r="H34" i="9"/>
  <c r="H4" i="9" s="1"/>
  <c r="G4" i="9"/>
  <c r="E4" i="9"/>
  <c r="F4" i="9"/>
  <c r="D34" i="8"/>
  <c r="H34" i="8"/>
  <c r="D4" i="8"/>
  <c r="H4" i="8"/>
  <c r="E34" i="8"/>
  <c r="F4" i="8"/>
  <c r="E20" i="8"/>
  <c r="E4" i="8" s="1"/>
  <c r="G20" i="7"/>
  <c r="D4" i="7"/>
  <c r="H4" i="7"/>
  <c r="E4" i="7"/>
  <c r="F4" i="7"/>
  <c r="G4" i="7"/>
  <c r="G20" i="6"/>
  <c r="D4" i="6"/>
  <c r="H4" i="6"/>
  <c r="F4" i="6"/>
  <c r="G4" i="6"/>
  <c r="E20" i="5"/>
  <c r="E4" i="5" s="1"/>
  <c r="G4" i="5"/>
  <c r="F4" i="5"/>
  <c r="G76" i="4"/>
  <c r="G48" i="4"/>
  <c r="D34" i="4"/>
  <c r="H34" i="4"/>
  <c r="C4" i="4"/>
  <c r="D4" i="4"/>
  <c r="H4" i="4"/>
  <c r="E34" i="4"/>
  <c r="G34" i="4"/>
  <c r="F4" i="4"/>
  <c r="G20" i="4"/>
  <c r="E20" i="4"/>
  <c r="E4" i="4" s="1"/>
  <c r="H76" i="3"/>
  <c r="E76" i="3"/>
  <c r="G76" i="3"/>
  <c r="D76" i="3"/>
  <c r="F76" i="3"/>
  <c r="G62" i="3"/>
  <c r="D62" i="3"/>
  <c r="H62" i="3"/>
  <c r="F62" i="3"/>
  <c r="E62" i="3"/>
  <c r="F48" i="3"/>
  <c r="G48" i="3"/>
  <c r="D48" i="3"/>
  <c r="H48" i="3"/>
  <c r="E48" i="3"/>
  <c r="C4" i="3"/>
  <c r="F34" i="3"/>
  <c r="D34" i="3"/>
  <c r="D4" i="3" s="1"/>
  <c r="H34" i="3"/>
  <c r="G34" i="3"/>
  <c r="E34" i="3"/>
  <c r="G5001" i="1"/>
  <c r="G5000" i="1"/>
  <c r="G4999" i="1"/>
  <c r="G4998" i="1"/>
  <c r="G4997" i="1"/>
  <c r="G4996" i="1"/>
  <c r="G4995" i="1"/>
  <c r="G4994" i="1"/>
  <c r="H4993" i="1"/>
  <c r="H4994" i="1" s="1"/>
  <c r="G4993" i="1"/>
  <c r="A6" i="10" l="1"/>
  <c r="B5" i="10"/>
  <c r="G4" i="4"/>
  <c r="H4" i="3"/>
  <c r="G4" i="3"/>
  <c r="E4" i="3"/>
  <c r="F4" i="3"/>
  <c r="A4994" i="1"/>
  <c r="H4995" i="1"/>
  <c r="A4993" i="1"/>
  <c r="A7" i="10" l="1"/>
  <c r="B6" i="10"/>
  <c r="H4996" i="1"/>
  <c r="A4995" i="1"/>
  <c r="G4992" i="1"/>
  <c r="G4991" i="1"/>
  <c r="G4990" i="1"/>
  <c r="G4989" i="1"/>
  <c r="G4988" i="1"/>
  <c r="G4987" i="1"/>
  <c r="G4986" i="1"/>
  <c r="G4985" i="1"/>
  <c r="G4984" i="1"/>
  <c r="G4983" i="1"/>
  <c r="G4982" i="1"/>
  <c r="G4981" i="1"/>
  <c r="G4980" i="1"/>
  <c r="G4979" i="1"/>
  <c r="G4978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C21" i="1" s="1"/>
  <c r="G20" i="1"/>
  <c r="C20" i="1" s="1"/>
  <c r="G19" i="1"/>
  <c r="C19" i="1" s="1"/>
  <c r="G18" i="1"/>
  <c r="C18" i="1" s="1"/>
  <c r="G17" i="1"/>
  <c r="C17" i="1" s="1"/>
  <c r="G16" i="1"/>
  <c r="C16" i="1" s="1"/>
  <c r="G15" i="1"/>
  <c r="C15" i="1" s="1"/>
  <c r="G14" i="1"/>
  <c r="C14" i="1" s="1"/>
  <c r="G13" i="1"/>
  <c r="C13" i="1" s="1"/>
  <c r="G12" i="1"/>
  <c r="C12" i="1" s="1"/>
  <c r="G11" i="1"/>
  <c r="C11" i="1" s="1"/>
  <c r="G10" i="1"/>
  <c r="C10" i="1" s="1"/>
  <c r="G9" i="1"/>
  <c r="C9" i="1" s="1"/>
  <c r="G8" i="1"/>
  <c r="C8" i="1" s="1"/>
  <c r="G7" i="1"/>
  <c r="C7" i="1" s="1"/>
  <c r="G6" i="1"/>
  <c r="C6" i="1" s="1"/>
  <c r="G5" i="1"/>
  <c r="C5" i="1" s="1"/>
  <c r="G4" i="1"/>
  <c r="C4" i="1" s="1"/>
  <c r="G3" i="1"/>
  <c r="C3" i="1" s="1"/>
  <c r="G2" i="1"/>
  <c r="C2" i="1" s="1"/>
  <c r="B7" i="10" l="1"/>
  <c r="A8" i="10"/>
  <c r="B8" i="10" s="1"/>
  <c r="H4997" i="1"/>
  <c r="A4996" i="1"/>
  <c r="H3" i="1"/>
  <c r="H4998" i="1" l="1"/>
  <c r="A4997" i="1"/>
  <c r="H4" i="1"/>
  <c r="H4999" i="1" l="1"/>
  <c r="A4998" i="1"/>
  <c r="H5" i="1"/>
  <c r="H5000" i="1" l="1"/>
  <c r="A4999" i="1"/>
  <c r="H6" i="1"/>
  <c r="H5001" i="1" l="1"/>
  <c r="A5001" i="1" s="1"/>
  <c r="A5000" i="1"/>
  <c r="H7" i="1"/>
  <c r="H8" i="1" l="1"/>
  <c r="H9" i="1" l="1"/>
  <c r="D12" i="3" l="1"/>
  <c r="G12" i="3"/>
  <c r="H10" i="1"/>
  <c r="H11" i="1" l="1"/>
  <c r="H12" i="1" l="1"/>
  <c r="H13" i="1" l="1"/>
  <c r="H14" i="1" l="1"/>
  <c r="H15" i="1" l="1"/>
  <c r="H16" i="1" l="1"/>
  <c r="H17" i="1" l="1"/>
  <c r="H18" i="1" l="1"/>
  <c r="H19" i="1" l="1"/>
  <c r="H20" i="1" l="1"/>
  <c r="H21" i="1" l="1"/>
  <c r="H22" i="1" l="1"/>
  <c r="A22" i="1" s="1"/>
  <c r="H23" i="1" l="1"/>
  <c r="A23" i="1" s="1"/>
  <c r="H24" i="1" l="1"/>
  <c r="A24" i="1" s="1"/>
  <c r="H25" i="1" l="1"/>
  <c r="A25" i="1" s="1"/>
  <c r="H26" i="1" l="1"/>
  <c r="A26" i="1" s="1"/>
  <c r="H27" i="1" l="1"/>
  <c r="A27" i="1" s="1"/>
  <c r="H28" i="1" l="1"/>
  <c r="A28" i="1" s="1"/>
  <c r="H29" i="1" l="1"/>
  <c r="A29" i="1" s="1"/>
  <c r="H30" i="1" l="1"/>
  <c r="A30" i="1" s="1"/>
  <c r="H31" i="1" l="1"/>
  <c r="A31" i="1" s="1"/>
  <c r="H32" i="1" l="1"/>
  <c r="A32" i="1" s="1"/>
  <c r="H33" i="1" l="1"/>
  <c r="A33" i="1" s="1"/>
  <c r="H34" i="1" l="1"/>
  <c r="A34" i="1" s="1"/>
  <c r="H35" i="1" l="1"/>
  <c r="A35" i="1" s="1"/>
  <c r="H36" i="1" l="1"/>
  <c r="A36" i="1" s="1"/>
  <c r="H37" i="1" l="1"/>
  <c r="A37" i="1" s="1"/>
  <c r="H38" i="1" l="1"/>
  <c r="A38" i="1" s="1"/>
  <c r="H39" i="1" l="1"/>
  <c r="A39" i="1" s="1"/>
  <c r="H40" i="1" l="1"/>
  <c r="A40" i="1" s="1"/>
  <c r="H41" i="1" l="1"/>
  <c r="A41" i="1" s="1"/>
  <c r="H42" i="1" l="1"/>
  <c r="A42" i="1" s="1"/>
  <c r="H43" i="1" l="1"/>
  <c r="A43" i="1" s="1"/>
  <c r="H44" i="1" l="1"/>
  <c r="A44" i="1" s="1"/>
  <c r="H45" i="1" l="1"/>
  <c r="A45" i="1" s="1"/>
  <c r="H46" i="1" l="1"/>
  <c r="A46" i="1" s="1"/>
  <c r="H47" i="1" l="1"/>
  <c r="A47" i="1" s="1"/>
  <c r="H48" i="1" l="1"/>
  <c r="A48" i="1" s="1"/>
  <c r="H49" i="1" l="1"/>
  <c r="A49" i="1" s="1"/>
  <c r="H50" i="1" l="1"/>
  <c r="A50" i="1" s="1"/>
  <c r="H51" i="1" l="1"/>
  <c r="A51" i="1" s="1"/>
  <c r="H52" i="1" l="1"/>
  <c r="A52" i="1" s="1"/>
  <c r="H53" i="1" l="1"/>
  <c r="A53" i="1" s="1"/>
  <c r="H54" i="1" l="1"/>
  <c r="A54" i="1" s="1"/>
  <c r="H55" i="1" l="1"/>
  <c r="A55" i="1" s="1"/>
  <c r="H56" i="1" l="1"/>
  <c r="A56" i="1" s="1"/>
  <c r="H57" i="1" l="1"/>
  <c r="A57" i="1" s="1"/>
  <c r="H58" i="1" l="1"/>
  <c r="A58" i="1" s="1"/>
  <c r="H59" i="1" l="1"/>
  <c r="A59" i="1" s="1"/>
  <c r="H60" i="1" l="1"/>
  <c r="A60" i="1" s="1"/>
  <c r="H61" i="1" l="1"/>
  <c r="A61" i="1" s="1"/>
  <c r="H62" i="1" l="1"/>
  <c r="A62" i="1" s="1"/>
  <c r="H63" i="1" l="1"/>
  <c r="A63" i="1" s="1"/>
  <c r="H64" i="1" l="1"/>
  <c r="A64" i="1" s="1"/>
  <c r="H65" i="1" l="1"/>
  <c r="A65" i="1" s="1"/>
  <c r="H66" i="1" l="1"/>
  <c r="A66" i="1" s="1"/>
  <c r="H67" i="1" l="1"/>
  <c r="A67" i="1" s="1"/>
  <c r="H68" i="1" l="1"/>
  <c r="A68" i="1" s="1"/>
  <c r="H69" i="1" l="1"/>
  <c r="A69" i="1" s="1"/>
  <c r="H70" i="1" l="1"/>
  <c r="A70" i="1" s="1"/>
  <c r="H71" i="1" l="1"/>
  <c r="A71" i="1" s="1"/>
  <c r="H72" i="1" l="1"/>
  <c r="A72" i="1" s="1"/>
  <c r="H73" i="1" l="1"/>
  <c r="A73" i="1" s="1"/>
  <c r="H74" i="1" l="1"/>
  <c r="A74" i="1" s="1"/>
  <c r="H75" i="1" l="1"/>
  <c r="A75" i="1" s="1"/>
  <c r="H76" i="1" l="1"/>
  <c r="A76" i="1" s="1"/>
  <c r="H77" i="1" l="1"/>
  <c r="A77" i="1" s="1"/>
  <c r="H78" i="1" l="1"/>
  <c r="A78" i="1" s="1"/>
  <c r="H79" i="1" l="1"/>
  <c r="A79" i="1" s="1"/>
  <c r="H80" i="1" l="1"/>
  <c r="A80" i="1" s="1"/>
  <c r="H81" i="1" l="1"/>
  <c r="A81" i="1" s="1"/>
  <c r="H82" i="1" l="1"/>
  <c r="A82" i="1" s="1"/>
  <c r="H83" i="1" l="1"/>
  <c r="A83" i="1" s="1"/>
  <c r="H84" i="1" l="1"/>
  <c r="A84" i="1" s="1"/>
  <c r="H85" i="1" l="1"/>
  <c r="A85" i="1" s="1"/>
  <c r="H86" i="1" l="1"/>
  <c r="A86" i="1" s="1"/>
  <c r="H87" i="1" l="1"/>
  <c r="A87" i="1" s="1"/>
  <c r="H88" i="1" l="1"/>
  <c r="A88" i="1" s="1"/>
  <c r="H89" i="1" l="1"/>
  <c r="A89" i="1" s="1"/>
  <c r="H90" i="1" l="1"/>
  <c r="A90" i="1" s="1"/>
  <c r="H91" i="1" l="1"/>
  <c r="A91" i="1" s="1"/>
  <c r="H92" i="1" l="1"/>
  <c r="A92" i="1" s="1"/>
  <c r="H93" i="1" l="1"/>
  <c r="A93" i="1" s="1"/>
  <c r="H94" i="1" l="1"/>
  <c r="A94" i="1" s="1"/>
  <c r="H95" i="1" l="1"/>
  <c r="A95" i="1" s="1"/>
  <c r="H96" i="1" l="1"/>
  <c r="A96" i="1" s="1"/>
  <c r="H97" i="1" l="1"/>
  <c r="A97" i="1" s="1"/>
  <c r="H98" i="1" l="1"/>
  <c r="A98" i="1" s="1"/>
  <c r="H99" i="1" l="1"/>
  <c r="A99" i="1" s="1"/>
  <c r="H100" i="1" l="1"/>
  <c r="A100" i="1" s="1"/>
  <c r="H101" i="1" l="1"/>
  <c r="A101" i="1" s="1"/>
  <c r="H102" i="1" l="1"/>
  <c r="A102" i="1" s="1"/>
  <c r="H103" i="1" l="1"/>
  <c r="A103" i="1" s="1"/>
  <c r="H104" i="1" l="1"/>
  <c r="A104" i="1" s="1"/>
  <c r="H105" i="1" l="1"/>
  <c r="A105" i="1" s="1"/>
  <c r="H106" i="1" l="1"/>
  <c r="A106" i="1" s="1"/>
  <c r="H107" i="1" l="1"/>
  <c r="A107" i="1" s="1"/>
  <c r="H108" i="1" l="1"/>
  <c r="A108" i="1" s="1"/>
  <c r="H109" i="1" l="1"/>
  <c r="A109" i="1" s="1"/>
  <c r="H110" i="1" l="1"/>
  <c r="A110" i="1" s="1"/>
  <c r="H111" i="1" l="1"/>
  <c r="A111" i="1" s="1"/>
  <c r="H112" i="1" l="1"/>
  <c r="A112" i="1" s="1"/>
  <c r="H113" i="1" l="1"/>
  <c r="A113" i="1" s="1"/>
  <c r="H114" i="1" l="1"/>
  <c r="A114" i="1" s="1"/>
  <c r="H115" i="1" l="1"/>
  <c r="A115" i="1" s="1"/>
  <c r="H116" i="1" l="1"/>
  <c r="A116" i="1" s="1"/>
  <c r="H117" i="1" l="1"/>
  <c r="A117" i="1" s="1"/>
  <c r="H118" i="1" l="1"/>
  <c r="A118" i="1" s="1"/>
  <c r="H119" i="1" l="1"/>
  <c r="A119" i="1" s="1"/>
  <c r="H120" i="1" l="1"/>
  <c r="A120" i="1" s="1"/>
  <c r="H121" i="1" l="1"/>
  <c r="A121" i="1" s="1"/>
  <c r="H122" i="1" l="1"/>
  <c r="A122" i="1" s="1"/>
  <c r="H123" i="1" l="1"/>
  <c r="A123" i="1" s="1"/>
  <c r="H124" i="1" l="1"/>
  <c r="A124" i="1" s="1"/>
  <c r="H125" i="1" l="1"/>
  <c r="A125" i="1" s="1"/>
  <c r="H126" i="1" l="1"/>
  <c r="A126" i="1" s="1"/>
  <c r="H127" i="1" l="1"/>
  <c r="A127" i="1" s="1"/>
  <c r="H128" i="1" l="1"/>
  <c r="A128" i="1" s="1"/>
  <c r="H129" i="1" l="1"/>
  <c r="A129" i="1" s="1"/>
  <c r="H130" i="1" l="1"/>
  <c r="A130" i="1" s="1"/>
  <c r="H131" i="1" l="1"/>
  <c r="A131" i="1" s="1"/>
  <c r="H132" i="1" l="1"/>
  <c r="A132" i="1" s="1"/>
  <c r="H133" i="1" l="1"/>
  <c r="A133" i="1" s="1"/>
  <c r="H134" i="1" l="1"/>
  <c r="A134" i="1" s="1"/>
  <c r="H135" i="1" l="1"/>
  <c r="A135" i="1" s="1"/>
  <c r="H136" i="1" l="1"/>
  <c r="A136" i="1" s="1"/>
  <c r="H137" i="1" l="1"/>
  <c r="A137" i="1" s="1"/>
  <c r="H138" i="1" l="1"/>
  <c r="A138" i="1" s="1"/>
  <c r="H139" i="1" l="1"/>
  <c r="A139" i="1" s="1"/>
  <c r="H140" i="1" l="1"/>
  <c r="A140" i="1" s="1"/>
  <c r="H141" i="1" l="1"/>
  <c r="A141" i="1" s="1"/>
  <c r="H142" i="1" l="1"/>
  <c r="A142" i="1" s="1"/>
  <c r="H143" i="1" l="1"/>
  <c r="A143" i="1" s="1"/>
  <c r="H144" i="1" l="1"/>
  <c r="A144" i="1" s="1"/>
  <c r="H145" i="1" l="1"/>
  <c r="A145" i="1" s="1"/>
  <c r="H146" i="1" l="1"/>
  <c r="A146" i="1" s="1"/>
  <c r="H147" i="1" l="1"/>
  <c r="A147" i="1" s="1"/>
  <c r="H148" i="1" l="1"/>
  <c r="A148" i="1" s="1"/>
  <c r="H149" i="1" l="1"/>
  <c r="A149" i="1" s="1"/>
  <c r="H150" i="1" l="1"/>
  <c r="A150" i="1" s="1"/>
  <c r="H151" i="1" l="1"/>
  <c r="A151" i="1" s="1"/>
  <c r="H152" i="1" l="1"/>
  <c r="A152" i="1" s="1"/>
  <c r="H153" i="1" l="1"/>
  <c r="A153" i="1" s="1"/>
  <c r="H154" i="1" l="1"/>
  <c r="A154" i="1" s="1"/>
  <c r="H155" i="1" l="1"/>
  <c r="A155" i="1" s="1"/>
  <c r="H156" i="1" l="1"/>
  <c r="A156" i="1" s="1"/>
  <c r="H157" i="1" l="1"/>
  <c r="A157" i="1" s="1"/>
  <c r="H158" i="1" l="1"/>
  <c r="A158" i="1" s="1"/>
  <c r="H159" i="1" l="1"/>
  <c r="A159" i="1" s="1"/>
  <c r="H160" i="1" l="1"/>
  <c r="A160" i="1" s="1"/>
  <c r="H161" i="1" l="1"/>
  <c r="A161" i="1" s="1"/>
  <c r="H162" i="1" l="1"/>
  <c r="A162" i="1" s="1"/>
  <c r="H163" i="1" l="1"/>
  <c r="A163" i="1" s="1"/>
  <c r="H164" i="1" l="1"/>
  <c r="A164" i="1" s="1"/>
  <c r="H165" i="1" l="1"/>
  <c r="A165" i="1" s="1"/>
  <c r="H166" i="1" l="1"/>
  <c r="A166" i="1" s="1"/>
  <c r="H167" i="1" l="1"/>
  <c r="A167" i="1" s="1"/>
  <c r="H168" i="1" l="1"/>
  <c r="A168" i="1" s="1"/>
  <c r="H169" i="1" l="1"/>
  <c r="A169" i="1" s="1"/>
  <c r="H170" i="1" l="1"/>
  <c r="A170" i="1" s="1"/>
  <c r="H171" i="1" l="1"/>
  <c r="A171" i="1" s="1"/>
  <c r="H172" i="1" l="1"/>
  <c r="A172" i="1" s="1"/>
  <c r="H173" i="1" l="1"/>
  <c r="A173" i="1" s="1"/>
  <c r="H174" i="1" l="1"/>
  <c r="A174" i="1" s="1"/>
  <c r="H175" i="1" l="1"/>
  <c r="A175" i="1" s="1"/>
  <c r="H176" i="1" l="1"/>
  <c r="A176" i="1" s="1"/>
  <c r="H177" i="1" l="1"/>
  <c r="A177" i="1" s="1"/>
  <c r="H178" i="1" l="1"/>
  <c r="A178" i="1" s="1"/>
  <c r="H179" i="1" l="1"/>
  <c r="A179" i="1" s="1"/>
  <c r="H180" i="1" l="1"/>
  <c r="A180" i="1" s="1"/>
  <c r="H181" i="1" l="1"/>
  <c r="A181" i="1" s="1"/>
  <c r="H182" i="1" l="1"/>
  <c r="A182" i="1" s="1"/>
  <c r="H183" i="1" l="1"/>
  <c r="A183" i="1" s="1"/>
  <c r="H184" i="1" l="1"/>
  <c r="A184" i="1" s="1"/>
  <c r="H185" i="1" l="1"/>
  <c r="A185" i="1" s="1"/>
  <c r="H186" i="1" l="1"/>
  <c r="A186" i="1" s="1"/>
  <c r="H187" i="1" l="1"/>
  <c r="A187" i="1" s="1"/>
  <c r="H188" i="1" l="1"/>
  <c r="A188" i="1" s="1"/>
  <c r="H189" i="1" l="1"/>
  <c r="A189" i="1" s="1"/>
  <c r="H190" i="1" l="1"/>
  <c r="A190" i="1" s="1"/>
  <c r="H191" i="1" l="1"/>
  <c r="A191" i="1" s="1"/>
  <c r="H192" i="1" l="1"/>
  <c r="A192" i="1" s="1"/>
  <c r="H193" i="1" l="1"/>
  <c r="A193" i="1" s="1"/>
  <c r="H194" i="1" l="1"/>
  <c r="A194" i="1" s="1"/>
  <c r="H195" i="1" l="1"/>
  <c r="A195" i="1" s="1"/>
  <c r="H196" i="1" l="1"/>
  <c r="A196" i="1" s="1"/>
  <c r="H197" i="1" l="1"/>
  <c r="A197" i="1" s="1"/>
  <c r="H198" i="1" l="1"/>
  <c r="A198" i="1" s="1"/>
  <c r="H199" i="1" l="1"/>
  <c r="A199" i="1" s="1"/>
  <c r="H200" i="1" l="1"/>
  <c r="A200" i="1" l="1"/>
  <c r="H201" i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l="1"/>
  <c r="A302" i="1"/>
  <c r="A201" i="1"/>
  <c r="A202" i="1"/>
  <c r="A303" i="1"/>
  <c r="H1004" i="1" l="1"/>
  <c r="A1003" i="1"/>
  <c r="E10" i="3"/>
  <c r="H12" i="3"/>
  <c r="E12" i="3"/>
  <c r="F12" i="3"/>
  <c r="D10" i="3"/>
  <c r="F10" i="3"/>
  <c r="H10" i="3"/>
  <c r="G10" i="3"/>
  <c r="A502" i="1"/>
  <c r="A501" i="1"/>
  <c r="A203" i="1"/>
  <c r="A304" i="1"/>
  <c r="H1005" i="1" l="1"/>
  <c r="A1004" i="1"/>
  <c r="A503" i="1"/>
  <c r="A204" i="1"/>
  <c r="A305" i="1"/>
  <c r="A1005" i="1" l="1"/>
  <c r="H1006" i="1"/>
  <c r="A504" i="1"/>
  <c r="A205" i="1"/>
  <c r="A306" i="1"/>
  <c r="H1007" i="1" l="1"/>
  <c r="A1006" i="1"/>
  <c r="A505" i="1"/>
  <c r="A206" i="1"/>
  <c r="A307" i="1"/>
  <c r="A1007" i="1" l="1"/>
  <c r="H1008" i="1"/>
  <c r="A506" i="1"/>
  <c r="A207" i="1"/>
  <c r="A308" i="1"/>
  <c r="H1009" i="1" l="1"/>
  <c r="A1008" i="1"/>
  <c r="A507" i="1"/>
  <c r="A208" i="1"/>
  <c r="A309" i="1"/>
  <c r="H1010" i="1" l="1"/>
  <c r="A1009" i="1"/>
  <c r="A508" i="1"/>
  <c r="A209" i="1"/>
  <c r="A310" i="1"/>
  <c r="H1011" i="1" l="1"/>
  <c r="A1010" i="1"/>
  <c r="A509" i="1"/>
  <c r="A210" i="1"/>
  <c r="A311" i="1"/>
  <c r="H1012" i="1" l="1"/>
  <c r="A1011" i="1"/>
  <c r="A510" i="1"/>
  <c r="A211" i="1"/>
  <c r="A312" i="1"/>
  <c r="H1013" i="1" l="1"/>
  <c r="A1012" i="1"/>
  <c r="A511" i="1"/>
  <c r="A212" i="1"/>
  <c r="A313" i="1"/>
  <c r="H1014" i="1" l="1"/>
  <c r="A1013" i="1"/>
  <c r="A512" i="1"/>
  <c r="A213" i="1"/>
  <c r="A314" i="1"/>
  <c r="H1015" i="1" l="1"/>
  <c r="A1014" i="1"/>
  <c r="A513" i="1"/>
  <c r="A214" i="1"/>
  <c r="A315" i="1"/>
  <c r="H1016" i="1" l="1"/>
  <c r="A1015" i="1"/>
  <c r="A514" i="1"/>
  <c r="A215" i="1"/>
  <c r="A316" i="1"/>
  <c r="H1017" i="1" l="1"/>
  <c r="A1016" i="1"/>
  <c r="A515" i="1"/>
  <c r="A216" i="1"/>
  <c r="A317" i="1"/>
  <c r="H1018" i="1" l="1"/>
  <c r="A1017" i="1"/>
  <c r="A516" i="1"/>
  <c r="A217" i="1"/>
  <c r="A318" i="1"/>
  <c r="H1019" i="1" l="1"/>
  <c r="A1018" i="1"/>
  <c r="A517" i="1"/>
  <c r="A218" i="1"/>
  <c r="A319" i="1"/>
  <c r="H1020" i="1" l="1"/>
  <c r="A1019" i="1"/>
  <c r="A518" i="1"/>
  <c r="A219" i="1"/>
  <c r="A320" i="1"/>
  <c r="H1021" i="1" l="1"/>
  <c r="A1020" i="1"/>
  <c r="A519" i="1"/>
  <c r="A220" i="1"/>
  <c r="A321" i="1"/>
  <c r="A1021" i="1" l="1"/>
  <c r="H1022" i="1"/>
  <c r="A520" i="1"/>
  <c r="A221" i="1"/>
  <c r="A322" i="1"/>
  <c r="H1023" i="1" l="1"/>
  <c r="A1022" i="1"/>
  <c r="A521" i="1"/>
  <c r="A222" i="1"/>
  <c r="A323" i="1"/>
  <c r="H1024" i="1" l="1"/>
  <c r="A1023" i="1"/>
  <c r="A522" i="1"/>
  <c r="A223" i="1"/>
  <c r="A324" i="1"/>
  <c r="H1025" i="1" l="1"/>
  <c r="A1024" i="1"/>
  <c r="A523" i="1"/>
  <c r="A224" i="1"/>
  <c r="A325" i="1"/>
  <c r="H1026" i="1" l="1"/>
  <c r="A1025" i="1"/>
  <c r="A524" i="1"/>
  <c r="A225" i="1"/>
  <c r="A326" i="1"/>
  <c r="H1027" i="1" l="1"/>
  <c r="A1026" i="1"/>
  <c r="A525" i="1"/>
  <c r="A226" i="1"/>
  <c r="A327" i="1"/>
  <c r="H1028" i="1" l="1"/>
  <c r="A1027" i="1"/>
  <c r="A526" i="1"/>
  <c r="A227" i="1"/>
  <c r="A328" i="1"/>
  <c r="H1029" i="1" l="1"/>
  <c r="A1028" i="1"/>
  <c r="A527" i="1"/>
  <c r="A228" i="1"/>
  <c r="A329" i="1"/>
  <c r="A1029" i="1" l="1"/>
  <c r="H1030" i="1"/>
  <c r="A528" i="1"/>
  <c r="A229" i="1"/>
  <c r="A330" i="1"/>
  <c r="H1031" i="1" l="1"/>
  <c r="A1030" i="1"/>
  <c r="A529" i="1"/>
  <c r="A230" i="1"/>
  <c r="A331" i="1"/>
  <c r="H1032" i="1" l="1"/>
  <c r="A1031" i="1"/>
  <c r="A530" i="1"/>
  <c r="A231" i="1"/>
  <c r="A332" i="1"/>
  <c r="H1033" i="1" l="1"/>
  <c r="A1032" i="1"/>
  <c r="A531" i="1"/>
  <c r="A232" i="1"/>
  <c r="A333" i="1"/>
  <c r="H1034" i="1" l="1"/>
  <c r="A1033" i="1"/>
  <c r="A532" i="1"/>
  <c r="A233" i="1"/>
  <c r="A334" i="1"/>
  <c r="H1035" i="1" l="1"/>
  <c r="A1034" i="1"/>
  <c r="A533" i="1"/>
  <c r="A234" i="1"/>
  <c r="A335" i="1"/>
  <c r="H1036" i="1" l="1"/>
  <c r="A1035" i="1"/>
  <c r="A534" i="1"/>
  <c r="A235" i="1"/>
  <c r="A336" i="1"/>
  <c r="H1037" i="1" l="1"/>
  <c r="A1036" i="1"/>
  <c r="A535" i="1"/>
  <c r="A236" i="1"/>
  <c r="A337" i="1"/>
  <c r="A1037" i="1" l="1"/>
  <c r="H1038" i="1"/>
  <c r="A536" i="1"/>
  <c r="A237" i="1"/>
  <c r="A338" i="1"/>
  <c r="H1039" i="1" l="1"/>
  <c r="A1038" i="1"/>
  <c r="A537" i="1"/>
  <c r="A238" i="1"/>
  <c r="A339" i="1"/>
  <c r="H1040" i="1" l="1"/>
  <c r="A1039" i="1"/>
  <c r="A538" i="1"/>
  <c r="A239" i="1"/>
  <c r="A340" i="1"/>
  <c r="H1041" i="1" l="1"/>
  <c r="A1040" i="1"/>
  <c r="A539" i="1"/>
  <c r="A240" i="1"/>
  <c r="A341" i="1"/>
  <c r="H1042" i="1" l="1"/>
  <c r="A1041" i="1"/>
  <c r="A540" i="1"/>
  <c r="A241" i="1"/>
  <c r="A342" i="1"/>
  <c r="H1043" i="1" l="1"/>
  <c r="A1042" i="1"/>
  <c r="A541" i="1"/>
  <c r="A242" i="1"/>
  <c r="A343" i="1"/>
  <c r="H1044" i="1" l="1"/>
  <c r="A1043" i="1"/>
  <c r="A542" i="1"/>
  <c r="A243" i="1"/>
  <c r="A344" i="1"/>
  <c r="H1045" i="1" l="1"/>
  <c r="A1044" i="1"/>
  <c r="A543" i="1"/>
  <c r="A244" i="1"/>
  <c r="A345" i="1"/>
  <c r="A1045" i="1" l="1"/>
  <c r="H1046" i="1"/>
  <c r="A544" i="1"/>
  <c r="A245" i="1"/>
  <c r="A346" i="1"/>
  <c r="H1047" i="1" l="1"/>
  <c r="A1046" i="1"/>
  <c r="A545" i="1"/>
  <c r="A246" i="1"/>
  <c r="A347" i="1"/>
  <c r="H1048" i="1" l="1"/>
  <c r="A1047" i="1"/>
  <c r="A546" i="1"/>
  <c r="A247" i="1"/>
  <c r="A348" i="1"/>
  <c r="H1049" i="1" l="1"/>
  <c r="A1048" i="1"/>
  <c r="A547" i="1"/>
  <c r="A248" i="1"/>
  <c r="A349" i="1"/>
  <c r="H1050" i="1" l="1"/>
  <c r="A1049" i="1"/>
  <c r="A548" i="1"/>
  <c r="A249" i="1"/>
  <c r="A350" i="1"/>
  <c r="H1051" i="1" l="1"/>
  <c r="A1050" i="1"/>
  <c r="A549" i="1"/>
  <c r="A250" i="1"/>
  <c r="A351" i="1"/>
  <c r="H1052" i="1" l="1"/>
  <c r="A1051" i="1"/>
  <c r="A550" i="1"/>
  <c r="A251" i="1"/>
  <c r="A352" i="1"/>
  <c r="H1053" i="1" l="1"/>
  <c r="A1052" i="1"/>
  <c r="A551" i="1"/>
  <c r="A252" i="1"/>
  <c r="A353" i="1"/>
  <c r="A1053" i="1" l="1"/>
  <c r="H1054" i="1"/>
  <c r="A552" i="1"/>
  <c r="A253" i="1"/>
  <c r="A354" i="1"/>
  <c r="H1055" i="1" l="1"/>
  <c r="A1054" i="1"/>
  <c r="A553" i="1"/>
  <c r="A254" i="1"/>
  <c r="A355" i="1"/>
  <c r="H1056" i="1" l="1"/>
  <c r="A1055" i="1"/>
  <c r="A554" i="1"/>
  <c r="A255" i="1"/>
  <c r="A356" i="1"/>
  <c r="H1057" i="1" l="1"/>
  <c r="A1056" i="1"/>
  <c r="A555" i="1"/>
  <c r="A256" i="1"/>
  <c r="A357" i="1"/>
  <c r="H1058" i="1" l="1"/>
  <c r="A1057" i="1"/>
  <c r="A556" i="1"/>
  <c r="A257" i="1"/>
  <c r="A358" i="1"/>
  <c r="H1059" i="1" l="1"/>
  <c r="A1058" i="1"/>
  <c r="A557" i="1"/>
  <c r="A258" i="1"/>
  <c r="A359" i="1"/>
  <c r="H1060" i="1" l="1"/>
  <c r="A1059" i="1"/>
  <c r="A558" i="1"/>
  <c r="A259" i="1"/>
  <c r="A360" i="1"/>
  <c r="H1061" i="1" l="1"/>
  <c r="A1060" i="1"/>
  <c r="A559" i="1"/>
  <c r="A260" i="1"/>
  <c r="A361" i="1"/>
  <c r="H1062" i="1" l="1"/>
  <c r="A1061" i="1"/>
  <c r="A560" i="1"/>
  <c r="A261" i="1"/>
  <c r="A362" i="1"/>
  <c r="H1063" i="1" l="1"/>
  <c r="A1062" i="1"/>
  <c r="A561" i="1"/>
  <c r="A262" i="1"/>
  <c r="A363" i="1"/>
  <c r="H1064" i="1" l="1"/>
  <c r="A1063" i="1"/>
  <c r="A562" i="1"/>
  <c r="A263" i="1"/>
  <c r="A364" i="1"/>
  <c r="H1065" i="1" l="1"/>
  <c r="A1064" i="1"/>
  <c r="A563" i="1"/>
  <c r="A264" i="1"/>
  <c r="A365" i="1"/>
  <c r="H1066" i="1" l="1"/>
  <c r="A1065" i="1"/>
  <c r="A564" i="1"/>
  <c r="A265" i="1"/>
  <c r="A366" i="1"/>
  <c r="H1067" i="1" l="1"/>
  <c r="A1066" i="1"/>
  <c r="A565" i="1"/>
  <c r="A266" i="1"/>
  <c r="A367" i="1"/>
  <c r="H1068" i="1" l="1"/>
  <c r="A1067" i="1"/>
  <c r="A566" i="1"/>
  <c r="A267" i="1"/>
  <c r="A368" i="1"/>
  <c r="H1069" i="1" l="1"/>
  <c r="A1068" i="1"/>
  <c r="A567" i="1"/>
  <c r="A268" i="1"/>
  <c r="A369" i="1"/>
  <c r="A1069" i="1" l="1"/>
  <c r="H1070" i="1"/>
  <c r="A568" i="1"/>
  <c r="A269" i="1"/>
  <c r="A370" i="1"/>
  <c r="H1071" i="1" l="1"/>
  <c r="A1070" i="1"/>
  <c r="A569" i="1"/>
  <c r="A270" i="1"/>
  <c r="A371" i="1"/>
  <c r="H1072" i="1" l="1"/>
  <c r="A1071" i="1"/>
  <c r="A570" i="1"/>
  <c r="A271" i="1"/>
  <c r="A372" i="1"/>
  <c r="H1073" i="1" l="1"/>
  <c r="A1072" i="1"/>
  <c r="A571" i="1"/>
  <c r="A272" i="1"/>
  <c r="A373" i="1"/>
  <c r="H1074" i="1" l="1"/>
  <c r="A1073" i="1"/>
  <c r="A572" i="1"/>
  <c r="A273" i="1"/>
  <c r="A374" i="1"/>
  <c r="H1075" i="1" l="1"/>
  <c r="A1074" i="1"/>
  <c r="A573" i="1"/>
  <c r="A274" i="1"/>
  <c r="A375" i="1"/>
  <c r="H1076" i="1" l="1"/>
  <c r="A1075" i="1"/>
  <c r="A574" i="1"/>
  <c r="A275" i="1"/>
  <c r="A376" i="1"/>
  <c r="H1077" i="1" l="1"/>
  <c r="A1076" i="1"/>
  <c r="A575" i="1"/>
  <c r="A276" i="1"/>
  <c r="A377" i="1"/>
  <c r="H1078" i="1" l="1"/>
  <c r="A1077" i="1"/>
  <c r="A576" i="1"/>
  <c r="A277" i="1"/>
  <c r="A378" i="1"/>
  <c r="H1079" i="1" l="1"/>
  <c r="A1078" i="1"/>
  <c r="A577" i="1"/>
  <c r="A278" i="1"/>
  <c r="A379" i="1"/>
  <c r="H1080" i="1" l="1"/>
  <c r="A1079" i="1"/>
  <c r="A578" i="1"/>
  <c r="A279" i="1"/>
  <c r="A380" i="1"/>
  <c r="H1081" i="1" l="1"/>
  <c r="A1080" i="1"/>
  <c r="A579" i="1"/>
  <c r="A280" i="1"/>
  <c r="A381" i="1"/>
  <c r="H1082" i="1" l="1"/>
  <c r="A1081" i="1"/>
  <c r="A580" i="1"/>
  <c r="A281" i="1"/>
  <c r="A382" i="1"/>
  <c r="H1083" i="1" l="1"/>
  <c r="A1082" i="1"/>
  <c r="A581" i="1"/>
  <c r="A282" i="1"/>
  <c r="A383" i="1"/>
  <c r="H1084" i="1" l="1"/>
  <c r="A1083" i="1"/>
  <c r="A582" i="1"/>
  <c r="A283" i="1"/>
  <c r="A384" i="1"/>
  <c r="H1085" i="1" l="1"/>
  <c r="A1084" i="1"/>
  <c r="A583" i="1"/>
  <c r="A284" i="1"/>
  <c r="A385" i="1"/>
  <c r="H1086" i="1" l="1"/>
  <c r="A1085" i="1"/>
  <c r="A584" i="1"/>
  <c r="A285" i="1"/>
  <c r="A386" i="1"/>
  <c r="H1087" i="1" l="1"/>
  <c r="A1086" i="1"/>
  <c r="A585" i="1"/>
  <c r="A286" i="1"/>
  <c r="A387" i="1"/>
  <c r="H1088" i="1" l="1"/>
  <c r="A1087" i="1"/>
  <c r="A586" i="1"/>
  <c r="A287" i="1"/>
  <c r="A388" i="1"/>
  <c r="H1089" i="1" l="1"/>
  <c r="A1088" i="1"/>
  <c r="A587" i="1"/>
  <c r="A288" i="1"/>
  <c r="A389" i="1"/>
  <c r="H1090" i="1" l="1"/>
  <c r="A1089" i="1"/>
  <c r="A588" i="1"/>
  <c r="A289" i="1"/>
  <c r="A390" i="1"/>
  <c r="H1091" i="1" l="1"/>
  <c r="A1090" i="1"/>
  <c r="A589" i="1"/>
  <c r="A290" i="1"/>
  <c r="A391" i="1"/>
  <c r="H1092" i="1" l="1"/>
  <c r="A1091" i="1"/>
  <c r="A590" i="1"/>
  <c r="A291" i="1"/>
  <c r="A392" i="1"/>
  <c r="H1093" i="1" l="1"/>
  <c r="A1092" i="1"/>
  <c r="A591" i="1"/>
  <c r="A292" i="1"/>
  <c r="A393" i="1"/>
  <c r="H1094" i="1" l="1"/>
  <c r="A1093" i="1"/>
  <c r="A592" i="1"/>
  <c r="A293" i="1"/>
  <c r="A394" i="1"/>
  <c r="H1095" i="1" l="1"/>
  <c r="A1094" i="1"/>
  <c r="A593" i="1"/>
  <c r="A294" i="1"/>
  <c r="A395" i="1"/>
  <c r="H1096" i="1" l="1"/>
  <c r="A1095" i="1"/>
  <c r="A594" i="1"/>
  <c r="A295" i="1"/>
  <c r="A396" i="1"/>
  <c r="H1097" i="1" l="1"/>
  <c r="A1096" i="1"/>
  <c r="A595" i="1"/>
  <c r="A296" i="1"/>
  <c r="A397" i="1"/>
  <c r="H1098" i="1" l="1"/>
  <c r="A1097" i="1"/>
  <c r="A596" i="1"/>
  <c r="A297" i="1"/>
  <c r="A398" i="1"/>
  <c r="H1099" i="1" l="1"/>
  <c r="A1098" i="1"/>
  <c r="A597" i="1"/>
  <c r="A298" i="1"/>
  <c r="A399" i="1"/>
  <c r="H1100" i="1" l="1"/>
  <c r="A1099" i="1"/>
  <c r="A598" i="1"/>
  <c r="A299" i="1"/>
  <c r="A400" i="1"/>
  <c r="H1101" i="1" l="1"/>
  <c r="A1100" i="1"/>
  <c r="A599" i="1"/>
  <c r="A301" i="1"/>
  <c r="A300" i="1"/>
  <c r="A401" i="1"/>
  <c r="A1101" i="1" l="1"/>
  <c r="H1102" i="1"/>
  <c r="A600" i="1"/>
  <c r="A402" i="1"/>
  <c r="H1103" i="1" l="1"/>
  <c r="A1102" i="1"/>
  <c r="A601" i="1"/>
  <c r="A403" i="1"/>
  <c r="A1103" i="1" l="1"/>
  <c r="H1104" i="1"/>
  <c r="A602" i="1"/>
  <c r="A404" i="1"/>
  <c r="H1105" i="1" l="1"/>
  <c r="A1104" i="1"/>
  <c r="A603" i="1"/>
  <c r="A405" i="1"/>
  <c r="H1106" i="1" l="1"/>
  <c r="A1105" i="1"/>
  <c r="A604" i="1"/>
  <c r="A406" i="1"/>
  <c r="H1107" i="1" l="1"/>
  <c r="A1106" i="1"/>
  <c r="A605" i="1"/>
  <c r="A407" i="1"/>
  <c r="H1108" i="1" l="1"/>
  <c r="A1107" i="1"/>
  <c r="A606" i="1"/>
  <c r="A408" i="1"/>
  <c r="H1109" i="1" l="1"/>
  <c r="A1108" i="1"/>
  <c r="A607" i="1"/>
  <c r="A409" i="1"/>
  <c r="H1110" i="1" l="1"/>
  <c r="A1109" i="1"/>
  <c r="A608" i="1"/>
  <c r="A410" i="1"/>
  <c r="H1111" i="1" l="1"/>
  <c r="A1110" i="1"/>
  <c r="A609" i="1"/>
  <c r="A411" i="1"/>
  <c r="H1112" i="1" l="1"/>
  <c r="A1111" i="1"/>
  <c r="A610" i="1"/>
  <c r="A412" i="1"/>
  <c r="H1113" i="1" l="1"/>
  <c r="A1112" i="1"/>
  <c r="A611" i="1"/>
  <c r="A413" i="1"/>
  <c r="H1114" i="1" l="1"/>
  <c r="A1113" i="1"/>
  <c r="A612" i="1"/>
  <c r="A414" i="1"/>
  <c r="H1115" i="1" l="1"/>
  <c r="A1114" i="1"/>
  <c r="A613" i="1"/>
  <c r="A415" i="1"/>
  <c r="H1116" i="1" l="1"/>
  <c r="A1115" i="1"/>
  <c r="A614" i="1"/>
  <c r="A416" i="1"/>
  <c r="H1117" i="1" l="1"/>
  <c r="A1116" i="1"/>
  <c r="A615" i="1"/>
  <c r="A417" i="1"/>
  <c r="H1118" i="1" l="1"/>
  <c r="A1117" i="1"/>
  <c r="A616" i="1"/>
  <c r="A418" i="1"/>
  <c r="H1119" i="1" l="1"/>
  <c r="A1118" i="1"/>
  <c r="A617" i="1"/>
  <c r="A419" i="1"/>
  <c r="H1120" i="1" l="1"/>
  <c r="A1119" i="1"/>
  <c r="A618" i="1"/>
  <c r="A420" i="1"/>
  <c r="H1121" i="1" l="1"/>
  <c r="A1120" i="1"/>
  <c r="A619" i="1"/>
  <c r="A421" i="1"/>
  <c r="H1122" i="1" l="1"/>
  <c r="A1121" i="1"/>
  <c r="A620" i="1"/>
  <c r="A422" i="1"/>
  <c r="H1123" i="1" l="1"/>
  <c r="A1122" i="1"/>
  <c r="A621" i="1"/>
  <c r="A423" i="1"/>
  <c r="H1124" i="1" l="1"/>
  <c r="A1123" i="1"/>
  <c r="A622" i="1"/>
  <c r="A424" i="1"/>
  <c r="H1125" i="1" l="1"/>
  <c r="A1124" i="1"/>
  <c r="A623" i="1"/>
  <c r="A425" i="1"/>
  <c r="H1126" i="1" l="1"/>
  <c r="A1125" i="1"/>
  <c r="A624" i="1"/>
  <c r="A426" i="1"/>
  <c r="H1127" i="1" l="1"/>
  <c r="A1126" i="1"/>
  <c r="A625" i="1"/>
  <c r="A427" i="1"/>
  <c r="H1128" i="1" l="1"/>
  <c r="A1127" i="1"/>
  <c r="A626" i="1"/>
  <c r="A428" i="1"/>
  <c r="H1129" i="1" l="1"/>
  <c r="A1128" i="1"/>
  <c r="A627" i="1"/>
  <c r="A429" i="1"/>
  <c r="H1130" i="1" l="1"/>
  <c r="A1129" i="1"/>
  <c r="A628" i="1"/>
  <c r="A430" i="1"/>
  <c r="H1131" i="1" l="1"/>
  <c r="A1130" i="1"/>
  <c r="A629" i="1"/>
  <c r="A431" i="1"/>
  <c r="H1132" i="1" l="1"/>
  <c r="A1131" i="1"/>
  <c r="A630" i="1"/>
  <c r="A432" i="1"/>
  <c r="H1133" i="1" l="1"/>
  <c r="A1132" i="1"/>
  <c r="A631" i="1"/>
  <c r="A433" i="1"/>
  <c r="H1134" i="1" l="1"/>
  <c r="A1133" i="1"/>
  <c r="A632" i="1"/>
  <c r="A434" i="1"/>
  <c r="A1134" i="1" l="1"/>
  <c r="H1135" i="1"/>
  <c r="A633" i="1"/>
  <c r="A435" i="1"/>
  <c r="H1136" i="1" l="1"/>
  <c r="A1135" i="1"/>
  <c r="A634" i="1"/>
  <c r="A436" i="1"/>
  <c r="H1137" i="1" l="1"/>
  <c r="A1136" i="1"/>
  <c r="A635" i="1"/>
  <c r="A437" i="1"/>
  <c r="H1138" i="1" l="1"/>
  <c r="A1137" i="1"/>
  <c r="A636" i="1"/>
  <c r="A438" i="1"/>
  <c r="H1139" i="1" l="1"/>
  <c r="A1138" i="1"/>
  <c r="A637" i="1"/>
  <c r="A439" i="1"/>
  <c r="H1140" i="1" l="1"/>
  <c r="A1139" i="1"/>
  <c r="A638" i="1"/>
  <c r="A440" i="1"/>
  <c r="H1141" i="1" l="1"/>
  <c r="A1140" i="1"/>
  <c r="A639" i="1"/>
  <c r="A441" i="1"/>
  <c r="H1142" i="1" l="1"/>
  <c r="A1141" i="1"/>
  <c r="A640" i="1"/>
  <c r="A442" i="1"/>
  <c r="A1142" i="1" l="1"/>
  <c r="H1143" i="1"/>
  <c r="A641" i="1"/>
  <c r="A443" i="1"/>
  <c r="H1144" i="1" l="1"/>
  <c r="A1143" i="1"/>
  <c r="A642" i="1"/>
  <c r="A444" i="1"/>
  <c r="A1144" i="1" l="1"/>
  <c r="H1145" i="1"/>
  <c r="A643" i="1"/>
  <c r="A445" i="1"/>
  <c r="H1146" i="1" l="1"/>
  <c r="A1145" i="1"/>
  <c r="A644" i="1"/>
  <c r="A446" i="1"/>
  <c r="H1147" i="1" l="1"/>
  <c r="A1146" i="1"/>
  <c r="A645" i="1"/>
  <c r="A447" i="1"/>
  <c r="H1148" i="1" l="1"/>
  <c r="A1147" i="1"/>
  <c r="A646" i="1"/>
  <c r="A448" i="1"/>
  <c r="H1149" i="1" l="1"/>
  <c r="A1148" i="1"/>
  <c r="A647" i="1"/>
  <c r="A449" i="1"/>
  <c r="H1150" i="1" l="1"/>
  <c r="A1149" i="1"/>
  <c r="A648" i="1"/>
  <c r="A450" i="1"/>
  <c r="A1150" i="1" l="1"/>
  <c r="H1151" i="1"/>
  <c r="A649" i="1"/>
  <c r="A451" i="1"/>
  <c r="H1152" i="1" l="1"/>
  <c r="A1151" i="1"/>
  <c r="A650" i="1"/>
  <c r="A452" i="1"/>
  <c r="A1152" i="1" l="1"/>
  <c r="H1153" i="1"/>
  <c r="A651" i="1"/>
  <c r="A453" i="1"/>
  <c r="H1154" i="1" l="1"/>
  <c r="A1153" i="1"/>
  <c r="A652" i="1"/>
  <c r="A454" i="1"/>
  <c r="H1155" i="1" l="1"/>
  <c r="A1154" i="1"/>
  <c r="A653" i="1"/>
  <c r="A455" i="1"/>
  <c r="H1156" i="1" l="1"/>
  <c r="A1155" i="1"/>
  <c r="A654" i="1"/>
  <c r="A456" i="1"/>
  <c r="H1157" i="1" l="1"/>
  <c r="A1156" i="1"/>
  <c r="A655" i="1"/>
  <c r="A457" i="1"/>
  <c r="H1158" i="1" l="1"/>
  <c r="A1157" i="1"/>
  <c r="A656" i="1"/>
  <c r="A458" i="1"/>
  <c r="A1158" i="1" l="1"/>
  <c r="H1159" i="1"/>
  <c r="A657" i="1"/>
  <c r="A459" i="1"/>
  <c r="H1160" i="1" l="1"/>
  <c r="A1159" i="1"/>
  <c r="A658" i="1"/>
  <c r="A460" i="1"/>
  <c r="A1160" i="1" l="1"/>
  <c r="H1161" i="1"/>
  <c r="A659" i="1"/>
  <c r="A461" i="1"/>
  <c r="H1162" i="1" l="1"/>
  <c r="A1161" i="1"/>
  <c r="A660" i="1"/>
  <c r="A462" i="1"/>
  <c r="H1163" i="1" l="1"/>
  <c r="A1162" i="1"/>
  <c r="A661" i="1"/>
  <c r="A463" i="1"/>
  <c r="H1164" i="1" l="1"/>
  <c r="A1163" i="1"/>
  <c r="A662" i="1"/>
  <c r="A464" i="1"/>
  <c r="H1165" i="1" l="1"/>
  <c r="A1164" i="1"/>
  <c r="A663" i="1"/>
  <c r="A465" i="1"/>
  <c r="H1166" i="1" l="1"/>
  <c r="A1165" i="1"/>
  <c r="A664" i="1"/>
  <c r="A466" i="1"/>
  <c r="A1166" i="1" l="1"/>
  <c r="H1167" i="1"/>
  <c r="A665" i="1"/>
  <c r="A467" i="1"/>
  <c r="H1168" i="1" l="1"/>
  <c r="A1167" i="1"/>
  <c r="A666" i="1"/>
  <c r="A468" i="1"/>
  <c r="A1168" i="1" l="1"/>
  <c r="H1169" i="1"/>
  <c r="A667" i="1"/>
  <c r="A469" i="1"/>
  <c r="H1170" i="1" l="1"/>
  <c r="A1169" i="1"/>
  <c r="A668" i="1"/>
  <c r="A470" i="1"/>
  <c r="H1171" i="1" l="1"/>
  <c r="A1170" i="1"/>
  <c r="A669" i="1"/>
  <c r="A471" i="1"/>
  <c r="H1172" i="1" l="1"/>
  <c r="A1171" i="1"/>
  <c r="A670" i="1"/>
  <c r="A472" i="1"/>
  <c r="H1173" i="1" l="1"/>
  <c r="A1172" i="1"/>
  <c r="A671" i="1"/>
  <c r="A473" i="1"/>
  <c r="H1174" i="1" l="1"/>
  <c r="A1173" i="1"/>
  <c r="A672" i="1"/>
  <c r="A474" i="1"/>
  <c r="A1174" i="1" l="1"/>
  <c r="H1175" i="1"/>
  <c r="A673" i="1"/>
  <c r="A475" i="1"/>
  <c r="H1176" i="1" l="1"/>
  <c r="A1175" i="1"/>
  <c r="A674" i="1"/>
  <c r="A476" i="1"/>
  <c r="A1176" i="1" l="1"/>
  <c r="H1177" i="1"/>
  <c r="A675" i="1"/>
  <c r="A477" i="1"/>
  <c r="H1178" i="1" l="1"/>
  <c r="A1177" i="1"/>
  <c r="A676" i="1"/>
  <c r="A478" i="1"/>
  <c r="H1179" i="1" l="1"/>
  <c r="A1178" i="1"/>
  <c r="A677" i="1"/>
  <c r="A479" i="1"/>
  <c r="H1180" i="1" l="1"/>
  <c r="A1179" i="1"/>
  <c r="A678" i="1"/>
  <c r="A480" i="1"/>
  <c r="H1181" i="1" l="1"/>
  <c r="A1180" i="1"/>
  <c r="A679" i="1"/>
  <c r="A481" i="1"/>
  <c r="H1182" i="1" l="1"/>
  <c r="A1181" i="1"/>
  <c r="A680" i="1"/>
  <c r="A482" i="1"/>
  <c r="A1182" i="1" l="1"/>
  <c r="H1183" i="1"/>
  <c r="A681" i="1"/>
  <c r="A483" i="1"/>
  <c r="H1184" i="1" l="1"/>
  <c r="A1183" i="1"/>
  <c r="A682" i="1"/>
  <c r="A484" i="1"/>
  <c r="A1184" i="1" l="1"/>
  <c r="H1185" i="1"/>
  <c r="A683" i="1"/>
  <c r="A485" i="1"/>
  <c r="H1186" i="1" l="1"/>
  <c r="A1185" i="1"/>
  <c r="A684" i="1"/>
  <c r="A486" i="1"/>
  <c r="H1187" i="1" l="1"/>
  <c r="A1186" i="1"/>
  <c r="A685" i="1"/>
  <c r="A487" i="1"/>
  <c r="H1188" i="1" l="1"/>
  <c r="A1187" i="1"/>
  <c r="A686" i="1"/>
  <c r="A488" i="1"/>
  <c r="A1188" i="1" l="1"/>
  <c r="H1189" i="1"/>
  <c r="A687" i="1"/>
  <c r="A489" i="1"/>
  <c r="H1190" i="1" l="1"/>
  <c r="A1189" i="1"/>
  <c r="A688" i="1"/>
  <c r="A490" i="1"/>
  <c r="H1191" i="1" l="1"/>
  <c r="A1190" i="1"/>
  <c r="A689" i="1"/>
  <c r="A491" i="1"/>
  <c r="H1192" i="1" l="1"/>
  <c r="A1191" i="1"/>
  <c r="A690" i="1"/>
  <c r="A492" i="1"/>
  <c r="A1192" i="1" l="1"/>
  <c r="H1193" i="1"/>
  <c r="A691" i="1"/>
  <c r="A493" i="1"/>
  <c r="H1194" i="1" l="1"/>
  <c r="A1193" i="1"/>
  <c r="A692" i="1"/>
  <c r="A494" i="1"/>
  <c r="H1195" i="1" l="1"/>
  <c r="A1194" i="1"/>
  <c r="A693" i="1"/>
  <c r="A495" i="1"/>
  <c r="H1196" i="1" l="1"/>
  <c r="A1195" i="1"/>
  <c r="A694" i="1"/>
  <c r="A496" i="1"/>
  <c r="A1196" i="1" l="1"/>
  <c r="H1197" i="1"/>
  <c r="A695" i="1"/>
  <c r="A497" i="1"/>
  <c r="H1198" i="1" l="1"/>
  <c r="A1197" i="1"/>
  <c r="A696" i="1"/>
  <c r="A498" i="1"/>
  <c r="A1198" i="1" l="1"/>
  <c r="H1199" i="1"/>
  <c r="A697" i="1"/>
  <c r="A499" i="1"/>
  <c r="H1200" i="1" l="1"/>
  <c r="A1199" i="1"/>
  <c r="A698" i="1"/>
  <c r="A500" i="1"/>
  <c r="A1200" i="1" l="1"/>
  <c r="H1201" i="1"/>
  <c r="A699" i="1"/>
  <c r="H1202" i="1" l="1"/>
  <c r="A1201" i="1"/>
  <c r="A700" i="1"/>
  <c r="H1203" i="1" l="1"/>
  <c r="A1202" i="1"/>
  <c r="A701" i="1"/>
  <c r="H1204" i="1" l="1"/>
  <c r="A1203" i="1"/>
  <c r="A702" i="1"/>
  <c r="H1205" i="1" l="1"/>
  <c r="A1204" i="1"/>
  <c r="A703" i="1"/>
  <c r="H1206" i="1" l="1"/>
  <c r="A1205" i="1"/>
  <c r="A704" i="1"/>
  <c r="A1206" i="1" l="1"/>
  <c r="H1207" i="1"/>
  <c r="A705" i="1"/>
  <c r="H1208" i="1" l="1"/>
  <c r="A1207" i="1"/>
  <c r="A706" i="1"/>
  <c r="A1208" i="1" l="1"/>
  <c r="H1209" i="1"/>
  <c r="A707" i="1"/>
  <c r="H1210" i="1" l="1"/>
  <c r="A1209" i="1"/>
  <c r="A708" i="1"/>
  <c r="H1211" i="1" l="1"/>
  <c r="A1210" i="1"/>
  <c r="A709" i="1"/>
  <c r="H1212" i="1" l="1"/>
  <c r="A1211" i="1"/>
  <c r="A710" i="1"/>
  <c r="H1213" i="1" l="1"/>
  <c r="A1212" i="1"/>
  <c r="A711" i="1"/>
  <c r="H1214" i="1" l="1"/>
  <c r="A1213" i="1"/>
  <c r="A712" i="1"/>
  <c r="A1214" i="1" l="1"/>
  <c r="H1215" i="1"/>
  <c r="A713" i="1"/>
  <c r="H1216" i="1" l="1"/>
  <c r="A1215" i="1"/>
  <c r="A714" i="1"/>
  <c r="A1216" i="1" l="1"/>
  <c r="H1217" i="1"/>
  <c r="A715" i="1"/>
  <c r="H1218" i="1" l="1"/>
  <c r="A1217" i="1"/>
  <c r="A716" i="1"/>
  <c r="H1219" i="1" l="1"/>
  <c r="A1218" i="1"/>
  <c r="A717" i="1"/>
  <c r="H1220" i="1" l="1"/>
  <c r="A1219" i="1"/>
  <c r="A718" i="1"/>
  <c r="H1221" i="1" l="1"/>
  <c r="A1220" i="1"/>
  <c r="A719" i="1"/>
  <c r="H1222" i="1" l="1"/>
  <c r="A1221" i="1"/>
  <c r="A720" i="1"/>
  <c r="A1222" i="1" l="1"/>
  <c r="H1223" i="1"/>
  <c r="A721" i="1"/>
  <c r="H1224" i="1" l="1"/>
  <c r="A1223" i="1"/>
  <c r="A722" i="1"/>
  <c r="A1224" i="1" l="1"/>
  <c r="H1225" i="1"/>
  <c r="A723" i="1"/>
  <c r="H1226" i="1" l="1"/>
  <c r="A1225" i="1"/>
  <c r="A724" i="1"/>
  <c r="H1227" i="1" l="1"/>
  <c r="A1226" i="1"/>
  <c r="A725" i="1"/>
  <c r="H1228" i="1" l="1"/>
  <c r="A1227" i="1"/>
  <c r="A726" i="1"/>
  <c r="A1228" i="1" l="1"/>
  <c r="H1229" i="1"/>
  <c r="A727" i="1"/>
  <c r="H1230" i="1" l="1"/>
  <c r="A1229" i="1"/>
  <c r="A728" i="1"/>
  <c r="H1231" i="1" l="1"/>
  <c r="A1230" i="1"/>
  <c r="A729" i="1"/>
  <c r="H1232" i="1" l="1"/>
  <c r="A1231" i="1"/>
  <c r="A730" i="1"/>
  <c r="H1233" i="1" l="1"/>
  <c r="A1232" i="1"/>
  <c r="A731" i="1"/>
  <c r="H1234" i="1" l="1"/>
  <c r="A1233" i="1"/>
  <c r="A732" i="1"/>
  <c r="H1235" i="1" l="1"/>
  <c r="A1234" i="1"/>
  <c r="A733" i="1"/>
  <c r="H1236" i="1" l="1"/>
  <c r="A1235" i="1"/>
  <c r="A734" i="1"/>
  <c r="H1237" i="1" l="1"/>
  <c r="A1236" i="1"/>
  <c r="A735" i="1"/>
  <c r="H1238" i="1" l="1"/>
  <c r="A1237" i="1"/>
  <c r="A736" i="1"/>
  <c r="H1239" i="1" l="1"/>
  <c r="A1238" i="1"/>
  <c r="A737" i="1"/>
  <c r="H1240" i="1" l="1"/>
  <c r="A1239" i="1"/>
  <c r="A738" i="1"/>
  <c r="H1241" i="1" l="1"/>
  <c r="A1240" i="1"/>
  <c r="A739" i="1"/>
  <c r="H1242" i="1" l="1"/>
  <c r="A1241" i="1"/>
  <c r="A740" i="1"/>
  <c r="H1243" i="1" l="1"/>
  <c r="A1242" i="1"/>
  <c r="A741" i="1"/>
  <c r="H1244" i="1" l="1"/>
  <c r="A1243" i="1"/>
  <c r="A742" i="1"/>
  <c r="H1245" i="1" l="1"/>
  <c r="A1244" i="1"/>
  <c r="A743" i="1"/>
  <c r="H1246" i="1" l="1"/>
  <c r="A1245" i="1"/>
  <c r="A744" i="1"/>
  <c r="H1247" i="1" l="1"/>
  <c r="A1246" i="1"/>
  <c r="A745" i="1"/>
  <c r="H1248" i="1" l="1"/>
  <c r="A1247" i="1"/>
  <c r="A746" i="1"/>
  <c r="H1249" i="1" l="1"/>
  <c r="A1248" i="1"/>
  <c r="A747" i="1"/>
  <c r="H1250" i="1" l="1"/>
  <c r="A1249" i="1"/>
  <c r="A748" i="1"/>
  <c r="H1251" i="1" l="1"/>
  <c r="A1250" i="1"/>
  <c r="A749" i="1"/>
  <c r="H1252" i="1" l="1"/>
  <c r="A1251" i="1"/>
  <c r="A750" i="1"/>
  <c r="H1253" i="1" l="1"/>
  <c r="A1252" i="1"/>
  <c r="A751" i="1"/>
  <c r="H1254" i="1" l="1"/>
  <c r="A1253" i="1"/>
  <c r="A752" i="1"/>
  <c r="H1255" i="1" l="1"/>
  <c r="A1254" i="1"/>
  <c r="A753" i="1"/>
  <c r="H1256" i="1" l="1"/>
  <c r="A1255" i="1"/>
  <c r="A754" i="1"/>
  <c r="H1257" i="1" l="1"/>
  <c r="A1256" i="1"/>
  <c r="A755" i="1"/>
  <c r="H1258" i="1" l="1"/>
  <c r="A1257" i="1"/>
  <c r="A756" i="1"/>
  <c r="H1259" i="1" l="1"/>
  <c r="A1258" i="1"/>
  <c r="A757" i="1"/>
  <c r="H1260" i="1" l="1"/>
  <c r="A1259" i="1"/>
  <c r="A758" i="1"/>
  <c r="H1261" i="1" l="1"/>
  <c r="A1260" i="1"/>
  <c r="A759" i="1"/>
  <c r="H1262" i="1" l="1"/>
  <c r="A1261" i="1"/>
  <c r="A760" i="1"/>
  <c r="H1263" i="1" l="1"/>
  <c r="A1262" i="1"/>
  <c r="A761" i="1"/>
  <c r="H1264" i="1" l="1"/>
  <c r="A1263" i="1"/>
  <c r="A762" i="1"/>
  <c r="A1264" i="1" l="1"/>
  <c r="H1265" i="1"/>
  <c r="A763" i="1"/>
  <c r="H1266" i="1" l="1"/>
  <c r="A1265" i="1"/>
  <c r="A764" i="1"/>
  <c r="H1267" i="1" l="1"/>
  <c r="A1266" i="1"/>
  <c r="A765" i="1"/>
  <c r="H1268" i="1" l="1"/>
  <c r="A1267" i="1"/>
  <c r="A766" i="1"/>
  <c r="H1269" i="1" l="1"/>
  <c r="A1268" i="1"/>
  <c r="A767" i="1"/>
  <c r="H1270" i="1" l="1"/>
  <c r="A1269" i="1"/>
  <c r="A768" i="1"/>
  <c r="H1271" i="1" l="1"/>
  <c r="A1270" i="1"/>
  <c r="A769" i="1"/>
  <c r="H1272" i="1" l="1"/>
  <c r="A1271" i="1"/>
  <c r="A770" i="1"/>
  <c r="A1272" i="1" l="1"/>
  <c r="H1273" i="1"/>
  <c r="A771" i="1"/>
  <c r="H1274" i="1" l="1"/>
  <c r="A1273" i="1"/>
  <c r="A772" i="1"/>
  <c r="H1275" i="1" l="1"/>
  <c r="A1274" i="1"/>
  <c r="A773" i="1"/>
  <c r="H1276" i="1" l="1"/>
  <c r="A1275" i="1"/>
  <c r="A774" i="1"/>
  <c r="H1277" i="1" l="1"/>
  <c r="A1276" i="1"/>
  <c r="A775" i="1"/>
  <c r="H1278" i="1" l="1"/>
  <c r="A1277" i="1"/>
  <c r="A776" i="1"/>
  <c r="H1279" i="1" l="1"/>
  <c r="A1278" i="1"/>
  <c r="A777" i="1"/>
  <c r="H1280" i="1" l="1"/>
  <c r="A1279" i="1"/>
  <c r="A778" i="1"/>
  <c r="A1280" i="1" l="1"/>
  <c r="H1281" i="1"/>
  <c r="A779" i="1"/>
  <c r="H1282" i="1" l="1"/>
  <c r="A1281" i="1"/>
  <c r="A780" i="1"/>
  <c r="H1283" i="1" l="1"/>
  <c r="A1282" i="1"/>
  <c r="A781" i="1"/>
  <c r="H1284" i="1" l="1"/>
  <c r="A1283" i="1"/>
  <c r="A782" i="1"/>
  <c r="H1285" i="1" l="1"/>
  <c r="A1284" i="1"/>
  <c r="A783" i="1"/>
  <c r="H1286" i="1" l="1"/>
  <c r="A1285" i="1"/>
  <c r="A784" i="1"/>
  <c r="H1287" i="1" l="1"/>
  <c r="A1286" i="1"/>
  <c r="A785" i="1"/>
  <c r="H1288" i="1" l="1"/>
  <c r="A1287" i="1"/>
  <c r="A786" i="1"/>
  <c r="A1288" i="1" l="1"/>
  <c r="H1289" i="1"/>
  <c r="A787" i="1"/>
  <c r="H1290" i="1" l="1"/>
  <c r="A1289" i="1"/>
  <c r="A788" i="1"/>
  <c r="H1291" i="1" l="1"/>
  <c r="A1290" i="1"/>
  <c r="A789" i="1"/>
  <c r="H1292" i="1" l="1"/>
  <c r="A1291" i="1"/>
  <c r="A790" i="1"/>
  <c r="H1293" i="1" l="1"/>
  <c r="A1292" i="1"/>
  <c r="A791" i="1"/>
  <c r="H1294" i="1" l="1"/>
  <c r="A1293" i="1"/>
  <c r="A792" i="1"/>
  <c r="H1295" i="1" l="1"/>
  <c r="A1294" i="1"/>
  <c r="A793" i="1"/>
  <c r="H1296" i="1" l="1"/>
  <c r="A1295" i="1"/>
  <c r="A794" i="1"/>
  <c r="H1297" i="1" l="1"/>
  <c r="A1296" i="1"/>
  <c r="A795" i="1"/>
  <c r="H1298" i="1" l="1"/>
  <c r="A1297" i="1"/>
  <c r="A796" i="1"/>
  <c r="H1299" i="1" l="1"/>
  <c r="A1298" i="1"/>
  <c r="A797" i="1"/>
  <c r="H1300" i="1" l="1"/>
  <c r="A1299" i="1"/>
  <c r="A798" i="1"/>
  <c r="H1301" i="1" l="1"/>
  <c r="A1300" i="1"/>
  <c r="A799" i="1"/>
  <c r="H1302" i="1" l="1"/>
  <c r="A1301" i="1"/>
  <c r="A800" i="1"/>
  <c r="H1303" i="1" l="1"/>
  <c r="A1302" i="1"/>
  <c r="A801" i="1"/>
  <c r="H1304" i="1" l="1"/>
  <c r="A1303" i="1"/>
  <c r="A802" i="1"/>
  <c r="H1305" i="1" l="1"/>
  <c r="A1304" i="1"/>
  <c r="A803" i="1"/>
  <c r="H1306" i="1" l="1"/>
  <c r="A1305" i="1"/>
  <c r="A804" i="1"/>
  <c r="H1307" i="1" l="1"/>
  <c r="A1306" i="1"/>
  <c r="A805" i="1"/>
  <c r="H1308" i="1" l="1"/>
  <c r="A1307" i="1"/>
  <c r="A806" i="1"/>
  <c r="H1309" i="1" l="1"/>
  <c r="A1308" i="1"/>
  <c r="A807" i="1"/>
  <c r="H1310" i="1" l="1"/>
  <c r="A1309" i="1"/>
  <c r="A808" i="1"/>
  <c r="H1311" i="1" l="1"/>
  <c r="A1310" i="1"/>
  <c r="A809" i="1"/>
  <c r="H1312" i="1" l="1"/>
  <c r="A1311" i="1"/>
  <c r="A810" i="1"/>
  <c r="H1313" i="1" l="1"/>
  <c r="A1312" i="1"/>
  <c r="A811" i="1"/>
  <c r="H1314" i="1" l="1"/>
  <c r="A1313" i="1"/>
  <c r="A812" i="1"/>
  <c r="H1315" i="1" l="1"/>
  <c r="A1314" i="1"/>
  <c r="A813" i="1"/>
  <c r="H1316" i="1" l="1"/>
  <c r="A1315" i="1"/>
  <c r="A814" i="1"/>
  <c r="H1317" i="1" l="1"/>
  <c r="A1316" i="1"/>
  <c r="A815" i="1"/>
  <c r="H1318" i="1" l="1"/>
  <c r="A1317" i="1"/>
  <c r="A816" i="1"/>
  <c r="H1319" i="1" l="1"/>
  <c r="A1318" i="1"/>
  <c r="A817" i="1"/>
  <c r="H1320" i="1" l="1"/>
  <c r="A1319" i="1"/>
  <c r="A818" i="1"/>
  <c r="A1320" i="1" l="1"/>
  <c r="H1321" i="1"/>
  <c r="A819" i="1"/>
  <c r="H1322" i="1" l="1"/>
  <c r="A1321" i="1"/>
  <c r="A820" i="1"/>
  <c r="H1323" i="1" l="1"/>
  <c r="A1322" i="1"/>
  <c r="A821" i="1"/>
  <c r="H1324" i="1" l="1"/>
  <c r="A1323" i="1"/>
  <c r="A822" i="1"/>
  <c r="H1325" i="1" l="1"/>
  <c r="A1324" i="1"/>
  <c r="A823" i="1"/>
  <c r="H1326" i="1" l="1"/>
  <c r="A1325" i="1"/>
  <c r="A824" i="1"/>
  <c r="H1327" i="1" l="1"/>
  <c r="A1326" i="1"/>
  <c r="A825" i="1"/>
  <c r="H1328" i="1" l="1"/>
  <c r="A1327" i="1"/>
  <c r="A826" i="1"/>
  <c r="H1329" i="1" l="1"/>
  <c r="A1328" i="1"/>
  <c r="A827" i="1"/>
  <c r="H1330" i="1" l="1"/>
  <c r="A1329" i="1"/>
  <c r="A828" i="1"/>
  <c r="H1331" i="1" l="1"/>
  <c r="A1330" i="1"/>
  <c r="A829" i="1"/>
  <c r="H1332" i="1" l="1"/>
  <c r="A1331" i="1"/>
  <c r="A830" i="1"/>
  <c r="H1333" i="1" l="1"/>
  <c r="A1332" i="1"/>
  <c r="A831" i="1"/>
  <c r="H1334" i="1" l="1"/>
  <c r="A1333" i="1"/>
  <c r="A832" i="1"/>
  <c r="H1335" i="1" l="1"/>
  <c r="A1334" i="1"/>
  <c r="A833" i="1"/>
  <c r="H1336" i="1" l="1"/>
  <c r="A1335" i="1"/>
  <c r="A834" i="1"/>
  <c r="H1337" i="1" l="1"/>
  <c r="A1336" i="1"/>
  <c r="A835" i="1"/>
  <c r="H1338" i="1" l="1"/>
  <c r="A1337" i="1"/>
  <c r="A836" i="1"/>
  <c r="H1339" i="1" l="1"/>
  <c r="A1338" i="1"/>
  <c r="A837" i="1"/>
  <c r="H1340" i="1" l="1"/>
  <c r="A1339" i="1"/>
  <c r="A838" i="1"/>
  <c r="H1341" i="1" l="1"/>
  <c r="A1340" i="1"/>
  <c r="A839" i="1"/>
  <c r="A1341" i="1" l="1"/>
  <c r="H1342" i="1"/>
  <c r="A840" i="1"/>
  <c r="H1343" i="1" l="1"/>
  <c r="A1342" i="1"/>
  <c r="A841" i="1"/>
  <c r="A1343" i="1" l="1"/>
  <c r="H1344" i="1"/>
  <c r="A842" i="1"/>
  <c r="H1345" i="1" l="1"/>
  <c r="A1344" i="1"/>
  <c r="A843" i="1"/>
  <c r="H1346" i="1" l="1"/>
  <c r="A1345" i="1"/>
  <c r="A844" i="1"/>
  <c r="H1347" i="1" l="1"/>
  <c r="A1346" i="1"/>
  <c r="A845" i="1"/>
  <c r="H1348" i="1" l="1"/>
  <c r="A1347" i="1"/>
  <c r="A846" i="1"/>
  <c r="H1349" i="1" l="1"/>
  <c r="A1348" i="1"/>
  <c r="A847" i="1"/>
  <c r="A1349" i="1" l="1"/>
  <c r="H1350" i="1"/>
  <c r="A848" i="1"/>
  <c r="H1351" i="1" l="1"/>
  <c r="A1350" i="1"/>
  <c r="A849" i="1"/>
  <c r="A1351" i="1" l="1"/>
  <c r="H1352" i="1"/>
  <c r="A850" i="1"/>
  <c r="H1353" i="1" l="1"/>
  <c r="A1352" i="1"/>
  <c r="A851" i="1"/>
  <c r="H1354" i="1" l="1"/>
  <c r="A1353" i="1"/>
  <c r="A852" i="1"/>
  <c r="H1355" i="1" l="1"/>
  <c r="A1354" i="1"/>
  <c r="A853" i="1"/>
  <c r="H1356" i="1" l="1"/>
  <c r="A1355" i="1"/>
  <c r="A854" i="1"/>
  <c r="H1357" i="1" l="1"/>
  <c r="A1356" i="1"/>
  <c r="A855" i="1"/>
  <c r="A1357" i="1" l="1"/>
  <c r="H1358" i="1"/>
  <c r="A856" i="1"/>
  <c r="H1359" i="1" l="1"/>
  <c r="A1358" i="1"/>
  <c r="A857" i="1"/>
  <c r="A1359" i="1" l="1"/>
  <c r="H1360" i="1"/>
  <c r="A858" i="1"/>
  <c r="H1361" i="1" l="1"/>
  <c r="A1360" i="1"/>
  <c r="A859" i="1"/>
  <c r="H1362" i="1" l="1"/>
  <c r="A1361" i="1"/>
  <c r="A860" i="1"/>
  <c r="H1363" i="1" l="1"/>
  <c r="A1362" i="1"/>
  <c r="A861" i="1"/>
  <c r="H1364" i="1" l="1"/>
  <c r="A1363" i="1"/>
  <c r="A862" i="1"/>
  <c r="H1365" i="1" l="1"/>
  <c r="A1364" i="1"/>
  <c r="A863" i="1"/>
  <c r="A1365" i="1" l="1"/>
  <c r="H1366" i="1"/>
  <c r="A864" i="1"/>
  <c r="H1367" i="1" l="1"/>
  <c r="A1366" i="1"/>
  <c r="A865" i="1"/>
  <c r="A1367" i="1" l="1"/>
  <c r="H1368" i="1"/>
  <c r="A866" i="1"/>
  <c r="H1369" i="1" l="1"/>
  <c r="A1368" i="1"/>
  <c r="A867" i="1"/>
  <c r="H1370" i="1" l="1"/>
  <c r="A1369" i="1"/>
  <c r="A868" i="1"/>
  <c r="H1371" i="1" l="1"/>
  <c r="A1370" i="1"/>
  <c r="A869" i="1"/>
  <c r="H1372" i="1" l="1"/>
  <c r="A1371" i="1"/>
  <c r="A870" i="1"/>
  <c r="H1373" i="1" l="1"/>
  <c r="A1372" i="1"/>
  <c r="A871" i="1"/>
  <c r="A1373" i="1" l="1"/>
  <c r="H1374" i="1"/>
  <c r="A872" i="1"/>
  <c r="H1375" i="1" l="1"/>
  <c r="A1374" i="1"/>
  <c r="A873" i="1"/>
  <c r="A1375" i="1" l="1"/>
  <c r="H1376" i="1"/>
  <c r="A874" i="1"/>
  <c r="H1377" i="1" l="1"/>
  <c r="A1376" i="1"/>
  <c r="A875" i="1"/>
  <c r="H1378" i="1" l="1"/>
  <c r="A1377" i="1"/>
  <c r="A876" i="1"/>
  <c r="H1379" i="1" l="1"/>
  <c r="A1378" i="1"/>
  <c r="A877" i="1"/>
  <c r="H1380" i="1" l="1"/>
  <c r="A1379" i="1"/>
  <c r="A878" i="1"/>
  <c r="H1381" i="1" l="1"/>
  <c r="A1380" i="1"/>
  <c r="A879" i="1"/>
  <c r="A1381" i="1" l="1"/>
  <c r="H1382" i="1"/>
  <c r="A880" i="1"/>
  <c r="H1383" i="1" l="1"/>
  <c r="A1382" i="1"/>
  <c r="A881" i="1"/>
  <c r="A1383" i="1" l="1"/>
  <c r="H1384" i="1"/>
  <c r="A882" i="1"/>
  <c r="H1385" i="1" l="1"/>
  <c r="A1384" i="1"/>
  <c r="A883" i="1"/>
  <c r="H1386" i="1" l="1"/>
  <c r="A1385" i="1"/>
  <c r="A884" i="1"/>
  <c r="H1387" i="1" l="1"/>
  <c r="A1386" i="1"/>
  <c r="A885" i="1"/>
  <c r="H1388" i="1" l="1"/>
  <c r="A1387" i="1"/>
  <c r="A886" i="1"/>
  <c r="H1389" i="1" l="1"/>
  <c r="A1388" i="1"/>
  <c r="A887" i="1"/>
  <c r="A1389" i="1" l="1"/>
  <c r="H1390" i="1"/>
  <c r="A888" i="1"/>
  <c r="H1391" i="1" l="1"/>
  <c r="A1390" i="1"/>
  <c r="A889" i="1"/>
  <c r="A1391" i="1" l="1"/>
  <c r="H1392" i="1"/>
  <c r="A890" i="1"/>
  <c r="H1393" i="1" l="1"/>
  <c r="A1392" i="1"/>
  <c r="A891" i="1"/>
  <c r="A1393" i="1" l="1"/>
  <c r="H1394" i="1"/>
  <c r="A892" i="1"/>
  <c r="H1395" i="1" l="1"/>
  <c r="A1394" i="1"/>
  <c r="A893" i="1"/>
  <c r="H1396" i="1" l="1"/>
  <c r="A1395" i="1"/>
  <c r="A894" i="1"/>
  <c r="H1397" i="1" l="1"/>
  <c r="A1396" i="1"/>
  <c r="A895" i="1"/>
  <c r="H1398" i="1" l="1"/>
  <c r="A1397" i="1"/>
  <c r="A896" i="1"/>
  <c r="H1399" i="1" l="1"/>
  <c r="A1398" i="1"/>
  <c r="A897" i="1"/>
  <c r="A1399" i="1" l="1"/>
  <c r="H1400" i="1"/>
  <c r="A898" i="1"/>
  <c r="H1401" i="1" l="1"/>
  <c r="A1400" i="1"/>
  <c r="A899" i="1"/>
  <c r="A1401" i="1" l="1"/>
  <c r="H1402" i="1"/>
  <c r="A900" i="1"/>
  <c r="H1403" i="1" l="1"/>
  <c r="A1402" i="1"/>
  <c r="A901" i="1"/>
  <c r="H1404" i="1" l="1"/>
  <c r="A1403" i="1"/>
  <c r="A902" i="1"/>
  <c r="H1405" i="1" l="1"/>
  <c r="A1404" i="1"/>
  <c r="A903" i="1"/>
  <c r="H1406" i="1" l="1"/>
  <c r="A1405" i="1"/>
  <c r="A904" i="1"/>
  <c r="H1407" i="1" l="1"/>
  <c r="A1406" i="1"/>
  <c r="A905" i="1"/>
  <c r="A1407" i="1" l="1"/>
  <c r="H1408" i="1"/>
  <c r="A906" i="1"/>
  <c r="H1409" i="1" l="1"/>
  <c r="A1408" i="1"/>
  <c r="A907" i="1"/>
  <c r="A1409" i="1" l="1"/>
  <c r="H1410" i="1"/>
  <c r="A908" i="1"/>
  <c r="H1411" i="1" l="1"/>
  <c r="A1410" i="1"/>
  <c r="A909" i="1"/>
  <c r="H1412" i="1" l="1"/>
  <c r="A1411" i="1"/>
  <c r="A910" i="1"/>
  <c r="H1413" i="1" l="1"/>
  <c r="A1412" i="1"/>
  <c r="A911" i="1"/>
  <c r="H1414" i="1" l="1"/>
  <c r="A1413" i="1"/>
  <c r="A912" i="1"/>
  <c r="H1415" i="1" l="1"/>
  <c r="A1414" i="1"/>
  <c r="A913" i="1"/>
  <c r="H1416" i="1" l="1"/>
  <c r="A1415" i="1"/>
  <c r="A914" i="1"/>
  <c r="H1417" i="1" l="1"/>
  <c r="A1416" i="1"/>
  <c r="A915" i="1"/>
  <c r="H1418" i="1" l="1"/>
  <c r="A1417" i="1"/>
  <c r="A916" i="1"/>
  <c r="H1419" i="1" l="1"/>
  <c r="A1418" i="1"/>
  <c r="A917" i="1"/>
  <c r="H1420" i="1" l="1"/>
  <c r="A1419" i="1"/>
  <c r="A918" i="1"/>
  <c r="H1421" i="1" l="1"/>
  <c r="A1420" i="1"/>
  <c r="A919" i="1"/>
  <c r="H1422" i="1" l="1"/>
  <c r="A1421" i="1"/>
  <c r="A920" i="1"/>
  <c r="H1423" i="1" l="1"/>
  <c r="A1422" i="1"/>
  <c r="A921" i="1"/>
  <c r="H1424" i="1" l="1"/>
  <c r="A1423" i="1"/>
  <c r="A922" i="1"/>
  <c r="H1425" i="1" l="1"/>
  <c r="A1424" i="1"/>
  <c r="A923" i="1"/>
  <c r="H1426" i="1" l="1"/>
  <c r="A1425" i="1"/>
  <c r="A924" i="1"/>
  <c r="H1427" i="1" l="1"/>
  <c r="A1426" i="1"/>
  <c r="A925" i="1"/>
  <c r="H1428" i="1" l="1"/>
  <c r="A1427" i="1"/>
  <c r="A926" i="1"/>
  <c r="H1429" i="1" l="1"/>
  <c r="A1428" i="1"/>
  <c r="A927" i="1"/>
  <c r="H1430" i="1" l="1"/>
  <c r="A1429" i="1"/>
  <c r="A928" i="1"/>
  <c r="H1431" i="1" l="1"/>
  <c r="A1430" i="1"/>
  <c r="A929" i="1"/>
  <c r="H1432" i="1" l="1"/>
  <c r="A1431" i="1"/>
  <c r="A930" i="1"/>
  <c r="H1433" i="1" l="1"/>
  <c r="A1432" i="1"/>
  <c r="A931" i="1"/>
  <c r="H1434" i="1" l="1"/>
  <c r="A1433" i="1"/>
  <c r="A932" i="1"/>
  <c r="H1435" i="1" l="1"/>
  <c r="A1434" i="1"/>
  <c r="A933" i="1"/>
  <c r="H1436" i="1" l="1"/>
  <c r="A1435" i="1"/>
  <c r="A934" i="1"/>
  <c r="H1437" i="1" l="1"/>
  <c r="A1436" i="1"/>
  <c r="A935" i="1"/>
  <c r="H1438" i="1" l="1"/>
  <c r="A1437" i="1"/>
  <c r="A936" i="1"/>
  <c r="H1439" i="1" l="1"/>
  <c r="A1438" i="1"/>
  <c r="A937" i="1"/>
  <c r="H1440" i="1" l="1"/>
  <c r="A1439" i="1"/>
  <c r="A938" i="1"/>
  <c r="H1441" i="1" l="1"/>
  <c r="A1440" i="1"/>
  <c r="A939" i="1"/>
  <c r="H1442" i="1" l="1"/>
  <c r="A1441" i="1"/>
  <c r="A940" i="1"/>
  <c r="H1443" i="1" l="1"/>
  <c r="A1442" i="1"/>
  <c r="A941" i="1"/>
  <c r="H1444" i="1" l="1"/>
  <c r="A1443" i="1"/>
  <c r="A942" i="1"/>
  <c r="H1445" i="1" l="1"/>
  <c r="A1444" i="1"/>
  <c r="A943" i="1"/>
  <c r="H1446" i="1" l="1"/>
  <c r="A1445" i="1"/>
  <c r="A944" i="1"/>
  <c r="H1447" i="1" l="1"/>
  <c r="A1446" i="1"/>
  <c r="A945" i="1"/>
  <c r="H1448" i="1" l="1"/>
  <c r="A1447" i="1"/>
  <c r="A946" i="1"/>
  <c r="H1449" i="1" l="1"/>
  <c r="A1448" i="1"/>
  <c r="A947" i="1"/>
  <c r="H1450" i="1" l="1"/>
  <c r="A1449" i="1"/>
  <c r="A948" i="1"/>
  <c r="H1451" i="1" l="1"/>
  <c r="A1450" i="1"/>
  <c r="A949" i="1"/>
  <c r="H1452" i="1" l="1"/>
  <c r="A1451" i="1"/>
  <c r="A950" i="1"/>
  <c r="H1453" i="1" l="1"/>
  <c r="A1452" i="1"/>
  <c r="A951" i="1"/>
  <c r="H1454" i="1" l="1"/>
  <c r="A1453" i="1"/>
  <c r="A952" i="1"/>
  <c r="H1455" i="1" l="1"/>
  <c r="A1454" i="1"/>
  <c r="A953" i="1"/>
  <c r="H1456" i="1" l="1"/>
  <c r="A1455" i="1"/>
  <c r="A954" i="1"/>
  <c r="H1457" i="1" l="1"/>
  <c r="A1456" i="1"/>
  <c r="A955" i="1"/>
  <c r="H1458" i="1" l="1"/>
  <c r="A1457" i="1"/>
  <c r="A956" i="1"/>
  <c r="H1459" i="1" l="1"/>
  <c r="A1458" i="1"/>
  <c r="A957" i="1"/>
  <c r="H1460" i="1" l="1"/>
  <c r="A1459" i="1"/>
  <c r="A958" i="1"/>
  <c r="H1461" i="1" l="1"/>
  <c r="A1460" i="1"/>
  <c r="A959" i="1"/>
  <c r="H1462" i="1" l="1"/>
  <c r="A1461" i="1"/>
  <c r="A960" i="1"/>
  <c r="H1463" i="1" l="1"/>
  <c r="A1462" i="1"/>
  <c r="A961" i="1"/>
  <c r="H1464" i="1" l="1"/>
  <c r="A1463" i="1"/>
  <c r="A962" i="1"/>
  <c r="H1465" i="1" l="1"/>
  <c r="A1464" i="1"/>
  <c r="A963" i="1"/>
  <c r="H1466" i="1" l="1"/>
  <c r="A1465" i="1"/>
  <c r="A964" i="1"/>
  <c r="H1467" i="1" l="1"/>
  <c r="A1466" i="1"/>
  <c r="A965" i="1"/>
  <c r="H1468" i="1" l="1"/>
  <c r="A1467" i="1"/>
  <c r="A966" i="1"/>
  <c r="H1469" i="1" l="1"/>
  <c r="A1468" i="1"/>
  <c r="A967" i="1"/>
  <c r="H1470" i="1" l="1"/>
  <c r="A1469" i="1"/>
  <c r="A968" i="1"/>
  <c r="H1471" i="1" l="1"/>
  <c r="A1470" i="1"/>
  <c r="A969" i="1"/>
  <c r="H1472" i="1" l="1"/>
  <c r="A1471" i="1"/>
  <c r="A970" i="1"/>
  <c r="H1473" i="1" l="1"/>
  <c r="A1472" i="1"/>
  <c r="A971" i="1"/>
  <c r="H1474" i="1" l="1"/>
  <c r="A1473" i="1"/>
  <c r="A972" i="1"/>
  <c r="A1474" i="1" l="1"/>
  <c r="H1475" i="1"/>
  <c r="A973" i="1"/>
  <c r="H1476" i="1" l="1"/>
  <c r="A1475" i="1"/>
  <c r="A974" i="1"/>
  <c r="H1477" i="1" l="1"/>
  <c r="A1476" i="1"/>
  <c r="A975" i="1"/>
  <c r="H1478" i="1" l="1"/>
  <c r="A1477" i="1"/>
  <c r="A976" i="1"/>
  <c r="A1478" i="1" l="1"/>
  <c r="H1479" i="1"/>
  <c r="A977" i="1"/>
  <c r="H1480" i="1" l="1"/>
  <c r="A1479" i="1"/>
  <c r="A978" i="1"/>
  <c r="A1480" i="1" l="1"/>
  <c r="H1481" i="1"/>
  <c r="A979" i="1"/>
  <c r="H1482" i="1" l="1"/>
  <c r="A1481" i="1"/>
  <c r="A980" i="1"/>
  <c r="H1483" i="1" l="1"/>
  <c r="A1482" i="1"/>
  <c r="A981" i="1"/>
  <c r="H1484" i="1" l="1"/>
  <c r="A1483" i="1"/>
  <c r="A982" i="1"/>
  <c r="H1485" i="1" l="1"/>
  <c r="A1484" i="1"/>
  <c r="A983" i="1"/>
  <c r="H1486" i="1" l="1"/>
  <c r="A1485" i="1"/>
  <c r="A984" i="1"/>
  <c r="A1486" i="1" l="1"/>
  <c r="H1487" i="1"/>
  <c r="A985" i="1"/>
  <c r="H1488" i="1" l="1"/>
  <c r="A1487" i="1"/>
  <c r="A986" i="1"/>
  <c r="A1488" i="1" l="1"/>
  <c r="H1489" i="1"/>
  <c r="A987" i="1"/>
  <c r="H1490" i="1" l="1"/>
  <c r="A1489" i="1"/>
  <c r="A988" i="1"/>
  <c r="H1491" i="1" l="1"/>
  <c r="A1490" i="1"/>
  <c r="A989" i="1"/>
  <c r="H1492" i="1" l="1"/>
  <c r="A1491" i="1"/>
  <c r="A990" i="1"/>
  <c r="H1493" i="1" l="1"/>
  <c r="A1492" i="1"/>
  <c r="A991" i="1"/>
  <c r="H1494" i="1" l="1"/>
  <c r="A1493" i="1"/>
  <c r="A992" i="1"/>
  <c r="A1494" i="1" l="1"/>
  <c r="H1495" i="1"/>
  <c r="A993" i="1"/>
  <c r="H1496" i="1" l="1"/>
  <c r="A1495" i="1"/>
  <c r="A994" i="1"/>
  <c r="A1496" i="1" l="1"/>
  <c r="H1497" i="1"/>
  <c r="A995" i="1"/>
  <c r="H1498" i="1" l="1"/>
  <c r="A1497" i="1"/>
  <c r="A996" i="1"/>
  <c r="H1499" i="1" l="1"/>
  <c r="A1498" i="1"/>
  <c r="A997" i="1"/>
  <c r="H1500" i="1" l="1"/>
  <c r="A1499" i="1"/>
  <c r="A998" i="1"/>
  <c r="H1501" i="1" l="1"/>
  <c r="A1500" i="1"/>
  <c r="A999" i="1"/>
  <c r="H1502" i="1" l="1"/>
  <c r="A1501" i="1"/>
  <c r="A1000" i="1"/>
  <c r="A1502" i="1" l="1"/>
  <c r="H1503" i="1"/>
  <c r="A1002" i="1"/>
  <c r="A1001" i="1"/>
  <c r="H1504" i="1" l="1"/>
  <c r="A1503" i="1"/>
  <c r="A1504" i="1" l="1"/>
  <c r="H1505" i="1"/>
  <c r="H1506" i="1" l="1"/>
  <c r="A1505" i="1"/>
  <c r="H1507" i="1" l="1"/>
  <c r="A1506" i="1"/>
  <c r="H1508" i="1" l="1"/>
  <c r="A1507" i="1"/>
  <c r="H1509" i="1" l="1"/>
  <c r="A1508" i="1"/>
  <c r="H1510" i="1" l="1"/>
  <c r="A1509" i="1"/>
  <c r="A1510" i="1" l="1"/>
  <c r="H1511" i="1"/>
  <c r="H1512" i="1" l="1"/>
  <c r="A1511" i="1"/>
  <c r="A1512" i="1" l="1"/>
  <c r="H1513" i="1"/>
  <c r="H1514" i="1" l="1"/>
  <c r="A1513" i="1"/>
  <c r="H1515" i="1" l="1"/>
  <c r="A1514" i="1"/>
  <c r="H1516" i="1" l="1"/>
  <c r="A1515" i="1"/>
  <c r="H1517" i="1" l="1"/>
  <c r="A1516" i="1"/>
  <c r="H1518" i="1" l="1"/>
  <c r="A1517" i="1"/>
  <c r="A1518" i="1" l="1"/>
  <c r="H1519" i="1"/>
  <c r="H1520" i="1" l="1"/>
  <c r="A1519" i="1"/>
  <c r="A1520" i="1" l="1"/>
  <c r="H1521" i="1"/>
  <c r="H1522" i="1" l="1"/>
  <c r="A1521" i="1"/>
  <c r="H1523" i="1" l="1"/>
  <c r="A1522" i="1"/>
  <c r="H1524" i="1" l="1"/>
  <c r="A1523" i="1"/>
  <c r="H1525" i="1" l="1"/>
  <c r="A1524" i="1"/>
  <c r="H1526" i="1" l="1"/>
  <c r="A1525" i="1"/>
  <c r="A1526" i="1" l="1"/>
  <c r="H1527" i="1"/>
  <c r="H1528" i="1" l="1"/>
  <c r="A1527" i="1"/>
  <c r="A1528" i="1" l="1"/>
  <c r="H1529" i="1"/>
  <c r="H1530" i="1" l="1"/>
  <c r="A1529" i="1"/>
  <c r="H1531" i="1" l="1"/>
  <c r="A1530" i="1"/>
  <c r="H1532" i="1" l="1"/>
  <c r="A1531" i="1"/>
  <c r="H1533" i="1" l="1"/>
  <c r="A1532" i="1"/>
  <c r="H1534" i="1" l="1"/>
  <c r="A1533" i="1"/>
  <c r="A1534" i="1" l="1"/>
  <c r="H1535" i="1"/>
  <c r="H1536" i="1" l="1"/>
  <c r="A1535" i="1"/>
  <c r="A1536" i="1" l="1"/>
  <c r="H1537" i="1"/>
  <c r="H1538" i="1" l="1"/>
  <c r="A1537" i="1"/>
  <c r="H1539" i="1" l="1"/>
  <c r="A1538" i="1"/>
  <c r="H1540" i="1" l="1"/>
  <c r="A1539" i="1"/>
  <c r="H1541" i="1" l="1"/>
  <c r="A1540" i="1"/>
  <c r="H1542" i="1" l="1"/>
  <c r="A1541" i="1"/>
  <c r="A1542" i="1" l="1"/>
  <c r="H1543" i="1"/>
  <c r="H1544" i="1" l="1"/>
  <c r="A1543" i="1"/>
  <c r="A1544" i="1" l="1"/>
  <c r="H1545" i="1"/>
  <c r="H1546" i="1" l="1"/>
  <c r="A1545" i="1"/>
  <c r="H1547" i="1" l="1"/>
  <c r="A1546" i="1"/>
  <c r="H1548" i="1" l="1"/>
  <c r="A1547" i="1"/>
  <c r="H1549" i="1" l="1"/>
  <c r="A1548" i="1"/>
  <c r="H1550" i="1" l="1"/>
  <c r="A1549" i="1"/>
  <c r="A1550" i="1" l="1"/>
  <c r="H1551" i="1"/>
  <c r="H1552" i="1" l="1"/>
  <c r="A1551" i="1"/>
  <c r="A1552" i="1" l="1"/>
  <c r="H1553" i="1"/>
  <c r="H1554" i="1" l="1"/>
  <c r="A1553" i="1"/>
  <c r="H1555" i="1" l="1"/>
  <c r="A1554" i="1"/>
  <c r="H1556" i="1" l="1"/>
  <c r="A1555" i="1"/>
  <c r="H1557" i="1" l="1"/>
  <c r="A1556" i="1"/>
  <c r="H1558" i="1" l="1"/>
  <c r="A1557" i="1"/>
  <c r="H1559" i="1" l="1"/>
  <c r="A1558" i="1"/>
  <c r="H1560" i="1" l="1"/>
  <c r="A1559" i="1"/>
  <c r="A1560" i="1" l="1"/>
  <c r="H1561" i="1"/>
  <c r="H1562" i="1" l="1"/>
  <c r="A1561" i="1"/>
  <c r="H1563" i="1" l="1"/>
  <c r="A1562" i="1"/>
  <c r="H1564" i="1" l="1"/>
  <c r="A1563" i="1"/>
  <c r="H1565" i="1" l="1"/>
  <c r="A1564" i="1"/>
  <c r="H1566" i="1" l="1"/>
  <c r="A1565" i="1"/>
  <c r="H1567" i="1" l="1"/>
  <c r="A1566" i="1"/>
  <c r="H1568" i="1" l="1"/>
  <c r="A1567" i="1"/>
  <c r="A1568" i="1" l="1"/>
  <c r="H1569" i="1"/>
  <c r="H1570" i="1" l="1"/>
  <c r="A1569" i="1"/>
  <c r="H1571" i="1" l="1"/>
  <c r="A1570" i="1"/>
  <c r="H1572" i="1" l="1"/>
  <c r="A1571" i="1"/>
  <c r="H1573" i="1" l="1"/>
  <c r="A1572" i="1"/>
  <c r="H1574" i="1" l="1"/>
  <c r="A1573" i="1"/>
  <c r="H1575" i="1" l="1"/>
  <c r="A1574" i="1"/>
  <c r="H1576" i="1" l="1"/>
  <c r="A1575" i="1"/>
  <c r="A1576" i="1" l="1"/>
  <c r="H1577" i="1"/>
  <c r="H1578" i="1" l="1"/>
  <c r="A1577" i="1"/>
  <c r="H1579" i="1" l="1"/>
  <c r="A1578" i="1"/>
  <c r="H1580" i="1" l="1"/>
  <c r="A1579" i="1"/>
  <c r="H1581" i="1" l="1"/>
  <c r="A1580" i="1"/>
  <c r="H1582" i="1" l="1"/>
  <c r="A1581" i="1"/>
  <c r="H1583" i="1" l="1"/>
  <c r="A1582" i="1"/>
  <c r="H1584" i="1" l="1"/>
  <c r="A1583" i="1"/>
  <c r="A1584" i="1" l="1"/>
  <c r="H1585" i="1"/>
  <c r="H1586" i="1" l="1"/>
  <c r="A1585" i="1"/>
  <c r="H1587" i="1" l="1"/>
  <c r="A1586" i="1"/>
  <c r="H1588" i="1" l="1"/>
  <c r="A1587" i="1"/>
  <c r="H1589" i="1" l="1"/>
  <c r="A1588" i="1"/>
  <c r="H1590" i="1" l="1"/>
  <c r="A1589" i="1"/>
  <c r="H1591" i="1" l="1"/>
  <c r="A1590" i="1"/>
  <c r="H1592" i="1" l="1"/>
  <c r="A1591" i="1"/>
  <c r="A1592" i="1" l="1"/>
  <c r="H1593" i="1"/>
  <c r="H1594" i="1" l="1"/>
  <c r="A1593" i="1"/>
  <c r="H1595" i="1" l="1"/>
  <c r="A1594" i="1"/>
  <c r="H1596" i="1" l="1"/>
  <c r="A1595" i="1"/>
  <c r="H1597" i="1" l="1"/>
  <c r="A1596" i="1"/>
  <c r="H1598" i="1" l="1"/>
  <c r="A1597" i="1"/>
  <c r="H1599" i="1" l="1"/>
  <c r="A1598" i="1"/>
  <c r="H1600" i="1" l="1"/>
  <c r="A1599" i="1"/>
  <c r="H1601" i="1" l="1"/>
  <c r="A1600" i="1"/>
  <c r="H1602" i="1" l="1"/>
  <c r="A1601" i="1"/>
  <c r="H1603" i="1" l="1"/>
  <c r="A1602" i="1"/>
  <c r="H1604" i="1" l="1"/>
  <c r="A1603" i="1"/>
  <c r="H1605" i="1" l="1"/>
  <c r="A1604" i="1"/>
  <c r="H1606" i="1" l="1"/>
  <c r="A1605" i="1"/>
  <c r="H1607" i="1" l="1"/>
  <c r="A1606" i="1"/>
  <c r="H1608" i="1" l="1"/>
  <c r="A1607" i="1"/>
  <c r="H1609" i="1" l="1"/>
  <c r="A1608" i="1"/>
  <c r="H1610" i="1" l="1"/>
  <c r="A1609" i="1"/>
  <c r="H1611" i="1" l="1"/>
  <c r="A1610" i="1"/>
  <c r="H1612" i="1" l="1"/>
  <c r="A1611" i="1"/>
  <c r="H1613" i="1" l="1"/>
  <c r="A1612" i="1"/>
  <c r="H1614" i="1" l="1"/>
  <c r="A1613" i="1"/>
  <c r="H1615" i="1" l="1"/>
  <c r="A1614" i="1"/>
  <c r="H1616" i="1" l="1"/>
  <c r="A1615" i="1"/>
  <c r="H1617" i="1" l="1"/>
  <c r="A1616" i="1"/>
  <c r="H1618" i="1" l="1"/>
  <c r="A1617" i="1"/>
  <c r="H1619" i="1" l="1"/>
  <c r="A1618" i="1"/>
  <c r="H1620" i="1" l="1"/>
  <c r="A1619" i="1"/>
  <c r="H1621" i="1" l="1"/>
  <c r="A1620" i="1"/>
  <c r="H1622" i="1" l="1"/>
  <c r="A1621" i="1"/>
  <c r="H1623" i="1" l="1"/>
  <c r="A1622" i="1"/>
  <c r="H1624" i="1" l="1"/>
  <c r="A1623" i="1"/>
  <c r="H1625" i="1" l="1"/>
  <c r="A1624" i="1"/>
  <c r="H1626" i="1" l="1"/>
  <c r="A1625" i="1"/>
  <c r="H1627" i="1" l="1"/>
  <c r="A1626" i="1"/>
  <c r="H1628" i="1" l="1"/>
  <c r="A1627" i="1"/>
  <c r="H1629" i="1" l="1"/>
  <c r="A1628" i="1"/>
  <c r="H1630" i="1" l="1"/>
  <c r="A1629" i="1"/>
  <c r="H1631" i="1" l="1"/>
  <c r="A1630" i="1"/>
  <c r="H1632" i="1" l="1"/>
  <c r="A1631" i="1"/>
  <c r="H1633" i="1" l="1"/>
  <c r="A1632" i="1"/>
  <c r="H1634" i="1" l="1"/>
  <c r="A1633" i="1"/>
  <c r="H1635" i="1" l="1"/>
  <c r="A1634" i="1"/>
  <c r="H1636" i="1" l="1"/>
  <c r="A1635" i="1"/>
  <c r="H1637" i="1" l="1"/>
  <c r="A1636" i="1"/>
  <c r="H1638" i="1" l="1"/>
  <c r="A1637" i="1"/>
  <c r="H1639" i="1" l="1"/>
  <c r="A1638" i="1"/>
  <c r="H1640" i="1" l="1"/>
  <c r="A1639" i="1"/>
  <c r="H1641" i="1" l="1"/>
  <c r="A1640" i="1"/>
  <c r="H1642" i="1" l="1"/>
  <c r="A1641" i="1"/>
  <c r="H1643" i="1" l="1"/>
  <c r="A1642" i="1"/>
  <c r="H1644" i="1" l="1"/>
  <c r="A1643" i="1"/>
  <c r="H1645" i="1" l="1"/>
  <c r="A1644" i="1"/>
  <c r="H1646" i="1" l="1"/>
  <c r="A1645" i="1"/>
  <c r="H1647" i="1" l="1"/>
  <c r="A1646" i="1"/>
  <c r="H1648" i="1" l="1"/>
  <c r="A1647" i="1"/>
  <c r="H1649" i="1" l="1"/>
  <c r="A1648" i="1"/>
  <c r="H1650" i="1" l="1"/>
  <c r="A1649" i="1"/>
  <c r="H1651" i="1" l="1"/>
  <c r="A1650" i="1"/>
  <c r="H1652" i="1" l="1"/>
  <c r="A1651" i="1"/>
  <c r="H1653" i="1" l="1"/>
  <c r="A1652" i="1"/>
  <c r="H1654" i="1" l="1"/>
  <c r="A1653" i="1"/>
  <c r="H1655" i="1" l="1"/>
  <c r="A1654" i="1"/>
  <c r="H1656" i="1" l="1"/>
  <c r="A1655" i="1"/>
  <c r="H1657" i="1" l="1"/>
  <c r="A1656" i="1"/>
  <c r="H1658" i="1" l="1"/>
  <c r="A1657" i="1"/>
  <c r="H1659" i="1" l="1"/>
  <c r="A1658" i="1"/>
  <c r="A1659" i="1" l="1"/>
  <c r="H1660" i="1"/>
  <c r="H1661" i="1" l="1"/>
  <c r="A1660" i="1"/>
  <c r="A1661" i="1" l="1"/>
  <c r="H1662" i="1"/>
  <c r="H1663" i="1" l="1"/>
  <c r="A1662" i="1"/>
  <c r="H1664" i="1" l="1"/>
  <c r="A1663" i="1"/>
  <c r="H1665" i="1" l="1"/>
  <c r="A1664" i="1"/>
  <c r="H1666" i="1" l="1"/>
  <c r="A1665" i="1"/>
  <c r="H1667" i="1" l="1"/>
  <c r="A1666" i="1"/>
  <c r="A1667" i="1" l="1"/>
  <c r="H1668" i="1"/>
  <c r="H1669" i="1" l="1"/>
  <c r="A1668" i="1"/>
  <c r="A1669" i="1" l="1"/>
  <c r="H1670" i="1"/>
  <c r="H1671" i="1" l="1"/>
  <c r="A1670" i="1"/>
  <c r="H1672" i="1" l="1"/>
  <c r="A1671" i="1"/>
  <c r="H1673" i="1" l="1"/>
  <c r="A1672" i="1"/>
  <c r="H1674" i="1" l="1"/>
  <c r="A1673" i="1"/>
  <c r="H1675" i="1" l="1"/>
  <c r="A1674" i="1"/>
  <c r="A1675" i="1" l="1"/>
  <c r="H1676" i="1"/>
  <c r="H1677" i="1" l="1"/>
  <c r="A1676" i="1"/>
  <c r="A1677" i="1" l="1"/>
  <c r="H1678" i="1"/>
  <c r="H1679" i="1" l="1"/>
  <c r="A1678" i="1"/>
  <c r="H1680" i="1" l="1"/>
  <c r="A1679" i="1"/>
  <c r="H1681" i="1" l="1"/>
  <c r="A1680" i="1"/>
  <c r="H1682" i="1" l="1"/>
  <c r="A1681" i="1"/>
  <c r="H1683" i="1" l="1"/>
  <c r="A1682" i="1"/>
  <c r="A1683" i="1" l="1"/>
  <c r="H1684" i="1"/>
  <c r="H1685" i="1" l="1"/>
  <c r="A1684" i="1"/>
  <c r="A1685" i="1" l="1"/>
  <c r="H1686" i="1"/>
  <c r="H1687" i="1" l="1"/>
  <c r="A1686" i="1"/>
  <c r="H1688" i="1" l="1"/>
  <c r="A1687" i="1"/>
  <c r="H1689" i="1" l="1"/>
  <c r="A1688" i="1"/>
  <c r="H1690" i="1" l="1"/>
  <c r="A1689" i="1"/>
  <c r="H1691" i="1" l="1"/>
  <c r="A1690" i="1"/>
  <c r="H1692" i="1" l="1"/>
  <c r="A1691" i="1"/>
  <c r="H1693" i="1" l="1"/>
  <c r="A1692" i="1"/>
  <c r="H1694" i="1" l="1"/>
  <c r="A1693" i="1"/>
  <c r="H1695" i="1" l="1"/>
  <c r="A1694" i="1"/>
  <c r="A1695" i="1" l="1"/>
  <c r="H1696" i="1"/>
  <c r="H1697" i="1" l="1"/>
  <c r="A1696" i="1"/>
  <c r="A1697" i="1" l="1"/>
  <c r="H1698" i="1"/>
  <c r="H1699" i="1" l="1"/>
  <c r="A1698" i="1"/>
  <c r="H1700" i="1" l="1"/>
  <c r="A1699" i="1"/>
  <c r="H1701" i="1" l="1"/>
  <c r="A1700" i="1"/>
  <c r="H1702" i="1" l="1"/>
  <c r="A1701" i="1"/>
  <c r="H1703" i="1" l="1"/>
  <c r="A1702" i="1"/>
  <c r="A1703" i="1" l="1"/>
  <c r="H1704" i="1"/>
  <c r="H1705" i="1" l="1"/>
  <c r="A1704" i="1"/>
  <c r="A1705" i="1" l="1"/>
  <c r="H1706" i="1"/>
  <c r="H1707" i="1" l="1"/>
  <c r="A1706" i="1"/>
  <c r="H1708" i="1" l="1"/>
  <c r="A1707" i="1"/>
  <c r="H1709" i="1" l="1"/>
  <c r="A1708" i="1"/>
  <c r="H1710" i="1" l="1"/>
  <c r="A1709" i="1"/>
  <c r="H1711" i="1" l="1"/>
  <c r="A1710" i="1"/>
  <c r="H1712" i="1" l="1"/>
  <c r="A1711" i="1"/>
  <c r="H1713" i="1" l="1"/>
  <c r="A1712" i="1"/>
  <c r="H1714" i="1" l="1"/>
  <c r="A1713" i="1"/>
  <c r="H1715" i="1" l="1"/>
  <c r="A1714" i="1"/>
  <c r="H1716" i="1" l="1"/>
  <c r="A1715" i="1"/>
  <c r="H1717" i="1" l="1"/>
  <c r="A1716" i="1"/>
  <c r="H1718" i="1" l="1"/>
  <c r="A1717" i="1"/>
  <c r="H1719" i="1" l="1"/>
  <c r="A1718" i="1"/>
  <c r="H1720" i="1" l="1"/>
  <c r="A1719" i="1"/>
  <c r="H1721" i="1" l="1"/>
  <c r="A1720" i="1"/>
  <c r="H1722" i="1" l="1"/>
  <c r="A1721" i="1"/>
  <c r="H1723" i="1" l="1"/>
  <c r="A1722" i="1"/>
  <c r="H1724" i="1" l="1"/>
  <c r="A1723" i="1"/>
  <c r="H1725" i="1" l="1"/>
  <c r="A1724" i="1"/>
  <c r="H1726" i="1" l="1"/>
  <c r="A1725" i="1"/>
  <c r="H1727" i="1" l="1"/>
  <c r="A1726" i="1"/>
  <c r="H1728" i="1" l="1"/>
  <c r="A1727" i="1"/>
  <c r="H1729" i="1" l="1"/>
  <c r="A1728" i="1"/>
  <c r="H1730" i="1" l="1"/>
  <c r="A1729" i="1"/>
  <c r="H1731" i="1" l="1"/>
  <c r="A1730" i="1"/>
  <c r="H1732" i="1" l="1"/>
  <c r="A1731" i="1"/>
  <c r="H1733" i="1" l="1"/>
  <c r="A1732" i="1"/>
  <c r="H1734" i="1" l="1"/>
  <c r="A1733" i="1"/>
  <c r="H1735" i="1" l="1"/>
  <c r="A1734" i="1"/>
  <c r="H1736" i="1" l="1"/>
  <c r="A1735" i="1"/>
  <c r="H1737" i="1" l="1"/>
  <c r="A1736" i="1"/>
  <c r="H1738" i="1" l="1"/>
  <c r="A1737" i="1"/>
  <c r="A1738" i="1" l="1"/>
  <c r="H1739" i="1"/>
  <c r="H1740" i="1" l="1"/>
  <c r="A1739" i="1"/>
  <c r="H1741" i="1" l="1"/>
  <c r="A1740" i="1"/>
  <c r="H1742" i="1" l="1"/>
  <c r="A1741" i="1"/>
  <c r="H1743" i="1" l="1"/>
  <c r="A1742" i="1"/>
  <c r="H1744" i="1" l="1"/>
  <c r="A1743" i="1"/>
  <c r="H1745" i="1" l="1"/>
  <c r="A1744" i="1"/>
  <c r="H1746" i="1" l="1"/>
  <c r="A1745" i="1"/>
  <c r="H1747" i="1" l="1"/>
  <c r="A1746" i="1"/>
  <c r="H1748" i="1" l="1"/>
  <c r="A1747" i="1"/>
  <c r="A1748" i="1" l="1"/>
  <c r="H1749" i="1"/>
  <c r="H1750" i="1" l="1"/>
  <c r="A1749" i="1"/>
  <c r="A1750" i="1" l="1"/>
  <c r="H1751" i="1"/>
  <c r="H1752" i="1" l="1"/>
  <c r="A1751" i="1"/>
  <c r="H1753" i="1" l="1"/>
  <c r="A1752" i="1"/>
  <c r="H1754" i="1" l="1"/>
  <c r="A1753" i="1"/>
  <c r="H1755" i="1" l="1"/>
  <c r="A1754" i="1"/>
  <c r="H1756" i="1" l="1"/>
  <c r="A1755" i="1"/>
  <c r="A1756" i="1" l="1"/>
  <c r="H1757" i="1"/>
  <c r="H1758" i="1" l="1"/>
  <c r="A1757" i="1"/>
  <c r="A1758" i="1" l="1"/>
  <c r="H1759" i="1"/>
  <c r="H1760" i="1" l="1"/>
  <c r="A1759" i="1"/>
  <c r="H1761" i="1" l="1"/>
  <c r="A1760" i="1"/>
  <c r="H1762" i="1" l="1"/>
  <c r="A1761" i="1"/>
  <c r="H1763" i="1" l="1"/>
  <c r="A1762" i="1"/>
  <c r="H1764" i="1" l="1"/>
  <c r="A1763" i="1"/>
  <c r="A1764" i="1" l="1"/>
  <c r="H1765" i="1"/>
  <c r="H1766" i="1" l="1"/>
  <c r="A1765" i="1"/>
  <c r="A1766" i="1" l="1"/>
  <c r="H1767" i="1"/>
  <c r="H1768" i="1" l="1"/>
  <c r="A1767" i="1"/>
  <c r="H1769" i="1" l="1"/>
  <c r="A1768" i="1"/>
  <c r="H1770" i="1" l="1"/>
  <c r="A1769" i="1"/>
  <c r="H1771" i="1" l="1"/>
  <c r="A1770" i="1"/>
  <c r="H1772" i="1" l="1"/>
  <c r="A1771" i="1"/>
  <c r="A1772" i="1" l="1"/>
  <c r="H1773" i="1"/>
  <c r="H1774" i="1" l="1"/>
  <c r="A1773" i="1"/>
  <c r="A1774" i="1" l="1"/>
  <c r="H1775" i="1"/>
  <c r="H1776" i="1" l="1"/>
  <c r="A1775" i="1"/>
  <c r="H1777" i="1" l="1"/>
  <c r="A1776" i="1"/>
  <c r="H1778" i="1" l="1"/>
  <c r="A1777" i="1"/>
  <c r="H1779" i="1" l="1"/>
  <c r="A1778" i="1"/>
  <c r="H1780" i="1" l="1"/>
  <c r="A1779" i="1"/>
  <c r="H1781" i="1" l="1"/>
  <c r="A1780" i="1"/>
  <c r="H1782" i="1" l="1"/>
  <c r="A1781" i="1"/>
  <c r="A1782" i="1" l="1"/>
  <c r="H1783" i="1"/>
  <c r="H1784" i="1" l="1"/>
  <c r="A1783" i="1"/>
  <c r="H1785" i="1" l="1"/>
  <c r="A1784" i="1"/>
  <c r="H1786" i="1" l="1"/>
  <c r="A1785" i="1"/>
  <c r="H1787" i="1" l="1"/>
  <c r="A1786" i="1"/>
  <c r="H1788" i="1" l="1"/>
  <c r="A1787" i="1"/>
  <c r="H1789" i="1" l="1"/>
  <c r="A1788" i="1"/>
  <c r="H1790" i="1" l="1"/>
  <c r="A1789" i="1"/>
  <c r="A1790" i="1" l="1"/>
  <c r="H1791" i="1"/>
  <c r="H1792" i="1" l="1"/>
  <c r="A1791" i="1"/>
  <c r="H1793" i="1" l="1"/>
  <c r="A1792" i="1"/>
  <c r="H1794" i="1" l="1"/>
  <c r="A1793" i="1"/>
  <c r="H1795" i="1" l="1"/>
  <c r="A1794" i="1"/>
  <c r="H1796" i="1" l="1"/>
  <c r="A1795" i="1"/>
  <c r="H1797" i="1" l="1"/>
  <c r="A1796" i="1"/>
  <c r="H1798" i="1" l="1"/>
  <c r="A1797" i="1"/>
  <c r="H1799" i="1" l="1"/>
  <c r="A1798" i="1"/>
  <c r="H1800" i="1" l="1"/>
  <c r="A1799" i="1"/>
  <c r="H1801" i="1" l="1"/>
  <c r="A1800" i="1"/>
  <c r="A1801" i="1" l="1"/>
  <c r="H1802" i="1"/>
  <c r="H1803" i="1" l="1"/>
  <c r="A1802" i="1"/>
  <c r="A1803" i="1" l="1"/>
  <c r="H1804" i="1"/>
  <c r="H1805" i="1" l="1"/>
  <c r="A1804" i="1"/>
  <c r="H1806" i="1" l="1"/>
  <c r="A1805" i="1"/>
  <c r="H1807" i="1" l="1"/>
  <c r="A1806" i="1"/>
  <c r="H1808" i="1" l="1"/>
  <c r="A1807" i="1"/>
  <c r="H1809" i="1" l="1"/>
  <c r="A1808" i="1"/>
  <c r="A1809" i="1" l="1"/>
  <c r="H1810" i="1"/>
  <c r="H1811" i="1" l="1"/>
  <c r="A1810" i="1"/>
  <c r="A1811" i="1" l="1"/>
  <c r="H1812" i="1"/>
  <c r="H1813" i="1" l="1"/>
  <c r="A1812" i="1"/>
  <c r="A1813" i="1" l="1"/>
  <c r="H1814" i="1"/>
  <c r="H1815" i="1" l="1"/>
  <c r="A1814" i="1"/>
  <c r="H1816" i="1" l="1"/>
  <c r="A1815" i="1"/>
  <c r="H1817" i="1" l="1"/>
  <c r="A1816" i="1"/>
  <c r="H1818" i="1" l="1"/>
  <c r="A1817" i="1"/>
  <c r="H1819" i="1" l="1"/>
  <c r="A1818" i="1"/>
  <c r="A1819" i="1" l="1"/>
  <c r="H1820" i="1"/>
  <c r="H1821" i="1" l="1"/>
  <c r="A1820" i="1"/>
  <c r="A1821" i="1" l="1"/>
  <c r="H1822" i="1"/>
  <c r="H1823" i="1" l="1"/>
  <c r="A1822" i="1"/>
  <c r="H1824" i="1" l="1"/>
  <c r="A1823" i="1"/>
  <c r="H1825" i="1" l="1"/>
  <c r="A1824" i="1"/>
  <c r="H1826" i="1" l="1"/>
  <c r="A1825" i="1"/>
  <c r="H1827" i="1" l="1"/>
  <c r="A1826" i="1"/>
  <c r="A1827" i="1" l="1"/>
  <c r="H1828" i="1"/>
  <c r="H1829" i="1" l="1"/>
  <c r="A1828" i="1"/>
  <c r="H1830" i="1" l="1"/>
  <c r="A1829" i="1"/>
  <c r="H1831" i="1" l="1"/>
  <c r="A1830" i="1"/>
  <c r="H1832" i="1" l="1"/>
  <c r="A1831" i="1"/>
  <c r="H1833" i="1" l="1"/>
  <c r="A1832" i="1"/>
  <c r="A1833" i="1" l="1"/>
  <c r="H1834" i="1"/>
  <c r="H1835" i="1" l="1"/>
  <c r="A1834" i="1"/>
  <c r="A1835" i="1" l="1"/>
  <c r="H1836" i="1"/>
  <c r="H1837" i="1" l="1"/>
  <c r="A1836" i="1"/>
  <c r="H1838" i="1" l="1"/>
  <c r="A1837" i="1"/>
  <c r="H1839" i="1" l="1"/>
  <c r="A1838" i="1"/>
  <c r="H1840" i="1" l="1"/>
  <c r="A1839" i="1"/>
  <c r="H1841" i="1" l="1"/>
  <c r="A1840" i="1"/>
  <c r="A1841" i="1" l="1"/>
  <c r="H1842" i="1"/>
  <c r="H1843" i="1" l="1"/>
  <c r="A1842" i="1"/>
  <c r="A1843" i="1" l="1"/>
  <c r="H1844" i="1"/>
  <c r="H1845" i="1" l="1"/>
  <c r="A1844" i="1"/>
  <c r="A1845" i="1" l="1"/>
  <c r="H1846" i="1"/>
  <c r="H1847" i="1" l="1"/>
  <c r="A1846" i="1"/>
  <c r="A1847" i="1" l="1"/>
  <c r="H1848" i="1"/>
  <c r="H1849" i="1" l="1"/>
  <c r="A1848" i="1"/>
  <c r="H1850" i="1" l="1"/>
  <c r="A1849" i="1"/>
  <c r="H1851" i="1" l="1"/>
  <c r="A1850" i="1"/>
  <c r="H1852" i="1" l="1"/>
  <c r="A1851" i="1"/>
  <c r="H1853" i="1" l="1"/>
  <c r="A1852" i="1"/>
  <c r="A1853" i="1" l="1"/>
  <c r="H1854" i="1"/>
  <c r="H1855" i="1" l="1"/>
  <c r="A1854" i="1"/>
  <c r="A1855" i="1" l="1"/>
  <c r="H1856" i="1"/>
  <c r="H1857" i="1" l="1"/>
  <c r="A1856" i="1"/>
  <c r="H1858" i="1" l="1"/>
  <c r="A1857" i="1"/>
  <c r="H1859" i="1" l="1"/>
  <c r="A1858" i="1"/>
  <c r="H1860" i="1" l="1"/>
  <c r="A1859" i="1"/>
  <c r="H1861" i="1" l="1"/>
  <c r="A1860" i="1"/>
  <c r="A1861" i="1" l="1"/>
  <c r="H1862" i="1"/>
  <c r="H1863" i="1" l="1"/>
  <c r="A1862" i="1"/>
  <c r="A1863" i="1" l="1"/>
  <c r="H1864" i="1"/>
  <c r="H1865" i="1" l="1"/>
  <c r="A1864" i="1"/>
  <c r="H1866" i="1" l="1"/>
  <c r="A1865" i="1"/>
  <c r="H1867" i="1" l="1"/>
  <c r="A1866" i="1"/>
  <c r="H1868" i="1" l="1"/>
  <c r="A1867" i="1"/>
  <c r="H1869" i="1" l="1"/>
  <c r="A1868" i="1"/>
  <c r="A1869" i="1" l="1"/>
  <c r="H1870" i="1"/>
  <c r="H1871" i="1" l="1"/>
  <c r="A1870" i="1"/>
  <c r="A1871" i="1" l="1"/>
  <c r="H1872" i="1"/>
  <c r="H1873" i="1" l="1"/>
  <c r="A1872" i="1"/>
  <c r="H1874" i="1" l="1"/>
  <c r="A1873" i="1"/>
  <c r="H1875" i="1" l="1"/>
  <c r="A1874" i="1"/>
  <c r="H1876" i="1" l="1"/>
  <c r="A1875" i="1"/>
  <c r="H1877" i="1" l="1"/>
  <c r="A1876" i="1"/>
  <c r="A1877" i="1" l="1"/>
  <c r="H1878" i="1"/>
  <c r="H1879" i="1" l="1"/>
  <c r="A1878" i="1"/>
  <c r="A1879" i="1" l="1"/>
  <c r="H1880" i="1"/>
  <c r="H1881" i="1" l="1"/>
  <c r="A1880" i="1"/>
  <c r="H1882" i="1" l="1"/>
  <c r="A1881" i="1"/>
  <c r="H1883" i="1" l="1"/>
  <c r="A1882" i="1"/>
  <c r="H1884" i="1" l="1"/>
  <c r="A1883" i="1"/>
  <c r="H1885" i="1" l="1"/>
  <c r="A1884" i="1"/>
  <c r="A1885" i="1" l="1"/>
  <c r="H1886" i="1"/>
  <c r="H1887" i="1" l="1"/>
  <c r="A1886" i="1"/>
  <c r="A1887" i="1" l="1"/>
  <c r="H1888" i="1"/>
  <c r="H1889" i="1" l="1"/>
  <c r="A1888" i="1"/>
  <c r="H1890" i="1" l="1"/>
  <c r="A1889" i="1"/>
  <c r="H1891" i="1" l="1"/>
  <c r="A1890" i="1"/>
  <c r="H1892" i="1" l="1"/>
  <c r="A1891" i="1"/>
  <c r="H1893" i="1" l="1"/>
  <c r="A1892" i="1"/>
  <c r="A1893" i="1" l="1"/>
  <c r="H1894" i="1"/>
  <c r="H1895" i="1" l="1"/>
  <c r="A1894" i="1"/>
  <c r="A1895" i="1" l="1"/>
  <c r="H1896" i="1"/>
  <c r="H1897" i="1" l="1"/>
  <c r="A1896" i="1"/>
  <c r="H1898" i="1" l="1"/>
  <c r="A1897" i="1"/>
  <c r="H1899" i="1" l="1"/>
  <c r="A1898" i="1"/>
  <c r="H1900" i="1" l="1"/>
  <c r="A1899" i="1"/>
  <c r="H1901" i="1" l="1"/>
  <c r="A1900" i="1"/>
  <c r="H1902" i="1" l="1"/>
  <c r="A1901" i="1"/>
  <c r="H1903" i="1" l="1"/>
  <c r="A1902" i="1"/>
  <c r="H1904" i="1" l="1"/>
  <c r="A1903" i="1"/>
  <c r="H1905" i="1" l="1"/>
  <c r="A1904" i="1"/>
  <c r="A1905" i="1" l="1"/>
  <c r="H1906" i="1"/>
  <c r="H1907" i="1" l="1"/>
  <c r="A1906" i="1"/>
  <c r="H1908" i="1" l="1"/>
  <c r="A1907" i="1"/>
  <c r="H1909" i="1" l="1"/>
  <c r="A1908" i="1"/>
  <c r="H1910" i="1" l="1"/>
  <c r="A1909" i="1"/>
  <c r="H1911" i="1" l="1"/>
  <c r="A1910" i="1"/>
  <c r="H1912" i="1" l="1"/>
  <c r="A1911" i="1"/>
  <c r="H1913" i="1" l="1"/>
  <c r="A1912" i="1"/>
  <c r="A1913" i="1" l="1"/>
  <c r="H1914" i="1"/>
  <c r="H1915" i="1" l="1"/>
  <c r="A1914" i="1"/>
  <c r="H1916" i="1" l="1"/>
  <c r="A1915" i="1"/>
  <c r="H1917" i="1" l="1"/>
  <c r="A1916" i="1"/>
  <c r="H1918" i="1" l="1"/>
  <c r="A1917" i="1"/>
  <c r="H1919" i="1" l="1"/>
  <c r="A1918" i="1"/>
  <c r="H1920" i="1" l="1"/>
  <c r="A1919" i="1"/>
  <c r="H1921" i="1" l="1"/>
  <c r="A1920" i="1"/>
  <c r="A1921" i="1" l="1"/>
  <c r="H1922" i="1"/>
  <c r="H1923" i="1" l="1"/>
  <c r="A1922" i="1"/>
  <c r="H1924" i="1" l="1"/>
  <c r="A1923" i="1"/>
  <c r="H1925" i="1" l="1"/>
  <c r="A1924" i="1"/>
  <c r="H1926" i="1" l="1"/>
  <c r="A1925" i="1"/>
  <c r="H1927" i="1" l="1"/>
  <c r="A1926" i="1"/>
  <c r="H1928" i="1" l="1"/>
  <c r="A1927" i="1"/>
  <c r="H1929" i="1" l="1"/>
  <c r="A1928" i="1"/>
  <c r="H1930" i="1" l="1"/>
  <c r="A1929" i="1"/>
  <c r="H1931" i="1" l="1"/>
  <c r="A1930" i="1"/>
  <c r="A1931" i="1" l="1"/>
  <c r="H1932" i="1"/>
  <c r="H1933" i="1" l="1"/>
  <c r="A1932" i="1"/>
  <c r="H1934" i="1" l="1"/>
  <c r="A1933" i="1"/>
  <c r="H1935" i="1" l="1"/>
  <c r="A1934" i="1"/>
  <c r="H1936" i="1" l="1"/>
  <c r="A1935" i="1"/>
  <c r="H1937" i="1" l="1"/>
  <c r="A1936" i="1"/>
  <c r="H1938" i="1" l="1"/>
  <c r="A1937" i="1"/>
  <c r="H1939" i="1" l="1"/>
  <c r="A1938" i="1"/>
  <c r="H1940" i="1" l="1"/>
  <c r="A1939" i="1"/>
  <c r="H1941" i="1" l="1"/>
  <c r="A1940" i="1"/>
  <c r="H1942" i="1" l="1"/>
  <c r="A1941" i="1"/>
  <c r="H1943" i="1" l="1"/>
  <c r="A1942" i="1"/>
  <c r="H1944" i="1" l="1"/>
  <c r="A1943" i="1"/>
  <c r="H1945" i="1" l="1"/>
  <c r="A1944" i="1"/>
  <c r="H1946" i="1" l="1"/>
  <c r="A1945" i="1"/>
  <c r="H1947" i="1" l="1"/>
  <c r="A1946" i="1"/>
  <c r="A1947" i="1" l="1"/>
  <c r="H1948" i="1"/>
  <c r="H1949" i="1" l="1"/>
  <c r="A1948" i="1"/>
  <c r="H1950" i="1" l="1"/>
  <c r="A1949" i="1"/>
  <c r="H1951" i="1" l="1"/>
  <c r="A1950" i="1"/>
  <c r="H1952" i="1" l="1"/>
  <c r="A1951" i="1"/>
  <c r="H1953" i="1" l="1"/>
  <c r="A1952" i="1"/>
  <c r="A1953" i="1" l="1"/>
  <c r="H1954" i="1"/>
  <c r="H1955" i="1" l="1"/>
  <c r="A1954" i="1"/>
  <c r="A1955" i="1" l="1"/>
  <c r="H1956" i="1"/>
  <c r="H1957" i="1" l="1"/>
  <c r="A1956" i="1"/>
  <c r="H1958" i="1" l="1"/>
  <c r="A1957" i="1"/>
  <c r="H1959" i="1" l="1"/>
  <c r="A1958" i="1"/>
  <c r="H1960" i="1" l="1"/>
  <c r="A1959" i="1"/>
  <c r="H1961" i="1" l="1"/>
  <c r="A1960" i="1"/>
  <c r="A1961" i="1" l="1"/>
  <c r="H1962" i="1"/>
  <c r="H1963" i="1" l="1"/>
  <c r="A1962" i="1"/>
  <c r="A1963" i="1" l="1"/>
  <c r="H1964" i="1"/>
  <c r="H1965" i="1" l="1"/>
  <c r="A1964" i="1"/>
  <c r="H1966" i="1" l="1"/>
  <c r="A1965" i="1"/>
  <c r="H1967" i="1" l="1"/>
  <c r="A1966" i="1"/>
  <c r="H1968" i="1" l="1"/>
  <c r="A1967" i="1"/>
  <c r="H1969" i="1" l="1"/>
  <c r="A1968" i="1"/>
  <c r="A1969" i="1" l="1"/>
  <c r="H1970" i="1"/>
  <c r="H1971" i="1" l="1"/>
  <c r="A1970" i="1"/>
  <c r="A1971" i="1" l="1"/>
  <c r="H1972" i="1"/>
  <c r="H1973" i="1" l="1"/>
  <c r="A1972" i="1"/>
  <c r="H1974" i="1" l="1"/>
  <c r="A1973" i="1"/>
  <c r="H1975" i="1" l="1"/>
  <c r="A1974" i="1"/>
  <c r="H1976" i="1" l="1"/>
  <c r="A1975" i="1"/>
  <c r="H1977" i="1" l="1"/>
  <c r="A1976" i="1"/>
  <c r="A1977" i="1" l="1"/>
  <c r="H1978" i="1"/>
  <c r="H1979" i="1" l="1"/>
  <c r="A1978" i="1"/>
  <c r="A1979" i="1" l="1"/>
  <c r="H1980" i="1"/>
  <c r="H1981" i="1" l="1"/>
  <c r="A1980" i="1"/>
  <c r="H1982" i="1" l="1"/>
  <c r="A1981" i="1"/>
  <c r="H1983" i="1" l="1"/>
  <c r="A1982" i="1"/>
  <c r="H1984" i="1" l="1"/>
  <c r="A1983" i="1"/>
  <c r="H1985" i="1" l="1"/>
  <c r="A1984" i="1"/>
  <c r="A1985" i="1" l="1"/>
  <c r="H1986" i="1"/>
  <c r="H1987" i="1" l="1"/>
  <c r="A1986" i="1"/>
  <c r="A1987" i="1" l="1"/>
  <c r="H1988" i="1"/>
  <c r="H1989" i="1" l="1"/>
  <c r="A1988" i="1"/>
  <c r="A1989" i="1" l="1"/>
  <c r="H1990" i="1"/>
  <c r="H1991" i="1" l="1"/>
  <c r="A1990" i="1"/>
  <c r="H1992" i="1" l="1"/>
  <c r="A1991" i="1"/>
  <c r="H1993" i="1" l="1"/>
  <c r="A1992" i="1"/>
  <c r="H1994" i="1" l="1"/>
  <c r="A1993" i="1"/>
  <c r="H1995" i="1" l="1"/>
  <c r="A1994" i="1"/>
  <c r="H1996" i="1" l="1"/>
  <c r="A1995" i="1"/>
  <c r="H1997" i="1" l="1"/>
  <c r="A1996" i="1"/>
  <c r="A1997" i="1" l="1"/>
  <c r="H1998" i="1"/>
  <c r="H1999" i="1" l="1"/>
  <c r="A1998" i="1"/>
  <c r="H2000" i="1" l="1"/>
  <c r="A1999" i="1"/>
  <c r="H2001" i="1" l="1"/>
  <c r="A2000" i="1"/>
  <c r="H2002" i="1" l="1"/>
  <c r="A2001" i="1"/>
  <c r="A2002" i="1" l="1"/>
  <c r="H2003" i="1"/>
  <c r="E13" i="3"/>
  <c r="D13" i="3"/>
  <c r="G13" i="3"/>
  <c r="F13" i="3"/>
  <c r="H13" i="3"/>
  <c r="F16" i="3" l="1"/>
  <c r="E16" i="3"/>
  <c r="D16" i="3"/>
  <c r="H16" i="3"/>
  <c r="G16" i="3"/>
  <c r="H2004" i="1"/>
  <c r="A2003" i="1"/>
  <c r="H2005" i="1" l="1"/>
  <c r="A2004" i="1"/>
  <c r="H2006" i="1" l="1"/>
  <c r="A2005" i="1"/>
  <c r="H2007" i="1" l="1"/>
  <c r="A2006" i="1"/>
  <c r="H2008" i="1" l="1"/>
  <c r="A2007" i="1"/>
  <c r="H2009" i="1" l="1"/>
  <c r="A2008" i="1"/>
  <c r="H2010" i="1" l="1"/>
  <c r="A2009" i="1"/>
  <c r="H2011" i="1" l="1"/>
  <c r="A2010" i="1"/>
  <c r="H2012" i="1" l="1"/>
  <c r="A2011" i="1"/>
  <c r="H2013" i="1" l="1"/>
  <c r="A2012" i="1"/>
  <c r="H2014" i="1" l="1"/>
  <c r="A2013" i="1"/>
  <c r="H2015" i="1" l="1"/>
  <c r="A2014" i="1"/>
  <c r="H2016" i="1" l="1"/>
  <c r="A2015" i="1"/>
  <c r="H2017" i="1" l="1"/>
  <c r="A2016" i="1"/>
  <c r="H2018" i="1" l="1"/>
  <c r="A2017" i="1"/>
  <c r="H2019" i="1" l="1"/>
  <c r="A2018" i="1"/>
  <c r="H2020" i="1" l="1"/>
  <c r="A2019" i="1"/>
  <c r="H2021" i="1" l="1"/>
  <c r="A2020" i="1"/>
  <c r="H2022" i="1" l="1"/>
  <c r="A2021" i="1"/>
  <c r="H2023" i="1" l="1"/>
  <c r="A2022" i="1"/>
  <c r="H2024" i="1" l="1"/>
  <c r="A2023" i="1"/>
  <c r="H2025" i="1" l="1"/>
  <c r="A2024" i="1"/>
  <c r="H2026" i="1" l="1"/>
  <c r="A2025" i="1"/>
  <c r="H2027" i="1" l="1"/>
  <c r="A2026" i="1"/>
  <c r="H2028" i="1" l="1"/>
  <c r="A2027" i="1"/>
  <c r="H2029" i="1" l="1"/>
  <c r="A2028" i="1"/>
  <c r="H2030" i="1" l="1"/>
  <c r="A2029" i="1"/>
  <c r="H2031" i="1" l="1"/>
  <c r="A2030" i="1"/>
  <c r="H2032" i="1" l="1"/>
  <c r="A2031" i="1"/>
  <c r="H2033" i="1" l="1"/>
  <c r="A2032" i="1"/>
  <c r="H2034" i="1" l="1"/>
  <c r="A2033" i="1"/>
  <c r="H2035" i="1" l="1"/>
  <c r="A2034" i="1"/>
  <c r="H2036" i="1" l="1"/>
  <c r="A2035" i="1"/>
  <c r="H2037" i="1" l="1"/>
  <c r="A2036" i="1"/>
  <c r="H2038" i="1" l="1"/>
  <c r="A2037" i="1"/>
  <c r="H2039" i="1" l="1"/>
  <c r="A2038" i="1"/>
  <c r="H2040" i="1" l="1"/>
  <c r="A2039" i="1"/>
  <c r="H2041" i="1" l="1"/>
  <c r="A2040" i="1"/>
  <c r="H2042" i="1" l="1"/>
  <c r="A2041" i="1"/>
  <c r="H2043" i="1" l="1"/>
  <c r="A2042" i="1"/>
  <c r="H2044" i="1" l="1"/>
  <c r="A2043" i="1"/>
  <c r="H2045" i="1" l="1"/>
  <c r="A2044" i="1"/>
  <c r="H2046" i="1" l="1"/>
  <c r="A2045" i="1"/>
  <c r="H2047" i="1" l="1"/>
  <c r="A2046" i="1"/>
  <c r="H2048" i="1" l="1"/>
  <c r="A2047" i="1"/>
  <c r="H2049" i="1" l="1"/>
  <c r="A2048" i="1"/>
  <c r="H2050" i="1" l="1"/>
  <c r="A2049" i="1"/>
  <c r="H2051" i="1" l="1"/>
  <c r="A2050" i="1"/>
  <c r="H2052" i="1" l="1"/>
  <c r="A2051" i="1"/>
  <c r="H2053" i="1" l="1"/>
  <c r="A2052" i="1"/>
  <c r="H2054" i="1" l="1"/>
  <c r="A2053" i="1"/>
  <c r="H2055" i="1" l="1"/>
  <c r="A2054" i="1"/>
  <c r="H2056" i="1" l="1"/>
  <c r="A2055" i="1"/>
  <c r="H2057" i="1" l="1"/>
  <c r="A2056" i="1"/>
  <c r="H2058" i="1" l="1"/>
  <c r="A2057" i="1"/>
  <c r="H2059" i="1" l="1"/>
  <c r="A2058" i="1"/>
  <c r="H2060" i="1" l="1"/>
  <c r="A2059" i="1"/>
  <c r="H2061" i="1" l="1"/>
  <c r="A2060" i="1"/>
  <c r="H2062" i="1" l="1"/>
  <c r="A2061" i="1"/>
  <c r="H2063" i="1" l="1"/>
  <c r="A2062" i="1"/>
  <c r="H2064" i="1" l="1"/>
  <c r="A2063" i="1"/>
  <c r="H2065" i="1" l="1"/>
  <c r="A2064" i="1"/>
  <c r="H2066" i="1" l="1"/>
  <c r="A2065" i="1"/>
  <c r="H2067" i="1" l="1"/>
  <c r="A2066" i="1"/>
  <c r="H2068" i="1" l="1"/>
  <c r="A2067" i="1"/>
  <c r="H2069" i="1" l="1"/>
  <c r="A2068" i="1"/>
  <c r="H2070" i="1" l="1"/>
  <c r="A2069" i="1"/>
  <c r="H2071" i="1" l="1"/>
  <c r="A2070" i="1"/>
  <c r="H2072" i="1" l="1"/>
  <c r="A2071" i="1"/>
  <c r="H2073" i="1" l="1"/>
  <c r="A2072" i="1"/>
  <c r="H2074" i="1" l="1"/>
  <c r="A2073" i="1"/>
  <c r="H2075" i="1" l="1"/>
  <c r="A2074" i="1"/>
  <c r="H2076" i="1" l="1"/>
  <c r="A2075" i="1"/>
  <c r="H2077" i="1" l="1"/>
  <c r="A2076" i="1"/>
  <c r="H2078" i="1" l="1"/>
  <c r="A2077" i="1"/>
  <c r="H2079" i="1" l="1"/>
  <c r="A2078" i="1"/>
  <c r="H2080" i="1" l="1"/>
  <c r="A2079" i="1"/>
  <c r="H2081" i="1" l="1"/>
  <c r="A2080" i="1"/>
  <c r="H2082" i="1" l="1"/>
  <c r="A2081" i="1"/>
  <c r="H2083" i="1" l="1"/>
  <c r="A2082" i="1"/>
  <c r="H2084" i="1" l="1"/>
  <c r="A2083" i="1"/>
  <c r="H2085" i="1" l="1"/>
  <c r="A2084" i="1"/>
  <c r="H2086" i="1" l="1"/>
  <c r="A2085" i="1"/>
  <c r="H2087" i="1" l="1"/>
  <c r="A2086" i="1"/>
  <c r="H2088" i="1" l="1"/>
  <c r="A2087" i="1"/>
  <c r="H2089" i="1" l="1"/>
  <c r="A2088" i="1"/>
  <c r="H2090" i="1" l="1"/>
  <c r="A2089" i="1"/>
  <c r="H2091" i="1" l="1"/>
  <c r="A2090" i="1"/>
  <c r="H2092" i="1" l="1"/>
  <c r="A2091" i="1"/>
  <c r="H2093" i="1" l="1"/>
  <c r="A2092" i="1"/>
  <c r="H2094" i="1" l="1"/>
  <c r="A2093" i="1"/>
  <c r="H2095" i="1" l="1"/>
  <c r="A2094" i="1"/>
  <c r="H2096" i="1" l="1"/>
  <c r="A2095" i="1"/>
  <c r="H2097" i="1" l="1"/>
  <c r="A2096" i="1"/>
  <c r="H2098" i="1" l="1"/>
  <c r="A2097" i="1"/>
  <c r="H2099" i="1" l="1"/>
  <c r="A2098" i="1"/>
  <c r="H2100" i="1" l="1"/>
  <c r="A2099" i="1"/>
  <c r="H2101" i="1" l="1"/>
  <c r="A2100" i="1"/>
  <c r="H2102" i="1" l="1"/>
  <c r="A2101" i="1"/>
  <c r="H2103" i="1" l="1"/>
  <c r="A2102" i="1"/>
  <c r="H2104" i="1" l="1"/>
  <c r="A2103" i="1"/>
  <c r="H2105" i="1" l="1"/>
  <c r="A2104" i="1"/>
  <c r="H2106" i="1" l="1"/>
  <c r="A2105" i="1"/>
  <c r="H2107" i="1" l="1"/>
  <c r="A2106" i="1"/>
  <c r="H2108" i="1" l="1"/>
  <c r="A2107" i="1"/>
  <c r="H2109" i="1" l="1"/>
  <c r="A2108" i="1"/>
  <c r="H2110" i="1" l="1"/>
  <c r="A2109" i="1"/>
  <c r="H2111" i="1" l="1"/>
  <c r="A2110" i="1"/>
  <c r="H2112" i="1" l="1"/>
  <c r="A2111" i="1"/>
  <c r="H2113" i="1" l="1"/>
  <c r="A2112" i="1"/>
  <c r="H2114" i="1" l="1"/>
  <c r="A2113" i="1"/>
  <c r="H2115" i="1" l="1"/>
  <c r="A2114" i="1"/>
  <c r="H2116" i="1" l="1"/>
  <c r="A2115" i="1"/>
  <c r="H2117" i="1" l="1"/>
  <c r="A2116" i="1"/>
  <c r="H2118" i="1" l="1"/>
  <c r="A2117" i="1"/>
  <c r="H2119" i="1" l="1"/>
  <c r="A2118" i="1"/>
  <c r="H2120" i="1" l="1"/>
  <c r="A2119" i="1"/>
  <c r="H2121" i="1" l="1"/>
  <c r="A2120" i="1"/>
  <c r="H2122" i="1" l="1"/>
  <c r="A2121" i="1"/>
  <c r="H2123" i="1" l="1"/>
  <c r="A2122" i="1"/>
  <c r="H2124" i="1" l="1"/>
  <c r="A2123" i="1"/>
  <c r="H2125" i="1" l="1"/>
  <c r="A2124" i="1"/>
  <c r="H2126" i="1" l="1"/>
  <c r="A2125" i="1"/>
  <c r="H2127" i="1" l="1"/>
  <c r="A2126" i="1"/>
  <c r="H2128" i="1" l="1"/>
  <c r="A2127" i="1"/>
  <c r="H2129" i="1" l="1"/>
  <c r="A2128" i="1"/>
  <c r="H2130" i="1" l="1"/>
  <c r="A2129" i="1"/>
  <c r="H2131" i="1" l="1"/>
  <c r="A2130" i="1"/>
  <c r="H2132" i="1" l="1"/>
  <c r="A2131" i="1"/>
  <c r="A2132" i="1" l="1"/>
  <c r="H2133" i="1"/>
  <c r="H2134" i="1" l="1"/>
  <c r="A2133" i="1"/>
  <c r="H2135" i="1" l="1"/>
  <c r="A2134" i="1"/>
  <c r="H2136" i="1" l="1"/>
  <c r="A2135" i="1"/>
  <c r="H2137" i="1" l="1"/>
  <c r="A2136" i="1"/>
  <c r="H2138" i="1" l="1"/>
  <c r="A2137" i="1"/>
  <c r="A2138" i="1" l="1"/>
  <c r="H2139" i="1"/>
  <c r="H2140" i="1" l="1"/>
  <c r="A2139" i="1"/>
  <c r="A2140" i="1" l="1"/>
  <c r="H2141" i="1"/>
  <c r="H2142" i="1" l="1"/>
  <c r="A2141" i="1"/>
  <c r="A2142" i="1" l="1"/>
  <c r="H2143" i="1"/>
  <c r="H2144" i="1" l="1"/>
  <c r="A2143" i="1"/>
  <c r="H2145" i="1" l="1"/>
  <c r="A2144" i="1"/>
  <c r="H2146" i="1" l="1"/>
  <c r="A2145" i="1"/>
  <c r="A2146" i="1" l="1"/>
  <c r="H2147" i="1"/>
  <c r="H2148" i="1" l="1"/>
  <c r="A2147" i="1"/>
  <c r="A2148" i="1" l="1"/>
  <c r="H2149" i="1"/>
  <c r="H2150" i="1" l="1"/>
  <c r="A2149" i="1"/>
  <c r="H2151" i="1" l="1"/>
  <c r="A2150" i="1"/>
  <c r="H2152" i="1" l="1"/>
  <c r="A2151" i="1"/>
  <c r="H2153" i="1" l="1"/>
  <c r="A2152" i="1"/>
  <c r="H2154" i="1" l="1"/>
  <c r="A2153" i="1"/>
  <c r="H2155" i="1" l="1"/>
  <c r="A2154" i="1"/>
  <c r="H2156" i="1" l="1"/>
  <c r="A2155" i="1"/>
  <c r="A2156" i="1" l="1"/>
  <c r="H2157" i="1"/>
  <c r="H2158" i="1" l="1"/>
  <c r="A2157" i="1"/>
  <c r="H2159" i="1" l="1"/>
  <c r="A2158" i="1"/>
  <c r="H2160" i="1" l="1"/>
  <c r="A2159" i="1"/>
  <c r="H2161" i="1" l="1"/>
  <c r="A2160" i="1"/>
  <c r="H2162" i="1" l="1"/>
  <c r="A2161" i="1"/>
  <c r="A2162" i="1" l="1"/>
  <c r="H2163" i="1"/>
  <c r="H2164" i="1" l="1"/>
  <c r="A2163" i="1"/>
  <c r="A2164" i="1" l="1"/>
  <c r="H2165" i="1"/>
  <c r="H2166" i="1" l="1"/>
  <c r="A2165" i="1"/>
  <c r="H2167" i="1" l="1"/>
  <c r="A2166" i="1"/>
  <c r="H2168" i="1" l="1"/>
  <c r="A2167" i="1"/>
  <c r="H2169" i="1" l="1"/>
  <c r="A2168" i="1"/>
  <c r="H2170" i="1" l="1"/>
  <c r="A2169" i="1"/>
  <c r="H2171" i="1" l="1"/>
  <c r="A2170" i="1"/>
  <c r="H2172" i="1" l="1"/>
  <c r="A2171" i="1"/>
  <c r="A2172" i="1" l="1"/>
  <c r="H2173" i="1"/>
  <c r="H2174" i="1" l="1"/>
  <c r="A2173" i="1"/>
  <c r="A2174" i="1" l="1"/>
  <c r="H2175" i="1"/>
  <c r="H2176" i="1" l="1"/>
  <c r="A2175" i="1"/>
  <c r="H2177" i="1" l="1"/>
  <c r="A2176" i="1"/>
  <c r="H2178" i="1" l="1"/>
  <c r="A2177" i="1"/>
  <c r="H2179" i="1" l="1"/>
  <c r="A2178" i="1"/>
  <c r="H2180" i="1" l="1"/>
  <c r="A2179" i="1"/>
  <c r="A2180" i="1" l="1"/>
  <c r="H2181" i="1"/>
  <c r="H2182" i="1" l="1"/>
  <c r="A2181" i="1"/>
  <c r="A2182" i="1" l="1"/>
  <c r="H2183" i="1"/>
  <c r="H2184" i="1" l="1"/>
  <c r="A2183" i="1"/>
  <c r="H2185" i="1" l="1"/>
  <c r="A2184" i="1"/>
  <c r="H2186" i="1" l="1"/>
  <c r="A2185" i="1"/>
  <c r="H2187" i="1" l="1"/>
  <c r="A2186" i="1"/>
  <c r="H2188" i="1" l="1"/>
  <c r="A2187" i="1"/>
  <c r="A2188" i="1" l="1"/>
  <c r="H2189" i="1"/>
  <c r="H2190" i="1" l="1"/>
  <c r="A2189" i="1"/>
  <c r="A2190" i="1" l="1"/>
  <c r="H2191" i="1"/>
  <c r="H2192" i="1" l="1"/>
  <c r="A2191" i="1"/>
  <c r="H2193" i="1" l="1"/>
  <c r="A2192" i="1"/>
  <c r="H2194" i="1" l="1"/>
  <c r="A2193" i="1"/>
  <c r="H2195" i="1" l="1"/>
  <c r="A2194" i="1"/>
  <c r="H2196" i="1" l="1"/>
  <c r="A2195" i="1"/>
  <c r="A2196" i="1" l="1"/>
  <c r="H2197" i="1"/>
  <c r="H2198" i="1" l="1"/>
  <c r="A2197" i="1"/>
  <c r="A2198" i="1" l="1"/>
  <c r="H2199" i="1"/>
  <c r="H2200" i="1" l="1"/>
  <c r="A2199" i="1"/>
  <c r="H2201" i="1" l="1"/>
  <c r="A2200" i="1"/>
  <c r="H2202" i="1" l="1"/>
  <c r="A2201" i="1"/>
  <c r="H2203" i="1" l="1"/>
  <c r="A2202" i="1"/>
  <c r="H2204" i="1" l="1"/>
  <c r="A2203" i="1"/>
  <c r="A2204" i="1" l="1"/>
  <c r="H2205" i="1"/>
  <c r="H2206" i="1" l="1"/>
  <c r="A2205" i="1"/>
  <c r="A2206" i="1" l="1"/>
  <c r="H2207" i="1"/>
  <c r="H2208" i="1" l="1"/>
  <c r="A2207" i="1"/>
  <c r="H2209" i="1" l="1"/>
  <c r="A2208" i="1"/>
  <c r="H2210" i="1" l="1"/>
  <c r="A2209" i="1"/>
  <c r="H2211" i="1" l="1"/>
  <c r="A2210" i="1"/>
  <c r="H2212" i="1" l="1"/>
  <c r="A2211" i="1"/>
  <c r="A2212" i="1" l="1"/>
  <c r="H2213" i="1"/>
  <c r="H2214" i="1" l="1"/>
  <c r="A2213" i="1"/>
  <c r="A2214" i="1" l="1"/>
  <c r="H2215" i="1"/>
  <c r="H2216" i="1" l="1"/>
  <c r="A2215" i="1"/>
  <c r="H2217" i="1" l="1"/>
  <c r="A2216" i="1"/>
  <c r="H2218" i="1" l="1"/>
  <c r="A2217" i="1"/>
  <c r="H2219" i="1" l="1"/>
  <c r="A2218" i="1"/>
  <c r="H2220" i="1" l="1"/>
  <c r="A2219" i="1"/>
  <c r="A2220" i="1" l="1"/>
  <c r="H2221" i="1"/>
  <c r="H2222" i="1" l="1"/>
  <c r="A2221" i="1"/>
  <c r="A2222" i="1" l="1"/>
  <c r="H2223" i="1"/>
  <c r="H2224" i="1" l="1"/>
  <c r="A2223" i="1"/>
  <c r="H2225" i="1" l="1"/>
  <c r="A2224" i="1"/>
  <c r="H2226" i="1" l="1"/>
  <c r="A2225" i="1"/>
  <c r="H2227" i="1" l="1"/>
  <c r="A2226" i="1"/>
  <c r="H2228" i="1" l="1"/>
  <c r="A2227" i="1"/>
  <c r="A2228" i="1" l="1"/>
  <c r="H2229" i="1"/>
  <c r="H2230" i="1" l="1"/>
  <c r="A2229" i="1"/>
  <c r="A2230" i="1" l="1"/>
  <c r="H2231" i="1"/>
  <c r="H2232" i="1" l="1"/>
  <c r="A2231" i="1"/>
  <c r="H2233" i="1" l="1"/>
  <c r="A2232" i="1"/>
  <c r="H2234" i="1" l="1"/>
  <c r="A2233" i="1"/>
  <c r="H2235" i="1" l="1"/>
  <c r="A2234" i="1"/>
  <c r="H2236" i="1" l="1"/>
  <c r="A2235" i="1"/>
  <c r="A2236" i="1" l="1"/>
  <c r="H2237" i="1"/>
  <c r="H2238" i="1" l="1"/>
  <c r="A2237" i="1"/>
  <c r="A2238" i="1" l="1"/>
  <c r="H2239" i="1"/>
  <c r="H2240" i="1" l="1"/>
  <c r="A2239" i="1"/>
  <c r="H2241" i="1" l="1"/>
  <c r="A2240" i="1"/>
  <c r="H2242" i="1" l="1"/>
  <c r="A2241" i="1"/>
  <c r="H2243" i="1" l="1"/>
  <c r="A2242" i="1"/>
  <c r="H2244" i="1" l="1"/>
  <c r="A2243" i="1"/>
  <c r="A2244" i="1" l="1"/>
  <c r="H2245" i="1"/>
  <c r="H2246" i="1" l="1"/>
  <c r="A2245" i="1"/>
  <c r="A2246" i="1" l="1"/>
  <c r="H2247" i="1"/>
  <c r="H2248" i="1" l="1"/>
  <c r="A2247" i="1"/>
  <c r="H2249" i="1" l="1"/>
  <c r="A2248" i="1"/>
  <c r="H2250" i="1" l="1"/>
  <c r="A2249" i="1"/>
  <c r="H2251" i="1" l="1"/>
  <c r="A2250" i="1"/>
  <c r="H2252" i="1" l="1"/>
  <c r="A2251" i="1"/>
  <c r="A2252" i="1" l="1"/>
  <c r="H2253" i="1"/>
  <c r="H2254" i="1" l="1"/>
  <c r="A2253" i="1"/>
  <c r="A2254" i="1" l="1"/>
  <c r="H2255" i="1"/>
  <c r="H2256" i="1" l="1"/>
  <c r="A2255" i="1"/>
  <c r="H2257" i="1" l="1"/>
  <c r="A2256" i="1"/>
  <c r="H2258" i="1" l="1"/>
  <c r="A2257" i="1"/>
  <c r="H2259" i="1" l="1"/>
  <c r="A2258" i="1"/>
  <c r="H2260" i="1" l="1"/>
  <c r="A2259" i="1"/>
  <c r="A2260" i="1" l="1"/>
  <c r="H2261" i="1"/>
  <c r="H2262" i="1" l="1"/>
  <c r="A2261" i="1"/>
  <c r="A2262" i="1" l="1"/>
  <c r="H2263" i="1"/>
  <c r="H2264" i="1" l="1"/>
  <c r="A2263" i="1"/>
  <c r="H2265" i="1" l="1"/>
  <c r="A2264" i="1"/>
  <c r="H2266" i="1" l="1"/>
  <c r="A2265" i="1"/>
  <c r="H2267" i="1" l="1"/>
  <c r="A2266" i="1"/>
  <c r="H2268" i="1" l="1"/>
  <c r="A2267" i="1"/>
  <c r="A2268" i="1" l="1"/>
  <c r="H2269" i="1"/>
  <c r="H2270" i="1" l="1"/>
  <c r="A2269" i="1"/>
  <c r="A2270" i="1" l="1"/>
  <c r="H2271" i="1"/>
  <c r="H2272" i="1" l="1"/>
  <c r="A2271" i="1"/>
  <c r="H2273" i="1" l="1"/>
  <c r="A2272" i="1"/>
  <c r="H2274" i="1" l="1"/>
  <c r="A2273" i="1"/>
  <c r="H2275" i="1" l="1"/>
  <c r="A2274" i="1"/>
  <c r="H2276" i="1" l="1"/>
  <c r="A2275" i="1"/>
  <c r="A2276" i="1" l="1"/>
  <c r="H2277" i="1"/>
  <c r="H2278" i="1" l="1"/>
  <c r="A2277" i="1"/>
  <c r="A2278" i="1" l="1"/>
  <c r="H2279" i="1"/>
  <c r="H2280" i="1" l="1"/>
  <c r="A2279" i="1"/>
  <c r="H2281" i="1" l="1"/>
  <c r="A2280" i="1"/>
  <c r="H2282" i="1" l="1"/>
  <c r="A2281" i="1"/>
  <c r="H2283" i="1" l="1"/>
  <c r="A2282" i="1"/>
  <c r="H2284" i="1" l="1"/>
  <c r="A2283" i="1"/>
  <c r="A2284" i="1" l="1"/>
  <c r="H2285" i="1"/>
  <c r="H2286" i="1" l="1"/>
  <c r="A2285" i="1"/>
  <c r="A2286" i="1" l="1"/>
  <c r="H2287" i="1"/>
  <c r="H2288" i="1" l="1"/>
  <c r="A2287" i="1"/>
  <c r="H2289" i="1" l="1"/>
  <c r="A2288" i="1"/>
  <c r="H2290" i="1" l="1"/>
  <c r="A2289" i="1"/>
  <c r="H2291" i="1" l="1"/>
  <c r="A2290" i="1"/>
  <c r="H2292" i="1" l="1"/>
  <c r="A2291" i="1"/>
  <c r="A2292" i="1" l="1"/>
  <c r="H2293" i="1"/>
  <c r="H2294" i="1" l="1"/>
  <c r="A2293" i="1"/>
  <c r="A2294" i="1" l="1"/>
  <c r="H2295" i="1"/>
  <c r="H2296" i="1" l="1"/>
  <c r="A2295" i="1"/>
  <c r="H2297" i="1" l="1"/>
  <c r="A2296" i="1"/>
  <c r="H2298" i="1" l="1"/>
  <c r="A2297" i="1"/>
  <c r="H2299" i="1" l="1"/>
  <c r="A2298" i="1"/>
  <c r="H2300" i="1" l="1"/>
  <c r="A2299" i="1"/>
  <c r="A2300" i="1" l="1"/>
  <c r="H2301" i="1"/>
  <c r="H2302" i="1" l="1"/>
  <c r="A2301" i="1"/>
  <c r="A2302" i="1" l="1"/>
  <c r="H2303" i="1"/>
  <c r="H2304" i="1" l="1"/>
  <c r="A2303" i="1"/>
  <c r="H2305" i="1" l="1"/>
  <c r="A2304" i="1"/>
  <c r="H2306" i="1" l="1"/>
  <c r="A2305" i="1"/>
  <c r="H2307" i="1" l="1"/>
  <c r="A2306" i="1"/>
  <c r="H2308" i="1" l="1"/>
  <c r="A2307" i="1"/>
  <c r="A2308" i="1" l="1"/>
  <c r="H2309" i="1"/>
  <c r="H2310" i="1" l="1"/>
  <c r="A2309" i="1"/>
  <c r="A2310" i="1" l="1"/>
  <c r="H2311" i="1"/>
  <c r="H2312" i="1" l="1"/>
  <c r="A2311" i="1"/>
  <c r="H2313" i="1" l="1"/>
  <c r="A2312" i="1"/>
  <c r="H2314" i="1" l="1"/>
  <c r="A2313" i="1"/>
  <c r="H2315" i="1" l="1"/>
  <c r="A2314" i="1"/>
  <c r="H2316" i="1" l="1"/>
  <c r="A2315" i="1"/>
  <c r="A2316" i="1" l="1"/>
  <c r="H2317" i="1"/>
  <c r="H2318" i="1" l="1"/>
  <c r="A2317" i="1"/>
  <c r="A2318" i="1" l="1"/>
  <c r="H2319" i="1"/>
  <c r="H2320" i="1" l="1"/>
  <c r="A2319" i="1"/>
  <c r="H2321" i="1" l="1"/>
  <c r="A2320" i="1"/>
  <c r="H2322" i="1" l="1"/>
  <c r="A2321" i="1"/>
  <c r="H2323" i="1" l="1"/>
  <c r="A2322" i="1"/>
  <c r="H2324" i="1" l="1"/>
  <c r="A2323" i="1"/>
  <c r="A2324" i="1" l="1"/>
  <c r="H2325" i="1"/>
  <c r="H2326" i="1" l="1"/>
  <c r="A2325" i="1"/>
  <c r="A2326" i="1" l="1"/>
  <c r="H2327" i="1"/>
  <c r="H2328" i="1" l="1"/>
  <c r="A2327" i="1"/>
  <c r="H2329" i="1" l="1"/>
  <c r="A2328" i="1"/>
  <c r="H2330" i="1" l="1"/>
  <c r="A2329" i="1"/>
  <c r="H2331" i="1" l="1"/>
  <c r="A2330" i="1"/>
  <c r="H2332" i="1" l="1"/>
  <c r="A2331" i="1"/>
  <c r="A2332" i="1" l="1"/>
  <c r="H2333" i="1"/>
  <c r="H2334" i="1" l="1"/>
  <c r="A2333" i="1"/>
  <c r="A2334" i="1" l="1"/>
  <c r="H2335" i="1"/>
  <c r="H2336" i="1" l="1"/>
  <c r="A2335" i="1"/>
  <c r="H2337" i="1" l="1"/>
  <c r="A2336" i="1"/>
  <c r="H2338" i="1" l="1"/>
  <c r="A2337" i="1"/>
  <c r="H2339" i="1" l="1"/>
  <c r="A2338" i="1"/>
  <c r="H2340" i="1" l="1"/>
  <c r="A2339" i="1"/>
  <c r="A2340" i="1" l="1"/>
  <c r="H2341" i="1"/>
  <c r="H2342" i="1" l="1"/>
  <c r="A2341" i="1"/>
  <c r="A2342" i="1" l="1"/>
  <c r="H2343" i="1"/>
  <c r="H2344" i="1" l="1"/>
  <c r="A2343" i="1"/>
  <c r="H2345" i="1" l="1"/>
  <c r="A2344" i="1"/>
  <c r="H2346" i="1" l="1"/>
  <c r="A2345" i="1"/>
  <c r="H2347" i="1" l="1"/>
  <c r="A2346" i="1"/>
  <c r="H2348" i="1" l="1"/>
  <c r="A2347" i="1"/>
  <c r="A2348" i="1" l="1"/>
  <c r="H2349" i="1"/>
  <c r="H2350" i="1" l="1"/>
  <c r="A2349" i="1"/>
  <c r="A2350" i="1" l="1"/>
  <c r="H2351" i="1"/>
  <c r="H2352" i="1" l="1"/>
  <c r="A2351" i="1"/>
  <c r="H2353" i="1" l="1"/>
  <c r="A2352" i="1"/>
  <c r="H2354" i="1" l="1"/>
  <c r="A2353" i="1"/>
  <c r="H2355" i="1" l="1"/>
  <c r="A2354" i="1"/>
  <c r="H2356" i="1" l="1"/>
  <c r="A2355" i="1"/>
  <c r="A2356" i="1" l="1"/>
  <c r="H2357" i="1"/>
  <c r="H2358" i="1" l="1"/>
  <c r="A2357" i="1"/>
  <c r="A2358" i="1" l="1"/>
  <c r="H2359" i="1"/>
  <c r="H2360" i="1" l="1"/>
  <c r="A2359" i="1"/>
  <c r="A2360" i="1" l="1"/>
  <c r="H2361" i="1"/>
  <c r="H2362" i="1" l="1"/>
  <c r="A2361" i="1"/>
  <c r="H2363" i="1" l="1"/>
  <c r="A2362" i="1"/>
  <c r="H2364" i="1" l="1"/>
  <c r="A2363" i="1"/>
  <c r="H2365" i="1" l="1"/>
  <c r="A2364" i="1"/>
  <c r="H2366" i="1" l="1"/>
  <c r="A2365" i="1"/>
  <c r="H2367" i="1" l="1"/>
  <c r="A2366" i="1"/>
  <c r="H2368" i="1" l="1"/>
  <c r="A2367" i="1"/>
  <c r="A2368" i="1" l="1"/>
  <c r="H2369" i="1"/>
  <c r="H2370" i="1" l="1"/>
  <c r="A2369" i="1"/>
  <c r="H2371" i="1" l="1"/>
  <c r="A2370" i="1"/>
  <c r="H2372" i="1" l="1"/>
  <c r="A2371" i="1"/>
  <c r="H2373" i="1" l="1"/>
  <c r="A2372" i="1"/>
  <c r="H2374" i="1" l="1"/>
  <c r="A2373" i="1"/>
  <c r="H2375" i="1" l="1"/>
  <c r="A2374" i="1"/>
  <c r="H2376" i="1" l="1"/>
  <c r="A2375" i="1"/>
  <c r="A2376" i="1" l="1"/>
  <c r="H2377" i="1"/>
  <c r="H2378" i="1" l="1"/>
  <c r="A2377" i="1"/>
  <c r="H2379" i="1" l="1"/>
  <c r="A2378" i="1"/>
  <c r="H2380" i="1" l="1"/>
  <c r="A2379" i="1"/>
  <c r="H2381" i="1" l="1"/>
  <c r="A2380" i="1"/>
  <c r="H2382" i="1" l="1"/>
  <c r="A2381" i="1"/>
  <c r="H2383" i="1" l="1"/>
  <c r="A2382" i="1"/>
  <c r="H2384" i="1" l="1"/>
  <c r="A2383" i="1"/>
  <c r="H2385" i="1" l="1"/>
  <c r="A2384" i="1"/>
  <c r="H2386" i="1" l="1"/>
  <c r="A2385" i="1"/>
  <c r="H2387" i="1" l="1"/>
  <c r="A2386" i="1"/>
  <c r="H2388" i="1" l="1"/>
  <c r="A2387" i="1"/>
  <c r="H2389" i="1" l="1"/>
  <c r="A2388" i="1"/>
  <c r="H2390" i="1" l="1"/>
  <c r="A2389" i="1"/>
  <c r="H2391" i="1" l="1"/>
  <c r="A2390" i="1"/>
  <c r="H2392" i="1" l="1"/>
  <c r="A2391" i="1"/>
  <c r="H2393" i="1" l="1"/>
  <c r="A2392" i="1"/>
  <c r="H2394" i="1" l="1"/>
  <c r="A2393" i="1"/>
  <c r="H2395" i="1" l="1"/>
  <c r="A2394" i="1"/>
  <c r="H2396" i="1" l="1"/>
  <c r="A2395" i="1"/>
  <c r="H2397" i="1" l="1"/>
  <c r="A2396" i="1"/>
  <c r="H2398" i="1" l="1"/>
  <c r="A2397" i="1"/>
  <c r="H2399" i="1" l="1"/>
  <c r="A2398" i="1"/>
  <c r="H2400" i="1" l="1"/>
  <c r="A2399" i="1"/>
  <c r="H2401" i="1" l="1"/>
  <c r="A2400" i="1"/>
  <c r="H2402" i="1" l="1"/>
  <c r="A2401" i="1"/>
  <c r="H2403" i="1" l="1"/>
  <c r="A2402" i="1"/>
  <c r="H2404" i="1" l="1"/>
  <c r="A2403" i="1"/>
  <c r="H2405" i="1" l="1"/>
  <c r="A2404" i="1"/>
  <c r="H2406" i="1" l="1"/>
  <c r="A2405" i="1"/>
  <c r="H2407" i="1" l="1"/>
  <c r="A2406" i="1"/>
  <c r="H2408" i="1" l="1"/>
  <c r="A2407" i="1"/>
  <c r="H2409" i="1" l="1"/>
  <c r="A2408" i="1"/>
  <c r="H2410" i="1" l="1"/>
  <c r="A2409" i="1"/>
  <c r="H2411" i="1" l="1"/>
  <c r="A2410" i="1"/>
  <c r="H2412" i="1" l="1"/>
  <c r="A2411" i="1"/>
  <c r="H2413" i="1" l="1"/>
  <c r="A2412" i="1"/>
  <c r="H2414" i="1" l="1"/>
  <c r="A2413" i="1"/>
  <c r="H2415" i="1" l="1"/>
  <c r="A2414" i="1"/>
  <c r="H2416" i="1" l="1"/>
  <c r="A2415" i="1"/>
  <c r="H2417" i="1" l="1"/>
  <c r="A2416" i="1"/>
  <c r="H2418" i="1" l="1"/>
  <c r="A2417" i="1"/>
  <c r="H2419" i="1" l="1"/>
  <c r="A2418" i="1"/>
  <c r="H2420" i="1" l="1"/>
  <c r="A2419" i="1"/>
  <c r="H2421" i="1" l="1"/>
  <c r="A2420" i="1"/>
  <c r="H2422" i="1" l="1"/>
  <c r="A2421" i="1"/>
  <c r="H2423" i="1" l="1"/>
  <c r="A2422" i="1"/>
  <c r="H2424" i="1" l="1"/>
  <c r="A2423" i="1"/>
  <c r="H2425" i="1" l="1"/>
  <c r="A2424" i="1"/>
  <c r="H2426" i="1" l="1"/>
  <c r="A2425" i="1"/>
  <c r="H2427" i="1" l="1"/>
  <c r="A2426" i="1"/>
  <c r="H2428" i="1" l="1"/>
  <c r="A2427" i="1"/>
  <c r="H2429" i="1" l="1"/>
  <c r="A2428" i="1"/>
  <c r="H2430" i="1" l="1"/>
  <c r="A2429" i="1"/>
  <c r="H2431" i="1" l="1"/>
  <c r="A2430" i="1"/>
  <c r="H2432" i="1" l="1"/>
  <c r="A2431" i="1"/>
  <c r="H2433" i="1" l="1"/>
  <c r="A2432" i="1"/>
  <c r="H2434" i="1" l="1"/>
  <c r="A2433" i="1"/>
  <c r="H2435" i="1" l="1"/>
  <c r="A2434" i="1"/>
  <c r="H2436" i="1" l="1"/>
  <c r="A2435" i="1"/>
  <c r="H2437" i="1" l="1"/>
  <c r="A2436" i="1"/>
  <c r="H2438" i="1" l="1"/>
  <c r="A2437" i="1"/>
  <c r="H2439" i="1" l="1"/>
  <c r="A2438" i="1"/>
  <c r="H2440" i="1" l="1"/>
  <c r="A2439" i="1"/>
  <c r="H2441" i="1" l="1"/>
  <c r="A2440" i="1"/>
  <c r="H2442" i="1" l="1"/>
  <c r="A2441" i="1"/>
  <c r="H2443" i="1" l="1"/>
  <c r="A2442" i="1"/>
  <c r="H2444" i="1" l="1"/>
  <c r="A2443" i="1"/>
  <c r="H2445" i="1" l="1"/>
  <c r="A2444" i="1"/>
  <c r="H2446" i="1" l="1"/>
  <c r="A2445" i="1"/>
  <c r="H2447" i="1" l="1"/>
  <c r="A2446" i="1"/>
  <c r="H2448" i="1" l="1"/>
  <c r="A2447" i="1"/>
  <c r="H2449" i="1" l="1"/>
  <c r="A2448" i="1"/>
  <c r="H2450" i="1" l="1"/>
  <c r="A2449" i="1"/>
  <c r="H2451" i="1" l="1"/>
  <c r="A2450" i="1"/>
  <c r="H2452" i="1" l="1"/>
  <c r="A2451" i="1"/>
  <c r="H2453" i="1" l="1"/>
  <c r="A2452" i="1"/>
  <c r="H2454" i="1" l="1"/>
  <c r="A2453" i="1"/>
  <c r="H2455" i="1" l="1"/>
  <c r="A2454" i="1"/>
  <c r="H2456" i="1" l="1"/>
  <c r="A2455" i="1"/>
  <c r="H2457" i="1" l="1"/>
  <c r="A2456" i="1"/>
  <c r="H2458" i="1" l="1"/>
  <c r="A2457" i="1"/>
  <c r="H2459" i="1" l="1"/>
  <c r="A2458" i="1"/>
  <c r="H2460" i="1" l="1"/>
  <c r="A2459" i="1"/>
  <c r="H2461" i="1" l="1"/>
  <c r="A2460" i="1"/>
  <c r="H2462" i="1" l="1"/>
  <c r="A2461" i="1"/>
  <c r="H2463" i="1" l="1"/>
  <c r="A2462" i="1"/>
  <c r="H2464" i="1" l="1"/>
  <c r="A2463" i="1"/>
  <c r="H2465" i="1" l="1"/>
  <c r="A2464" i="1"/>
  <c r="H2466" i="1" l="1"/>
  <c r="A2465" i="1"/>
  <c r="H2467" i="1" l="1"/>
  <c r="A2466" i="1"/>
  <c r="H2468" i="1" l="1"/>
  <c r="A2467" i="1"/>
  <c r="H2469" i="1" l="1"/>
  <c r="A2468" i="1"/>
  <c r="H2470" i="1" l="1"/>
  <c r="A2469" i="1"/>
  <c r="H2471" i="1" l="1"/>
  <c r="A2470" i="1"/>
  <c r="H2472" i="1" l="1"/>
  <c r="A2471" i="1"/>
  <c r="H2473" i="1" l="1"/>
  <c r="A2472" i="1"/>
  <c r="H2474" i="1" l="1"/>
  <c r="A2473" i="1"/>
  <c r="H2475" i="1" l="1"/>
  <c r="A2474" i="1"/>
  <c r="H2476" i="1" l="1"/>
  <c r="A2475" i="1"/>
  <c r="H2477" i="1" l="1"/>
  <c r="A2476" i="1"/>
  <c r="H2478" i="1" l="1"/>
  <c r="A2477" i="1"/>
  <c r="H2479" i="1" l="1"/>
  <c r="A2478" i="1"/>
  <c r="H2480" i="1" l="1"/>
  <c r="A2479" i="1"/>
  <c r="H2481" i="1" l="1"/>
  <c r="A2480" i="1"/>
  <c r="H2482" i="1" l="1"/>
  <c r="A2481" i="1"/>
  <c r="H2483" i="1" l="1"/>
  <c r="A2482" i="1"/>
  <c r="H2484" i="1" l="1"/>
  <c r="A2483" i="1"/>
  <c r="H2485" i="1" l="1"/>
  <c r="A2484" i="1"/>
  <c r="H2486" i="1" l="1"/>
  <c r="A2485" i="1"/>
  <c r="H2487" i="1" l="1"/>
  <c r="A2486" i="1"/>
  <c r="H2488" i="1" l="1"/>
  <c r="A2487" i="1"/>
  <c r="H2489" i="1" l="1"/>
  <c r="A2488" i="1"/>
  <c r="H2490" i="1" l="1"/>
  <c r="A2489" i="1"/>
  <c r="H2491" i="1" l="1"/>
  <c r="A2490" i="1"/>
  <c r="H2492" i="1" l="1"/>
  <c r="A2491" i="1"/>
  <c r="H2493" i="1" l="1"/>
  <c r="A2492" i="1"/>
  <c r="H2494" i="1" l="1"/>
  <c r="A2493" i="1"/>
  <c r="H2495" i="1" l="1"/>
  <c r="A2494" i="1"/>
  <c r="H2496" i="1" l="1"/>
  <c r="A2495" i="1"/>
  <c r="H2497" i="1" l="1"/>
  <c r="A2496" i="1"/>
  <c r="H2498" i="1" l="1"/>
  <c r="A2497" i="1"/>
  <c r="H2499" i="1" l="1"/>
  <c r="A2498" i="1"/>
  <c r="H2500" i="1" l="1"/>
  <c r="A2499" i="1"/>
  <c r="H2501" i="1" l="1"/>
  <c r="A2500" i="1"/>
  <c r="H2502" i="1" l="1"/>
  <c r="A2501" i="1"/>
  <c r="H2503" i="1" l="1"/>
  <c r="A2502" i="1"/>
  <c r="H2504" i="1" l="1"/>
  <c r="A2503" i="1"/>
  <c r="H2505" i="1" l="1"/>
  <c r="A2504" i="1"/>
  <c r="H2506" i="1" l="1"/>
  <c r="A2505" i="1"/>
  <c r="H2507" i="1" l="1"/>
  <c r="A2506" i="1"/>
  <c r="H2508" i="1" l="1"/>
  <c r="A2507" i="1"/>
  <c r="H2509" i="1" l="1"/>
  <c r="A2508" i="1"/>
  <c r="H2510" i="1" l="1"/>
  <c r="A2509" i="1"/>
  <c r="H2511" i="1" l="1"/>
  <c r="A2510" i="1"/>
  <c r="H2512" i="1" l="1"/>
  <c r="A2511" i="1"/>
  <c r="H2513" i="1" l="1"/>
  <c r="A2512" i="1"/>
  <c r="A2513" i="1" l="1"/>
  <c r="H2514" i="1"/>
  <c r="A2514" i="1" l="1"/>
  <c r="H2515" i="1"/>
  <c r="A2515" i="1" l="1"/>
  <c r="H2516" i="1"/>
  <c r="H2517" i="1" l="1"/>
  <c r="A2516" i="1"/>
  <c r="A2517" i="1" l="1"/>
  <c r="H2518" i="1"/>
  <c r="A2518" i="1" l="1"/>
  <c r="H2519" i="1"/>
  <c r="A2519" i="1" l="1"/>
  <c r="H2520" i="1"/>
  <c r="H2521" i="1" l="1"/>
  <c r="A2520" i="1"/>
  <c r="A2521" i="1" l="1"/>
  <c r="H2522" i="1"/>
  <c r="A2522" i="1" l="1"/>
  <c r="H2523" i="1"/>
  <c r="A2523" i="1" l="1"/>
  <c r="H2524" i="1"/>
  <c r="H2525" i="1" l="1"/>
  <c r="A2524" i="1"/>
  <c r="A2525" i="1" l="1"/>
  <c r="H2526" i="1"/>
  <c r="A2526" i="1" l="1"/>
  <c r="H2527" i="1"/>
  <c r="A2527" i="1" l="1"/>
  <c r="H2528" i="1"/>
  <c r="H2529" i="1" l="1"/>
  <c r="A2528" i="1"/>
  <c r="A2529" i="1" l="1"/>
  <c r="H2530" i="1"/>
  <c r="A2530" i="1" l="1"/>
  <c r="H2531" i="1"/>
  <c r="A2531" i="1" l="1"/>
  <c r="H2532" i="1"/>
  <c r="H2533" i="1" l="1"/>
  <c r="A2532" i="1"/>
  <c r="A2533" i="1" l="1"/>
  <c r="H2534" i="1"/>
  <c r="A2534" i="1" l="1"/>
  <c r="H2535" i="1"/>
  <c r="A2535" i="1" l="1"/>
  <c r="H2536" i="1"/>
  <c r="H2537" i="1" l="1"/>
  <c r="A2536" i="1"/>
  <c r="A2537" i="1" l="1"/>
  <c r="H2538" i="1"/>
  <c r="A2538" i="1" l="1"/>
  <c r="H2539" i="1"/>
  <c r="A2539" i="1" l="1"/>
  <c r="H2540" i="1"/>
  <c r="H2541" i="1" l="1"/>
  <c r="A2540" i="1"/>
  <c r="A2541" i="1" l="1"/>
  <c r="H2542" i="1"/>
  <c r="A2542" i="1" l="1"/>
  <c r="H2543" i="1"/>
  <c r="A2543" i="1" l="1"/>
  <c r="H2544" i="1"/>
  <c r="H2545" i="1" l="1"/>
  <c r="A2544" i="1"/>
  <c r="A2545" i="1" l="1"/>
  <c r="H2546" i="1"/>
  <c r="A2546" i="1" l="1"/>
  <c r="H2547" i="1"/>
  <c r="A2547" i="1" l="1"/>
  <c r="H2548" i="1"/>
  <c r="H2549" i="1" l="1"/>
  <c r="A2548" i="1"/>
  <c r="A2549" i="1" l="1"/>
  <c r="H2550" i="1"/>
  <c r="A2550" i="1" l="1"/>
  <c r="H2551" i="1"/>
  <c r="A2551" i="1" l="1"/>
  <c r="H2552" i="1"/>
  <c r="H2553" i="1" l="1"/>
  <c r="A2552" i="1"/>
  <c r="A2553" i="1" l="1"/>
  <c r="H2554" i="1"/>
  <c r="A2554" i="1" l="1"/>
  <c r="H2555" i="1"/>
  <c r="A2555" i="1" l="1"/>
  <c r="H2556" i="1"/>
  <c r="H2557" i="1" l="1"/>
  <c r="A2556" i="1"/>
  <c r="A2557" i="1" l="1"/>
  <c r="H2558" i="1"/>
  <c r="A2558" i="1" l="1"/>
  <c r="H2559" i="1"/>
  <c r="A2559" i="1" l="1"/>
  <c r="H2560" i="1"/>
  <c r="H2561" i="1" l="1"/>
  <c r="A2560" i="1"/>
  <c r="A2561" i="1" l="1"/>
  <c r="H2562" i="1"/>
  <c r="A2562" i="1" l="1"/>
  <c r="H2563" i="1"/>
  <c r="A2563" i="1" l="1"/>
  <c r="H2564" i="1"/>
  <c r="H2565" i="1" l="1"/>
  <c r="A2564" i="1"/>
  <c r="A2565" i="1" l="1"/>
  <c r="H2566" i="1"/>
  <c r="A2566" i="1" l="1"/>
  <c r="H2567" i="1"/>
  <c r="A2567" i="1" l="1"/>
  <c r="H2568" i="1"/>
  <c r="H2569" i="1" l="1"/>
  <c r="A2568" i="1"/>
  <c r="A2569" i="1" l="1"/>
  <c r="H2570" i="1"/>
  <c r="A2570" i="1" l="1"/>
  <c r="H2571" i="1"/>
  <c r="A2571" i="1" l="1"/>
  <c r="H2572" i="1"/>
  <c r="H2573" i="1" l="1"/>
  <c r="A2572" i="1"/>
  <c r="A2573" i="1" l="1"/>
  <c r="H2574" i="1"/>
  <c r="H2575" i="1" l="1"/>
  <c r="A2574" i="1"/>
  <c r="A2575" i="1" l="1"/>
  <c r="H2576" i="1"/>
  <c r="H2577" i="1" l="1"/>
  <c r="A2576" i="1"/>
  <c r="H2578" i="1" l="1"/>
  <c r="A2577" i="1"/>
  <c r="H2579" i="1" l="1"/>
  <c r="A2578" i="1"/>
  <c r="H2580" i="1" l="1"/>
  <c r="A2579" i="1"/>
  <c r="H2581" i="1" l="1"/>
  <c r="A2580" i="1"/>
  <c r="H2582" i="1" l="1"/>
  <c r="A2581" i="1"/>
  <c r="H2583" i="1" l="1"/>
  <c r="A2582" i="1"/>
  <c r="A2583" i="1" l="1"/>
  <c r="H2584" i="1"/>
  <c r="H2585" i="1" l="1"/>
  <c r="A2584" i="1"/>
  <c r="H2586" i="1" l="1"/>
  <c r="A2585" i="1"/>
  <c r="H2587" i="1" l="1"/>
  <c r="A2586" i="1"/>
  <c r="H2588" i="1" l="1"/>
  <c r="A2587" i="1"/>
  <c r="H2589" i="1" l="1"/>
  <c r="A2588" i="1"/>
  <c r="H2590" i="1" l="1"/>
  <c r="A2589" i="1"/>
  <c r="H2591" i="1" l="1"/>
  <c r="A2590" i="1"/>
  <c r="A2591" i="1" l="1"/>
  <c r="H2592" i="1"/>
  <c r="H2593" i="1" l="1"/>
  <c r="A2592" i="1"/>
  <c r="H2594" i="1" l="1"/>
  <c r="A2593" i="1"/>
  <c r="H2595" i="1" l="1"/>
  <c r="A2594" i="1"/>
  <c r="H2596" i="1" l="1"/>
  <c r="A2595" i="1"/>
  <c r="H2597" i="1" l="1"/>
  <c r="A2596" i="1"/>
  <c r="H2598" i="1" l="1"/>
  <c r="A2597" i="1"/>
  <c r="H2599" i="1" l="1"/>
  <c r="A2598" i="1"/>
  <c r="A2599" i="1" l="1"/>
  <c r="H2600" i="1"/>
  <c r="H2601" i="1" l="1"/>
  <c r="A2600" i="1"/>
  <c r="H2602" i="1" l="1"/>
  <c r="A2601" i="1"/>
  <c r="H2603" i="1" l="1"/>
  <c r="A2602" i="1"/>
  <c r="H2604" i="1" l="1"/>
  <c r="A2603" i="1"/>
  <c r="H2605" i="1" l="1"/>
  <c r="A2604" i="1"/>
  <c r="H2606" i="1" l="1"/>
  <c r="A2605" i="1"/>
  <c r="H2607" i="1" l="1"/>
  <c r="A2606" i="1"/>
  <c r="A2607" i="1" l="1"/>
  <c r="H2608" i="1"/>
  <c r="H2609" i="1" l="1"/>
  <c r="A2608" i="1"/>
  <c r="H2610" i="1" l="1"/>
  <c r="A2609" i="1"/>
  <c r="H2611" i="1" l="1"/>
  <c r="A2610" i="1"/>
  <c r="A2611" i="1" l="1"/>
  <c r="H2612" i="1"/>
  <c r="H2613" i="1" l="1"/>
  <c r="A2612" i="1"/>
  <c r="H2614" i="1" l="1"/>
  <c r="A2613" i="1"/>
  <c r="H2615" i="1" l="1"/>
  <c r="A2614" i="1"/>
  <c r="H2616" i="1" l="1"/>
  <c r="A2615" i="1"/>
  <c r="H2617" i="1" l="1"/>
  <c r="A2616" i="1"/>
  <c r="H2618" i="1" l="1"/>
  <c r="A2617" i="1"/>
  <c r="H2619" i="1" l="1"/>
  <c r="A2618" i="1"/>
  <c r="A2619" i="1" l="1"/>
  <c r="H2620" i="1"/>
  <c r="H2621" i="1" l="1"/>
  <c r="A2620" i="1"/>
  <c r="H2622" i="1" l="1"/>
  <c r="A2621" i="1"/>
  <c r="H2623" i="1" l="1"/>
  <c r="A2622" i="1"/>
  <c r="H2624" i="1" l="1"/>
  <c r="A2623" i="1"/>
  <c r="H2625" i="1" l="1"/>
  <c r="A2624" i="1"/>
  <c r="H2626" i="1" l="1"/>
  <c r="A2625" i="1"/>
  <c r="H2627" i="1" l="1"/>
  <c r="A2626" i="1"/>
  <c r="H2628" i="1" l="1"/>
  <c r="A2627" i="1"/>
  <c r="H2629" i="1" l="1"/>
  <c r="A2628" i="1"/>
  <c r="H2630" i="1" l="1"/>
  <c r="A2629" i="1"/>
  <c r="H2631" i="1" l="1"/>
  <c r="A2630" i="1"/>
  <c r="H2632" i="1" l="1"/>
  <c r="A2631" i="1"/>
  <c r="H2633" i="1" l="1"/>
  <c r="A2632" i="1"/>
  <c r="H2634" i="1" l="1"/>
  <c r="A2633" i="1"/>
  <c r="H2635" i="1" l="1"/>
  <c r="A2634" i="1"/>
  <c r="A2635" i="1" l="1"/>
  <c r="H2636" i="1"/>
  <c r="H2637" i="1" l="1"/>
  <c r="A2636" i="1"/>
  <c r="H2638" i="1" l="1"/>
  <c r="A2637" i="1"/>
  <c r="H2639" i="1" l="1"/>
  <c r="A2638" i="1"/>
  <c r="H2640" i="1" l="1"/>
  <c r="A2639" i="1"/>
  <c r="H2641" i="1" l="1"/>
  <c r="A2640" i="1"/>
  <c r="H2642" i="1" l="1"/>
  <c r="A2641" i="1"/>
  <c r="H2643" i="1" l="1"/>
  <c r="A2642" i="1"/>
  <c r="A2643" i="1" l="1"/>
  <c r="H2644" i="1"/>
  <c r="H2645" i="1" l="1"/>
  <c r="A2644" i="1"/>
  <c r="H2646" i="1" l="1"/>
  <c r="A2645" i="1"/>
  <c r="H2647" i="1" l="1"/>
  <c r="A2646" i="1"/>
  <c r="H2648" i="1" l="1"/>
  <c r="A2647" i="1"/>
  <c r="H2649" i="1" l="1"/>
  <c r="A2648" i="1"/>
  <c r="H2650" i="1" l="1"/>
  <c r="A2649" i="1"/>
  <c r="H2651" i="1" l="1"/>
  <c r="A2650" i="1"/>
  <c r="A2651" i="1" l="1"/>
  <c r="H2652" i="1"/>
  <c r="H2653" i="1" l="1"/>
  <c r="A2652" i="1"/>
  <c r="H2654" i="1" l="1"/>
  <c r="A2653" i="1"/>
  <c r="H2655" i="1" l="1"/>
  <c r="A2654" i="1"/>
  <c r="H2656" i="1" l="1"/>
  <c r="A2655" i="1"/>
  <c r="H2657" i="1" l="1"/>
  <c r="A2656" i="1"/>
  <c r="H2658" i="1" l="1"/>
  <c r="A2657" i="1"/>
  <c r="H2659" i="1" l="1"/>
  <c r="A2658" i="1"/>
  <c r="H2660" i="1" l="1"/>
  <c r="A2659" i="1"/>
  <c r="H2661" i="1" l="1"/>
  <c r="A2660" i="1"/>
  <c r="H2662" i="1" l="1"/>
  <c r="A2661" i="1"/>
  <c r="H2663" i="1" l="1"/>
  <c r="A2662" i="1"/>
  <c r="H2664" i="1" l="1"/>
  <c r="A2663" i="1"/>
  <c r="H2665" i="1" l="1"/>
  <c r="A2664" i="1"/>
  <c r="H2666" i="1" l="1"/>
  <c r="A2665" i="1"/>
  <c r="H2667" i="1" l="1"/>
  <c r="A2666" i="1"/>
  <c r="H2668" i="1" l="1"/>
  <c r="A2667" i="1"/>
  <c r="H2669" i="1" l="1"/>
  <c r="A2668" i="1"/>
  <c r="H2670" i="1" l="1"/>
  <c r="A2669" i="1"/>
  <c r="H2671" i="1" l="1"/>
  <c r="A2670" i="1"/>
  <c r="H2672" i="1" l="1"/>
  <c r="A2671" i="1"/>
  <c r="H2673" i="1" l="1"/>
  <c r="A2672" i="1"/>
  <c r="H2674" i="1" l="1"/>
  <c r="A2673" i="1"/>
  <c r="H2675" i="1" l="1"/>
  <c r="A2674" i="1"/>
  <c r="H2676" i="1" l="1"/>
  <c r="A2675" i="1"/>
  <c r="H2677" i="1" l="1"/>
  <c r="A2676" i="1"/>
  <c r="H2678" i="1" l="1"/>
  <c r="A2677" i="1"/>
  <c r="H2679" i="1" l="1"/>
  <c r="A2678" i="1"/>
  <c r="H2680" i="1" l="1"/>
  <c r="A2679" i="1"/>
  <c r="H2681" i="1" l="1"/>
  <c r="A2680" i="1"/>
  <c r="H2682" i="1" l="1"/>
  <c r="A2681" i="1"/>
  <c r="H2683" i="1" l="1"/>
  <c r="A2682" i="1"/>
  <c r="H2684" i="1" l="1"/>
  <c r="A2683" i="1"/>
  <c r="H2685" i="1" l="1"/>
  <c r="A2684" i="1"/>
  <c r="H2686" i="1" l="1"/>
  <c r="A2685" i="1"/>
  <c r="H2687" i="1" l="1"/>
  <c r="A2686" i="1"/>
  <c r="H2688" i="1" l="1"/>
  <c r="A2687" i="1"/>
  <c r="H2689" i="1" l="1"/>
  <c r="A2688" i="1"/>
  <c r="H2690" i="1" l="1"/>
  <c r="A2689" i="1"/>
  <c r="H2691" i="1" l="1"/>
  <c r="A2690" i="1"/>
  <c r="H2692" i="1" l="1"/>
  <c r="A2691" i="1"/>
  <c r="H2693" i="1" l="1"/>
  <c r="A2692" i="1"/>
  <c r="H2694" i="1" l="1"/>
  <c r="A2693" i="1"/>
  <c r="H2695" i="1" l="1"/>
  <c r="A2694" i="1"/>
  <c r="H2696" i="1" l="1"/>
  <c r="A2695" i="1"/>
  <c r="H2697" i="1" l="1"/>
  <c r="A2696" i="1"/>
  <c r="H2698" i="1" l="1"/>
  <c r="A2697" i="1"/>
  <c r="H2699" i="1" l="1"/>
  <c r="A2698" i="1"/>
  <c r="H2700" i="1" l="1"/>
  <c r="A2699" i="1"/>
  <c r="H2701" i="1" l="1"/>
  <c r="A2700" i="1"/>
  <c r="H2702" i="1" l="1"/>
  <c r="A2701" i="1"/>
  <c r="H2703" i="1" l="1"/>
  <c r="A2702" i="1"/>
  <c r="H2704" i="1" l="1"/>
  <c r="A2703" i="1"/>
  <c r="H2705" i="1" l="1"/>
  <c r="A2704" i="1"/>
  <c r="H2706" i="1" l="1"/>
  <c r="A2705" i="1"/>
  <c r="H2707" i="1" l="1"/>
  <c r="A2706" i="1"/>
  <c r="H2708" i="1" l="1"/>
  <c r="A2707" i="1"/>
  <c r="H2709" i="1" l="1"/>
  <c r="A2708" i="1"/>
  <c r="H2710" i="1" l="1"/>
  <c r="A2709" i="1"/>
  <c r="H2711" i="1" l="1"/>
  <c r="A2710" i="1"/>
  <c r="H2712" i="1" l="1"/>
  <c r="A2711" i="1"/>
  <c r="H2713" i="1" l="1"/>
  <c r="A2712" i="1"/>
  <c r="H2714" i="1" l="1"/>
  <c r="A2713" i="1"/>
  <c r="H2715" i="1" l="1"/>
  <c r="A2714" i="1"/>
  <c r="H2716" i="1" l="1"/>
  <c r="A2715" i="1"/>
  <c r="H2717" i="1" l="1"/>
  <c r="A2716" i="1"/>
  <c r="A2717" i="1" l="1"/>
  <c r="H2718" i="1"/>
  <c r="H2719" i="1" l="1"/>
  <c r="A2718" i="1"/>
  <c r="A2719" i="1" l="1"/>
  <c r="H2720" i="1"/>
  <c r="H2721" i="1" l="1"/>
  <c r="A2720" i="1"/>
  <c r="H2722" i="1" l="1"/>
  <c r="A2721" i="1"/>
  <c r="H2723" i="1" l="1"/>
  <c r="A2722" i="1"/>
  <c r="H2724" i="1" l="1"/>
  <c r="A2723" i="1"/>
  <c r="H2725" i="1" l="1"/>
  <c r="A2724" i="1"/>
  <c r="A2725" i="1" l="1"/>
  <c r="H2726" i="1"/>
  <c r="H2727" i="1" l="1"/>
  <c r="A2726" i="1"/>
  <c r="A2727" i="1" l="1"/>
  <c r="H2728" i="1"/>
  <c r="H2729" i="1" l="1"/>
  <c r="A2728" i="1"/>
  <c r="H2730" i="1" l="1"/>
  <c r="A2729" i="1"/>
  <c r="H2731" i="1" l="1"/>
  <c r="A2730" i="1"/>
  <c r="H2732" i="1" l="1"/>
  <c r="A2731" i="1"/>
  <c r="H2733" i="1" l="1"/>
  <c r="A2732" i="1"/>
  <c r="H2734" i="1" l="1"/>
  <c r="A2733" i="1"/>
  <c r="H2735" i="1" l="1"/>
  <c r="A2734" i="1"/>
  <c r="A2735" i="1" l="1"/>
  <c r="H2736" i="1"/>
  <c r="H2737" i="1" l="1"/>
  <c r="A2736" i="1"/>
  <c r="H2738" i="1" l="1"/>
  <c r="A2737" i="1"/>
  <c r="H2739" i="1" l="1"/>
  <c r="A2738" i="1"/>
  <c r="H2740" i="1" l="1"/>
  <c r="A2739" i="1"/>
  <c r="H2741" i="1" l="1"/>
  <c r="A2740" i="1"/>
  <c r="A2741" i="1" l="1"/>
  <c r="H2742" i="1"/>
  <c r="H2743" i="1" l="1"/>
  <c r="A2742" i="1"/>
  <c r="A2743" i="1" l="1"/>
  <c r="H2744" i="1"/>
  <c r="H2745" i="1" l="1"/>
  <c r="A2744" i="1"/>
  <c r="H2746" i="1" l="1"/>
  <c r="A2745" i="1"/>
  <c r="H2747" i="1" l="1"/>
  <c r="A2746" i="1"/>
  <c r="H2748" i="1" l="1"/>
  <c r="A2747" i="1"/>
  <c r="H2749" i="1" l="1"/>
  <c r="A2748" i="1"/>
  <c r="A2749" i="1" l="1"/>
  <c r="H2750" i="1"/>
  <c r="H2751" i="1" l="1"/>
  <c r="A2750" i="1"/>
  <c r="A2751" i="1" l="1"/>
  <c r="H2752" i="1"/>
  <c r="H2753" i="1" l="1"/>
  <c r="A2752" i="1"/>
  <c r="H2754" i="1" l="1"/>
  <c r="A2753" i="1"/>
  <c r="H2755" i="1" l="1"/>
  <c r="A2754" i="1"/>
  <c r="H2756" i="1" l="1"/>
  <c r="A2755" i="1"/>
  <c r="H2757" i="1" l="1"/>
  <c r="A2756" i="1"/>
  <c r="A2757" i="1" l="1"/>
  <c r="H2758" i="1"/>
  <c r="H2759" i="1" l="1"/>
  <c r="A2758" i="1"/>
  <c r="A2759" i="1" l="1"/>
  <c r="H2760" i="1"/>
  <c r="H2761" i="1" l="1"/>
  <c r="A2760" i="1"/>
  <c r="H2762" i="1" l="1"/>
  <c r="A2761" i="1"/>
  <c r="H2763" i="1" l="1"/>
  <c r="A2762" i="1"/>
  <c r="H2764" i="1" l="1"/>
  <c r="A2763" i="1"/>
  <c r="H2765" i="1" l="1"/>
  <c r="A2764" i="1"/>
  <c r="A2765" i="1" l="1"/>
  <c r="H2766" i="1"/>
  <c r="H2767" i="1" l="1"/>
  <c r="A2766" i="1"/>
  <c r="A2767" i="1" l="1"/>
  <c r="H2768" i="1"/>
  <c r="H2769" i="1" l="1"/>
  <c r="A2768" i="1"/>
  <c r="H2770" i="1" l="1"/>
  <c r="A2769" i="1"/>
  <c r="H2771" i="1" l="1"/>
  <c r="A2770" i="1"/>
  <c r="H2772" i="1" l="1"/>
  <c r="A2771" i="1"/>
  <c r="H2773" i="1" l="1"/>
  <c r="A2772" i="1"/>
  <c r="A2773" i="1" l="1"/>
  <c r="H2774" i="1"/>
  <c r="H2775" i="1" l="1"/>
  <c r="A2774" i="1"/>
  <c r="A2775" i="1" l="1"/>
  <c r="H2776" i="1"/>
  <c r="H2777" i="1" l="1"/>
  <c r="A2776" i="1"/>
  <c r="H2778" i="1" l="1"/>
  <c r="A2777" i="1"/>
  <c r="H2779" i="1" l="1"/>
  <c r="A2778" i="1"/>
  <c r="H2780" i="1" l="1"/>
  <c r="A2779" i="1"/>
  <c r="H2781" i="1" l="1"/>
  <c r="A2780" i="1"/>
  <c r="A2781" i="1" l="1"/>
  <c r="H2782" i="1"/>
  <c r="H2783" i="1" l="1"/>
  <c r="A2782" i="1"/>
  <c r="A2783" i="1" l="1"/>
  <c r="H2784" i="1"/>
  <c r="H2785" i="1" l="1"/>
  <c r="A2784" i="1"/>
  <c r="H2786" i="1" l="1"/>
  <c r="A2785" i="1"/>
  <c r="H2787" i="1" l="1"/>
  <c r="A2786" i="1"/>
  <c r="H2788" i="1" l="1"/>
  <c r="A2787" i="1"/>
  <c r="H2789" i="1" l="1"/>
  <c r="A2788" i="1"/>
  <c r="A2789" i="1" l="1"/>
  <c r="H2790" i="1"/>
  <c r="H2791" i="1" l="1"/>
  <c r="A2790" i="1"/>
  <c r="A2791" i="1" l="1"/>
  <c r="H2792" i="1"/>
  <c r="H2793" i="1" l="1"/>
  <c r="A2792" i="1"/>
  <c r="H2794" i="1" l="1"/>
  <c r="A2793" i="1"/>
  <c r="H2795" i="1" l="1"/>
  <c r="A2794" i="1"/>
  <c r="H2796" i="1" l="1"/>
  <c r="A2795" i="1"/>
  <c r="H2797" i="1" l="1"/>
  <c r="A2796" i="1"/>
  <c r="H2798" i="1" l="1"/>
  <c r="A2797" i="1"/>
  <c r="H2799" i="1" l="1"/>
  <c r="A2798" i="1"/>
  <c r="A2799" i="1" l="1"/>
  <c r="H2800" i="1"/>
  <c r="H2801" i="1" l="1"/>
  <c r="A2800" i="1"/>
  <c r="A2801" i="1" l="1"/>
  <c r="H2802" i="1"/>
  <c r="H2803" i="1" l="1"/>
  <c r="A2802" i="1"/>
  <c r="H2804" i="1" l="1"/>
  <c r="A2803" i="1"/>
  <c r="H2805" i="1" l="1"/>
  <c r="A2804" i="1"/>
  <c r="A2805" i="1" l="1"/>
  <c r="H2806" i="1"/>
  <c r="H2807" i="1" l="1"/>
  <c r="A2806" i="1"/>
  <c r="A2807" i="1" l="1"/>
  <c r="H2808" i="1"/>
  <c r="H2809" i="1" l="1"/>
  <c r="A2808" i="1"/>
  <c r="A2809" i="1" l="1"/>
  <c r="H2810" i="1"/>
  <c r="H2811" i="1" l="1"/>
  <c r="A2810" i="1"/>
  <c r="H2812" i="1" l="1"/>
  <c r="A2811" i="1"/>
  <c r="H2813" i="1" l="1"/>
  <c r="A2812" i="1"/>
  <c r="H2814" i="1" l="1"/>
  <c r="A2813" i="1"/>
  <c r="H2815" i="1" l="1"/>
  <c r="A2814" i="1"/>
  <c r="A2815" i="1" l="1"/>
  <c r="H2816" i="1"/>
  <c r="H2817" i="1" l="1"/>
  <c r="A2816" i="1"/>
  <c r="A2817" i="1" l="1"/>
  <c r="H2818" i="1"/>
  <c r="H2819" i="1" l="1"/>
  <c r="A2818" i="1"/>
  <c r="H2820" i="1" l="1"/>
  <c r="A2819" i="1"/>
  <c r="H2821" i="1" l="1"/>
  <c r="A2820" i="1"/>
  <c r="A2821" i="1" l="1"/>
  <c r="H2822" i="1"/>
  <c r="H2823" i="1" l="1"/>
  <c r="A2822" i="1"/>
  <c r="A2823" i="1" l="1"/>
  <c r="H2824" i="1"/>
  <c r="H2825" i="1" l="1"/>
  <c r="A2824" i="1"/>
  <c r="A2825" i="1" l="1"/>
  <c r="H2826" i="1"/>
  <c r="H2827" i="1" l="1"/>
  <c r="A2826" i="1"/>
  <c r="H2828" i="1" l="1"/>
  <c r="A2827" i="1"/>
  <c r="H2829" i="1" l="1"/>
  <c r="A2828" i="1"/>
  <c r="H2830" i="1" l="1"/>
  <c r="A2829" i="1"/>
  <c r="H2831" i="1" l="1"/>
  <c r="A2830" i="1"/>
  <c r="A2831" i="1" l="1"/>
  <c r="H2832" i="1"/>
  <c r="H2833" i="1" l="1"/>
  <c r="A2832" i="1"/>
  <c r="A2833" i="1" l="1"/>
  <c r="H2834" i="1"/>
  <c r="H2835" i="1" l="1"/>
  <c r="A2834" i="1"/>
  <c r="H2836" i="1" l="1"/>
  <c r="A2835" i="1"/>
  <c r="H2837" i="1" l="1"/>
  <c r="A2836" i="1"/>
  <c r="A2837" i="1" l="1"/>
  <c r="H2838" i="1"/>
  <c r="H2839" i="1" l="1"/>
  <c r="A2838" i="1"/>
  <c r="A2839" i="1" l="1"/>
  <c r="H2840" i="1"/>
  <c r="H2841" i="1" l="1"/>
  <c r="A2840" i="1"/>
  <c r="A2841" i="1" l="1"/>
  <c r="H2842" i="1"/>
  <c r="H2843" i="1" l="1"/>
  <c r="A2842" i="1"/>
  <c r="H2844" i="1" l="1"/>
  <c r="A2843" i="1"/>
  <c r="H2845" i="1" l="1"/>
  <c r="A2844" i="1"/>
  <c r="H2846" i="1" l="1"/>
  <c r="A2845" i="1"/>
  <c r="H2847" i="1" l="1"/>
  <c r="A2846" i="1"/>
  <c r="A2847" i="1" l="1"/>
  <c r="H2848" i="1"/>
  <c r="H2849" i="1" l="1"/>
  <c r="A2848" i="1"/>
  <c r="A2849" i="1" l="1"/>
  <c r="H2850" i="1"/>
  <c r="H2851" i="1" l="1"/>
  <c r="A2850" i="1"/>
  <c r="H2852" i="1" l="1"/>
  <c r="A2851" i="1"/>
  <c r="H2853" i="1" l="1"/>
  <c r="A2852" i="1"/>
  <c r="A2853" i="1" l="1"/>
  <c r="H2854" i="1"/>
  <c r="H2855" i="1" l="1"/>
  <c r="A2854" i="1"/>
  <c r="A2855" i="1" l="1"/>
  <c r="H2856" i="1"/>
  <c r="H2857" i="1" l="1"/>
  <c r="A2856" i="1"/>
  <c r="A2857" i="1" l="1"/>
  <c r="H2858" i="1"/>
  <c r="H2859" i="1" l="1"/>
  <c r="A2858" i="1"/>
  <c r="H2860" i="1" l="1"/>
  <c r="A2859" i="1"/>
  <c r="H2861" i="1" l="1"/>
  <c r="A2860" i="1"/>
  <c r="H2862" i="1" l="1"/>
  <c r="A2861" i="1"/>
  <c r="H2863" i="1" l="1"/>
  <c r="A2862" i="1"/>
  <c r="A2863" i="1" l="1"/>
  <c r="H2864" i="1"/>
  <c r="H2865" i="1" l="1"/>
  <c r="A2864" i="1"/>
  <c r="A2865" i="1" l="1"/>
  <c r="H2866" i="1"/>
  <c r="H2867" i="1" l="1"/>
  <c r="A2866" i="1"/>
  <c r="H2868" i="1" l="1"/>
  <c r="A2867" i="1"/>
  <c r="H2869" i="1" l="1"/>
  <c r="A2868" i="1"/>
  <c r="H2870" i="1" l="1"/>
  <c r="A2869" i="1"/>
  <c r="H2871" i="1" l="1"/>
  <c r="A2870" i="1"/>
  <c r="H2872" i="1" l="1"/>
  <c r="A2871" i="1"/>
  <c r="H2873" i="1" l="1"/>
  <c r="A2872" i="1"/>
  <c r="A2873" i="1" l="1"/>
  <c r="H2874" i="1"/>
  <c r="H2875" i="1" l="1"/>
  <c r="A2874" i="1"/>
  <c r="H2876" i="1" l="1"/>
  <c r="A2875" i="1"/>
  <c r="H2877" i="1" l="1"/>
  <c r="A2876" i="1"/>
  <c r="H2878" i="1" l="1"/>
  <c r="A2877" i="1"/>
  <c r="H2879" i="1" l="1"/>
  <c r="A2878" i="1"/>
  <c r="H2880" i="1" l="1"/>
  <c r="A2879" i="1"/>
  <c r="H2881" i="1" l="1"/>
  <c r="A2880" i="1"/>
  <c r="A2881" i="1" l="1"/>
  <c r="H2882" i="1"/>
  <c r="H2883" i="1" l="1"/>
  <c r="A2882" i="1"/>
  <c r="H2884" i="1" l="1"/>
  <c r="A2883" i="1"/>
  <c r="H2885" i="1" l="1"/>
  <c r="A2884" i="1"/>
  <c r="H2886" i="1" l="1"/>
  <c r="A2885" i="1"/>
  <c r="H2887" i="1" l="1"/>
  <c r="A2886" i="1"/>
  <c r="H2888" i="1" l="1"/>
  <c r="A2887" i="1"/>
  <c r="H2889" i="1" l="1"/>
  <c r="A2888" i="1"/>
  <c r="A2889" i="1" l="1"/>
  <c r="H2890" i="1"/>
  <c r="H2891" i="1" l="1"/>
  <c r="A2890" i="1"/>
  <c r="H2892" i="1" l="1"/>
  <c r="A2891" i="1"/>
  <c r="H2893" i="1" l="1"/>
  <c r="A2892" i="1"/>
  <c r="H2894" i="1" l="1"/>
  <c r="A2893" i="1"/>
  <c r="H2895" i="1" l="1"/>
  <c r="A2894" i="1"/>
  <c r="H2896" i="1" l="1"/>
  <c r="A2895" i="1"/>
  <c r="H2897" i="1" l="1"/>
  <c r="A2896" i="1"/>
  <c r="A2897" i="1" l="1"/>
  <c r="H2898" i="1"/>
  <c r="H2899" i="1" l="1"/>
  <c r="A2898" i="1"/>
  <c r="H2900" i="1" l="1"/>
  <c r="A2899" i="1"/>
  <c r="H2901" i="1" l="1"/>
  <c r="A2900" i="1"/>
  <c r="H2902" i="1" l="1"/>
  <c r="A2901" i="1"/>
  <c r="H2903" i="1" l="1"/>
  <c r="A2902" i="1"/>
  <c r="H2904" i="1" l="1"/>
  <c r="A2903" i="1"/>
  <c r="H2905" i="1" l="1"/>
  <c r="A2904" i="1"/>
  <c r="A2905" i="1" l="1"/>
  <c r="H2906" i="1"/>
  <c r="H2907" i="1" l="1"/>
  <c r="A2906" i="1"/>
  <c r="H2908" i="1" l="1"/>
  <c r="A2907" i="1"/>
  <c r="H2909" i="1" l="1"/>
  <c r="A2908" i="1"/>
  <c r="H2910" i="1" l="1"/>
  <c r="A2909" i="1"/>
  <c r="H2911" i="1" l="1"/>
  <c r="A2910" i="1"/>
  <c r="H2912" i="1" l="1"/>
  <c r="A2911" i="1"/>
  <c r="H2913" i="1" l="1"/>
  <c r="A2912" i="1"/>
  <c r="H2914" i="1" l="1"/>
  <c r="A2913" i="1"/>
  <c r="H2915" i="1" l="1"/>
  <c r="A2914" i="1"/>
  <c r="H2916" i="1" l="1"/>
  <c r="A2915" i="1"/>
  <c r="H2917" i="1" l="1"/>
  <c r="A2916" i="1"/>
  <c r="H2918" i="1" l="1"/>
  <c r="A2917" i="1"/>
  <c r="H2919" i="1" l="1"/>
  <c r="A2918" i="1"/>
  <c r="H2920" i="1" l="1"/>
  <c r="A2919" i="1"/>
  <c r="H2921" i="1" l="1"/>
  <c r="A2920" i="1"/>
  <c r="H2922" i="1" l="1"/>
  <c r="A2921" i="1"/>
  <c r="H2923" i="1" l="1"/>
  <c r="A2922" i="1"/>
  <c r="H2924" i="1" l="1"/>
  <c r="A2923" i="1"/>
  <c r="H2925" i="1" l="1"/>
  <c r="A2924" i="1"/>
  <c r="H2926" i="1" l="1"/>
  <c r="A2925" i="1"/>
  <c r="H2927" i="1" l="1"/>
  <c r="A2926" i="1"/>
  <c r="H2928" i="1" l="1"/>
  <c r="A2927" i="1"/>
  <c r="H2929" i="1" l="1"/>
  <c r="A2928" i="1"/>
  <c r="H2930" i="1" l="1"/>
  <c r="A2929" i="1"/>
  <c r="H2931" i="1" l="1"/>
  <c r="A2930" i="1"/>
  <c r="H2932" i="1" l="1"/>
  <c r="A2931" i="1"/>
  <c r="H2933" i="1" l="1"/>
  <c r="A2932" i="1"/>
  <c r="H2934" i="1" l="1"/>
  <c r="A2933" i="1"/>
  <c r="H2935" i="1" l="1"/>
  <c r="A2934" i="1"/>
  <c r="H2936" i="1" l="1"/>
  <c r="A2935" i="1"/>
  <c r="H2937" i="1" l="1"/>
  <c r="A2936" i="1"/>
  <c r="H2938" i="1" l="1"/>
  <c r="A2937" i="1"/>
  <c r="H2939" i="1" l="1"/>
  <c r="A2938" i="1"/>
  <c r="H2940" i="1" l="1"/>
  <c r="A2939" i="1"/>
  <c r="H2941" i="1" l="1"/>
  <c r="A2940" i="1"/>
  <c r="H2942" i="1" l="1"/>
  <c r="A2941" i="1"/>
  <c r="H2943" i="1" l="1"/>
  <c r="A2942" i="1"/>
  <c r="H2944" i="1" l="1"/>
  <c r="A2943" i="1"/>
  <c r="H2945" i="1" l="1"/>
  <c r="A2944" i="1"/>
  <c r="H2946" i="1" l="1"/>
  <c r="A2945" i="1"/>
  <c r="H2947" i="1" l="1"/>
  <c r="A2946" i="1"/>
  <c r="H2948" i="1" l="1"/>
  <c r="A2947" i="1"/>
  <c r="H2949" i="1" l="1"/>
  <c r="A2948" i="1"/>
  <c r="H2950" i="1" l="1"/>
  <c r="A2949" i="1"/>
  <c r="H2951" i="1" l="1"/>
  <c r="A2950" i="1"/>
  <c r="H2952" i="1" l="1"/>
  <c r="A2951" i="1"/>
  <c r="H2953" i="1" l="1"/>
  <c r="A2952" i="1"/>
  <c r="H2954" i="1" l="1"/>
  <c r="A2953" i="1"/>
  <c r="H2955" i="1" l="1"/>
  <c r="A2954" i="1"/>
  <c r="H2956" i="1" l="1"/>
  <c r="A2955" i="1"/>
  <c r="H2957" i="1" l="1"/>
  <c r="A2956" i="1"/>
  <c r="H2958" i="1" l="1"/>
  <c r="A2957" i="1"/>
  <c r="H2959" i="1" l="1"/>
  <c r="A2958" i="1"/>
  <c r="H2960" i="1" l="1"/>
  <c r="A2959" i="1"/>
  <c r="H2961" i="1" l="1"/>
  <c r="A2960" i="1"/>
  <c r="H2962" i="1" l="1"/>
  <c r="A2961" i="1"/>
  <c r="H2963" i="1" l="1"/>
  <c r="A2962" i="1"/>
  <c r="H2964" i="1" l="1"/>
  <c r="A2963" i="1"/>
  <c r="H2965" i="1" l="1"/>
  <c r="A2964" i="1"/>
  <c r="H2966" i="1" l="1"/>
  <c r="A2965" i="1"/>
  <c r="H2967" i="1" l="1"/>
  <c r="A2966" i="1"/>
  <c r="H2968" i="1" l="1"/>
  <c r="A2967" i="1"/>
  <c r="H2969" i="1" l="1"/>
  <c r="A2968" i="1"/>
  <c r="H2970" i="1" l="1"/>
  <c r="A2969" i="1"/>
  <c r="H2971" i="1" l="1"/>
  <c r="A2970" i="1"/>
  <c r="H2972" i="1" l="1"/>
  <c r="A2971" i="1"/>
  <c r="H2973" i="1" l="1"/>
  <c r="A2972" i="1"/>
  <c r="H2974" i="1" l="1"/>
  <c r="A2973" i="1"/>
  <c r="H2975" i="1" l="1"/>
  <c r="A2974" i="1"/>
  <c r="H2976" i="1" l="1"/>
  <c r="A2975" i="1"/>
  <c r="H2977" i="1" l="1"/>
  <c r="A2976" i="1"/>
  <c r="H2978" i="1" l="1"/>
  <c r="A2977" i="1"/>
  <c r="H2979" i="1" l="1"/>
  <c r="A2978" i="1"/>
  <c r="H2980" i="1" l="1"/>
  <c r="A2979" i="1"/>
  <c r="H2981" i="1" l="1"/>
  <c r="A2980" i="1"/>
  <c r="A2981" i="1" l="1"/>
  <c r="H2982" i="1"/>
  <c r="H2983" i="1" l="1"/>
  <c r="A2982" i="1"/>
  <c r="H2984" i="1" l="1"/>
  <c r="A2983" i="1"/>
  <c r="H2985" i="1" l="1"/>
  <c r="A2984" i="1"/>
  <c r="H2986" i="1" l="1"/>
  <c r="A2985" i="1"/>
  <c r="H2987" i="1" l="1"/>
  <c r="A2986" i="1"/>
  <c r="A2987" i="1" l="1"/>
  <c r="H2988" i="1"/>
  <c r="H2989" i="1" l="1"/>
  <c r="A2988" i="1"/>
  <c r="A2989" i="1" l="1"/>
  <c r="H2990" i="1"/>
  <c r="H2991" i="1" l="1"/>
  <c r="A2990" i="1"/>
  <c r="H2992" i="1" l="1"/>
  <c r="A2991" i="1"/>
  <c r="H2993" i="1" l="1"/>
  <c r="A2992" i="1"/>
  <c r="H2994" i="1" l="1"/>
  <c r="A2993" i="1"/>
  <c r="H2995" i="1" l="1"/>
  <c r="A2994" i="1"/>
  <c r="A2995" i="1" l="1"/>
  <c r="H2996" i="1"/>
  <c r="H2997" i="1" l="1"/>
  <c r="A2996" i="1"/>
  <c r="A2997" i="1" l="1"/>
  <c r="H2998" i="1"/>
  <c r="H2999" i="1" l="1"/>
  <c r="A2998" i="1"/>
  <c r="H3000" i="1" l="1"/>
  <c r="A2999" i="1"/>
  <c r="H3001" i="1" l="1"/>
  <c r="A3000" i="1"/>
  <c r="H3002" i="1" l="1"/>
  <c r="A3001" i="1"/>
  <c r="H3003" i="1" l="1"/>
  <c r="A3002" i="1"/>
  <c r="A3003" i="1" l="1"/>
  <c r="H3004" i="1"/>
  <c r="H3005" i="1" l="1"/>
  <c r="A3004" i="1"/>
  <c r="A3005" i="1" l="1"/>
  <c r="H3006" i="1"/>
  <c r="H3007" i="1" l="1"/>
  <c r="A3006" i="1"/>
  <c r="H3008" i="1" l="1"/>
  <c r="A3007" i="1"/>
  <c r="H3009" i="1" l="1"/>
  <c r="A3008" i="1"/>
  <c r="H3010" i="1" l="1"/>
  <c r="A3009" i="1"/>
  <c r="H3011" i="1" l="1"/>
  <c r="A3010" i="1"/>
  <c r="A3011" i="1" l="1"/>
  <c r="H3012" i="1"/>
  <c r="H3013" i="1" l="1"/>
  <c r="A3012" i="1"/>
  <c r="A3013" i="1" l="1"/>
  <c r="H3014" i="1"/>
  <c r="H3015" i="1" l="1"/>
  <c r="A3014" i="1"/>
  <c r="H3016" i="1" l="1"/>
  <c r="A3015" i="1"/>
  <c r="H3017" i="1" l="1"/>
  <c r="A3016" i="1"/>
  <c r="H3018" i="1" l="1"/>
  <c r="A3017" i="1"/>
  <c r="H3019" i="1" l="1"/>
  <c r="A3018" i="1"/>
  <c r="A3019" i="1" l="1"/>
  <c r="H3020" i="1"/>
  <c r="H3021" i="1" l="1"/>
  <c r="A3020" i="1"/>
  <c r="A3021" i="1" l="1"/>
  <c r="H3022" i="1"/>
  <c r="H3023" i="1" l="1"/>
  <c r="A3022" i="1"/>
  <c r="H3024" i="1" l="1"/>
  <c r="A3023" i="1"/>
  <c r="H3025" i="1" l="1"/>
  <c r="A3024" i="1"/>
  <c r="H3026" i="1" l="1"/>
  <c r="A3025" i="1"/>
  <c r="H3027" i="1" l="1"/>
  <c r="A3026" i="1"/>
  <c r="A3027" i="1" l="1"/>
  <c r="H3028" i="1"/>
  <c r="H3029" i="1" l="1"/>
  <c r="A3028" i="1"/>
  <c r="A3029" i="1" l="1"/>
  <c r="H3030" i="1"/>
  <c r="H3031" i="1" l="1"/>
  <c r="A3030" i="1"/>
  <c r="H3032" i="1" l="1"/>
  <c r="A3031" i="1"/>
  <c r="H3033" i="1" l="1"/>
  <c r="A3032" i="1"/>
  <c r="H3034" i="1" l="1"/>
  <c r="A3033" i="1"/>
  <c r="H3035" i="1" l="1"/>
  <c r="A3034" i="1"/>
  <c r="A3035" i="1" l="1"/>
  <c r="H3036" i="1"/>
  <c r="H3037" i="1" l="1"/>
  <c r="A3036" i="1"/>
  <c r="A3037" i="1" l="1"/>
  <c r="H3038" i="1"/>
  <c r="H3039" i="1" l="1"/>
  <c r="A3038" i="1"/>
  <c r="H3040" i="1" l="1"/>
  <c r="A3039" i="1"/>
  <c r="H3041" i="1" l="1"/>
  <c r="A3040" i="1"/>
  <c r="H3042" i="1" l="1"/>
  <c r="A3041" i="1"/>
  <c r="H3043" i="1" l="1"/>
  <c r="A3042" i="1"/>
  <c r="A3043" i="1" l="1"/>
  <c r="H3044" i="1"/>
  <c r="H3045" i="1" l="1"/>
  <c r="A3044" i="1"/>
  <c r="A3045" i="1" l="1"/>
  <c r="H3046" i="1"/>
  <c r="H3047" i="1" l="1"/>
  <c r="A3046" i="1"/>
  <c r="H3048" i="1" l="1"/>
  <c r="A3047" i="1"/>
  <c r="H3049" i="1" l="1"/>
  <c r="A3048" i="1"/>
  <c r="H3050" i="1" l="1"/>
  <c r="A3049" i="1"/>
  <c r="H3051" i="1" l="1"/>
  <c r="A3050" i="1"/>
  <c r="A3051" i="1" l="1"/>
  <c r="H3052" i="1"/>
  <c r="H3053" i="1" l="1"/>
  <c r="A3052" i="1"/>
  <c r="A3053" i="1" l="1"/>
  <c r="H3054" i="1"/>
  <c r="H3055" i="1" l="1"/>
  <c r="A3054" i="1"/>
  <c r="H3056" i="1" l="1"/>
  <c r="A3055" i="1"/>
  <c r="H3057" i="1" l="1"/>
  <c r="A3056" i="1"/>
  <c r="H3058" i="1" l="1"/>
  <c r="A3057" i="1"/>
  <c r="H3059" i="1" l="1"/>
  <c r="A3058" i="1"/>
  <c r="A3059" i="1" l="1"/>
  <c r="H3060" i="1"/>
  <c r="H3061" i="1" l="1"/>
  <c r="A3060" i="1"/>
  <c r="A3061" i="1" l="1"/>
  <c r="H3062" i="1"/>
  <c r="H3063" i="1" l="1"/>
  <c r="A3062" i="1"/>
  <c r="H3064" i="1" l="1"/>
  <c r="A3063" i="1"/>
  <c r="H3065" i="1" l="1"/>
  <c r="A3064" i="1"/>
  <c r="H3066" i="1" l="1"/>
  <c r="A3065" i="1"/>
  <c r="H3067" i="1" l="1"/>
  <c r="A3066" i="1"/>
  <c r="A3067" i="1" l="1"/>
  <c r="H3068" i="1"/>
  <c r="H3069" i="1" l="1"/>
  <c r="A3068" i="1"/>
  <c r="A3069" i="1" l="1"/>
  <c r="H3070" i="1"/>
  <c r="H3071" i="1" l="1"/>
  <c r="A3070" i="1"/>
  <c r="H3072" i="1" l="1"/>
  <c r="A3071" i="1"/>
  <c r="H3073" i="1" l="1"/>
  <c r="A3072" i="1"/>
  <c r="H3074" i="1" l="1"/>
  <c r="A3073" i="1"/>
  <c r="H3075" i="1" l="1"/>
  <c r="A3074" i="1"/>
  <c r="A3075" i="1" l="1"/>
  <c r="H3076" i="1"/>
  <c r="H3077" i="1" l="1"/>
  <c r="A3076" i="1"/>
  <c r="A3077" i="1" l="1"/>
  <c r="H3078" i="1"/>
  <c r="H3079" i="1" l="1"/>
  <c r="A3078" i="1"/>
  <c r="H3080" i="1" l="1"/>
  <c r="A3079" i="1"/>
  <c r="H3081" i="1" l="1"/>
  <c r="A3080" i="1"/>
  <c r="H3082" i="1" l="1"/>
  <c r="A3081" i="1"/>
  <c r="H3083" i="1" l="1"/>
  <c r="A3082" i="1"/>
  <c r="A3083" i="1" l="1"/>
  <c r="H3084" i="1"/>
  <c r="H3085" i="1" l="1"/>
  <c r="A3084" i="1"/>
  <c r="A3085" i="1" l="1"/>
  <c r="H3086" i="1"/>
  <c r="H3087" i="1" l="1"/>
  <c r="A3086" i="1"/>
  <c r="H3088" i="1" l="1"/>
  <c r="A3087" i="1"/>
  <c r="H3089" i="1" l="1"/>
  <c r="A3088" i="1"/>
  <c r="H3090" i="1" l="1"/>
  <c r="A3089" i="1"/>
  <c r="H3091" i="1" l="1"/>
  <c r="A3090" i="1"/>
  <c r="H3092" i="1" l="1"/>
  <c r="A3091" i="1"/>
  <c r="H3093" i="1" l="1"/>
  <c r="A3092" i="1"/>
  <c r="A3093" i="1" l="1"/>
  <c r="H3094" i="1"/>
  <c r="H3095" i="1" l="1"/>
  <c r="A3094" i="1"/>
  <c r="A3095" i="1" l="1"/>
  <c r="H3096" i="1"/>
  <c r="H3097" i="1" l="1"/>
  <c r="A3096" i="1"/>
  <c r="H3098" i="1" l="1"/>
  <c r="A3097" i="1"/>
  <c r="H3099" i="1" l="1"/>
  <c r="A3098" i="1"/>
  <c r="H3100" i="1" l="1"/>
  <c r="A3099" i="1"/>
  <c r="H3101" i="1" l="1"/>
  <c r="A3100" i="1"/>
  <c r="A3101" i="1" l="1"/>
  <c r="H3102" i="1"/>
  <c r="H3103" i="1" l="1"/>
  <c r="A3102" i="1"/>
  <c r="A3103" i="1" l="1"/>
  <c r="H3104" i="1"/>
  <c r="H3105" i="1" l="1"/>
  <c r="A3104" i="1"/>
  <c r="H3106" i="1" l="1"/>
  <c r="A3105" i="1"/>
  <c r="H3107" i="1" l="1"/>
  <c r="A3106" i="1"/>
  <c r="H3108" i="1" l="1"/>
  <c r="A3107" i="1"/>
  <c r="H3109" i="1" l="1"/>
  <c r="A3108" i="1"/>
  <c r="A3109" i="1" l="1"/>
  <c r="H3110" i="1"/>
  <c r="H3111" i="1" l="1"/>
  <c r="A3110" i="1"/>
  <c r="A3111" i="1" l="1"/>
  <c r="H3112" i="1"/>
  <c r="H3113" i="1" l="1"/>
  <c r="A3112" i="1"/>
  <c r="H3114" i="1" l="1"/>
  <c r="A3113" i="1"/>
  <c r="H3115" i="1" l="1"/>
  <c r="A3114" i="1"/>
  <c r="H3116" i="1" l="1"/>
  <c r="A3115" i="1"/>
  <c r="H3117" i="1" l="1"/>
  <c r="A3116" i="1"/>
  <c r="A3117" i="1" l="1"/>
  <c r="H3118" i="1"/>
  <c r="H3119" i="1" l="1"/>
  <c r="A3118" i="1"/>
  <c r="A3119" i="1" l="1"/>
  <c r="H3120" i="1"/>
  <c r="H3121" i="1" l="1"/>
  <c r="A3120" i="1"/>
  <c r="H3122" i="1" l="1"/>
  <c r="A3121" i="1"/>
  <c r="H3123" i="1" l="1"/>
  <c r="A3122" i="1"/>
  <c r="H3124" i="1" l="1"/>
  <c r="A3123" i="1"/>
  <c r="H3125" i="1" l="1"/>
  <c r="A3124" i="1"/>
  <c r="A3125" i="1" l="1"/>
  <c r="H3126" i="1"/>
  <c r="H3127" i="1" l="1"/>
  <c r="A3126" i="1"/>
  <c r="A3127" i="1" l="1"/>
  <c r="H3128" i="1"/>
  <c r="H3129" i="1" l="1"/>
  <c r="A3128" i="1"/>
  <c r="H3130" i="1" l="1"/>
  <c r="A3129" i="1"/>
  <c r="H3131" i="1" l="1"/>
  <c r="A3130" i="1"/>
  <c r="H3132" i="1" l="1"/>
  <c r="A3131" i="1"/>
  <c r="H3133" i="1" l="1"/>
  <c r="A3132" i="1"/>
  <c r="A3133" i="1" l="1"/>
  <c r="H3134" i="1"/>
  <c r="H3135" i="1" l="1"/>
  <c r="A3134" i="1"/>
  <c r="A3135" i="1" l="1"/>
  <c r="H3136" i="1"/>
  <c r="H3137" i="1" l="1"/>
  <c r="A3136" i="1"/>
  <c r="H3138" i="1" l="1"/>
  <c r="A3137" i="1"/>
  <c r="H3139" i="1" l="1"/>
  <c r="A3138" i="1"/>
  <c r="H3140" i="1" l="1"/>
  <c r="A3139" i="1"/>
  <c r="H3141" i="1" l="1"/>
  <c r="A3140" i="1"/>
  <c r="A3141" i="1" l="1"/>
  <c r="H3142" i="1"/>
  <c r="H3143" i="1" l="1"/>
  <c r="A3142" i="1"/>
  <c r="A3143" i="1" l="1"/>
  <c r="H3144" i="1"/>
  <c r="H3145" i="1" l="1"/>
  <c r="A3144" i="1"/>
  <c r="H3146" i="1" l="1"/>
  <c r="A3145" i="1"/>
  <c r="H3147" i="1" l="1"/>
  <c r="A3146" i="1"/>
  <c r="H3148" i="1" l="1"/>
  <c r="A3147" i="1"/>
  <c r="H3149" i="1" l="1"/>
  <c r="A3148" i="1"/>
  <c r="A3149" i="1" l="1"/>
  <c r="H3150" i="1"/>
  <c r="H3151" i="1" l="1"/>
  <c r="A3150" i="1"/>
  <c r="A3151" i="1" l="1"/>
  <c r="H3152" i="1"/>
  <c r="H3153" i="1" l="1"/>
  <c r="A3152" i="1"/>
  <c r="H3154" i="1" l="1"/>
  <c r="A3153" i="1"/>
  <c r="H3155" i="1" l="1"/>
  <c r="A3154" i="1"/>
  <c r="H3156" i="1" l="1"/>
  <c r="A3155" i="1"/>
  <c r="H3157" i="1" l="1"/>
  <c r="A3156" i="1"/>
  <c r="A3157" i="1" l="1"/>
  <c r="H3158" i="1"/>
  <c r="H3159" i="1" l="1"/>
  <c r="A3158" i="1"/>
  <c r="A3159" i="1" l="1"/>
  <c r="H3160" i="1"/>
  <c r="H3161" i="1" l="1"/>
  <c r="A3160" i="1"/>
  <c r="H3162" i="1" l="1"/>
  <c r="A3161" i="1"/>
  <c r="H3163" i="1" l="1"/>
  <c r="A3162" i="1"/>
  <c r="H3164" i="1" l="1"/>
  <c r="A3163" i="1"/>
  <c r="H3165" i="1" l="1"/>
  <c r="A3164" i="1"/>
  <c r="A3165" i="1" l="1"/>
  <c r="H3166" i="1"/>
  <c r="H3167" i="1" l="1"/>
  <c r="A3166" i="1"/>
  <c r="A3167" i="1" l="1"/>
  <c r="H3168" i="1"/>
  <c r="H3169" i="1" l="1"/>
  <c r="A3168" i="1"/>
  <c r="H3170" i="1" l="1"/>
  <c r="A3169" i="1"/>
  <c r="H3171" i="1" l="1"/>
  <c r="A3170" i="1"/>
  <c r="H3172" i="1" l="1"/>
  <c r="A3171" i="1"/>
  <c r="H3173" i="1" l="1"/>
  <c r="A3172" i="1"/>
  <c r="A3173" i="1" l="1"/>
  <c r="H3174" i="1"/>
  <c r="H3175" i="1" l="1"/>
  <c r="A3174" i="1"/>
  <c r="A3175" i="1" l="1"/>
  <c r="H3176" i="1"/>
  <c r="H3177" i="1" l="1"/>
  <c r="A3176" i="1"/>
  <c r="H3178" i="1" l="1"/>
  <c r="A3177" i="1"/>
  <c r="H3179" i="1" l="1"/>
  <c r="A3178" i="1"/>
  <c r="H3180" i="1" l="1"/>
  <c r="A3179" i="1"/>
  <c r="H3181" i="1" l="1"/>
  <c r="A3180" i="1"/>
  <c r="A3181" i="1" l="1"/>
  <c r="H3182" i="1"/>
  <c r="H3183" i="1" l="1"/>
  <c r="A3182" i="1"/>
  <c r="A3183" i="1" l="1"/>
  <c r="H3184" i="1"/>
  <c r="H3185" i="1" l="1"/>
  <c r="A3184" i="1"/>
  <c r="H3186" i="1" l="1"/>
  <c r="A3185" i="1"/>
  <c r="H3187" i="1" l="1"/>
  <c r="A3186" i="1"/>
  <c r="H3188" i="1" l="1"/>
  <c r="A3187" i="1"/>
  <c r="H3189" i="1" l="1"/>
  <c r="A3188" i="1"/>
  <c r="A3189" i="1" l="1"/>
  <c r="H3190" i="1"/>
  <c r="H3191" i="1" l="1"/>
  <c r="A3190" i="1"/>
  <c r="A3191" i="1" l="1"/>
  <c r="H3192" i="1"/>
  <c r="H3193" i="1" l="1"/>
  <c r="A3192" i="1"/>
  <c r="H3194" i="1" l="1"/>
  <c r="A3193" i="1"/>
  <c r="H3195" i="1" l="1"/>
  <c r="A3194" i="1"/>
  <c r="H3196" i="1" l="1"/>
  <c r="A3195" i="1"/>
  <c r="H3197" i="1" l="1"/>
  <c r="A3196" i="1"/>
  <c r="H3198" i="1" l="1"/>
  <c r="A3197" i="1"/>
  <c r="H3199" i="1" l="1"/>
  <c r="A3198" i="1"/>
  <c r="H3200" i="1" l="1"/>
  <c r="A3199" i="1"/>
  <c r="H3201" i="1" l="1"/>
  <c r="A3200" i="1"/>
  <c r="A3201" i="1" l="1"/>
  <c r="H3202" i="1"/>
  <c r="H3203" i="1" l="1"/>
  <c r="A3202" i="1"/>
  <c r="H3204" i="1" l="1"/>
  <c r="A3203" i="1"/>
  <c r="H3205" i="1" l="1"/>
  <c r="A3204" i="1"/>
  <c r="H3206" i="1" l="1"/>
  <c r="A3205" i="1"/>
  <c r="H3207" i="1" l="1"/>
  <c r="A3206" i="1"/>
  <c r="H3208" i="1" l="1"/>
  <c r="A3207" i="1"/>
  <c r="H3209" i="1" l="1"/>
  <c r="A3208" i="1"/>
  <c r="H3210" i="1" l="1"/>
  <c r="A3209" i="1"/>
  <c r="H3211" i="1" l="1"/>
  <c r="A3210" i="1"/>
  <c r="H3212" i="1" l="1"/>
  <c r="A3211" i="1"/>
  <c r="H3213" i="1" l="1"/>
  <c r="A3212" i="1"/>
  <c r="H3214" i="1" l="1"/>
  <c r="A3213" i="1"/>
  <c r="H3215" i="1" l="1"/>
  <c r="A3214" i="1"/>
  <c r="H3216" i="1" l="1"/>
  <c r="A3215" i="1"/>
  <c r="H3217" i="1" l="1"/>
  <c r="A3216" i="1"/>
  <c r="A3217" i="1" l="1"/>
  <c r="H3218" i="1"/>
  <c r="H3219" i="1" l="1"/>
  <c r="A3218" i="1"/>
  <c r="H3220" i="1" l="1"/>
  <c r="A3219" i="1"/>
  <c r="H3221" i="1" l="1"/>
  <c r="A3220" i="1"/>
  <c r="H3222" i="1" l="1"/>
  <c r="A3221" i="1"/>
  <c r="H3223" i="1" l="1"/>
  <c r="A3222" i="1"/>
  <c r="H3224" i="1" l="1"/>
  <c r="A3223" i="1"/>
  <c r="H3225" i="1" l="1"/>
  <c r="A3224" i="1"/>
  <c r="A3225" i="1" l="1"/>
  <c r="H3226" i="1"/>
  <c r="H3227" i="1" l="1"/>
  <c r="A3226" i="1"/>
  <c r="H3228" i="1" l="1"/>
  <c r="A3227" i="1"/>
  <c r="H3229" i="1" l="1"/>
  <c r="A3228" i="1"/>
  <c r="H3230" i="1" l="1"/>
  <c r="A3229" i="1"/>
  <c r="H3231" i="1" l="1"/>
  <c r="A3230" i="1"/>
  <c r="H3232" i="1" l="1"/>
  <c r="A3231" i="1"/>
  <c r="H3233" i="1" l="1"/>
  <c r="A3232" i="1"/>
  <c r="A3233" i="1" l="1"/>
  <c r="H3234" i="1"/>
  <c r="H3235" i="1" l="1"/>
  <c r="A3234" i="1"/>
  <c r="H3236" i="1" l="1"/>
  <c r="A3235" i="1"/>
  <c r="H3237" i="1" l="1"/>
  <c r="A3236" i="1"/>
  <c r="H3238" i="1" l="1"/>
  <c r="A3237" i="1"/>
  <c r="H3239" i="1" l="1"/>
  <c r="A3238" i="1"/>
  <c r="H3240" i="1" l="1"/>
  <c r="A3239" i="1"/>
  <c r="H3241" i="1" l="1"/>
  <c r="A3240" i="1"/>
  <c r="H3242" i="1" l="1"/>
  <c r="A3241" i="1"/>
  <c r="H3243" i="1" l="1"/>
  <c r="A3242" i="1"/>
  <c r="H3244" i="1" l="1"/>
  <c r="A3243" i="1"/>
  <c r="H3245" i="1" l="1"/>
  <c r="A3244" i="1"/>
  <c r="H3246" i="1" l="1"/>
  <c r="A3245" i="1"/>
  <c r="H3247" i="1" l="1"/>
  <c r="A3246" i="1"/>
  <c r="H3248" i="1" l="1"/>
  <c r="A3247" i="1"/>
  <c r="H3249" i="1" l="1"/>
  <c r="A3248" i="1"/>
  <c r="A3249" i="1" l="1"/>
  <c r="H3250" i="1"/>
  <c r="H3251" i="1" l="1"/>
  <c r="A3250" i="1"/>
  <c r="H3252" i="1" l="1"/>
  <c r="A3251" i="1"/>
  <c r="H3253" i="1" l="1"/>
  <c r="A3252" i="1"/>
  <c r="H3254" i="1" l="1"/>
  <c r="A3253" i="1"/>
  <c r="H3255" i="1" l="1"/>
  <c r="A3254" i="1"/>
  <c r="H3256" i="1" l="1"/>
  <c r="A3255" i="1"/>
  <c r="H3257" i="1" l="1"/>
  <c r="A3256" i="1"/>
  <c r="A3257" i="1" l="1"/>
  <c r="H3258" i="1"/>
  <c r="H3259" i="1" l="1"/>
  <c r="A3258" i="1"/>
  <c r="H3260" i="1" l="1"/>
  <c r="A3259" i="1"/>
  <c r="H3261" i="1" l="1"/>
  <c r="A3260" i="1"/>
  <c r="H3262" i="1" l="1"/>
  <c r="A3261" i="1"/>
  <c r="H3263" i="1" l="1"/>
  <c r="A3262" i="1"/>
  <c r="H3264" i="1" l="1"/>
  <c r="A3263" i="1"/>
  <c r="H3265" i="1" l="1"/>
  <c r="A3264" i="1"/>
  <c r="A3265" i="1" l="1"/>
  <c r="H3266" i="1"/>
  <c r="H3267" i="1" l="1"/>
  <c r="A3266" i="1"/>
  <c r="H3268" i="1" l="1"/>
  <c r="A3267" i="1"/>
  <c r="H3269" i="1" l="1"/>
  <c r="A3268" i="1"/>
  <c r="H3270" i="1" l="1"/>
  <c r="A3269" i="1"/>
  <c r="H3271" i="1" l="1"/>
  <c r="A3270" i="1"/>
  <c r="H3272" i="1" l="1"/>
  <c r="A3271" i="1"/>
  <c r="H3273" i="1" l="1"/>
  <c r="A3272" i="1"/>
  <c r="H3274" i="1" l="1"/>
  <c r="A3273" i="1"/>
  <c r="H3275" i="1" l="1"/>
  <c r="A3274" i="1"/>
  <c r="H3276" i="1" l="1"/>
  <c r="A3275" i="1"/>
  <c r="H3277" i="1" l="1"/>
  <c r="A3276" i="1"/>
  <c r="H3278" i="1" l="1"/>
  <c r="A3277" i="1"/>
  <c r="H3279" i="1" l="1"/>
  <c r="A3278" i="1"/>
  <c r="H3280" i="1" l="1"/>
  <c r="A3279" i="1"/>
  <c r="H3281" i="1" l="1"/>
  <c r="A3280" i="1"/>
  <c r="A3281" i="1" l="1"/>
  <c r="H3282" i="1"/>
  <c r="H3283" i="1" l="1"/>
  <c r="A3282" i="1"/>
  <c r="H3284" i="1" l="1"/>
  <c r="A3283" i="1"/>
  <c r="H3285" i="1" l="1"/>
  <c r="A3284" i="1"/>
  <c r="H3286" i="1" l="1"/>
  <c r="A3285" i="1"/>
  <c r="H3287" i="1" l="1"/>
  <c r="A3286" i="1"/>
  <c r="H3288" i="1" l="1"/>
  <c r="A3287" i="1"/>
  <c r="H3289" i="1" l="1"/>
  <c r="A3288" i="1"/>
  <c r="A3289" i="1" l="1"/>
  <c r="H3290" i="1"/>
  <c r="H3291" i="1" l="1"/>
  <c r="A3290" i="1"/>
  <c r="H3292" i="1" l="1"/>
  <c r="A3291" i="1"/>
  <c r="H3293" i="1" l="1"/>
  <c r="A3292" i="1"/>
  <c r="H3294" i="1" l="1"/>
  <c r="A3293" i="1"/>
  <c r="H3295" i="1" l="1"/>
  <c r="A3294" i="1"/>
  <c r="H3296" i="1" l="1"/>
  <c r="A3295" i="1"/>
  <c r="H3297" i="1" l="1"/>
  <c r="A3296" i="1"/>
  <c r="A3297" i="1" l="1"/>
  <c r="H3298" i="1"/>
  <c r="H3299" i="1" l="1"/>
  <c r="A3298" i="1"/>
  <c r="H3300" i="1" l="1"/>
  <c r="A3299" i="1"/>
  <c r="H3301" i="1" l="1"/>
  <c r="A3300" i="1"/>
  <c r="H3302" i="1" l="1"/>
  <c r="A3301" i="1"/>
  <c r="H3303" i="1" l="1"/>
  <c r="A3302" i="1"/>
  <c r="H3304" i="1" l="1"/>
  <c r="A3303" i="1"/>
  <c r="H3305" i="1" l="1"/>
  <c r="A3304" i="1"/>
  <c r="H3306" i="1" l="1"/>
  <c r="A3305" i="1"/>
  <c r="H3307" i="1" l="1"/>
  <c r="A3306" i="1"/>
  <c r="H3308" i="1" l="1"/>
  <c r="A3307" i="1"/>
  <c r="H3309" i="1" l="1"/>
  <c r="A3308" i="1"/>
  <c r="H3310" i="1" l="1"/>
  <c r="A3309" i="1"/>
  <c r="H3311" i="1" l="1"/>
  <c r="A3310" i="1"/>
  <c r="H3312" i="1" l="1"/>
  <c r="A3311" i="1"/>
  <c r="H3313" i="1" l="1"/>
  <c r="A3312" i="1"/>
  <c r="A3313" i="1" l="1"/>
  <c r="H3314" i="1"/>
  <c r="H3315" i="1" l="1"/>
  <c r="A3314" i="1"/>
  <c r="H3316" i="1" l="1"/>
  <c r="A3315" i="1"/>
  <c r="H3317" i="1" l="1"/>
  <c r="A3316" i="1"/>
  <c r="H3318" i="1" l="1"/>
  <c r="A3317" i="1"/>
  <c r="H3319" i="1" l="1"/>
  <c r="A3318" i="1"/>
  <c r="H3320" i="1" l="1"/>
  <c r="A3319" i="1"/>
  <c r="H3321" i="1" l="1"/>
  <c r="A3320" i="1"/>
  <c r="A3321" i="1" l="1"/>
  <c r="H3322" i="1"/>
  <c r="H3323" i="1" l="1"/>
  <c r="A3322" i="1"/>
  <c r="H3324" i="1" l="1"/>
  <c r="A3323" i="1"/>
  <c r="A3324" i="1" l="1"/>
  <c r="H3325" i="1"/>
  <c r="H3326" i="1" l="1"/>
  <c r="A3325" i="1"/>
  <c r="H3327" i="1" l="1"/>
  <c r="A3326" i="1"/>
  <c r="H3328" i="1" l="1"/>
  <c r="A3327" i="1"/>
  <c r="H3329" i="1" l="1"/>
  <c r="A3328" i="1"/>
  <c r="H3330" i="1" l="1"/>
  <c r="A3329" i="1"/>
  <c r="A3330" i="1" l="1"/>
  <c r="H3331" i="1"/>
  <c r="H3332" i="1" l="1"/>
  <c r="A3331" i="1"/>
  <c r="A3332" i="1" l="1"/>
  <c r="H3333" i="1"/>
  <c r="H3334" i="1" l="1"/>
  <c r="A3333" i="1"/>
  <c r="H3335" i="1" l="1"/>
  <c r="A3334" i="1"/>
  <c r="H3336" i="1" l="1"/>
  <c r="A3335" i="1"/>
  <c r="H3337" i="1" l="1"/>
  <c r="A3336" i="1"/>
  <c r="H3338" i="1" l="1"/>
  <c r="A3337" i="1"/>
  <c r="A3338" i="1" l="1"/>
  <c r="H3339" i="1"/>
  <c r="H3340" i="1" l="1"/>
  <c r="A3339" i="1"/>
  <c r="A3340" i="1" l="1"/>
  <c r="H3341" i="1"/>
  <c r="H3342" i="1" l="1"/>
  <c r="A3341" i="1"/>
  <c r="H3343" i="1" l="1"/>
  <c r="A3342" i="1"/>
  <c r="H3344" i="1" l="1"/>
  <c r="A3343" i="1"/>
  <c r="H3345" i="1" l="1"/>
  <c r="A3344" i="1"/>
  <c r="H3346" i="1" l="1"/>
  <c r="A3345" i="1"/>
  <c r="A3346" i="1" l="1"/>
  <c r="H3347" i="1"/>
  <c r="H3348" i="1" l="1"/>
  <c r="A3347" i="1"/>
  <c r="A3348" i="1" l="1"/>
  <c r="H3349" i="1"/>
  <c r="H3350" i="1" l="1"/>
  <c r="A3349" i="1"/>
  <c r="H3351" i="1" l="1"/>
  <c r="A3350" i="1"/>
  <c r="H3352" i="1" l="1"/>
  <c r="A3351" i="1"/>
  <c r="H3353" i="1" l="1"/>
  <c r="A3352" i="1"/>
  <c r="H3354" i="1" l="1"/>
  <c r="A3353" i="1"/>
  <c r="A3354" i="1" l="1"/>
  <c r="H3355" i="1"/>
  <c r="H3356" i="1" l="1"/>
  <c r="A3355" i="1"/>
  <c r="A3356" i="1" l="1"/>
  <c r="H3357" i="1"/>
  <c r="H3358" i="1" l="1"/>
  <c r="A3357" i="1"/>
  <c r="H3359" i="1" l="1"/>
  <c r="A3358" i="1"/>
  <c r="H3360" i="1" l="1"/>
  <c r="A3359" i="1"/>
  <c r="H3361" i="1" l="1"/>
  <c r="A3360" i="1"/>
  <c r="H3362" i="1" l="1"/>
  <c r="A3361" i="1"/>
  <c r="A3362" i="1" l="1"/>
  <c r="H3363" i="1"/>
  <c r="H3364" i="1" l="1"/>
  <c r="A3363" i="1"/>
  <c r="A3364" i="1" l="1"/>
  <c r="H3365" i="1"/>
  <c r="H3366" i="1" l="1"/>
  <c r="A3365" i="1"/>
  <c r="A3366" i="1" l="1"/>
  <c r="H3367" i="1"/>
  <c r="H3368" i="1" l="1"/>
  <c r="A3367" i="1"/>
  <c r="A3368" i="1" l="1"/>
  <c r="H3369" i="1"/>
  <c r="H3370" i="1" l="1"/>
  <c r="A3369" i="1"/>
  <c r="H3371" i="1" l="1"/>
  <c r="A3370" i="1"/>
  <c r="H3372" i="1" l="1"/>
  <c r="A3371" i="1"/>
  <c r="H3373" i="1" l="1"/>
  <c r="A3372" i="1"/>
  <c r="H3374" i="1" l="1"/>
  <c r="A3373" i="1"/>
  <c r="A3374" i="1" l="1"/>
  <c r="H3375" i="1"/>
  <c r="H3376" i="1" l="1"/>
  <c r="A3375" i="1"/>
  <c r="A3376" i="1" l="1"/>
  <c r="H3377" i="1"/>
  <c r="H3378" i="1" l="1"/>
  <c r="A3377" i="1"/>
  <c r="H3379" i="1" l="1"/>
  <c r="A3378" i="1"/>
  <c r="H3380" i="1" l="1"/>
  <c r="A3379" i="1"/>
  <c r="H3381" i="1" l="1"/>
  <c r="A3380" i="1"/>
  <c r="H3382" i="1" l="1"/>
  <c r="A3381" i="1"/>
  <c r="A3382" i="1" l="1"/>
  <c r="H3383" i="1"/>
  <c r="H3384" i="1" l="1"/>
  <c r="A3383" i="1"/>
  <c r="A3384" i="1" l="1"/>
  <c r="H3385" i="1"/>
  <c r="H3386" i="1" l="1"/>
  <c r="A3385" i="1"/>
  <c r="H3387" i="1" l="1"/>
  <c r="A3386" i="1"/>
  <c r="H3388" i="1" l="1"/>
  <c r="A3387" i="1"/>
  <c r="H3389" i="1" l="1"/>
  <c r="A3388" i="1"/>
  <c r="H3390" i="1" l="1"/>
  <c r="A3389" i="1"/>
  <c r="A3390" i="1" l="1"/>
  <c r="H3391" i="1"/>
  <c r="H3392" i="1" l="1"/>
  <c r="A3391" i="1"/>
  <c r="A3392" i="1" l="1"/>
  <c r="H3393" i="1"/>
  <c r="H3394" i="1" l="1"/>
  <c r="A3393" i="1"/>
  <c r="H3395" i="1" l="1"/>
  <c r="A3394" i="1"/>
  <c r="H3396" i="1" l="1"/>
  <c r="A3395" i="1"/>
  <c r="H3397" i="1" l="1"/>
  <c r="A3396" i="1"/>
  <c r="H3398" i="1" l="1"/>
  <c r="A3397" i="1"/>
  <c r="A3398" i="1" l="1"/>
  <c r="H3399" i="1"/>
  <c r="H3400" i="1" l="1"/>
  <c r="A3399" i="1"/>
  <c r="A3400" i="1" l="1"/>
  <c r="H3401" i="1"/>
  <c r="H3402" i="1" l="1"/>
  <c r="A3401" i="1"/>
  <c r="H3403" i="1" l="1"/>
  <c r="A3402" i="1"/>
  <c r="H3404" i="1" l="1"/>
  <c r="A3403" i="1"/>
  <c r="H3405" i="1" l="1"/>
  <c r="A3404" i="1"/>
  <c r="H3406" i="1" l="1"/>
  <c r="A3405" i="1"/>
  <c r="A3406" i="1" l="1"/>
  <c r="H3407" i="1"/>
  <c r="H3408" i="1" l="1"/>
  <c r="A3407" i="1"/>
  <c r="H3409" i="1" l="1"/>
  <c r="A3408" i="1"/>
  <c r="H3410" i="1" l="1"/>
  <c r="A3409" i="1"/>
  <c r="H3411" i="1" l="1"/>
  <c r="A3410" i="1"/>
  <c r="H3412" i="1" l="1"/>
  <c r="A3411" i="1"/>
  <c r="H3413" i="1" l="1"/>
  <c r="A3412" i="1"/>
  <c r="H3414" i="1" l="1"/>
  <c r="A3413" i="1"/>
  <c r="H3415" i="1" l="1"/>
  <c r="A3414" i="1"/>
  <c r="H3416" i="1" l="1"/>
  <c r="A3415" i="1"/>
  <c r="H3417" i="1" l="1"/>
  <c r="A3416" i="1"/>
  <c r="H3418" i="1" l="1"/>
  <c r="A3417" i="1"/>
  <c r="H3419" i="1" l="1"/>
  <c r="A3418" i="1"/>
  <c r="H3420" i="1" l="1"/>
  <c r="A3419" i="1"/>
  <c r="H3421" i="1" l="1"/>
  <c r="A3420" i="1"/>
  <c r="H3422" i="1" l="1"/>
  <c r="A3421" i="1"/>
  <c r="H3423" i="1" l="1"/>
  <c r="A3422" i="1"/>
  <c r="H3424" i="1" l="1"/>
  <c r="A3423" i="1"/>
  <c r="H3425" i="1" l="1"/>
  <c r="A3424" i="1"/>
  <c r="H3426" i="1" l="1"/>
  <c r="A3425" i="1"/>
  <c r="H3427" i="1" l="1"/>
  <c r="A3426" i="1"/>
  <c r="H3428" i="1" l="1"/>
  <c r="A3427" i="1"/>
  <c r="H3429" i="1" l="1"/>
  <c r="A3428" i="1"/>
  <c r="H3430" i="1" l="1"/>
  <c r="A3429" i="1"/>
  <c r="H3431" i="1" l="1"/>
  <c r="A3430" i="1"/>
  <c r="H3432" i="1" l="1"/>
  <c r="A3431" i="1"/>
  <c r="H3433" i="1" l="1"/>
  <c r="A3432" i="1"/>
  <c r="H3434" i="1" l="1"/>
  <c r="A3433" i="1"/>
  <c r="H3435" i="1" l="1"/>
  <c r="A3434" i="1"/>
  <c r="H3436" i="1" l="1"/>
  <c r="A3435" i="1"/>
  <c r="H3437" i="1" l="1"/>
  <c r="A3436" i="1"/>
  <c r="H3438" i="1" l="1"/>
  <c r="A3437" i="1"/>
  <c r="H3439" i="1" l="1"/>
  <c r="A3438" i="1"/>
  <c r="H3440" i="1" l="1"/>
  <c r="A3439" i="1"/>
  <c r="H3441" i="1" l="1"/>
  <c r="A3440" i="1"/>
  <c r="H3442" i="1" l="1"/>
  <c r="A3441" i="1"/>
  <c r="A3442" i="1" l="1"/>
  <c r="H3443" i="1"/>
  <c r="H3444" i="1" l="1"/>
  <c r="A3443" i="1"/>
  <c r="A3444" i="1" l="1"/>
  <c r="H3445" i="1"/>
  <c r="H3446" i="1" l="1"/>
  <c r="A3445" i="1"/>
  <c r="H3447" i="1" l="1"/>
  <c r="A3446" i="1"/>
  <c r="H3448" i="1" l="1"/>
  <c r="A3447" i="1"/>
  <c r="H3449" i="1" l="1"/>
  <c r="A3448" i="1"/>
  <c r="H3450" i="1" l="1"/>
  <c r="A3449" i="1"/>
  <c r="A3450" i="1" l="1"/>
  <c r="H3451" i="1"/>
  <c r="H3452" i="1" l="1"/>
  <c r="A3451" i="1"/>
  <c r="A3452" i="1" l="1"/>
  <c r="H3453" i="1"/>
  <c r="H3454" i="1" l="1"/>
  <c r="A3453" i="1"/>
  <c r="H3455" i="1" l="1"/>
  <c r="A3454" i="1"/>
  <c r="H3456" i="1" l="1"/>
  <c r="A3455" i="1"/>
  <c r="H3457" i="1" l="1"/>
  <c r="A3456" i="1"/>
  <c r="H3458" i="1" l="1"/>
  <c r="A3457" i="1"/>
  <c r="A3458" i="1" l="1"/>
  <c r="H3459" i="1"/>
  <c r="H3460" i="1" l="1"/>
  <c r="A3459" i="1"/>
  <c r="A3460" i="1" l="1"/>
  <c r="H3461" i="1"/>
  <c r="H3462" i="1" l="1"/>
  <c r="A3461" i="1"/>
  <c r="H3463" i="1" l="1"/>
  <c r="A3462" i="1"/>
  <c r="H3464" i="1" l="1"/>
  <c r="A3463" i="1"/>
  <c r="H3465" i="1" l="1"/>
  <c r="A3464" i="1"/>
  <c r="H3466" i="1" l="1"/>
  <c r="A3465" i="1"/>
  <c r="A3466" i="1" l="1"/>
  <c r="H3467" i="1"/>
  <c r="H3468" i="1" l="1"/>
  <c r="A3467" i="1"/>
  <c r="A3468" i="1" l="1"/>
  <c r="H3469" i="1"/>
  <c r="H3470" i="1" l="1"/>
  <c r="A3469" i="1"/>
  <c r="H3471" i="1" l="1"/>
  <c r="A3470" i="1"/>
  <c r="H3472" i="1" l="1"/>
  <c r="A3471" i="1"/>
  <c r="H3473" i="1" l="1"/>
  <c r="A3472" i="1"/>
  <c r="H3474" i="1" l="1"/>
  <c r="A3473" i="1"/>
  <c r="A3474" i="1" l="1"/>
  <c r="H3475" i="1"/>
  <c r="H3476" i="1" l="1"/>
  <c r="A3475" i="1"/>
  <c r="A3476" i="1" l="1"/>
  <c r="H3477" i="1"/>
  <c r="H3478" i="1" l="1"/>
  <c r="A3477" i="1"/>
  <c r="H3479" i="1" l="1"/>
  <c r="A3478" i="1"/>
  <c r="H3480" i="1" l="1"/>
  <c r="A3479" i="1"/>
  <c r="H3481" i="1" l="1"/>
  <c r="A3480" i="1"/>
  <c r="H3482" i="1" l="1"/>
  <c r="A3481" i="1"/>
  <c r="A3482" i="1" l="1"/>
  <c r="H3483" i="1"/>
  <c r="H3484" i="1" l="1"/>
  <c r="A3483" i="1"/>
  <c r="A3484" i="1" l="1"/>
  <c r="H3485" i="1"/>
  <c r="H3486" i="1" l="1"/>
  <c r="A3485" i="1"/>
  <c r="H3487" i="1" l="1"/>
  <c r="A3486" i="1"/>
  <c r="H3488" i="1" l="1"/>
  <c r="A3487" i="1"/>
  <c r="H3489" i="1" l="1"/>
  <c r="A3488" i="1"/>
  <c r="H3490" i="1" l="1"/>
  <c r="A3489" i="1"/>
  <c r="H3491" i="1" l="1"/>
  <c r="A3490" i="1"/>
  <c r="H3492" i="1" l="1"/>
  <c r="A3491" i="1"/>
  <c r="A3492" i="1" l="1"/>
  <c r="H3493" i="1"/>
  <c r="H3494" i="1" l="1"/>
  <c r="A3493" i="1"/>
  <c r="A3494" i="1" l="1"/>
  <c r="H3495" i="1"/>
  <c r="H3496" i="1" l="1"/>
  <c r="A3495" i="1"/>
  <c r="H3497" i="1" l="1"/>
  <c r="A3496" i="1"/>
  <c r="H3498" i="1" l="1"/>
  <c r="A3497" i="1"/>
  <c r="H3499" i="1" l="1"/>
  <c r="A3498" i="1"/>
  <c r="H3500" i="1" l="1"/>
  <c r="A3499" i="1"/>
  <c r="A3500" i="1" l="1"/>
  <c r="H3501" i="1"/>
  <c r="H3502" i="1" l="1"/>
  <c r="A3501" i="1"/>
  <c r="A3502" i="1" l="1"/>
  <c r="H3503" i="1"/>
  <c r="H3504" i="1" l="1"/>
  <c r="A3503" i="1"/>
  <c r="H3505" i="1" l="1"/>
  <c r="A3504" i="1"/>
  <c r="H3506" i="1" l="1"/>
  <c r="A3505" i="1"/>
  <c r="H3507" i="1" l="1"/>
  <c r="A3506" i="1"/>
  <c r="H3508" i="1" l="1"/>
  <c r="A3507" i="1"/>
  <c r="A3508" i="1" l="1"/>
  <c r="H3509" i="1"/>
  <c r="H3510" i="1" l="1"/>
  <c r="A3509" i="1"/>
  <c r="A3510" i="1" l="1"/>
  <c r="H3511" i="1"/>
  <c r="H3512" i="1" l="1"/>
  <c r="A3511" i="1"/>
  <c r="H3513" i="1" l="1"/>
  <c r="A3512" i="1"/>
  <c r="H3514" i="1" l="1"/>
  <c r="A3513" i="1"/>
  <c r="H3515" i="1" l="1"/>
  <c r="A3514" i="1"/>
  <c r="H3516" i="1" l="1"/>
  <c r="A3515" i="1"/>
  <c r="A3516" i="1" l="1"/>
  <c r="H3517" i="1"/>
  <c r="H3518" i="1" l="1"/>
  <c r="A3517" i="1"/>
  <c r="A3518" i="1" l="1"/>
  <c r="H3519" i="1"/>
  <c r="H3520" i="1" l="1"/>
  <c r="A3519" i="1"/>
  <c r="H3521" i="1" l="1"/>
  <c r="A3520" i="1"/>
  <c r="H3522" i="1" l="1"/>
  <c r="A3521" i="1"/>
  <c r="H3523" i="1" l="1"/>
  <c r="A3522" i="1"/>
  <c r="H3524" i="1" l="1"/>
  <c r="A3523" i="1"/>
  <c r="A3524" i="1" l="1"/>
  <c r="H3525" i="1"/>
  <c r="H3526" i="1" l="1"/>
  <c r="A3525" i="1"/>
  <c r="A3526" i="1" l="1"/>
  <c r="H3527" i="1"/>
  <c r="H3528" i="1" l="1"/>
  <c r="A3527" i="1"/>
  <c r="H3529" i="1" l="1"/>
  <c r="A3528" i="1"/>
  <c r="H3530" i="1" l="1"/>
  <c r="A3529" i="1"/>
  <c r="H3531" i="1" l="1"/>
  <c r="A3530" i="1"/>
  <c r="H3532" i="1" l="1"/>
  <c r="A3531" i="1"/>
  <c r="A3532" i="1" l="1"/>
  <c r="H3533" i="1"/>
  <c r="H3534" i="1" l="1"/>
  <c r="A3533" i="1"/>
  <c r="A3534" i="1" l="1"/>
  <c r="H3535" i="1"/>
  <c r="H3536" i="1" l="1"/>
  <c r="A3535" i="1"/>
  <c r="H3537" i="1" l="1"/>
  <c r="A3536" i="1"/>
  <c r="H3538" i="1" l="1"/>
  <c r="A3537" i="1"/>
  <c r="H3539" i="1" l="1"/>
  <c r="A3538" i="1"/>
  <c r="H3540" i="1" l="1"/>
  <c r="A3539" i="1"/>
  <c r="A3540" i="1" l="1"/>
  <c r="H3541" i="1"/>
  <c r="H3542" i="1" l="1"/>
  <c r="A3541" i="1"/>
  <c r="A3542" i="1" l="1"/>
  <c r="H3543" i="1"/>
  <c r="H3544" i="1" l="1"/>
  <c r="A3543" i="1"/>
  <c r="H3545" i="1" l="1"/>
  <c r="A3544" i="1"/>
  <c r="H3546" i="1" l="1"/>
  <c r="A3545" i="1"/>
  <c r="H3547" i="1" l="1"/>
  <c r="A3546" i="1"/>
  <c r="H3548" i="1" l="1"/>
  <c r="A3547" i="1"/>
  <c r="A3548" i="1" l="1"/>
  <c r="H3549" i="1"/>
  <c r="H3550" i="1" l="1"/>
  <c r="A3549" i="1"/>
  <c r="A3550" i="1" l="1"/>
  <c r="H3551" i="1"/>
  <c r="H3552" i="1" l="1"/>
  <c r="A3551" i="1"/>
  <c r="H3553" i="1" l="1"/>
  <c r="A3552" i="1"/>
  <c r="H3554" i="1" l="1"/>
  <c r="A3553" i="1"/>
  <c r="H3555" i="1" l="1"/>
  <c r="A3554" i="1"/>
  <c r="H3556" i="1" l="1"/>
  <c r="A3555" i="1"/>
  <c r="A3556" i="1" l="1"/>
  <c r="H3557" i="1"/>
  <c r="H3558" i="1" l="1"/>
  <c r="A3557" i="1"/>
  <c r="H3559" i="1" l="1"/>
  <c r="A3558" i="1"/>
  <c r="H3560" i="1" l="1"/>
  <c r="A3559" i="1"/>
  <c r="H3561" i="1" l="1"/>
  <c r="A3560" i="1"/>
  <c r="H3562" i="1" l="1"/>
  <c r="A3561" i="1"/>
  <c r="H3563" i="1" l="1"/>
  <c r="A3562" i="1"/>
  <c r="H3564" i="1" l="1"/>
  <c r="A3563" i="1"/>
  <c r="H3565" i="1" l="1"/>
  <c r="A3564" i="1"/>
  <c r="H3566" i="1" l="1"/>
  <c r="A3565" i="1"/>
  <c r="H3567" i="1" l="1"/>
  <c r="A3566" i="1"/>
  <c r="H3568" i="1" l="1"/>
  <c r="A3567" i="1"/>
  <c r="H3569" i="1" l="1"/>
  <c r="A3568" i="1"/>
  <c r="H3570" i="1" l="1"/>
  <c r="A3569" i="1"/>
  <c r="H3571" i="1" l="1"/>
  <c r="A3570" i="1"/>
  <c r="H3572" i="1" l="1"/>
  <c r="A3571" i="1"/>
  <c r="H3573" i="1" l="1"/>
  <c r="A3572" i="1"/>
  <c r="H3574" i="1" l="1"/>
  <c r="A3573" i="1"/>
  <c r="H3575" i="1" l="1"/>
  <c r="A3574" i="1"/>
  <c r="H3576" i="1" l="1"/>
  <c r="A3575" i="1"/>
  <c r="H3577" i="1" l="1"/>
  <c r="A3576" i="1"/>
  <c r="H3578" i="1" l="1"/>
  <c r="A3577" i="1"/>
  <c r="H3579" i="1" l="1"/>
  <c r="A3578" i="1"/>
  <c r="H3580" i="1" l="1"/>
  <c r="A3579" i="1"/>
  <c r="A3580" i="1" l="1"/>
  <c r="H3581" i="1"/>
  <c r="H3582" i="1" l="1"/>
  <c r="A3581" i="1"/>
  <c r="H3583" i="1" l="1"/>
  <c r="A3582" i="1"/>
  <c r="H3584" i="1" l="1"/>
  <c r="A3583" i="1"/>
  <c r="H3585" i="1" l="1"/>
  <c r="A3584" i="1"/>
  <c r="H3586" i="1" l="1"/>
  <c r="A3585" i="1"/>
  <c r="H3587" i="1" l="1"/>
  <c r="A3586" i="1"/>
  <c r="H3588" i="1" l="1"/>
  <c r="A3587" i="1"/>
  <c r="A3588" i="1" l="1"/>
  <c r="H3589" i="1"/>
  <c r="H3590" i="1" l="1"/>
  <c r="A3589" i="1"/>
  <c r="H3591" i="1" l="1"/>
  <c r="A3590" i="1"/>
  <c r="H3592" i="1" l="1"/>
  <c r="A3591" i="1"/>
  <c r="H3593" i="1" l="1"/>
  <c r="A3592" i="1"/>
  <c r="H3594" i="1" l="1"/>
  <c r="A3593" i="1"/>
  <c r="H3595" i="1" l="1"/>
  <c r="A3594" i="1"/>
  <c r="A3595" i="1" l="1"/>
  <c r="H3596" i="1"/>
  <c r="H3597" i="1" l="1"/>
  <c r="A3596" i="1"/>
  <c r="A3597" i="1" l="1"/>
  <c r="H3598" i="1"/>
  <c r="H3599" i="1" l="1"/>
  <c r="A3598" i="1"/>
  <c r="H3600" i="1" l="1"/>
  <c r="A3599" i="1"/>
  <c r="H3601" i="1" l="1"/>
  <c r="A3600" i="1"/>
  <c r="H3602" i="1" l="1"/>
  <c r="A3601" i="1"/>
  <c r="H3603" i="1" l="1"/>
  <c r="A3602" i="1"/>
  <c r="A3603" i="1" l="1"/>
  <c r="H3604" i="1"/>
  <c r="H3605" i="1" l="1"/>
  <c r="A3604" i="1"/>
  <c r="A3605" i="1" l="1"/>
  <c r="H3606" i="1"/>
  <c r="H3607" i="1" l="1"/>
  <c r="A3606" i="1"/>
  <c r="H3608" i="1" l="1"/>
  <c r="A3607" i="1"/>
  <c r="H3609" i="1" l="1"/>
  <c r="A3608" i="1"/>
  <c r="H3610" i="1" l="1"/>
  <c r="A3609" i="1"/>
  <c r="H3611" i="1" l="1"/>
  <c r="A3610" i="1"/>
  <c r="A3611" i="1" l="1"/>
  <c r="H3612" i="1"/>
  <c r="H3613" i="1" l="1"/>
  <c r="A3612" i="1"/>
  <c r="A3613" i="1" l="1"/>
  <c r="H3614" i="1"/>
  <c r="H3615" i="1" l="1"/>
  <c r="A3614" i="1"/>
  <c r="H3616" i="1" l="1"/>
  <c r="A3615" i="1"/>
  <c r="H3617" i="1" l="1"/>
  <c r="A3616" i="1"/>
  <c r="H3618" i="1" l="1"/>
  <c r="A3617" i="1"/>
  <c r="H3619" i="1" l="1"/>
  <c r="A3618" i="1"/>
  <c r="A3619" i="1" l="1"/>
  <c r="H3620" i="1"/>
  <c r="H3621" i="1" l="1"/>
  <c r="A3620" i="1"/>
  <c r="A3621" i="1" l="1"/>
  <c r="H3622" i="1"/>
  <c r="H3623" i="1" l="1"/>
  <c r="A3622" i="1"/>
  <c r="H3624" i="1" l="1"/>
  <c r="A3623" i="1"/>
  <c r="H3625" i="1" l="1"/>
  <c r="A3624" i="1"/>
  <c r="H3626" i="1" l="1"/>
  <c r="A3625" i="1"/>
  <c r="H3627" i="1" l="1"/>
  <c r="A3626" i="1"/>
  <c r="A3627" i="1" l="1"/>
  <c r="H3628" i="1"/>
  <c r="H3629" i="1" l="1"/>
  <c r="A3628" i="1"/>
  <c r="A3629" i="1" l="1"/>
  <c r="H3630" i="1"/>
  <c r="H3631" i="1" l="1"/>
  <c r="A3630" i="1"/>
  <c r="H3632" i="1" l="1"/>
  <c r="A3631" i="1"/>
  <c r="H3633" i="1" l="1"/>
  <c r="A3632" i="1"/>
  <c r="H3634" i="1" l="1"/>
  <c r="A3633" i="1"/>
  <c r="H3635" i="1" l="1"/>
  <c r="A3634" i="1"/>
  <c r="A3635" i="1" l="1"/>
  <c r="H3636" i="1"/>
  <c r="H3637" i="1" l="1"/>
  <c r="A3636" i="1"/>
  <c r="A3637" i="1" l="1"/>
  <c r="H3638" i="1"/>
  <c r="H3639" i="1" l="1"/>
  <c r="A3638" i="1"/>
  <c r="H3640" i="1" l="1"/>
  <c r="A3639" i="1"/>
  <c r="H3641" i="1" l="1"/>
  <c r="A3640" i="1"/>
  <c r="H3642" i="1" l="1"/>
  <c r="A3641" i="1"/>
  <c r="H3643" i="1" l="1"/>
  <c r="A3642" i="1"/>
  <c r="H3644" i="1" l="1"/>
  <c r="A3643" i="1"/>
  <c r="H3645" i="1" l="1"/>
  <c r="A3644" i="1"/>
  <c r="A3645" i="1" l="1"/>
  <c r="H3646" i="1"/>
  <c r="H3647" i="1" l="1"/>
  <c r="A3646" i="1"/>
  <c r="A3647" i="1" l="1"/>
  <c r="H3648" i="1"/>
  <c r="H3649" i="1" l="1"/>
  <c r="A3648" i="1"/>
  <c r="H3650" i="1" l="1"/>
  <c r="A3649" i="1"/>
  <c r="H3651" i="1" l="1"/>
  <c r="A3650" i="1"/>
  <c r="H3652" i="1" l="1"/>
  <c r="A3651" i="1"/>
  <c r="H3653" i="1" l="1"/>
  <c r="A3652" i="1"/>
  <c r="A3653" i="1" l="1"/>
  <c r="H3654" i="1"/>
  <c r="H3655" i="1" l="1"/>
  <c r="A3654" i="1"/>
  <c r="A3655" i="1" l="1"/>
  <c r="H3656" i="1"/>
  <c r="H3657" i="1" l="1"/>
  <c r="A3656" i="1"/>
  <c r="H3658" i="1" l="1"/>
  <c r="A3657" i="1"/>
  <c r="H3659" i="1" l="1"/>
  <c r="A3658" i="1"/>
  <c r="H3660" i="1" l="1"/>
  <c r="A3659" i="1"/>
  <c r="H3661" i="1" l="1"/>
  <c r="A3660" i="1"/>
  <c r="A3661" i="1" l="1"/>
  <c r="H3662" i="1"/>
  <c r="H3663" i="1" l="1"/>
  <c r="A3662" i="1"/>
  <c r="A3663" i="1" l="1"/>
  <c r="H3664" i="1"/>
  <c r="H3665" i="1" l="1"/>
  <c r="A3664" i="1"/>
  <c r="H3666" i="1" l="1"/>
  <c r="A3665" i="1"/>
  <c r="H3667" i="1" l="1"/>
  <c r="A3666" i="1"/>
  <c r="H3668" i="1" l="1"/>
  <c r="A3667" i="1"/>
  <c r="H3669" i="1" l="1"/>
  <c r="A3668" i="1"/>
  <c r="A3669" i="1" l="1"/>
  <c r="H3670" i="1"/>
  <c r="H3671" i="1" l="1"/>
  <c r="A3670" i="1"/>
  <c r="A3671" i="1" l="1"/>
  <c r="H3672" i="1"/>
  <c r="H3673" i="1" l="1"/>
  <c r="A3672" i="1"/>
  <c r="H3674" i="1" l="1"/>
  <c r="A3673" i="1"/>
  <c r="H3675" i="1" l="1"/>
  <c r="A3674" i="1"/>
  <c r="H3676" i="1" l="1"/>
  <c r="A3675" i="1"/>
  <c r="H3677" i="1" l="1"/>
  <c r="A3676" i="1"/>
  <c r="A3677" i="1" l="1"/>
  <c r="H3678" i="1"/>
  <c r="H3679" i="1" l="1"/>
  <c r="A3678" i="1"/>
  <c r="A3679" i="1" l="1"/>
  <c r="H3680" i="1"/>
  <c r="H3681" i="1" l="1"/>
  <c r="A3680" i="1"/>
  <c r="H3682" i="1" l="1"/>
  <c r="A3681" i="1"/>
  <c r="H3683" i="1" l="1"/>
  <c r="A3682" i="1"/>
  <c r="H3684" i="1" l="1"/>
  <c r="A3683" i="1"/>
  <c r="H3685" i="1" l="1"/>
  <c r="A3684" i="1"/>
  <c r="A3685" i="1" l="1"/>
  <c r="H3686" i="1"/>
  <c r="H3687" i="1" l="1"/>
  <c r="A3686" i="1"/>
  <c r="A3687" i="1" l="1"/>
  <c r="H3688" i="1"/>
  <c r="H3689" i="1" l="1"/>
  <c r="A3688" i="1"/>
  <c r="H3690" i="1" l="1"/>
  <c r="A3689" i="1"/>
  <c r="H3691" i="1" l="1"/>
  <c r="A3690" i="1"/>
  <c r="A3691" i="1" l="1"/>
  <c r="H3692" i="1"/>
  <c r="H3693" i="1" l="1"/>
  <c r="A3692" i="1"/>
  <c r="H3694" i="1" l="1"/>
  <c r="A3693" i="1"/>
  <c r="H3695" i="1" l="1"/>
  <c r="A3694" i="1"/>
  <c r="H3696" i="1" l="1"/>
  <c r="A3695" i="1"/>
  <c r="H3697" i="1" l="1"/>
  <c r="A3696" i="1"/>
  <c r="H3698" i="1" l="1"/>
  <c r="A3697" i="1"/>
  <c r="H3699" i="1" l="1"/>
  <c r="A3698" i="1"/>
  <c r="H3700" i="1" l="1"/>
  <c r="A3699" i="1"/>
  <c r="H3701" i="1" l="1"/>
  <c r="A3700" i="1"/>
  <c r="H3702" i="1" l="1"/>
  <c r="A3701" i="1"/>
  <c r="H3703" i="1" l="1"/>
  <c r="A3702" i="1"/>
  <c r="H3704" i="1" l="1"/>
  <c r="A3703" i="1"/>
  <c r="H3705" i="1" l="1"/>
  <c r="A3704" i="1"/>
  <c r="H3706" i="1" l="1"/>
  <c r="A3705" i="1"/>
  <c r="H3707" i="1" l="1"/>
  <c r="A3706" i="1"/>
  <c r="H3708" i="1" l="1"/>
  <c r="A3707" i="1"/>
  <c r="H3709" i="1" l="1"/>
  <c r="A3708" i="1"/>
  <c r="H3710" i="1" l="1"/>
  <c r="A3709" i="1"/>
  <c r="H3711" i="1" l="1"/>
  <c r="A3710" i="1"/>
  <c r="H3712" i="1" l="1"/>
  <c r="A3711" i="1"/>
  <c r="H3713" i="1" l="1"/>
  <c r="A3712" i="1"/>
  <c r="H3714" i="1" l="1"/>
  <c r="A3713" i="1"/>
  <c r="H3715" i="1" l="1"/>
  <c r="A3714" i="1"/>
  <c r="A3715" i="1" l="1"/>
  <c r="H3716" i="1"/>
  <c r="H3717" i="1" l="1"/>
  <c r="A3716" i="1"/>
  <c r="H3718" i="1" l="1"/>
  <c r="A3717" i="1"/>
  <c r="H3719" i="1" l="1"/>
  <c r="A3718" i="1"/>
  <c r="H3720" i="1" l="1"/>
  <c r="A3719" i="1"/>
  <c r="H3721" i="1" l="1"/>
  <c r="A3720" i="1"/>
  <c r="H3722" i="1" l="1"/>
  <c r="A3721" i="1"/>
  <c r="H3723" i="1" l="1"/>
  <c r="A3722" i="1"/>
  <c r="A3723" i="1" l="1"/>
  <c r="H3724" i="1"/>
  <c r="H3725" i="1" l="1"/>
  <c r="A3724" i="1"/>
  <c r="H3726" i="1" l="1"/>
  <c r="A3725" i="1"/>
  <c r="H3727" i="1" l="1"/>
  <c r="A3726" i="1"/>
  <c r="H3728" i="1" l="1"/>
  <c r="A3727" i="1"/>
  <c r="H3729" i="1" l="1"/>
  <c r="A3728" i="1"/>
  <c r="H3730" i="1" l="1"/>
  <c r="A3729" i="1"/>
  <c r="H3731" i="1" l="1"/>
  <c r="A3730" i="1"/>
  <c r="H3732" i="1" l="1"/>
  <c r="A3731" i="1"/>
  <c r="H3733" i="1" l="1"/>
  <c r="A3732" i="1"/>
  <c r="H3734" i="1" l="1"/>
  <c r="A3733" i="1"/>
  <c r="H3735" i="1" l="1"/>
  <c r="A3734" i="1"/>
  <c r="H3736" i="1" l="1"/>
  <c r="A3735" i="1"/>
  <c r="H3737" i="1" l="1"/>
  <c r="A3736" i="1"/>
  <c r="H3738" i="1" l="1"/>
  <c r="A3737" i="1"/>
  <c r="H3739" i="1" l="1"/>
  <c r="A3738" i="1"/>
  <c r="H3740" i="1" l="1"/>
  <c r="A3739" i="1"/>
  <c r="H3741" i="1" l="1"/>
  <c r="A3740" i="1"/>
  <c r="A3741" i="1" l="1"/>
  <c r="H3742" i="1"/>
  <c r="H3743" i="1" l="1"/>
  <c r="A3742" i="1"/>
  <c r="A3743" i="1" l="1"/>
  <c r="H3744" i="1"/>
  <c r="H3745" i="1" l="1"/>
  <c r="A3744" i="1"/>
  <c r="H3746" i="1" l="1"/>
  <c r="A3745" i="1"/>
  <c r="H3747" i="1" l="1"/>
  <c r="A3746" i="1"/>
  <c r="H3748" i="1" l="1"/>
  <c r="A3747" i="1"/>
  <c r="H3749" i="1" l="1"/>
  <c r="A3748" i="1"/>
  <c r="A3749" i="1" l="1"/>
  <c r="H3750" i="1"/>
  <c r="H3751" i="1" l="1"/>
  <c r="A3750" i="1"/>
  <c r="A3751" i="1" l="1"/>
  <c r="H3752" i="1"/>
  <c r="H3753" i="1" l="1"/>
  <c r="A3752" i="1"/>
  <c r="H3754" i="1" l="1"/>
  <c r="A3753" i="1"/>
  <c r="H3755" i="1" l="1"/>
  <c r="A3754" i="1"/>
  <c r="H3756" i="1" l="1"/>
  <c r="A3755" i="1"/>
  <c r="H3757" i="1" l="1"/>
  <c r="A3756" i="1"/>
  <c r="A3757" i="1" l="1"/>
  <c r="H3758" i="1"/>
  <c r="H3759" i="1" l="1"/>
  <c r="A3758" i="1"/>
  <c r="A3759" i="1" l="1"/>
  <c r="H3760" i="1"/>
  <c r="H3761" i="1" l="1"/>
  <c r="A3760" i="1"/>
  <c r="H3762" i="1" l="1"/>
  <c r="A3761" i="1"/>
  <c r="H3763" i="1" l="1"/>
  <c r="A3762" i="1"/>
  <c r="H3764" i="1" l="1"/>
  <c r="A3763" i="1"/>
  <c r="H3765" i="1" l="1"/>
  <c r="A3764" i="1"/>
  <c r="A3765" i="1" l="1"/>
  <c r="H3766" i="1"/>
  <c r="H3767" i="1" l="1"/>
  <c r="A3766" i="1"/>
  <c r="A3767" i="1" l="1"/>
  <c r="H3768" i="1"/>
  <c r="H3769" i="1" l="1"/>
  <c r="A3768" i="1"/>
  <c r="H3770" i="1" l="1"/>
  <c r="A3769" i="1"/>
  <c r="H3771" i="1" l="1"/>
  <c r="A3770" i="1"/>
  <c r="H3772" i="1" l="1"/>
  <c r="A3771" i="1"/>
  <c r="H3773" i="1" l="1"/>
  <c r="A3772" i="1"/>
  <c r="A3773" i="1" l="1"/>
  <c r="H3774" i="1"/>
  <c r="H3775" i="1" l="1"/>
  <c r="A3774" i="1"/>
  <c r="H3776" i="1" l="1"/>
  <c r="A3775" i="1"/>
  <c r="H3777" i="1" l="1"/>
  <c r="A3776" i="1"/>
  <c r="H3778" i="1" l="1"/>
  <c r="A3777" i="1"/>
  <c r="H3779" i="1" l="1"/>
  <c r="A3778" i="1"/>
  <c r="A3779" i="1" l="1"/>
  <c r="H3780" i="1"/>
  <c r="H3781" i="1" l="1"/>
  <c r="A3780" i="1"/>
  <c r="A3781" i="1" l="1"/>
  <c r="H3782" i="1"/>
  <c r="H3783" i="1" l="1"/>
  <c r="A3782" i="1"/>
  <c r="H3784" i="1" l="1"/>
  <c r="A3783" i="1"/>
  <c r="H3785" i="1" l="1"/>
  <c r="A3784" i="1"/>
  <c r="H3786" i="1" l="1"/>
  <c r="A3785" i="1"/>
  <c r="H3787" i="1" l="1"/>
  <c r="A3786" i="1"/>
  <c r="A3787" i="1" l="1"/>
  <c r="H3788" i="1"/>
  <c r="H3789" i="1" l="1"/>
  <c r="A3788" i="1"/>
  <c r="A3789" i="1" l="1"/>
  <c r="H3790" i="1"/>
  <c r="H3791" i="1" l="1"/>
  <c r="A3790" i="1"/>
  <c r="H3792" i="1" l="1"/>
  <c r="A3791" i="1"/>
  <c r="H3793" i="1" l="1"/>
  <c r="A3792" i="1"/>
  <c r="H3794" i="1" l="1"/>
  <c r="A3793" i="1"/>
  <c r="H3795" i="1" l="1"/>
  <c r="A3794" i="1"/>
  <c r="A3795" i="1" l="1"/>
  <c r="H3796" i="1"/>
  <c r="H3797" i="1" l="1"/>
  <c r="A3796" i="1"/>
  <c r="A3797" i="1" l="1"/>
  <c r="H3798" i="1"/>
  <c r="H3799" i="1" l="1"/>
  <c r="A3798" i="1"/>
  <c r="H3800" i="1" l="1"/>
  <c r="A3799" i="1"/>
  <c r="H3801" i="1" l="1"/>
  <c r="A3800" i="1"/>
  <c r="H3802" i="1" l="1"/>
  <c r="A3801" i="1"/>
  <c r="H3803" i="1" l="1"/>
  <c r="A3802" i="1"/>
  <c r="A3803" i="1" l="1"/>
  <c r="H3804" i="1"/>
  <c r="H3805" i="1" l="1"/>
  <c r="A3804" i="1"/>
  <c r="H3806" i="1" l="1"/>
  <c r="A3805" i="1"/>
  <c r="H3807" i="1" l="1"/>
  <c r="A3806" i="1"/>
  <c r="H3808" i="1" l="1"/>
  <c r="A3807" i="1"/>
  <c r="H3809" i="1" l="1"/>
  <c r="A3808" i="1"/>
  <c r="H3810" i="1" l="1"/>
  <c r="A3809" i="1"/>
  <c r="H3811" i="1" l="1"/>
  <c r="A3810" i="1"/>
  <c r="H3812" i="1" l="1"/>
  <c r="A3811" i="1"/>
  <c r="H3813" i="1" l="1"/>
  <c r="A3812" i="1"/>
  <c r="H3814" i="1" l="1"/>
  <c r="A3813" i="1"/>
  <c r="H3815" i="1" l="1"/>
  <c r="A3814" i="1"/>
  <c r="H3816" i="1" l="1"/>
  <c r="A3815" i="1"/>
  <c r="H3817" i="1" l="1"/>
  <c r="A3816" i="1"/>
  <c r="H3818" i="1" l="1"/>
  <c r="A3817" i="1"/>
  <c r="H3819" i="1" l="1"/>
  <c r="A3818" i="1"/>
  <c r="H3820" i="1" l="1"/>
  <c r="A3819" i="1"/>
  <c r="H3821" i="1" l="1"/>
  <c r="A3820" i="1"/>
  <c r="H3822" i="1" l="1"/>
  <c r="A3821" i="1"/>
  <c r="H3823" i="1" l="1"/>
  <c r="A3822" i="1"/>
  <c r="H3824" i="1" l="1"/>
  <c r="A3823" i="1"/>
  <c r="H3825" i="1" l="1"/>
  <c r="A3824" i="1"/>
  <c r="H3826" i="1" l="1"/>
  <c r="A3825" i="1"/>
  <c r="H3827" i="1" l="1"/>
  <c r="A3826" i="1"/>
  <c r="H3828" i="1" l="1"/>
  <c r="A3827" i="1"/>
  <c r="H3829" i="1" l="1"/>
  <c r="A3828" i="1"/>
  <c r="A3829" i="1" l="1"/>
  <c r="H3830" i="1"/>
  <c r="H3831" i="1" l="1"/>
  <c r="A3830" i="1"/>
  <c r="A3831" i="1" l="1"/>
  <c r="H3832" i="1"/>
  <c r="H3833" i="1" l="1"/>
  <c r="A3832" i="1"/>
  <c r="H3834" i="1" l="1"/>
  <c r="A3833" i="1"/>
  <c r="H3835" i="1" l="1"/>
  <c r="A3834" i="1"/>
  <c r="H3836" i="1" l="1"/>
  <c r="A3835" i="1"/>
  <c r="H3837" i="1" l="1"/>
  <c r="A3836" i="1"/>
  <c r="A3837" i="1" l="1"/>
  <c r="H3838" i="1"/>
  <c r="H3839" i="1" l="1"/>
  <c r="A3838" i="1"/>
  <c r="A3839" i="1" l="1"/>
  <c r="H3840" i="1"/>
  <c r="H3841" i="1" l="1"/>
  <c r="A3840" i="1"/>
  <c r="H3842" i="1" l="1"/>
  <c r="A3841" i="1"/>
  <c r="H3843" i="1" l="1"/>
  <c r="A3842" i="1"/>
  <c r="H3844" i="1" l="1"/>
  <c r="A3843" i="1"/>
  <c r="H3845" i="1" l="1"/>
  <c r="A3844" i="1"/>
  <c r="A3845" i="1" l="1"/>
  <c r="H3846" i="1"/>
  <c r="H3847" i="1" l="1"/>
  <c r="A3846" i="1"/>
  <c r="A3847" i="1" l="1"/>
  <c r="H3848" i="1"/>
  <c r="H3849" i="1" l="1"/>
  <c r="A3848" i="1"/>
  <c r="H3850" i="1" l="1"/>
  <c r="A3849" i="1"/>
  <c r="H3851" i="1" l="1"/>
  <c r="A3850" i="1"/>
  <c r="H3852" i="1" l="1"/>
  <c r="A3851" i="1"/>
  <c r="H3853" i="1" l="1"/>
  <c r="A3852" i="1"/>
  <c r="A3853" i="1" l="1"/>
  <c r="H3854" i="1"/>
  <c r="H3855" i="1" l="1"/>
  <c r="A3854" i="1"/>
  <c r="H3856" i="1" l="1"/>
  <c r="A3855" i="1"/>
  <c r="H3857" i="1" l="1"/>
  <c r="A3856" i="1"/>
  <c r="H3858" i="1" l="1"/>
  <c r="A3857" i="1"/>
  <c r="H3859" i="1" l="1"/>
  <c r="A3858" i="1"/>
  <c r="A3859" i="1" l="1"/>
  <c r="H3860" i="1"/>
  <c r="H3861" i="1" l="1"/>
  <c r="A3860" i="1"/>
  <c r="A3861" i="1" l="1"/>
  <c r="H3862" i="1"/>
  <c r="H3863" i="1" l="1"/>
  <c r="A3862" i="1"/>
  <c r="H3864" i="1" l="1"/>
  <c r="A3863" i="1"/>
  <c r="H3865" i="1" l="1"/>
  <c r="A3864" i="1"/>
  <c r="H3866" i="1" l="1"/>
  <c r="A3865" i="1"/>
  <c r="H3867" i="1" l="1"/>
  <c r="A3866" i="1"/>
  <c r="A3867" i="1" l="1"/>
  <c r="H3868" i="1"/>
  <c r="H3869" i="1" l="1"/>
  <c r="A3868" i="1"/>
  <c r="A3869" i="1" l="1"/>
  <c r="H3870" i="1"/>
  <c r="H3871" i="1" l="1"/>
  <c r="A3870" i="1"/>
  <c r="H3872" i="1" l="1"/>
  <c r="A3871" i="1"/>
  <c r="H3873" i="1" l="1"/>
  <c r="A3872" i="1"/>
  <c r="H3874" i="1" l="1"/>
  <c r="A3873" i="1"/>
  <c r="H3875" i="1" l="1"/>
  <c r="A3874" i="1"/>
  <c r="H3876" i="1" l="1"/>
  <c r="A3875" i="1"/>
  <c r="H3877" i="1" l="1"/>
  <c r="A3876" i="1"/>
  <c r="H3878" i="1" l="1"/>
  <c r="A3877" i="1"/>
  <c r="H3879" i="1" l="1"/>
  <c r="A3878" i="1"/>
  <c r="H3880" i="1" l="1"/>
  <c r="A3879" i="1"/>
  <c r="H3881" i="1" l="1"/>
  <c r="A3880" i="1"/>
  <c r="H3882" i="1" l="1"/>
  <c r="A3881" i="1"/>
  <c r="H3883" i="1" l="1"/>
  <c r="A3882" i="1"/>
  <c r="H3884" i="1" l="1"/>
  <c r="A3883" i="1"/>
  <c r="H3885" i="1" l="1"/>
  <c r="A3884" i="1"/>
  <c r="H3886" i="1" l="1"/>
  <c r="A3885" i="1"/>
  <c r="H3887" i="1" l="1"/>
  <c r="A3886" i="1"/>
  <c r="H3888" i="1" l="1"/>
  <c r="A3887" i="1"/>
  <c r="H3889" i="1" l="1"/>
  <c r="A3888" i="1"/>
  <c r="A3889" i="1" l="1"/>
  <c r="H3890" i="1"/>
  <c r="H3891" i="1" l="1"/>
  <c r="A3890" i="1"/>
  <c r="H3892" i="1" l="1"/>
  <c r="A3891" i="1"/>
  <c r="H3893" i="1" l="1"/>
  <c r="A3892" i="1"/>
  <c r="H3894" i="1" l="1"/>
  <c r="A3893" i="1"/>
  <c r="H3895" i="1" l="1"/>
  <c r="A3894" i="1"/>
  <c r="H3896" i="1" l="1"/>
  <c r="A3895" i="1"/>
  <c r="H3897" i="1" l="1"/>
  <c r="A3896" i="1"/>
  <c r="A3897" i="1" l="1"/>
  <c r="H3898" i="1"/>
  <c r="H3899" i="1" l="1"/>
  <c r="A3898" i="1"/>
  <c r="H3900" i="1" l="1"/>
  <c r="A3899" i="1"/>
  <c r="H3901" i="1" l="1"/>
  <c r="A3900" i="1"/>
  <c r="H3902" i="1" l="1"/>
  <c r="A3901" i="1"/>
  <c r="H3903" i="1" l="1"/>
  <c r="A3902" i="1"/>
  <c r="H3904" i="1" l="1"/>
  <c r="A3903" i="1"/>
  <c r="H3905" i="1" l="1"/>
  <c r="A3904" i="1"/>
  <c r="H3906" i="1" l="1"/>
  <c r="A3905" i="1"/>
  <c r="H3907" i="1" l="1"/>
  <c r="A3906" i="1"/>
  <c r="H3908" i="1" l="1"/>
  <c r="A3907" i="1"/>
  <c r="H3909" i="1" l="1"/>
  <c r="A3908" i="1"/>
  <c r="H3910" i="1" l="1"/>
  <c r="A3909" i="1"/>
  <c r="A3910" i="1" l="1"/>
  <c r="H3911" i="1"/>
  <c r="H3912" i="1" l="1"/>
  <c r="A3911" i="1"/>
  <c r="H3913" i="1" l="1"/>
  <c r="A3912" i="1"/>
  <c r="H3914" i="1" l="1"/>
  <c r="A3913" i="1"/>
  <c r="H3915" i="1" l="1"/>
  <c r="A3914" i="1"/>
  <c r="H3916" i="1" l="1"/>
  <c r="A3915" i="1"/>
  <c r="A3916" i="1" l="1"/>
  <c r="H3917" i="1"/>
  <c r="H3918" i="1" l="1"/>
  <c r="A3917" i="1"/>
  <c r="A3918" i="1" l="1"/>
  <c r="H3919" i="1"/>
  <c r="H3920" i="1" l="1"/>
  <c r="A3919" i="1"/>
  <c r="H3921" i="1" l="1"/>
  <c r="A3920" i="1"/>
  <c r="H3922" i="1" l="1"/>
  <c r="A3921" i="1"/>
  <c r="H3923" i="1" l="1"/>
  <c r="A3922" i="1"/>
  <c r="H3924" i="1" l="1"/>
  <c r="A3923" i="1"/>
  <c r="H3925" i="1" l="1"/>
  <c r="A3924" i="1"/>
  <c r="H3926" i="1" l="1"/>
  <c r="A3925" i="1"/>
  <c r="H3927" i="1" l="1"/>
  <c r="A3926" i="1"/>
  <c r="H3928" i="1" l="1"/>
  <c r="A3927" i="1"/>
  <c r="A3928" i="1" l="1"/>
  <c r="H3929" i="1"/>
  <c r="H3930" i="1" l="1"/>
  <c r="A3929" i="1"/>
  <c r="A3930" i="1" l="1"/>
  <c r="H3931" i="1"/>
  <c r="H3932" i="1" l="1"/>
  <c r="A3931" i="1"/>
  <c r="H3933" i="1" l="1"/>
  <c r="A3932" i="1"/>
  <c r="H3934" i="1" l="1"/>
  <c r="A3933" i="1"/>
  <c r="H3935" i="1" l="1"/>
  <c r="A3934" i="1"/>
  <c r="H3936" i="1" l="1"/>
  <c r="A3935" i="1"/>
  <c r="A3936" i="1" l="1"/>
  <c r="H3937" i="1"/>
  <c r="H3938" i="1" l="1"/>
  <c r="A3937" i="1"/>
  <c r="A3938" i="1" l="1"/>
  <c r="H3939" i="1"/>
  <c r="H3940" i="1" l="1"/>
  <c r="A3939" i="1"/>
  <c r="H3941" i="1" l="1"/>
  <c r="A3940" i="1"/>
  <c r="H3942" i="1" l="1"/>
  <c r="A3941" i="1"/>
  <c r="H3943" i="1" l="1"/>
  <c r="A3942" i="1"/>
  <c r="H3944" i="1" l="1"/>
  <c r="A3943" i="1"/>
  <c r="A3944" i="1" l="1"/>
  <c r="H3945" i="1"/>
  <c r="H3946" i="1" l="1"/>
  <c r="A3945" i="1"/>
  <c r="H3947" i="1" l="1"/>
  <c r="A3946" i="1"/>
  <c r="H3948" i="1" l="1"/>
  <c r="A3947" i="1"/>
  <c r="A3948" i="1" l="1"/>
  <c r="H3949" i="1"/>
  <c r="H3950" i="1" l="1"/>
  <c r="A3949" i="1"/>
  <c r="A3950" i="1" l="1"/>
  <c r="H3951" i="1"/>
  <c r="H3952" i="1" l="1"/>
  <c r="A3951" i="1"/>
  <c r="H3953" i="1" l="1"/>
  <c r="A3952" i="1"/>
  <c r="H3954" i="1" l="1"/>
  <c r="A3953" i="1"/>
  <c r="H3955" i="1" l="1"/>
  <c r="A3954" i="1"/>
  <c r="H3956" i="1" l="1"/>
  <c r="A3955" i="1"/>
  <c r="H3957" i="1" l="1"/>
  <c r="A3956" i="1"/>
  <c r="H3958" i="1" l="1"/>
  <c r="A3957" i="1"/>
  <c r="H3959" i="1" l="1"/>
  <c r="A3958" i="1"/>
  <c r="H3960" i="1" l="1"/>
  <c r="A3959" i="1"/>
  <c r="H3961" i="1" l="1"/>
  <c r="A3960" i="1"/>
  <c r="H3962" i="1" l="1"/>
  <c r="A3961" i="1"/>
  <c r="H3963" i="1" l="1"/>
  <c r="A3962" i="1"/>
  <c r="H3964" i="1" l="1"/>
  <c r="A3963" i="1"/>
  <c r="H3965" i="1" l="1"/>
  <c r="A3964" i="1"/>
  <c r="H3966" i="1" l="1"/>
  <c r="A3965" i="1"/>
  <c r="H3967" i="1" l="1"/>
  <c r="A3966" i="1"/>
  <c r="H3968" i="1" l="1"/>
  <c r="A3967" i="1"/>
  <c r="H3969" i="1" l="1"/>
  <c r="A3968" i="1"/>
  <c r="H3970" i="1" l="1"/>
  <c r="A3969" i="1"/>
  <c r="H3971" i="1" l="1"/>
  <c r="A3970" i="1"/>
  <c r="H3972" i="1" l="1"/>
  <c r="A3971" i="1"/>
  <c r="H3973" i="1" l="1"/>
  <c r="A3972" i="1"/>
  <c r="H3974" i="1" l="1"/>
  <c r="A3973" i="1"/>
  <c r="H3975" i="1" l="1"/>
  <c r="A3974" i="1"/>
  <c r="H3976" i="1" l="1"/>
  <c r="A3975" i="1"/>
  <c r="H3977" i="1" l="1"/>
  <c r="A3976" i="1"/>
  <c r="H3978" i="1" l="1"/>
  <c r="A3977" i="1"/>
  <c r="H3979" i="1" l="1"/>
  <c r="A3978" i="1"/>
  <c r="H3980" i="1" l="1"/>
  <c r="A3979" i="1"/>
  <c r="H3981" i="1" l="1"/>
  <c r="A3980" i="1"/>
  <c r="H3982" i="1" l="1"/>
  <c r="A3981" i="1"/>
  <c r="H3983" i="1" l="1"/>
  <c r="A3982" i="1"/>
  <c r="H3984" i="1" l="1"/>
  <c r="A3983" i="1"/>
  <c r="H3985" i="1" l="1"/>
  <c r="A3984" i="1"/>
  <c r="H3986" i="1" l="1"/>
  <c r="A3985" i="1"/>
  <c r="H3987" i="1" l="1"/>
  <c r="A3986" i="1"/>
  <c r="H3988" i="1" l="1"/>
  <c r="A3987" i="1"/>
  <c r="H3989" i="1" l="1"/>
  <c r="A3988" i="1"/>
  <c r="H3990" i="1" l="1"/>
  <c r="A3989" i="1"/>
  <c r="H3991" i="1" l="1"/>
  <c r="A3990" i="1"/>
  <c r="H3992" i="1" l="1"/>
  <c r="A3991" i="1"/>
  <c r="H3993" i="1" l="1"/>
  <c r="A3992" i="1"/>
  <c r="H3994" i="1" l="1"/>
  <c r="A3993" i="1"/>
  <c r="H3995" i="1" l="1"/>
  <c r="A3994" i="1"/>
  <c r="H3996" i="1" l="1"/>
  <c r="A3995" i="1"/>
  <c r="H3997" i="1" l="1"/>
  <c r="A3996" i="1"/>
  <c r="H3998" i="1" l="1"/>
  <c r="A3997" i="1"/>
  <c r="H3999" i="1" l="1"/>
  <c r="A3998" i="1"/>
  <c r="H4000" i="1" l="1"/>
  <c r="A3999" i="1"/>
  <c r="H4001" i="1" l="1"/>
  <c r="H4002" i="1" s="1"/>
  <c r="A4000" i="1"/>
  <c r="H4003" i="1" l="1"/>
  <c r="A4002" i="1"/>
  <c r="A4001" i="1"/>
  <c r="H4004" i="1" l="1"/>
  <c r="A4003" i="1"/>
  <c r="F14" i="3"/>
  <c r="H14" i="3"/>
  <c r="D14" i="3"/>
  <c r="E14" i="3"/>
  <c r="G14" i="3"/>
  <c r="H4005" i="1" l="1"/>
  <c r="A4004" i="1"/>
  <c r="H4006" i="1" l="1"/>
  <c r="A4005" i="1"/>
  <c r="H4007" i="1" l="1"/>
  <c r="A4006" i="1"/>
  <c r="H4008" i="1" l="1"/>
  <c r="A4007" i="1"/>
  <c r="H4009" i="1" l="1"/>
  <c r="A4008" i="1"/>
  <c r="H4010" i="1" l="1"/>
  <c r="A4009" i="1"/>
  <c r="H4011" i="1" l="1"/>
  <c r="A4010" i="1"/>
  <c r="H4012" i="1" l="1"/>
  <c r="A4011" i="1"/>
  <c r="H4013" i="1" l="1"/>
  <c r="A4012" i="1"/>
  <c r="H4014" i="1" l="1"/>
  <c r="A4013" i="1"/>
  <c r="H4015" i="1" l="1"/>
  <c r="A4014" i="1"/>
  <c r="H4016" i="1" l="1"/>
  <c r="A4015" i="1"/>
  <c r="H4017" i="1" l="1"/>
  <c r="A4016" i="1"/>
  <c r="H4018" i="1" l="1"/>
  <c r="A4017" i="1"/>
  <c r="A4018" i="1" l="1"/>
  <c r="H4019" i="1"/>
  <c r="H4020" i="1" l="1"/>
  <c r="A4019" i="1"/>
  <c r="H4021" i="1" l="1"/>
  <c r="A4020" i="1"/>
  <c r="H4022" i="1" l="1"/>
  <c r="A4021" i="1"/>
  <c r="H4023" i="1" l="1"/>
  <c r="A4022" i="1"/>
  <c r="H4024" i="1" l="1"/>
  <c r="A4023" i="1"/>
  <c r="A4024" i="1" l="1"/>
  <c r="H4025" i="1"/>
  <c r="H4026" i="1" l="1"/>
  <c r="A4025" i="1"/>
  <c r="H4027" i="1" l="1"/>
  <c r="A4026" i="1"/>
  <c r="H4028" i="1" l="1"/>
  <c r="A4027" i="1"/>
  <c r="H4029" i="1" l="1"/>
  <c r="A4028" i="1"/>
  <c r="H4030" i="1" l="1"/>
  <c r="A4029" i="1"/>
  <c r="H4031" i="1" l="1"/>
  <c r="A4030" i="1"/>
  <c r="H4032" i="1" l="1"/>
  <c r="A4031" i="1"/>
  <c r="A4032" i="1" l="1"/>
  <c r="H4033" i="1"/>
  <c r="H4034" i="1" l="1"/>
  <c r="A4033" i="1"/>
  <c r="H4035" i="1" l="1"/>
  <c r="A4034" i="1"/>
  <c r="H4036" i="1" l="1"/>
  <c r="A4035" i="1"/>
  <c r="H4037" i="1" l="1"/>
  <c r="A4036" i="1"/>
  <c r="H4038" i="1" l="1"/>
  <c r="A4037" i="1"/>
  <c r="H4039" i="1" l="1"/>
  <c r="A4038" i="1"/>
  <c r="H4040" i="1" l="1"/>
  <c r="A4039" i="1"/>
  <c r="H4041" i="1" l="1"/>
  <c r="A4040" i="1"/>
  <c r="H4042" i="1" l="1"/>
  <c r="A4041" i="1"/>
  <c r="H4043" i="1" l="1"/>
  <c r="A4042" i="1"/>
  <c r="H4044" i="1" l="1"/>
  <c r="A4043" i="1"/>
  <c r="A4044" i="1" l="1"/>
  <c r="H4045" i="1"/>
  <c r="H4046" i="1" l="1"/>
  <c r="A4045" i="1"/>
  <c r="H4047" i="1" l="1"/>
  <c r="A4046" i="1"/>
  <c r="H4048" i="1" l="1"/>
  <c r="A4047" i="1"/>
  <c r="H4049" i="1" l="1"/>
  <c r="A4048" i="1"/>
  <c r="H4050" i="1" l="1"/>
  <c r="A4049" i="1"/>
  <c r="H4051" i="1" l="1"/>
  <c r="A4050" i="1"/>
  <c r="H4052" i="1" l="1"/>
  <c r="A4051" i="1"/>
  <c r="H4053" i="1" l="1"/>
  <c r="A4052" i="1"/>
  <c r="H4054" i="1" l="1"/>
  <c r="A4053" i="1"/>
  <c r="H4055" i="1" l="1"/>
  <c r="A4054" i="1"/>
  <c r="H4056" i="1" l="1"/>
  <c r="A4055" i="1"/>
  <c r="H4057" i="1" l="1"/>
  <c r="A4056" i="1"/>
  <c r="H4058" i="1" l="1"/>
  <c r="A4057" i="1"/>
  <c r="H4059" i="1" l="1"/>
  <c r="A4058" i="1"/>
  <c r="H4060" i="1" l="1"/>
  <c r="A4059" i="1"/>
  <c r="H4061" i="1" l="1"/>
  <c r="A4060" i="1"/>
  <c r="H4062" i="1" l="1"/>
  <c r="A4061" i="1"/>
  <c r="H4063" i="1" l="1"/>
  <c r="A4062" i="1"/>
  <c r="H4064" i="1" l="1"/>
  <c r="A4063" i="1"/>
  <c r="H4065" i="1" l="1"/>
  <c r="A4064" i="1"/>
  <c r="H4066" i="1" l="1"/>
  <c r="A4065" i="1"/>
  <c r="A4066" i="1" l="1"/>
  <c r="H4067" i="1"/>
  <c r="H4068" i="1" l="1"/>
  <c r="A4067" i="1"/>
  <c r="H4069" i="1" l="1"/>
  <c r="A4068" i="1"/>
  <c r="H4070" i="1" l="1"/>
  <c r="A4069" i="1"/>
  <c r="H4071" i="1" l="1"/>
  <c r="A4070" i="1"/>
  <c r="H4072" i="1" l="1"/>
  <c r="A4071" i="1"/>
  <c r="A4072" i="1" l="1"/>
  <c r="H4073" i="1"/>
  <c r="H4074" i="1" l="1"/>
  <c r="A4073" i="1"/>
  <c r="H4075" i="1" l="1"/>
  <c r="A4074" i="1"/>
  <c r="H4076" i="1" l="1"/>
  <c r="A4075" i="1"/>
  <c r="H4077" i="1" l="1"/>
  <c r="A4076" i="1"/>
  <c r="H4078" i="1" l="1"/>
  <c r="A4077" i="1"/>
  <c r="A4078" i="1" l="1"/>
  <c r="H4079" i="1"/>
  <c r="H4080" i="1" l="1"/>
  <c r="A4079" i="1"/>
  <c r="H4081" i="1" l="1"/>
  <c r="A4080" i="1"/>
  <c r="H4082" i="1" l="1"/>
  <c r="A4081" i="1"/>
  <c r="H4083" i="1" l="1"/>
  <c r="A4082" i="1"/>
  <c r="H4084" i="1" l="1"/>
  <c r="A4083" i="1"/>
  <c r="H4085" i="1" l="1"/>
  <c r="A4084" i="1"/>
  <c r="H4086" i="1" l="1"/>
  <c r="A4085" i="1"/>
  <c r="H4087" i="1" l="1"/>
  <c r="A4086" i="1"/>
  <c r="H4088" i="1" l="1"/>
  <c r="A4087" i="1"/>
  <c r="H4089" i="1" l="1"/>
  <c r="A4088" i="1"/>
  <c r="H4090" i="1" l="1"/>
  <c r="A4089" i="1"/>
  <c r="A4090" i="1" l="1"/>
  <c r="H4091" i="1"/>
  <c r="H4092" i="1" l="1"/>
  <c r="A4091" i="1"/>
  <c r="H4093" i="1" l="1"/>
  <c r="A4092" i="1"/>
  <c r="H4094" i="1" l="1"/>
  <c r="A4093" i="1"/>
  <c r="H4095" i="1" l="1"/>
  <c r="A4094" i="1"/>
  <c r="H4096" i="1" l="1"/>
  <c r="A4095" i="1"/>
  <c r="H4097" i="1" l="1"/>
  <c r="A4096" i="1"/>
  <c r="H4098" i="1" l="1"/>
  <c r="A4097" i="1"/>
  <c r="H4099" i="1" l="1"/>
  <c r="A4098" i="1"/>
  <c r="H4100" i="1" l="1"/>
  <c r="A4099" i="1"/>
  <c r="H4101" i="1" l="1"/>
  <c r="A4100" i="1"/>
  <c r="H4102" i="1" l="1"/>
  <c r="A4101" i="1"/>
  <c r="H4103" i="1" l="1"/>
  <c r="A4102" i="1"/>
  <c r="H4104" i="1" l="1"/>
  <c r="A4103" i="1"/>
  <c r="H4105" i="1" l="1"/>
  <c r="A4104" i="1"/>
  <c r="H4106" i="1" l="1"/>
  <c r="A4105" i="1"/>
  <c r="H4107" i="1" l="1"/>
  <c r="A4106" i="1"/>
  <c r="H4108" i="1" l="1"/>
  <c r="A4107" i="1"/>
  <c r="H4109" i="1" l="1"/>
  <c r="A4108" i="1"/>
  <c r="H4110" i="1" l="1"/>
  <c r="A4109" i="1"/>
  <c r="H4111" i="1" l="1"/>
  <c r="A4110" i="1"/>
  <c r="H4112" i="1" l="1"/>
  <c r="A4111" i="1"/>
  <c r="H4113" i="1" l="1"/>
  <c r="A4112" i="1"/>
  <c r="H4114" i="1" l="1"/>
  <c r="A4113" i="1"/>
  <c r="H4115" i="1" l="1"/>
  <c r="A4114" i="1"/>
  <c r="H4116" i="1" l="1"/>
  <c r="A4115" i="1"/>
  <c r="H4117" i="1" l="1"/>
  <c r="A4116" i="1"/>
  <c r="H4118" i="1" l="1"/>
  <c r="A4117" i="1"/>
  <c r="H4119" i="1" l="1"/>
  <c r="A4118" i="1"/>
  <c r="H4120" i="1" l="1"/>
  <c r="A4119" i="1"/>
  <c r="H4121" i="1" l="1"/>
  <c r="A4120" i="1"/>
  <c r="H4122" i="1" l="1"/>
  <c r="A4121" i="1"/>
  <c r="H4123" i="1" l="1"/>
  <c r="A4122" i="1"/>
  <c r="H4124" i="1" l="1"/>
  <c r="A4123" i="1"/>
  <c r="H4125" i="1" l="1"/>
  <c r="A4124" i="1"/>
  <c r="H4126" i="1" l="1"/>
  <c r="A4125" i="1"/>
  <c r="H4127" i="1" l="1"/>
  <c r="A4126" i="1"/>
  <c r="H4128" i="1" l="1"/>
  <c r="A4127" i="1"/>
  <c r="H4129" i="1" l="1"/>
  <c r="A4128" i="1"/>
  <c r="H4130" i="1" l="1"/>
  <c r="A4129" i="1"/>
  <c r="H4131" i="1" l="1"/>
  <c r="A4130" i="1"/>
  <c r="H4132" i="1" l="1"/>
  <c r="A4131" i="1"/>
  <c r="H4133" i="1" l="1"/>
  <c r="A4132" i="1"/>
  <c r="H4134" i="1" l="1"/>
  <c r="A4133" i="1"/>
  <c r="H4135" i="1" l="1"/>
  <c r="A4134" i="1"/>
  <c r="H4136" i="1" l="1"/>
  <c r="A4135" i="1"/>
  <c r="H4137" i="1" l="1"/>
  <c r="A4136" i="1"/>
  <c r="H4138" i="1" l="1"/>
  <c r="A4137" i="1"/>
  <c r="H4139" i="1" l="1"/>
  <c r="A4138" i="1"/>
  <c r="H4140" i="1" l="1"/>
  <c r="A4139" i="1"/>
  <c r="H4141" i="1" l="1"/>
  <c r="A4140" i="1"/>
  <c r="H4142" i="1" l="1"/>
  <c r="A4141" i="1"/>
  <c r="H4143" i="1" l="1"/>
  <c r="A4142" i="1"/>
  <c r="H4144" i="1" l="1"/>
  <c r="A4143" i="1"/>
  <c r="H4145" i="1" l="1"/>
  <c r="A4144" i="1"/>
  <c r="H4146" i="1" l="1"/>
  <c r="A4145" i="1"/>
  <c r="H4147" i="1" l="1"/>
  <c r="A4146" i="1"/>
  <c r="H4148" i="1" l="1"/>
  <c r="A4147" i="1"/>
  <c r="H4149" i="1" l="1"/>
  <c r="A4148" i="1"/>
  <c r="H4150" i="1" l="1"/>
  <c r="A4149" i="1"/>
  <c r="H4151" i="1" l="1"/>
  <c r="A4150" i="1"/>
  <c r="H4152" i="1" l="1"/>
  <c r="A4151" i="1"/>
  <c r="H4153" i="1" l="1"/>
  <c r="A4152" i="1"/>
  <c r="H4154" i="1" l="1"/>
  <c r="A4153" i="1"/>
  <c r="H4155" i="1" l="1"/>
  <c r="A4154" i="1"/>
  <c r="H4156" i="1" l="1"/>
  <c r="A4155" i="1"/>
  <c r="H4157" i="1" l="1"/>
  <c r="A4156" i="1"/>
  <c r="H4158" i="1" l="1"/>
  <c r="A4157" i="1"/>
  <c r="H4159" i="1" l="1"/>
  <c r="A4158" i="1"/>
  <c r="H4160" i="1" l="1"/>
  <c r="A4159" i="1"/>
  <c r="H4161" i="1" l="1"/>
  <c r="A4160" i="1"/>
  <c r="H4162" i="1" l="1"/>
  <c r="A4161" i="1"/>
  <c r="H4163" i="1" l="1"/>
  <c r="A4162" i="1"/>
  <c r="H4164" i="1" l="1"/>
  <c r="A4163" i="1"/>
  <c r="H4165" i="1" l="1"/>
  <c r="A4164" i="1"/>
  <c r="H4166" i="1" l="1"/>
  <c r="A4165" i="1"/>
  <c r="A4166" i="1" l="1"/>
  <c r="H4167" i="1"/>
  <c r="H4168" i="1" l="1"/>
  <c r="A4167" i="1"/>
  <c r="H4169" i="1" l="1"/>
  <c r="A4168" i="1"/>
  <c r="H4170" i="1" l="1"/>
  <c r="A4169" i="1"/>
  <c r="H4171" i="1" l="1"/>
  <c r="A4170" i="1"/>
  <c r="H4172" i="1" l="1"/>
  <c r="A4171" i="1"/>
  <c r="H4173" i="1" l="1"/>
  <c r="A4172" i="1"/>
  <c r="H4174" i="1" l="1"/>
  <c r="A4173" i="1"/>
  <c r="H4175" i="1" l="1"/>
  <c r="A4174" i="1"/>
  <c r="A4175" i="1" l="1"/>
  <c r="H4176" i="1"/>
  <c r="H4177" i="1" l="1"/>
  <c r="A4176" i="1"/>
  <c r="H4178" i="1" l="1"/>
  <c r="A4177" i="1"/>
  <c r="H4179" i="1" l="1"/>
  <c r="A4178" i="1"/>
  <c r="H4180" i="1" l="1"/>
  <c r="A4179" i="1"/>
  <c r="H4181" i="1" l="1"/>
  <c r="A4180" i="1"/>
  <c r="A4181" i="1" l="1"/>
  <c r="H4182" i="1"/>
  <c r="H4183" i="1" l="1"/>
  <c r="A4182" i="1"/>
  <c r="A4183" i="1" l="1"/>
  <c r="H4184" i="1"/>
  <c r="H4185" i="1" l="1"/>
  <c r="A4184" i="1"/>
  <c r="H4186" i="1" l="1"/>
  <c r="A4185" i="1"/>
  <c r="H4187" i="1" l="1"/>
  <c r="A4186" i="1"/>
  <c r="H4188" i="1" l="1"/>
  <c r="A4187" i="1"/>
  <c r="H4189" i="1" l="1"/>
  <c r="A4188" i="1"/>
  <c r="A4189" i="1" l="1"/>
  <c r="H4190" i="1"/>
  <c r="H4191" i="1" l="1"/>
  <c r="A4190" i="1"/>
  <c r="A4191" i="1" l="1"/>
  <c r="H4192" i="1"/>
  <c r="H4193" i="1" l="1"/>
  <c r="A4192" i="1"/>
  <c r="H4194" i="1" l="1"/>
  <c r="A4193" i="1"/>
  <c r="H4195" i="1" l="1"/>
  <c r="A4194" i="1"/>
  <c r="H4196" i="1" l="1"/>
  <c r="A4195" i="1"/>
  <c r="H4197" i="1" l="1"/>
  <c r="A4196" i="1"/>
  <c r="A4197" i="1" l="1"/>
  <c r="H4198" i="1"/>
  <c r="H4199" i="1" l="1"/>
  <c r="A4198" i="1"/>
  <c r="A4199" i="1" l="1"/>
  <c r="H4200" i="1"/>
  <c r="H4201" i="1" l="1"/>
  <c r="A4200" i="1"/>
  <c r="A4201" i="1" l="1"/>
  <c r="H4202" i="1"/>
  <c r="H4203" i="1" l="1"/>
  <c r="A4202" i="1"/>
  <c r="A4203" i="1" l="1"/>
  <c r="H4204" i="1"/>
  <c r="H4205" i="1" l="1"/>
  <c r="A4204" i="1"/>
  <c r="H4206" i="1" l="1"/>
  <c r="A4205" i="1"/>
  <c r="H4207" i="1" l="1"/>
  <c r="A4206" i="1"/>
  <c r="H4208" i="1" l="1"/>
  <c r="A4207" i="1"/>
  <c r="H4209" i="1" l="1"/>
  <c r="A4208" i="1"/>
  <c r="A4209" i="1" l="1"/>
  <c r="H4210" i="1"/>
  <c r="H4211" i="1" l="1"/>
  <c r="A4210" i="1"/>
  <c r="H4212" i="1" l="1"/>
  <c r="A4211" i="1"/>
  <c r="H4213" i="1" l="1"/>
  <c r="A4212" i="1"/>
  <c r="A4213" i="1" l="1"/>
  <c r="H4214" i="1"/>
  <c r="H4215" i="1" l="1"/>
  <c r="A4214" i="1"/>
  <c r="A4215" i="1" l="1"/>
  <c r="H4216" i="1"/>
  <c r="H4217" i="1" l="1"/>
  <c r="A4216" i="1"/>
  <c r="H4218" i="1" l="1"/>
  <c r="A4217" i="1"/>
  <c r="H4219" i="1" l="1"/>
  <c r="A4218" i="1"/>
  <c r="H4220" i="1" l="1"/>
  <c r="A4219" i="1"/>
  <c r="H4221" i="1" l="1"/>
  <c r="A4220" i="1"/>
  <c r="A4221" i="1" l="1"/>
  <c r="H4222" i="1"/>
  <c r="H4223" i="1" l="1"/>
  <c r="A4222" i="1"/>
  <c r="A4223" i="1" l="1"/>
  <c r="H4224" i="1"/>
  <c r="H4225" i="1" l="1"/>
  <c r="A4224" i="1"/>
  <c r="H4226" i="1" l="1"/>
  <c r="A4225" i="1"/>
  <c r="H4227" i="1" l="1"/>
  <c r="A4226" i="1"/>
  <c r="H4228" i="1" l="1"/>
  <c r="A4227" i="1"/>
  <c r="H4229" i="1" l="1"/>
  <c r="A4228" i="1"/>
  <c r="A4229" i="1" l="1"/>
  <c r="H4230" i="1"/>
  <c r="H4231" i="1" l="1"/>
  <c r="A4230" i="1"/>
  <c r="A4231" i="1" l="1"/>
  <c r="H4232" i="1"/>
  <c r="H4233" i="1" l="1"/>
  <c r="A4232" i="1"/>
  <c r="H4234" i="1" l="1"/>
  <c r="A4233" i="1"/>
  <c r="H4235" i="1" l="1"/>
  <c r="A4234" i="1"/>
  <c r="H4236" i="1" l="1"/>
  <c r="A4235" i="1"/>
  <c r="H4237" i="1" l="1"/>
  <c r="A4236" i="1"/>
  <c r="A4237" i="1" l="1"/>
  <c r="H4238" i="1"/>
  <c r="H4239" i="1" l="1"/>
  <c r="A4238" i="1"/>
  <c r="A4239" i="1" l="1"/>
  <c r="H4240" i="1"/>
  <c r="H4241" i="1" l="1"/>
  <c r="A4240" i="1"/>
  <c r="H4242" i="1" l="1"/>
  <c r="A4241" i="1"/>
  <c r="H4243" i="1" l="1"/>
  <c r="A4242" i="1"/>
  <c r="H4244" i="1" l="1"/>
  <c r="A4243" i="1"/>
  <c r="H4245" i="1" l="1"/>
  <c r="A4244" i="1"/>
  <c r="A4245" i="1" l="1"/>
  <c r="H4246" i="1"/>
  <c r="H4247" i="1" l="1"/>
  <c r="A4246" i="1"/>
  <c r="A4247" i="1" l="1"/>
  <c r="H4248" i="1"/>
  <c r="H4249" i="1" l="1"/>
  <c r="A4248" i="1"/>
  <c r="H4250" i="1" l="1"/>
  <c r="A4249" i="1"/>
  <c r="H4251" i="1" l="1"/>
  <c r="A4250" i="1"/>
  <c r="H4252" i="1" l="1"/>
  <c r="A4251" i="1"/>
  <c r="H4253" i="1" l="1"/>
  <c r="A4252" i="1"/>
  <c r="A4253" i="1" l="1"/>
  <c r="H4254" i="1"/>
  <c r="H4255" i="1" l="1"/>
  <c r="A4254" i="1"/>
  <c r="A4255" i="1" l="1"/>
  <c r="H4256" i="1"/>
  <c r="H4257" i="1" l="1"/>
  <c r="A4256" i="1"/>
  <c r="H4258" i="1" l="1"/>
  <c r="A4257" i="1"/>
  <c r="H4259" i="1" l="1"/>
  <c r="A4258" i="1"/>
  <c r="H4260" i="1" l="1"/>
  <c r="A4259" i="1"/>
  <c r="H4261" i="1" l="1"/>
  <c r="A4260" i="1"/>
  <c r="A4261" i="1" l="1"/>
  <c r="H4262" i="1"/>
  <c r="H4263" i="1" l="1"/>
  <c r="A4262" i="1"/>
  <c r="A4263" i="1" l="1"/>
  <c r="H4264" i="1"/>
  <c r="H4265" i="1" l="1"/>
  <c r="A4264" i="1"/>
  <c r="H4266" i="1" l="1"/>
  <c r="A4265" i="1"/>
  <c r="H4267" i="1" l="1"/>
  <c r="A4266" i="1"/>
  <c r="H4268" i="1" l="1"/>
  <c r="A4267" i="1"/>
  <c r="H4269" i="1" l="1"/>
  <c r="A4268" i="1"/>
  <c r="A4269" i="1" l="1"/>
  <c r="H4270" i="1"/>
  <c r="H4271" i="1" l="1"/>
  <c r="A4270" i="1"/>
  <c r="A4271" i="1" l="1"/>
  <c r="H4272" i="1"/>
  <c r="H4273" i="1" l="1"/>
  <c r="A4272" i="1"/>
  <c r="H4274" i="1" l="1"/>
  <c r="A4273" i="1"/>
  <c r="H4275" i="1" l="1"/>
  <c r="A4274" i="1"/>
  <c r="H4276" i="1" l="1"/>
  <c r="A4275" i="1"/>
  <c r="H4277" i="1" l="1"/>
  <c r="A4276" i="1"/>
  <c r="A4277" i="1" l="1"/>
  <c r="H4278" i="1"/>
  <c r="H4279" i="1" l="1"/>
  <c r="A4278" i="1"/>
  <c r="A4279" i="1" l="1"/>
  <c r="H4280" i="1"/>
  <c r="H4281" i="1" l="1"/>
  <c r="A4280" i="1"/>
  <c r="H4282" i="1" l="1"/>
  <c r="A4281" i="1"/>
  <c r="H4283" i="1" l="1"/>
  <c r="A4282" i="1"/>
  <c r="H4284" i="1" l="1"/>
  <c r="A4283" i="1"/>
  <c r="H4285" i="1" l="1"/>
  <c r="A4284" i="1"/>
  <c r="A4285" i="1" l="1"/>
  <c r="H4286" i="1"/>
  <c r="H4287" i="1" l="1"/>
  <c r="A4286" i="1"/>
  <c r="A4287" i="1" l="1"/>
  <c r="H4288" i="1"/>
  <c r="H4289" i="1" l="1"/>
  <c r="A4288" i="1"/>
  <c r="H4290" i="1" l="1"/>
  <c r="A4289" i="1"/>
  <c r="H4291" i="1" l="1"/>
  <c r="A4290" i="1"/>
  <c r="H4292" i="1" l="1"/>
  <c r="A4291" i="1"/>
  <c r="H4293" i="1" l="1"/>
  <c r="A4292" i="1"/>
  <c r="A4293" i="1" l="1"/>
  <c r="H4294" i="1"/>
  <c r="H4295" i="1" l="1"/>
  <c r="A4294" i="1"/>
  <c r="A4295" i="1" l="1"/>
  <c r="H4296" i="1"/>
  <c r="H4297" i="1" l="1"/>
  <c r="A4296" i="1"/>
  <c r="H4298" i="1" l="1"/>
  <c r="A4297" i="1"/>
  <c r="H4299" i="1" l="1"/>
  <c r="A4298" i="1"/>
  <c r="H4300" i="1" l="1"/>
  <c r="A4299" i="1"/>
  <c r="H4301" i="1" l="1"/>
  <c r="A4300" i="1"/>
  <c r="A4301" i="1" l="1"/>
  <c r="H4302" i="1"/>
  <c r="H4303" i="1" l="1"/>
  <c r="A4302" i="1"/>
  <c r="A4303" i="1" l="1"/>
  <c r="H4304" i="1"/>
  <c r="H4305" i="1" l="1"/>
  <c r="A4304" i="1"/>
  <c r="H4306" i="1" l="1"/>
  <c r="A4305" i="1"/>
  <c r="H4307" i="1" l="1"/>
  <c r="A4306" i="1"/>
  <c r="H4308" i="1" l="1"/>
  <c r="A4307" i="1"/>
  <c r="H4309" i="1" l="1"/>
  <c r="A4308" i="1"/>
  <c r="A4309" i="1" l="1"/>
  <c r="H4310" i="1"/>
  <c r="H4311" i="1" l="1"/>
  <c r="A4310" i="1"/>
  <c r="A4311" i="1" l="1"/>
  <c r="H4312" i="1"/>
  <c r="H4313" i="1" l="1"/>
  <c r="A4312" i="1"/>
  <c r="H4314" i="1" l="1"/>
  <c r="A4313" i="1"/>
  <c r="H4315" i="1" l="1"/>
  <c r="A4314" i="1"/>
  <c r="H4316" i="1" l="1"/>
  <c r="A4315" i="1"/>
  <c r="H4317" i="1" l="1"/>
  <c r="A4316" i="1"/>
  <c r="A4317" i="1" l="1"/>
  <c r="H4318" i="1"/>
  <c r="H4319" i="1" l="1"/>
  <c r="A4318" i="1"/>
  <c r="A4319" i="1" l="1"/>
  <c r="H4320" i="1"/>
  <c r="H4321" i="1" l="1"/>
  <c r="A4320" i="1"/>
  <c r="H4322" i="1" l="1"/>
  <c r="A4321" i="1"/>
  <c r="H4323" i="1" l="1"/>
  <c r="A4322" i="1"/>
  <c r="H4324" i="1" l="1"/>
  <c r="A4323" i="1"/>
  <c r="H4325" i="1" l="1"/>
  <c r="A4324" i="1"/>
  <c r="A4325" i="1" l="1"/>
  <c r="H4326" i="1"/>
  <c r="H4327" i="1" l="1"/>
  <c r="A4326" i="1"/>
  <c r="H4328" i="1" l="1"/>
  <c r="A4327" i="1"/>
  <c r="H4329" i="1" l="1"/>
  <c r="A4328" i="1"/>
  <c r="H4330" i="1" l="1"/>
  <c r="A4329" i="1"/>
  <c r="H4331" i="1" l="1"/>
  <c r="A4330" i="1"/>
  <c r="A4331" i="1" l="1"/>
  <c r="H4332" i="1"/>
  <c r="H4333" i="1" l="1"/>
  <c r="A4332" i="1"/>
  <c r="A4333" i="1" l="1"/>
  <c r="H4334" i="1"/>
  <c r="H4335" i="1" l="1"/>
  <c r="A4334" i="1"/>
  <c r="H4336" i="1" l="1"/>
  <c r="A4335" i="1"/>
  <c r="H4337" i="1" l="1"/>
  <c r="A4336" i="1"/>
  <c r="H4338" i="1" l="1"/>
  <c r="A4337" i="1"/>
  <c r="H4339" i="1" l="1"/>
  <c r="A4338" i="1"/>
  <c r="A4339" i="1" l="1"/>
  <c r="H4340" i="1"/>
  <c r="H4341" i="1" l="1"/>
  <c r="A4340" i="1"/>
  <c r="A4341" i="1" l="1"/>
  <c r="H4342" i="1"/>
  <c r="H4343" i="1" l="1"/>
  <c r="A4342" i="1"/>
  <c r="H4344" i="1" l="1"/>
  <c r="A4343" i="1"/>
  <c r="H4345" i="1" l="1"/>
  <c r="A4344" i="1"/>
  <c r="H4346" i="1" l="1"/>
  <c r="A4345" i="1"/>
  <c r="H4347" i="1" l="1"/>
  <c r="A4346" i="1"/>
  <c r="A4347" i="1" l="1"/>
  <c r="H4348" i="1"/>
  <c r="H4349" i="1" l="1"/>
  <c r="A4348" i="1"/>
  <c r="H4350" i="1" l="1"/>
  <c r="A4349" i="1"/>
  <c r="H4351" i="1" l="1"/>
  <c r="A4350" i="1"/>
  <c r="H4352" i="1" l="1"/>
  <c r="A4351" i="1"/>
  <c r="H4353" i="1" l="1"/>
  <c r="A4352" i="1"/>
  <c r="A4353" i="1" l="1"/>
  <c r="H4354" i="1"/>
  <c r="H4355" i="1" l="1"/>
  <c r="A4354" i="1"/>
  <c r="A4355" i="1" l="1"/>
  <c r="H4356" i="1"/>
  <c r="H4357" i="1" l="1"/>
  <c r="A4356" i="1"/>
  <c r="H4358" i="1" l="1"/>
  <c r="A4357" i="1"/>
  <c r="H4359" i="1" l="1"/>
  <c r="A4358" i="1"/>
  <c r="H4360" i="1" l="1"/>
  <c r="A4359" i="1"/>
  <c r="H4361" i="1" l="1"/>
  <c r="A4360" i="1"/>
  <c r="H4362" i="1" l="1"/>
  <c r="A4361" i="1"/>
  <c r="H4363" i="1" l="1"/>
  <c r="A4362" i="1"/>
  <c r="A4363" i="1" l="1"/>
  <c r="H4364" i="1"/>
  <c r="H4365" i="1" l="1"/>
  <c r="A4364" i="1"/>
  <c r="H4366" i="1" l="1"/>
  <c r="A4365" i="1"/>
  <c r="H4367" i="1" l="1"/>
  <c r="A4366" i="1"/>
  <c r="H4368" i="1" l="1"/>
  <c r="A4367" i="1"/>
  <c r="H4369" i="1" l="1"/>
  <c r="A4368" i="1"/>
  <c r="A4369" i="1" l="1"/>
  <c r="H4370" i="1"/>
  <c r="H4371" i="1" l="1"/>
  <c r="A4370" i="1"/>
  <c r="A4371" i="1" l="1"/>
  <c r="H4372" i="1"/>
  <c r="H4373" i="1" l="1"/>
  <c r="A4372" i="1"/>
  <c r="H4374" i="1" l="1"/>
  <c r="A4373" i="1"/>
  <c r="H4375" i="1" l="1"/>
  <c r="A4374" i="1"/>
  <c r="H4376" i="1" l="1"/>
  <c r="A4375" i="1"/>
  <c r="H4377" i="1" l="1"/>
  <c r="A4376" i="1"/>
  <c r="H4378" i="1" l="1"/>
  <c r="A4377" i="1"/>
  <c r="H4379" i="1" l="1"/>
  <c r="A4378" i="1"/>
  <c r="A4379" i="1" l="1"/>
  <c r="H4380" i="1"/>
  <c r="H4381" i="1" l="1"/>
  <c r="A4380" i="1"/>
  <c r="H4382" i="1" l="1"/>
  <c r="A4381" i="1"/>
  <c r="H4383" i="1" l="1"/>
  <c r="A4382" i="1"/>
  <c r="H4384" i="1" l="1"/>
  <c r="A4383" i="1"/>
  <c r="H4385" i="1" l="1"/>
  <c r="A4384" i="1"/>
  <c r="A4385" i="1" l="1"/>
  <c r="H4386" i="1"/>
  <c r="H4387" i="1" l="1"/>
  <c r="A4386" i="1"/>
  <c r="A4387" i="1" l="1"/>
  <c r="H4388" i="1"/>
  <c r="H4389" i="1" l="1"/>
  <c r="A4388" i="1"/>
  <c r="H4390" i="1" l="1"/>
  <c r="A4389" i="1"/>
  <c r="H4391" i="1" l="1"/>
  <c r="A4390" i="1"/>
  <c r="H4392" i="1" l="1"/>
  <c r="A4391" i="1"/>
  <c r="H4393" i="1" l="1"/>
  <c r="A4392" i="1"/>
  <c r="H4394" i="1" l="1"/>
  <c r="A4393" i="1"/>
  <c r="H4395" i="1" l="1"/>
  <c r="A4394" i="1"/>
  <c r="A4395" i="1" l="1"/>
  <c r="H4396" i="1"/>
  <c r="H4397" i="1" l="1"/>
  <c r="A4396" i="1"/>
  <c r="H4398" i="1" l="1"/>
  <c r="A4397" i="1"/>
  <c r="H4399" i="1" l="1"/>
  <c r="A4398" i="1"/>
  <c r="H4400" i="1" l="1"/>
  <c r="A4399" i="1"/>
  <c r="H4401" i="1" l="1"/>
  <c r="A4400" i="1"/>
  <c r="A4401" i="1" l="1"/>
  <c r="H4402" i="1"/>
  <c r="H4403" i="1" l="1"/>
  <c r="A4402" i="1"/>
  <c r="A4403" i="1" l="1"/>
  <c r="H4404" i="1"/>
  <c r="H4405" i="1" l="1"/>
  <c r="A4404" i="1"/>
  <c r="H4406" i="1" l="1"/>
  <c r="A4405" i="1"/>
  <c r="H4407" i="1" l="1"/>
  <c r="A4406" i="1"/>
  <c r="H4408" i="1" l="1"/>
  <c r="A4407" i="1"/>
  <c r="H4409" i="1" l="1"/>
  <c r="A4408" i="1"/>
  <c r="H4410" i="1" l="1"/>
  <c r="A4409" i="1"/>
  <c r="H4411" i="1" l="1"/>
  <c r="A4410" i="1"/>
  <c r="A4411" i="1" l="1"/>
  <c r="H4412" i="1"/>
  <c r="H4413" i="1" l="1"/>
  <c r="A4412" i="1"/>
  <c r="H4414" i="1" l="1"/>
  <c r="A4413" i="1"/>
  <c r="H4415" i="1" l="1"/>
  <c r="A4414" i="1"/>
  <c r="H4416" i="1" l="1"/>
  <c r="A4415" i="1"/>
  <c r="H4417" i="1" l="1"/>
  <c r="A4416" i="1"/>
  <c r="A4417" i="1" l="1"/>
  <c r="H4418" i="1"/>
  <c r="H4419" i="1" l="1"/>
  <c r="A4418" i="1"/>
  <c r="A4419" i="1" l="1"/>
  <c r="H4420" i="1"/>
  <c r="H4421" i="1" l="1"/>
  <c r="A4420" i="1"/>
  <c r="H4422" i="1" l="1"/>
  <c r="A4421" i="1"/>
  <c r="H4423" i="1" l="1"/>
  <c r="A4422" i="1"/>
  <c r="H4424" i="1" l="1"/>
  <c r="A4423" i="1"/>
  <c r="H4425" i="1" l="1"/>
  <c r="A4424" i="1"/>
  <c r="H4426" i="1" l="1"/>
  <c r="A4425" i="1"/>
  <c r="H4427" i="1" l="1"/>
  <c r="A4426" i="1"/>
  <c r="A4427" i="1" l="1"/>
  <c r="H4428" i="1"/>
  <c r="H4429" i="1" l="1"/>
  <c r="A4428" i="1"/>
  <c r="H4430" i="1" l="1"/>
  <c r="A4429" i="1"/>
  <c r="H4431" i="1" l="1"/>
  <c r="A4430" i="1"/>
  <c r="H4432" i="1" l="1"/>
  <c r="A4431" i="1"/>
  <c r="H4433" i="1" l="1"/>
  <c r="A4432" i="1"/>
  <c r="H4434" i="1" l="1"/>
  <c r="A4433" i="1"/>
  <c r="H4435" i="1" l="1"/>
  <c r="A4434" i="1"/>
  <c r="A4435" i="1" l="1"/>
  <c r="H4436" i="1"/>
  <c r="H4437" i="1" l="1"/>
  <c r="A4436" i="1"/>
  <c r="H4438" i="1" l="1"/>
  <c r="A4437" i="1"/>
  <c r="H4439" i="1" l="1"/>
  <c r="A4438" i="1"/>
  <c r="H4440" i="1" l="1"/>
  <c r="A4439" i="1"/>
  <c r="H4441" i="1" l="1"/>
  <c r="A4440" i="1"/>
  <c r="H4442" i="1" l="1"/>
  <c r="A4441" i="1"/>
  <c r="H4443" i="1" l="1"/>
  <c r="A4442" i="1"/>
  <c r="A4443" i="1" l="1"/>
  <c r="H4444" i="1"/>
  <c r="H4445" i="1" l="1"/>
  <c r="A4444" i="1"/>
  <c r="H4446" i="1" l="1"/>
  <c r="A4445" i="1"/>
  <c r="H4447" i="1" l="1"/>
  <c r="A4446" i="1"/>
  <c r="H4448" i="1" l="1"/>
  <c r="A4447" i="1"/>
  <c r="H4449" i="1" l="1"/>
  <c r="A4448" i="1"/>
  <c r="H4450" i="1" l="1"/>
  <c r="A4449" i="1"/>
  <c r="H4451" i="1" l="1"/>
  <c r="A4450" i="1"/>
  <c r="A4451" i="1" l="1"/>
  <c r="H4452" i="1"/>
  <c r="H4453" i="1" l="1"/>
  <c r="A4452" i="1"/>
  <c r="H4454" i="1" l="1"/>
  <c r="A4453" i="1"/>
  <c r="H4455" i="1" l="1"/>
  <c r="A4454" i="1"/>
  <c r="H4456" i="1" l="1"/>
  <c r="A4455" i="1"/>
  <c r="H4457" i="1" l="1"/>
  <c r="A4456" i="1"/>
  <c r="H4458" i="1" l="1"/>
  <c r="A4457" i="1"/>
  <c r="H4459" i="1" l="1"/>
  <c r="A4458" i="1"/>
  <c r="A4459" i="1" l="1"/>
  <c r="H4460" i="1"/>
  <c r="H4461" i="1" l="1"/>
  <c r="A4460" i="1"/>
  <c r="H4462" i="1" l="1"/>
  <c r="A4461" i="1"/>
  <c r="H4463" i="1" l="1"/>
  <c r="A4462" i="1"/>
  <c r="H4464" i="1" l="1"/>
  <c r="A4463" i="1"/>
  <c r="H4465" i="1" l="1"/>
  <c r="A4464" i="1"/>
  <c r="H4466" i="1" l="1"/>
  <c r="A4465" i="1"/>
  <c r="H4467" i="1" l="1"/>
  <c r="A4466" i="1"/>
  <c r="A4467" i="1" l="1"/>
  <c r="H4468" i="1"/>
  <c r="H4469" i="1" l="1"/>
  <c r="A4468" i="1"/>
  <c r="H4470" i="1" l="1"/>
  <c r="A4469" i="1"/>
  <c r="H4471" i="1" l="1"/>
  <c r="A4470" i="1"/>
  <c r="H4472" i="1" l="1"/>
  <c r="A4471" i="1"/>
  <c r="H4473" i="1" l="1"/>
  <c r="A4472" i="1"/>
  <c r="H4474" i="1" l="1"/>
  <c r="A4473" i="1"/>
  <c r="H4475" i="1" l="1"/>
  <c r="A4474" i="1"/>
  <c r="A4475" i="1" l="1"/>
  <c r="H4476" i="1"/>
  <c r="H4477" i="1" l="1"/>
  <c r="A4476" i="1"/>
  <c r="H4478" i="1" l="1"/>
  <c r="A4477" i="1"/>
  <c r="H4479" i="1" l="1"/>
  <c r="A4478" i="1"/>
  <c r="H4480" i="1" l="1"/>
  <c r="A4479" i="1"/>
  <c r="H4481" i="1" l="1"/>
  <c r="A4480" i="1"/>
  <c r="H4482" i="1" l="1"/>
  <c r="A4481" i="1"/>
  <c r="H4483" i="1" l="1"/>
  <c r="A4482" i="1"/>
  <c r="A4483" i="1" l="1"/>
  <c r="H4484" i="1"/>
  <c r="H4485" i="1" l="1"/>
  <c r="A4484" i="1"/>
  <c r="H4486" i="1" l="1"/>
  <c r="A4485" i="1"/>
  <c r="H4487" i="1" l="1"/>
  <c r="A4486" i="1"/>
  <c r="H4488" i="1" l="1"/>
  <c r="A4487" i="1"/>
  <c r="H4489" i="1" l="1"/>
  <c r="A4488" i="1"/>
  <c r="H4490" i="1" l="1"/>
  <c r="A4489" i="1"/>
  <c r="H4491" i="1" l="1"/>
  <c r="A4490" i="1"/>
  <c r="A4491" i="1" l="1"/>
  <c r="H4492" i="1"/>
  <c r="H4493" i="1" l="1"/>
  <c r="A4492" i="1"/>
  <c r="H4494" i="1" l="1"/>
  <c r="A4493" i="1"/>
  <c r="H4495" i="1" l="1"/>
  <c r="A4494" i="1"/>
  <c r="H4496" i="1" l="1"/>
  <c r="A4495" i="1"/>
  <c r="H4497" i="1" l="1"/>
  <c r="A4496" i="1"/>
  <c r="H4498" i="1" l="1"/>
  <c r="A4497" i="1"/>
  <c r="H4499" i="1" l="1"/>
  <c r="A4498" i="1"/>
  <c r="A4499" i="1" l="1"/>
  <c r="H4500" i="1"/>
  <c r="H4501" i="1" l="1"/>
  <c r="A4500" i="1"/>
  <c r="H4502" i="1" l="1"/>
  <c r="A4501" i="1"/>
  <c r="H4503" i="1" l="1"/>
  <c r="A4502" i="1"/>
  <c r="H4504" i="1" l="1"/>
  <c r="A4503" i="1"/>
  <c r="H4505" i="1" l="1"/>
  <c r="A4504" i="1"/>
  <c r="H4506" i="1" l="1"/>
  <c r="A4505" i="1"/>
  <c r="H4507" i="1" l="1"/>
  <c r="A4506" i="1"/>
  <c r="A4507" i="1" l="1"/>
  <c r="H4508" i="1"/>
  <c r="H4509" i="1" l="1"/>
  <c r="A4508" i="1"/>
  <c r="H4510" i="1" l="1"/>
  <c r="A4509" i="1"/>
  <c r="H4511" i="1" l="1"/>
  <c r="A4510" i="1"/>
  <c r="H4512" i="1" l="1"/>
  <c r="A4511" i="1"/>
  <c r="H4513" i="1" l="1"/>
  <c r="A4512" i="1"/>
  <c r="H4514" i="1" l="1"/>
  <c r="A4513" i="1"/>
  <c r="H4515" i="1" l="1"/>
  <c r="A4514" i="1"/>
  <c r="A4515" i="1" l="1"/>
  <c r="H4516" i="1"/>
  <c r="H4517" i="1" l="1"/>
  <c r="A4516" i="1"/>
  <c r="A4517" i="1" l="1"/>
  <c r="H4518" i="1"/>
  <c r="H4519" i="1" l="1"/>
  <c r="A4518" i="1"/>
  <c r="H4520" i="1" l="1"/>
  <c r="A4519" i="1"/>
  <c r="H4521" i="1" l="1"/>
  <c r="A4520" i="1"/>
  <c r="H4522" i="1" l="1"/>
  <c r="A4521" i="1"/>
  <c r="H4523" i="1" l="1"/>
  <c r="A4522" i="1"/>
  <c r="A4523" i="1" l="1"/>
  <c r="H4524" i="1"/>
  <c r="H4525" i="1" l="1"/>
  <c r="A4524" i="1"/>
  <c r="A4525" i="1" l="1"/>
  <c r="H4526" i="1"/>
  <c r="H4527" i="1" l="1"/>
  <c r="A4526" i="1"/>
  <c r="H4528" i="1" l="1"/>
  <c r="A4527" i="1"/>
  <c r="H4529" i="1" l="1"/>
  <c r="A4528" i="1"/>
  <c r="H4530" i="1" l="1"/>
  <c r="A4529" i="1"/>
  <c r="H4531" i="1" l="1"/>
  <c r="A4530" i="1"/>
  <c r="A4531" i="1" l="1"/>
  <c r="H4532" i="1"/>
  <c r="H4533" i="1" l="1"/>
  <c r="A4532" i="1"/>
  <c r="A4533" i="1" l="1"/>
  <c r="H4534" i="1"/>
  <c r="H4535" i="1" l="1"/>
  <c r="A4534" i="1"/>
  <c r="H4536" i="1" l="1"/>
  <c r="A4535" i="1"/>
  <c r="H4537" i="1" l="1"/>
  <c r="A4536" i="1"/>
  <c r="H4538" i="1" l="1"/>
  <c r="A4537" i="1"/>
  <c r="H4539" i="1" l="1"/>
  <c r="A4538" i="1"/>
  <c r="A4539" i="1" l="1"/>
  <c r="H4540" i="1"/>
  <c r="H4541" i="1" l="1"/>
  <c r="A4540" i="1"/>
  <c r="A4541" i="1" l="1"/>
  <c r="H4542" i="1"/>
  <c r="H4543" i="1" l="1"/>
  <c r="A4542" i="1"/>
  <c r="H4544" i="1" l="1"/>
  <c r="A4543" i="1"/>
  <c r="H4545" i="1" l="1"/>
  <c r="A4544" i="1"/>
  <c r="H4546" i="1" l="1"/>
  <c r="A4545" i="1"/>
  <c r="H4547" i="1" l="1"/>
  <c r="A4546" i="1"/>
  <c r="A4547" i="1" l="1"/>
  <c r="H4548" i="1"/>
  <c r="H4549" i="1" l="1"/>
  <c r="A4548" i="1"/>
  <c r="A4549" i="1" l="1"/>
  <c r="H4550" i="1"/>
  <c r="H4551" i="1" l="1"/>
  <c r="A4550" i="1"/>
  <c r="H4552" i="1" l="1"/>
  <c r="A4551" i="1"/>
  <c r="H4553" i="1" l="1"/>
  <c r="A4552" i="1"/>
  <c r="H4554" i="1" l="1"/>
  <c r="A4553" i="1"/>
  <c r="H4555" i="1" l="1"/>
  <c r="A4554" i="1"/>
  <c r="A4555" i="1" l="1"/>
  <c r="H4556" i="1"/>
  <c r="H4557" i="1" l="1"/>
  <c r="A4556" i="1"/>
  <c r="A4557" i="1" l="1"/>
  <c r="H4558" i="1"/>
  <c r="H4559" i="1" l="1"/>
  <c r="A4558" i="1"/>
  <c r="H4560" i="1" l="1"/>
  <c r="A4559" i="1"/>
  <c r="H4561" i="1" l="1"/>
  <c r="A4560" i="1"/>
  <c r="H4562" i="1" l="1"/>
  <c r="A4561" i="1"/>
  <c r="H4563" i="1" l="1"/>
  <c r="A4562" i="1"/>
  <c r="A4563" i="1" l="1"/>
  <c r="H4564" i="1"/>
  <c r="H4565" i="1" l="1"/>
  <c r="A4564" i="1"/>
  <c r="A4565" i="1" l="1"/>
  <c r="H4566" i="1"/>
  <c r="H4567" i="1" l="1"/>
  <c r="A4566" i="1"/>
  <c r="H4568" i="1" l="1"/>
  <c r="A4567" i="1"/>
  <c r="H4569" i="1" l="1"/>
  <c r="A4568" i="1"/>
  <c r="H4570" i="1" l="1"/>
  <c r="A4569" i="1"/>
  <c r="H4571" i="1" l="1"/>
  <c r="A4570" i="1"/>
  <c r="A4571" i="1" l="1"/>
  <c r="H4572" i="1"/>
  <c r="H4573" i="1" l="1"/>
  <c r="A4572" i="1"/>
  <c r="A4573" i="1" l="1"/>
  <c r="H4574" i="1"/>
  <c r="H4575" i="1" l="1"/>
  <c r="A4574" i="1"/>
  <c r="H4576" i="1" l="1"/>
  <c r="A4575" i="1"/>
  <c r="H4577" i="1" l="1"/>
  <c r="A4576" i="1"/>
  <c r="H4578" i="1" l="1"/>
  <c r="A4577" i="1"/>
  <c r="H4579" i="1" l="1"/>
  <c r="A4578" i="1"/>
  <c r="A4579" i="1" l="1"/>
  <c r="H4580" i="1"/>
  <c r="H4581" i="1" l="1"/>
  <c r="A4580" i="1"/>
  <c r="A4581" i="1" l="1"/>
  <c r="H4582" i="1"/>
  <c r="H4583" i="1" l="1"/>
  <c r="A4582" i="1"/>
  <c r="H4584" i="1" l="1"/>
  <c r="A4583" i="1"/>
  <c r="H4585" i="1" l="1"/>
  <c r="A4584" i="1"/>
  <c r="H4586" i="1" l="1"/>
  <c r="A4585" i="1"/>
  <c r="H4587" i="1" l="1"/>
  <c r="A4586" i="1"/>
  <c r="A4587" i="1" l="1"/>
  <c r="H4588" i="1"/>
  <c r="H4589" i="1" l="1"/>
  <c r="A4588" i="1"/>
  <c r="A4589" i="1" l="1"/>
  <c r="H4590" i="1"/>
  <c r="H4591" i="1" l="1"/>
  <c r="A4590" i="1"/>
  <c r="H4592" i="1" l="1"/>
  <c r="A4591" i="1"/>
  <c r="H4593" i="1" l="1"/>
  <c r="A4592" i="1"/>
  <c r="H4594" i="1" l="1"/>
  <c r="A4593" i="1"/>
  <c r="H4595" i="1" l="1"/>
  <c r="A4594" i="1"/>
  <c r="A4595" i="1" l="1"/>
  <c r="H4596" i="1"/>
  <c r="H4597" i="1" l="1"/>
  <c r="A4596" i="1"/>
  <c r="A4597" i="1" l="1"/>
  <c r="H4598" i="1"/>
  <c r="H4599" i="1" l="1"/>
  <c r="A4598" i="1"/>
  <c r="H4600" i="1" l="1"/>
  <c r="A4599" i="1"/>
  <c r="H4601" i="1" l="1"/>
  <c r="A4600" i="1"/>
  <c r="H4602" i="1" l="1"/>
  <c r="A4601" i="1"/>
  <c r="H4603" i="1" l="1"/>
  <c r="A4602" i="1"/>
  <c r="H4604" i="1" l="1"/>
  <c r="A4603" i="1"/>
  <c r="H4605" i="1" l="1"/>
  <c r="A4604" i="1"/>
  <c r="H4606" i="1" l="1"/>
  <c r="A4605" i="1"/>
  <c r="H4607" i="1" l="1"/>
  <c r="A4606" i="1"/>
  <c r="A4607" i="1" l="1"/>
  <c r="H4608" i="1"/>
  <c r="H4609" i="1" l="1"/>
  <c r="A4608" i="1"/>
  <c r="H4610" i="1" l="1"/>
  <c r="A4609" i="1"/>
  <c r="H4611" i="1" l="1"/>
  <c r="A4610" i="1"/>
  <c r="H4612" i="1" l="1"/>
  <c r="A4611" i="1"/>
  <c r="H4613" i="1" l="1"/>
  <c r="A4612" i="1"/>
  <c r="H4614" i="1" l="1"/>
  <c r="A4613" i="1"/>
  <c r="H4615" i="1" l="1"/>
  <c r="A4614" i="1"/>
  <c r="A4615" i="1" l="1"/>
  <c r="H4616" i="1"/>
  <c r="H4617" i="1" l="1"/>
  <c r="A4616" i="1"/>
  <c r="H4618" i="1" l="1"/>
  <c r="A4617" i="1"/>
  <c r="H4619" i="1" l="1"/>
  <c r="A4618" i="1"/>
  <c r="H4620" i="1" l="1"/>
  <c r="A4619" i="1"/>
  <c r="H4621" i="1" l="1"/>
  <c r="A4620" i="1"/>
  <c r="H4622" i="1" l="1"/>
  <c r="A4621" i="1"/>
  <c r="H4623" i="1" l="1"/>
  <c r="A4622" i="1"/>
  <c r="A4623" i="1" l="1"/>
  <c r="H4624" i="1"/>
  <c r="H4625" i="1" l="1"/>
  <c r="A4624" i="1"/>
  <c r="H4626" i="1" l="1"/>
  <c r="A4625" i="1"/>
  <c r="H4627" i="1" l="1"/>
  <c r="A4626" i="1"/>
  <c r="H4628" i="1" l="1"/>
  <c r="A4627" i="1"/>
  <c r="H4629" i="1" l="1"/>
  <c r="A4628" i="1"/>
  <c r="H4630" i="1" l="1"/>
  <c r="A4629" i="1"/>
  <c r="H4631" i="1" l="1"/>
  <c r="A4630" i="1"/>
  <c r="A4631" i="1" l="1"/>
  <c r="H4632" i="1"/>
  <c r="H4633" i="1" l="1"/>
  <c r="A4632" i="1"/>
  <c r="H4634" i="1" l="1"/>
  <c r="A4633" i="1"/>
  <c r="H4635" i="1" l="1"/>
  <c r="A4634" i="1"/>
  <c r="H4636" i="1" l="1"/>
  <c r="A4635" i="1"/>
  <c r="H4637" i="1" l="1"/>
  <c r="A4636" i="1"/>
  <c r="H4638" i="1" l="1"/>
  <c r="A4637" i="1"/>
  <c r="H4639" i="1" l="1"/>
  <c r="A4638" i="1"/>
  <c r="A4639" i="1" l="1"/>
  <c r="H4640" i="1"/>
  <c r="H4641" i="1" l="1"/>
  <c r="A4640" i="1"/>
  <c r="H4642" i="1" l="1"/>
  <c r="A4641" i="1"/>
  <c r="H4643" i="1" l="1"/>
  <c r="A4642" i="1"/>
  <c r="H4644" i="1" l="1"/>
  <c r="A4643" i="1"/>
  <c r="H4645" i="1" l="1"/>
  <c r="A4644" i="1"/>
  <c r="H4646" i="1" l="1"/>
  <c r="A4645" i="1"/>
  <c r="H4647" i="1" l="1"/>
  <c r="A4646" i="1"/>
  <c r="A4647" i="1" l="1"/>
  <c r="H4648" i="1"/>
  <c r="H4649" i="1" l="1"/>
  <c r="A4648" i="1"/>
  <c r="H4650" i="1" l="1"/>
  <c r="A4649" i="1"/>
  <c r="H4651" i="1" l="1"/>
  <c r="A4650" i="1"/>
  <c r="H4652" i="1" l="1"/>
  <c r="A4651" i="1"/>
  <c r="H4653" i="1" l="1"/>
  <c r="A4652" i="1"/>
  <c r="H4654" i="1" l="1"/>
  <c r="A4653" i="1"/>
  <c r="H4655" i="1" l="1"/>
  <c r="A4654" i="1"/>
  <c r="A4655" i="1" l="1"/>
  <c r="H4656" i="1"/>
  <c r="H4657" i="1" l="1"/>
  <c r="A4656" i="1"/>
  <c r="H4658" i="1" l="1"/>
  <c r="A4657" i="1"/>
  <c r="H4659" i="1" l="1"/>
  <c r="A4658" i="1"/>
  <c r="H4660" i="1" l="1"/>
  <c r="A4659" i="1"/>
  <c r="H4661" i="1" l="1"/>
  <c r="A4660" i="1"/>
  <c r="H4662" i="1" l="1"/>
  <c r="A4661" i="1"/>
  <c r="H4663" i="1" l="1"/>
  <c r="A4662" i="1"/>
  <c r="A4663" i="1" l="1"/>
  <c r="H4664" i="1"/>
  <c r="H4665" i="1" l="1"/>
  <c r="A4664" i="1"/>
  <c r="H4666" i="1" l="1"/>
  <c r="A4665" i="1"/>
  <c r="H4667" i="1" l="1"/>
  <c r="A4666" i="1"/>
  <c r="H4668" i="1" l="1"/>
  <c r="A4667" i="1"/>
  <c r="H4669" i="1" l="1"/>
  <c r="A4668" i="1"/>
  <c r="H4670" i="1" l="1"/>
  <c r="A4669" i="1"/>
  <c r="H4671" i="1" l="1"/>
  <c r="A4670" i="1"/>
  <c r="A4671" i="1" l="1"/>
  <c r="H4672" i="1"/>
  <c r="H4673" i="1" l="1"/>
  <c r="A4672" i="1"/>
  <c r="H4674" i="1" l="1"/>
  <c r="A4673" i="1"/>
  <c r="H4675" i="1" l="1"/>
  <c r="A4674" i="1"/>
  <c r="H4676" i="1" l="1"/>
  <c r="A4675" i="1"/>
  <c r="H4677" i="1" l="1"/>
  <c r="A4676" i="1"/>
  <c r="H4678" i="1" l="1"/>
  <c r="A4677" i="1"/>
  <c r="H4679" i="1" l="1"/>
  <c r="A4678" i="1"/>
  <c r="A4679" i="1" l="1"/>
  <c r="H4680" i="1"/>
  <c r="H4681" i="1" l="1"/>
  <c r="A4680" i="1"/>
  <c r="H4682" i="1" l="1"/>
  <c r="A4681" i="1"/>
  <c r="H4683" i="1" l="1"/>
  <c r="A4682" i="1"/>
  <c r="H4684" i="1" l="1"/>
  <c r="A4683" i="1"/>
  <c r="H4685" i="1" l="1"/>
  <c r="A4684" i="1"/>
  <c r="H4686" i="1" l="1"/>
  <c r="A4685" i="1"/>
  <c r="H4687" i="1" l="1"/>
  <c r="A4686" i="1"/>
  <c r="A4687" i="1" l="1"/>
  <c r="H4688" i="1"/>
  <c r="H4689" i="1" l="1"/>
  <c r="A4688" i="1"/>
  <c r="H4690" i="1" l="1"/>
  <c r="A4689" i="1"/>
  <c r="H4691" i="1" l="1"/>
  <c r="A4690" i="1"/>
  <c r="H4692" i="1" l="1"/>
  <c r="A4691" i="1"/>
  <c r="H4693" i="1" l="1"/>
  <c r="A4692" i="1"/>
  <c r="H4694" i="1" l="1"/>
  <c r="A4693" i="1"/>
  <c r="H4695" i="1" l="1"/>
  <c r="A4694" i="1"/>
  <c r="H4696" i="1" l="1"/>
  <c r="A4695" i="1"/>
  <c r="H4697" i="1" l="1"/>
  <c r="A4696" i="1"/>
  <c r="A4697" i="1" l="1"/>
  <c r="H4698" i="1"/>
  <c r="H4699" i="1" l="1"/>
  <c r="A4698" i="1"/>
  <c r="A4699" i="1" l="1"/>
  <c r="H4700" i="1"/>
  <c r="H4701" i="1" l="1"/>
  <c r="A4700" i="1"/>
  <c r="H4702" i="1" l="1"/>
  <c r="A4701" i="1"/>
  <c r="H4703" i="1" l="1"/>
  <c r="A4702" i="1"/>
  <c r="H4704" i="1" l="1"/>
  <c r="A4703" i="1"/>
  <c r="H4705" i="1" l="1"/>
  <c r="A4704" i="1"/>
  <c r="H4706" i="1" l="1"/>
  <c r="A4705" i="1"/>
  <c r="H4707" i="1" l="1"/>
  <c r="A4706" i="1"/>
  <c r="A4707" i="1" l="1"/>
  <c r="H4708" i="1"/>
  <c r="H4709" i="1" l="1"/>
  <c r="A4708" i="1"/>
  <c r="A4709" i="1" l="1"/>
  <c r="H4710" i="1"/>
  <c r="H4711" i="1" l="1"/>
  <c r="A4710" i="1"/>
  <c r="H4712" i="1" l="1"/>
  <c r="A4711" i="1"/>
  <c r="H4713" i="1" l="1"/>
  <c r="A4712" i="1"/>
  <c r="H4714" i="1" l="1"/>
  <c r="A4713" i="1"/>
  <c r="H4715" i="1" l="1"/>
  <c r="A4714" i="1"/>
  <c r="A4715" i="1" l="1"/>
  <c r="H4716" i="1"/>
  <c r="H4717" i="1" l="1"/>
  <c r="A4716" i="1"/>
  <c r="A4717" i="1" l="1"/>
  <c r="H4718" i="1"/>
  <c r="H4719" i="1" l="1"/>
  <c r="A4718" i="1"/>
  <c r="H4720" i="1" l="1"/>
  <c r="A4719" i="1"/>
  <c r="H4721" i="1" l="1"/>
  <c r="A4720" i="1"/>
  <c r="H4722" i="1" l="1"/>
  <c r="A4721" i="1"/>
  <c r="H4723" i="1" l="1"/>
  <c r="A4722" i="1"/>
  <c r="A4723" i="1" l="1"/>
  <c r="H4724" i="1"/>
  <c r="H4725" i="1" l="1"/>
  <c r="A4724" i="1"/>
  <c r="A4725" i="1" l="1"/>
  <c r="H4726" i="1"/>
  <c r="H4727" i="1" l="1"/>
  <c r="A4726" i="1"/>
  <c r="H4728" i="1" l="1"/>
  <c r="A4727" i="1"/>
  <c r="H4729" i="1" l="1"/>
  <c r="A4728" i="1"/>
  <c r="H4730" i="1" l="1"/>
  <c r="A4729" i="1"/>
  <c r="H4731" i="1" l="1"/>
  <c r="A4730" i="1"/>
  <c r="A4731" i="1" l="1"/>
  <c r="H4732" i="1"/>
  <c r="H4733" i="1" l="1"/>
  <c r="A4732" i="1"/>
  <c r="A4733" i="1" l="1"/>
  <c r="H4734" i="1"/>
  <c r="H4735" i="1" l="1"/>
  <c r="A4734" i="1"/>
  <c r="H4736" i="1" l="1"/>
  <c r="A4735" i="1"/>
  <c r="H4737" i="1" l="1"/>
  <c r="A4736" i="1"/>
  <c r="H4738" i="1" l="1"/>
  <c r="A4737" i="1"/>
  <c r="H4739" i="1" l="1"/>
  <c r="A4738" i="1"/>
  <c r="A4739" i="1" l="1"/>
  <c r="H4740" i="1"/>
  <c r="H4741" i="1" l="1"/>
  <c r="A4740" i="1"/>
  <c r="A4741" i="1" l="1"/>
  <c r="H4742" i="1"/>
  <c r="H4743" i="1" l="1"/>
  <c r="A4742" i="1"/>
  <c r="H4744" i="1" l="1"/>
  <c r="A4743" i="1"/>
  <c r="H4745" i="1" l="1"/>
  <c r="A4744" i="1"/>
  <c r="H4746" i="1" l="1"/>
  <c r="A4745" i="1"/>
  <c r="H4747" i="1" l="1"/>
  <c r="A4746" i="1"/>
  <c r="A4747" i="1" l="1"/>
  <c r="H4748" i="1"/>
  <c r="H4749" i="1" l="1"/>
  <c r="A4748" i="1"/>
  <c r="A4749" i="1" l="1"/>
  <c r="H4750" i="1"/>
  <c r="H4751" i="1" l="1"/>
  <c r="A4750" i="1"/>
  <c r="H4752" i="1" l="1"/>
  <c r="A4751" i="1"/>
  <c r="H4753" i="1" l="1"/>
  <c r="A4752" i="1"/>
  <c r="H4754" i="1" l="1"/>
  <c r="A4753" i="1"/>
  <c r="H4755" i="1" l="1"/>
  <c r="A4754" i="1"/>
  <c r="A4755" i="1" l="1"/>
  <c r="H4756" i="1"/>
  <c r="H4757" i="1" l="1"/>
  <c r="A4756" i="1"/>
  <c r="A4757" i="1" l="1"/>
  <c r="H4758" i="1"/>
  <c r="H4759" i="1" l="1"/>
  <c r="A4758" i="1"/>
  <c r="H4760" i="1" l="1"/>
  <c r="A4759" i="1"/>
  <c r="H4761" i="1" l="1"/>
  <c r="A4760" i="1"/>
  <c r="H4762" i="1" l="1"/>
  <c r="A4761" i="1"/>
  <c r="H4763" i="1" l="1"/>
  <c r="A4762" i="1"/>
  <c r="A4763" i="1" l="1"/>
  <c r="H4764" i="1"/>
  <c r="H4765" i="1" l="1"/>
  <c r="A4764" i="1"/>
  <c r="A4765" i="1" l="1"/>
  <c r="H4766" i="1"/>
  <c r="H4767" i="1" l="1"/>
  <c r="A4766" i="1"/>
  <c r="H4768" i="1" l="1"/>
  <c r="A4767" i="1"/>
  <c r="H4769" i="1" l="1"/>
  <c r="A4768" i="1"/>
  <c r="H4770" i="1" l="1"/>
  <c r="A4769" i="1"/>
  <c r="H4771" i="1" l="1"/>
  <c r="A4770" i="1"/>
  <c r="A4771" i="1" l="1"/>
  <c r="H4772" i="1"/>
  <c r="H4773" i="1" l="1"/>
  <c r="A4772" i="1"/>
  <c r="A4773" i="1" l="1"/>
  <c r="H4774" i="1"/>
  <c r="H4775" i="1" l="1"/>
  <c r="A4774" i="1"/>
  <c r="H4776" i="1" l="1"/>
  <c r="A4775" i="1"/>
  <c r="H4777" i="1" l="1"/>
  <c r="A4776" i="1"/>
  <c r="A4777" i="1" l="1"/>
  <c r="H4778" i="1"/>
  <c r="H4779" i="1" l="1"/>
  <c r="A4778" i="1"/>
  <c r="H4780" i="1" l="1"/>
  <c r="A4779" i="1"/>
  <c r="H4781" i="1" l="1"/>
  <c r="A4780" i="1"/>
  <c r="H4782" i="1" l="1"/>
  <c r="A4781" i="1"/>
  <c r="H4783" i="1" l="1"/>
  <c r="A4782" i="1"/>
  <c r="A4783" i="1" l="1"/>
  <c r="H4784" i="1"/>
  <c r="H4785" i="1" l="1"/>
  <c r="A4784" i="1"/>
  <c r="A4785" i="1" l="1"/>
  <c r="H4786" i="1"/>
  <c r="H4787" i="1" l="1"/>
  <c r="A4786" i="1"/>
  <c r="H4788" i="1" l="1"/>
  <c r="A4787" i="1"/>
  <c r="H4789" i="1" l="1"/>
  <c r="A4788" i="1"/>
  <c r="A4789" i="1" l="1"/>
  <c r="H4790" i="1"/>
  <c r="H4791" i="1" l="1"/>
  <c r="A4790" i="1"/>
  <c r="A4791" i="1" l="1"/>
  <c r="H4792" i="1"/>
  <c r="H4793" i="1" l="1"/>
  <c r="A4792" i="1"/>
  <c r="H4794" i="1" l="1"/>
  <c r="A4793" i="1"/>
  <c r="H4795" i="1" l="1"/>
  <c r="A4794" i="1"/>
  <c r="H4796" i="1" l="1"/>
  <c r="A4795" i="1"/>
  <c r="H4797" i="1" l="1"/>
  <c r="A4796" i="1"/>
  <c r="A4797" i="1" l="1"/>
  <c r="H4798" i="1"/>
  <c r="H4799" i="1" l="1"/>
  <c r="A4798" i="1"/>
  <c r="A4799" i="1" l="1"/>
  <c r="H4800" i="1"/>
  <c r="H4801" i="1" l="1"/>
  <c r="A4800" i="1"/>
  <c r="H4802" i="1" l="1"/>
  <c r="A4801" i="1"/>
  <c r="H4803" i="1" l="1"/>
  <c r="A4802" i="1"/>
  <c r="H4804" i="1" l="1"/>
  <c r="A4803" i="1"/>
  <c r="H4805" i="1" l="1"/>
  <c r="A4804" i="1"/>
  <c r="A4805" i="1" l="1"/>
  <c r="H4806" i="1"/>
  <c r="H4807" i="1" l="1"/>
  <c r="A4806" i="1"/>
  <c r="A4807" i="1" l="1"/>
  <c r="H4808" i="1"/>
  <c r="H4809" i="1" l="1"/>
  <c r="A4808" i="1"/>
  <c r="H4810" i="1" l="1"/>
  <c r="A4809" i="1"/>
  <c r="H4811" i="1" l="1"/>
  <c r="A4810" i="1"/>
  <c r="H4812" i="1" l="1"/>
  <c r="A4811" i="1"/>
  <c r="H4813" i="1" l="1"/>
  <c r="A4812" i="1"/>
  <c r="A4813" i="1" l="1"/>
  <c r="H4814" i="1"/>
  <c r="H4815" i="1" l="1"/>
  <c r="A4814" i="1"/>
  <c r="A4815" i="1" l="1"/>
  <c r="H4816" i="1"/>
  <c r="H4817" i="1" l="1"/>
  <c r="A4816" i="1"/>
  <c r="H4818" i="1" l="1"/>
  <c r="A4817" i="1"/>
  <c r="H4819" i="1" l="1"/>
  <c r="A4818" i="1"/>
  <c r="H4820" i="1" l="1"/>
  <c r="A4819" i="1"/>
  <c r="H4821" i="1" l="1"/>
  <c r="A4820" i="1"/>
  <c r="A4821" i="1" l="1"/>
  <c r="H4822" i="1"/>
  <c r="H4823" i="1" l="1"/>
  <c r="A4822" i="1"/>
  <c r="A4823" i="1" l="1"/>
  <c r="H4824" i="1"/>
  <c r="H4825" i="1" l="1"/>
  <c r="A4824" i="1"/>
  <c r="H4826" i="1" l="1"/>
  <c r="A4825" i="1"/>
  <c r="H4827" i="1" l="1"/>
  <c r="A4826" i="1"/>
  <c r="H4828" i="1" l="1"/>
  <c r="A4827" i="1"/>
  <c r="H4829" i="1" l="1"/>
  <c r="A4828" i="1"/>
  <c r="A4829" i="1" l="1"/>
  <c r="H4830" i="1"/>
  <c r="H4831" i="1" l="1"/>
  <c r="A4830" i="1"/>
  <c r="A4831" i="1" l="1"/>
  <c r="H4832" i="1"/>
  <c r="H4833" i="1" l="1"/>
  <c r="A4832" i="1"/>
  <c r="H4834" i="1" l="1"/>
  <c r="A4833" i="1"/>
  <c r="H4835" i="1" l="1"/>
  <c r="A4834" i="1"/>
  <c r="H4836" i="1" l="1"/>
  <c r="A4835" i="1"/>
  <c r="H4837" i="1" l="1"/>
  <c r="A4836" i="1"/>
  <c r="A4837" i="1" l="1"/>
  <c r="H4838" i="1"/>
  <c r="H4839" i="1" l="1"/>
  <c r="A4838" i="1"/>
  <c r="H4840" i="1" l="1"/>
  <c r="A4839" i="1"/>
  <c r="H4841" i="1" l="1"/>
  <c r="A4840" i="1"/>
  <c r="H4842" i="1" l="1"/>
  <c r="A4841" i="1"/>
  <c r="A4842" i="1" l="1"/>
  <c r="H4843" i="1"/>
  <c r="H4844" i="1" l="1"/>
  <c r="A4843" i="1"/>
  <c r="H4845" i="1" l="1"/>
  <c r="A4844" i="1"/>
  <c r="A4845" i="1" l="1"/>
  <c r="H4846" i="1"/>
  <c r="A4846" i="1" l="1"/>
  <c r="H4847" i="1"/>
  <c r="H4848" i="1" l="1"/>
  <c r="A4847" i="1"/>
  <c r="H4849" i="1" l="1"/>
  <c r="A4848" i="1"/>
  <c r="A4849" i="1" l="1"/>
  <c r="H4850" i="1"/>
  <c r="A4850" i="1" l="1"/>
  <c r="H4851" i="1"/>
  <c r="H4852" i="1" l="1"/>
  <c r="A4851" i="1"/>
  <c r="H4853" i="1" l="1"/>
  <c r="A4852" i="1"/>
  <c r="A4853" i="1" l="1"/>
  <c r="H4854" i="1"/>
  <c r="A4854" i="1" l="1"/>
  <c r="H4855" i="1"/>
  <c r="H4856" i="1" l="1"/>
  <c r="A4855" i="1"/>
  <c r="H4857" i="1" l="1"/>
  <c r="A4856" i="1"/>
  <c r="A4857" i="1" l="1"/>
  <c r="H4858" i="1"/>
  <c r="A4858" i="1" l="1"/>
  <c r="H4859" i="1"/>
  <c r="H4860" i="1" l="1"/>
  <c r="A4859" i="1"/>
  <c r="H4861" i="1" l="1"/>
  <c r="A4860" i="1"/>
  <c r="A4861" i="1" l="1"/>
  <c r="H4862" i="1"/>
  <c r="A4862" i="1" l="1"/>
  <c r="H4863" i="1"/>
  <c r="H4864" i="1" l="1"/>
  <c r="A4863" i="1"/>
  <c r="H4865" i="1" l="1"/>
  <c r="A4864" i="1"/>
  <c r="A4865" i="1" l="1"/>
  <c r="H4866" i="1"/>
  <c r="A4866" i="1" l="1"/>
  <c r="H4867" i="1"/>
  <c r="H4868" i="1" l="1"/>
  <c r="A4867" i="1"/>
  <c r="H4869" i="1" l="1"/>
  <c r="A4868" i="1"/>
  <c r="A4869" i="1" l="1"/>
  <c r="H4870" i="1"/>
  <c r="A4870" i="1" l="1"/>
  <c r="H4871" i="1"/>
  <c r="H4872" i="1" l="1"/>
  <c r="A4871" i="1"/>
  <c r="H4873" i="1" l="1"/>
  <c r="A4872" i="1"/>
  <c r="A4873" i="1" l="1"/>
  <c r="H4874" i="1"/>
  <c r="A4874" i="1" l="1"/>
  <c r="H4875" i="1"/>
  <c r="H4876" i="1" l="1"/>
  <c r="A4875" i="1"/>
  <c r="H4877" i="1" l="1"/>
  <c r="A4876" i="1"/>
  <c r="A4877" i="1" l="1"/>
  <c r="H4878" i="1"/>
  <c r="A4878" i="1" l="1"/>
  <c r="H4879" i="1"/>
  <c r="H4880" i="1" l="1"/>
  <c r="A4879" i="1"/>
  <c r="H4881" i="1" l="1"/>
  <c r="A4880" i="1"/>
  <c r="A4881" i="1" l="1"/>
  <c r="H4882" i="1"/>
  <c r="A4882" i="1" l="1"/>
  <c r="H4883" i="1"/>
  <c r="H4884" i="1" l="1"/>
  <c r="A4883" i="1"/>
  <c r="H4885" i="1" l="1"/>
  <c r="A4884" i="1"/>
  <c r="A4885" i="1" l="1"/>
  <c r="H4886" i="1"/>
  <c r="A4886" i="1" l="1"/>
  <c r="H4887" i="1"/>
  <c r="H4888" i="1" l="1"/>
  <c r="A4887" i="1"/>
  <c r="H4889" i="1" l="1"/>
  <c r="A4888" i="1"/>
  <c r="A4889" i="1" l="1"/>
  <c r="H4890" i="1"/>
  <c r="A4890" i="1" l="1"/>
  <c r="H4891" i="1"/>
  <c r="H4892" i="1" l="1"/>
  <c r="A4891" i="1"/>
  <c r="H4893" i="1" l="1"/>
  <c r="A4892" i="1"/>
  <c r="H4894" i="1" l="1"/>
  <c r="A4893" i="1"/>
  <c r="H4895" i="1" l="1"/>
  <c r="A4894" i="1"/>
  <c r="H4896" i="1" l="1"/>
  <c r="A4895" i="1"/>
  <c r="H4897" i="1" l="1"/>
  <c r="A4896" i="1"/>
  <c r="A4897" i="1" l="1"/>
  <c r="H4898" i="1"/>
  <c r="A4898" i="1" l="1"/>
  <c r="H4899" i="1"/>
  <c r="A4899" i="1" l="1"/>
  <c r="H4900" i="1"/>
  <c r="H4901" i="1" l="1"/>
  <c r="A4900" i="1"/>
  <c r="A4901" i="1" l="1"/>
  <c r="H4902" i="1"/>
  <c r="A4902" i="1" l="1"/>
  <c r="H4903" i="1"/>
  <c r="A4903" i="1" l="1"/>
  <c r="H4904" i="1"/>
  <c r="H4905" i="1" l="1"/>
  <c r="A4904" i="1"/>
  <c r="H4906" i="1" l="1"/>
  <c r="A4905" i="1"/>
  <c r="H4907" i="1" l="1"/>
  <c r="A4906" i="1"/>
  <c r="H4908" i="1" l="1"/>
  <c r="A4907" i="1"/>
  <c r="H4909" i="1" l="1"/>
  <c r="A4908" i="1"/>
  <c r="H4910" i="1" l="1"/>
  <c r="A4909" i="1"/>
  <c r="H4911" i="1" l="1"/>
  <c r="A4910" i="1"/>
  <c r="H4912" i="1" l="1"/>
  <c r="A4911" i="1"/>
  <c r="H4913" i="1" l="1"/>
  <c r="A4912" i="1"/>
  <c r="H4914" i="1" l="1"/>
  <c r="A4913" i="1"/>
  <c r="H4915" i="1" l="1"/>
  <c r="A4914" i="1"/>
  <c r="H4916" i="1" l="1"/>
  <c r="A4915" i="1"/>
  <c r="H4917" i="1" l="1"/>
  <c r="A4916" i="1"/>
  <c r="H4918" i="1" l="1"/>
  <c r="A4917" i="1"/>
  <c r="H4919" i="1" l="1"/>
  <c r="A4918" i="1"/>
  <c r="H4920" i="1" l="1"/>
  <c r="A4919" i="1"/>
  <c r="H4921" i="1" l="1"/>
  <c r="A4920" i="1"/>
  <c r="H4922" i="1" l="1"/>
  <c r="A4921" i="1"/>
  <c r="H4923" i="1" l="1"/>
  <c r="A4922" i="1"/>
  <c r="H4924" i="1" l="1"/>
  <c r="A4923" i="1"/>
  <c r="H4925" i="1" l="1"/>
  <c r="A4924" i="1"/>
  <c r="H4926" i="1" l="1"/>
  <c r="A4925" i="1"/>
  <c r="H4927" i="1" l="1"/>
  <c r="A4926" i="1"/>
  <c r="H4928" i="1" l="1"/>
  <c r="A4927" i="1"/>
  <c r="H4929" i="1" l="1"/>
  <c r="A4928" i="1"/>
  <c r="H4930" i="1" l="1"/>
  <c r="A4929" i="1"/>
  <c r="H4931" i="1" l="1"/>
  <c r="A4930" i="1"/>
  <c r="H4932" i="1" l="1"/>
  <c r="A4931" i="1"/>
  <c r="H4933" i="1" l="1"/>
  <c r="A4932" i="1"/>
  <c r="H4934" i="1" l="1"/>
  <c r="A4933" i="1"/>
  <c r="H4935" i="1" l="1"/>
  <c r="A4934" i="1"/>
  <c r="H4936" i="1" l="1"/>
  <c r="A4935" i="1"/>
  <c r="H4937" i="1" l="1"/>
  <c r="A4936" i="1"/>
  <c r="H4938" i="1" l="1"/>
  <c r="A4937" i="1"/>
  <c r="H4939" i="1" l="1"/>
  <c r="A4938" i="1"/>
  <c r="H4940" i="1" l="1"/>
  <c r="A4939" i="1"/>
  <c r="H4941" i="1" l="1"/>
  <c r="A4940" i="1"/>
  <c r="H4942" i="1" l="1"/>
  <c r="A4941" i="1"/>
  <c r="H4943" i="1" l="1"/>
  <c r="A4942" i="1"/>
  <c r="H4944" i="1" l="1"/>
  <c r="A4943" i="1"/>
  <c r="H4945" i="1" l="1"/>
  <c r="A4944" i="1"/>
  <c r="H4946" i="1" l="1"/>
  <c r="A4945" i="1"/>
  <c r="H4947" i="1" l="1"/>
  <c r="A4946" i="1"/>
  <c r="H4948" i="1" l="1"/>
  <c r="A4947" i="1"/>
  <c r="A4948" i="1" l="1"/>
  <c r="H4949" i="1"/>
  <c r="H4950" i="1" l="1"/>
  <c r="A4949" i="1"/>
  <c r="A4950" i="1" l="1"/>
  <c r="H4951" i="1"/>
  <c r="H4952" i="1" l="1"/>
  <c r="A4951" i="1"/>
  <c r="A4952" i="1" l="1"/>
  <c r="H4953" i="1"/>
  <c r="H4954" i="1" l="1"/>
  <c r="A4953" i="1"/>
  <c r="H4955" i="1" l="1"/>
  <c r="A4954" i="1"/>
  <c r="H4956" i="1" l="1"/>
  <c r="A4955" i="1"/>
  <c r="H4957" i="1" l="1"/>
  <c r="A4956" i="1"/>
  <c r="H4958" i="1" l="1"/>
  <c r="A4957" i="1"/>
  <c r="A4958" i="1" l="1"/>
  <c r="H4959" i="1"/>
  <c r="H4960" i="1" l="1"/>
  <c r="A4959" i="1"/>
  <c r="H4961" i="1" l="1"/>
  <c r="A4960" i="1"/>
  <c r="H4962" i="1" l="1"/>
  <c r="A4961" i="1"/>
  <c r="H4963" i="1" l="1"/>
  <c r="A4962" i="1"/>
  <c r="H4964" i="1" l="1"/>
  <c r="A4963" i="1"/>
  <c r="A4964" i="1" l="1"/>
  <c r="H4965" i="1"/>
  <c r="H4966" i="1" l="1"/>
  <c r="A4965" i="1"/>
  <c r="H4967" i="1" l="1"/>
  <c r="A4966" i="1"/>
  <c r="H4968" i="1" l="1"/>
  <c r="A4967" i="1"/>
  <c r="H4969" i="1" l="1"/>
  <c r="A4968" i="1"/>
  <c r="H4970" i="1" l="1"/>
  <c r="A4969" i="1"/>
  <c r="H4971" i="1" l="1"/>
  <c r="A4970" i="1"/>
  <c r="H4972" i="1" l="1"/>
  <c r="A4971" i="1"/>
  <c r="H4973" i="1" l="1"/>
  <c r="A4972" i="1"/>
  <c r="H4974" i="1" l="1"/>
  <c r="A4973" i="1"/>
  <c r="H4975" i="1" l="1"/>
  <c r="A4974" i="1"/>
  <c r="H4976" i="1" l="1"/>
  <c r="A4975" i="1"/>
  <c r="H4977" i="1" l="1"/>
  <c r="A4976" i="1"/>
  <c r="H4978" i="1" l="1"/>
  <c r="A4977" i="1"/>
  <c r="H4979" i="1" l="1"/>
  <c r="A4978" i="1"/>
  <c r="H4980" i="1" l="1"/>
  <c r="A4979" i="1"/>
  <c r="H4981" i="1" l="1"/>
  <c r="A4980" i="1"/>
  <c r="H4982" i="1" l="1"/>
  <c r="A4981" i="1"/>
  <c r="H4983" i="1" l="1"/>
  <c r="A4982" i="1"/>
  <c r="H4984" i="1" l="1"/>
  <c r="A4983" i="1"/>
  <c r="H4985" i="1" l="1"/>
  <c r="A4984" i="1"/>
  <c r="H4986" i="1" l="1"/>
  <c r="A4985" i="1"/>
  <c r="H4987" i="1" l="1"/>
  <c r="A4986" i="1"/>
  <c r="H4988" i="1" l="1"/>
  <c r="A4987" i="1"/>
  <c r="H4989" i="1" l="1"/>
  <c r="A4988" i="1"/>
  <c r="H4990" i="1" l="1"/>
  <c r="A4989" i="1"/>
  <c r="H4991" i="1" l="1"/>
  <c r="A4990" i="1"/>
  <c r="H4992" i="1" l="1"/>
  <c r="A4991" i="1"/>
  <c r="A4992" i="1" l="1"/>
  <c r="G17" i="3" l="1"/>
  <c r="H18" i="3"/>
  <c r="F19" i="3"/>
  <c r="H19" i="3"/>
  <c r="E17" i="3"/>
  <c r="H17" i="3" l="1"/>
  <c r="D17" i="3"/>
  <c r="F17" i="3"/>
  <c r="D15" i="3"/>
  <c r="F11" i="3"/>
  <c r="G11" i="3"/>
  <c r="D18" i="3"/>
  <c r="E19" i="3"/>
  <c r="E11" i="3"/>
  <c r="G18" i="3"/>
  <c r="F18" i="3"/>
  <c r="D11" i="3"/>
  <c r="F15" i="3"/>
  <c r="G19" i="3"/>
  <c r="E15" i="3"/>
  <c r="H11" i="3"/>
  <c r="E18" i="3"/>
  <c r="H15" i="3"/>
  <c r="D19" i="3"/>
  <c r="G15" i="3"/>
  <c r="I4986" i="1"/>
  <c r="I4970" i="1"/>
  <c r="I4954" i="1"/>
  <c r="I4938" i="1"/>
  <c r="I4922" i="1"/>
  <c r="I4906" i="1"/>
  <c r="I4890" i="1"/>
  <c r="I4874" i="1"/>
  <c r="I4858" i="1"/>
  <c r="I4842" i="1"/>
  <c r="I4826" i="1"/>
  <c r="I4810" i="1"/>
  <c r="I4794" i="1"/>
  <c r="I4778" i="1"/>
  <c r="I4762" i="1"/>
  <c r="I4746" i="1"/>
  <c r="I4730" i="1"/>
  <c r="I4714" i="1"/>
  <c r="I4698" i="1"/>
  <c r="I4682" i="1"/>
  <c r="I4666" i="1"/>
  <c r="I4650" i="1"/>
  <c r="I4634" i="1"/>
  <c r="I4618" i="1"/>
  <c r="I4602" i="1"/>
  <c r="I4586" i="1"/>
  <c r="I4570" i="1"/>
  <c r="I4554" i="1"/>
  <c r="I4538" i="1"/>
  <c r="I4522" i="1"/>
  <c r="I4997" i="1"/>
  <c r="I4981" i="1"/>
  <c r="I4965" i="1"/>
  <c r="I4949" i="1"/>
  <c r="I4933" i="1"/>
  <c r="I4917" i="1"/>
  <c r="I4901" i="1"/>
  <c r="I4885" i="1"/>
  <c r="I4869" i="1"/>
  <c r="I4853" i="1"/>
  <c r="I4837" i="1"/>
  <c r="I4821" i="1"/>
  <c r="I4805" i="1"/>
  <c r="I4789" i="1"/>
  <c r="I4773" i="1"/>
  <c r="I4757" i="1"/>
  <c r="I4741" i="1"/>
  <c r="I4725" i="1"/>
  <c r="I4709" i="1"/>
  <c r="I4693" i="1"/>
  <c r="I4677" i="1"/>
  <c r="I4661" i="1"/>
  <c r="I4645" i="1"/>
  <c r="I4629" i="1"/>
  <c r="I4613" i="1"/>
  <c r="I4597" i="1"/>
  <c r="I4581" i="1"/>
  <c r="I4565" i="1"/>
  <c r="I4549" i="1"/>
  <c r="I4533" i="1"/>
  <c r="I4996" i="1"/>
  <c r="I4980" i="1"/>
  <c r="I4964" i="1"/>
  <c r="I4948" i="1"/>
  <c r="I4932" i="1"/>
  <c r="I4916" i="1"/>
  <c r="I4900" i="1"/>
  <c r="I4884" i="1"/>
  <c r="I4868" i="1"/>
  <c r="I4852" i="1"/>
  <c r="I4836" i="1"/>
  <c r="I4820" i="1"/>
  <c r="I4804" i="1"/>
  <c r="I4788" i="1"/>
  <c r="I4772" i="1"/>
  <c r="I4756" i="1"/>
  <c r="I4740" i="1"/>
  <c r="I4724" i="1"/>
  <c r="I4708" i="1"/>
  <c r="I4692" i="1"/>
  <c r="I4676" i="1"/>
  <c r="I4660" i="1"/>
  <c r="I4644" i="1"/>
  <c r="I4628" i="1"/>
  <c r="I4612" i="1"/>
  <c r="I4596" i="1"/>
  <c r="I4580" i="1"/>
  <c r="I4564" i="1"/>
  <c r="I4548" i="1"/>
  <c r="I4532" i="1"/>
  <c r="I4991" i="1"/>
  <c r="I4975" i="1"/>
  <c r="I4959" i="1"/>
  <c r="I4943" i="1"/>
  <c r="I4927" i="1"/>
  <c r="I4911" i="1"/>
  <c r="I4895" i="1"/>
  <c r="I4879" i="1"/>
  <c r="I4863" i="1"/>
  <c r="I4847" i="1"/>
  <c r="I4831" i="1"/>
  <c r="I4815" i="1"/>
  <c r="I4799" i="1"/>
  <c r="I4783" i="1"/>
  <c r="I4767" i="1"/>
  <c r="I4751" i="1"/>
  <c r="I4735" i="1"/>
  <c r="I4719" i="1"/>
  <c r="I4703" i="1"/>
  <c r="I4687" i="1"/>
  <c r="I4671" i="1"/>
  <c r="I4655" i="1"/>
  <c r="I4639" i="1"/>
  <c r="I4623" i="1"/>
  <c r="I4607" i="1"/>
  <c r="I4591" i="1"/>
  <c r="I4575" i="1"/>
  <c r="I4559" i="1"/>
  <c r="I4543" i="1"/>
  <c r="I4527" i="1"/>
  <c r="I4511" i="1"/>
  <c r="I4495" i="1"/>
  <c r="I4504" i="1"/>
  <c r="I4485" i="1"/>
  <c r="I4469" i="1"/>
  <c r="I4453" i="1"/>
  <c r="I4437" i="1"/>
  <c r="I4998" i="1"/>
  <c r="I4982" i="1"/>
  <c r="I4966" i="1"/>
  <c r="I4950" i="1"/>
  <c r="I4934" i="1"/>
  <c r="I4918" i="1"/>
  <c r="I4902" i="1"/>
  <c r="I4886" i="1"/>
  <c r="I4870" i="1"/>
  <c r="I4854" i="1"/>
  <c r="I4838" i="1"/>
  <c r="I4822" i="1"/>
  <c r="I4806" i="1"/>
  <c r="I4790" i="1"/>
  <c r="I4774" i="1"/>
  <c r="I4758" i="1"/>
  <c r="I4742" i="1"/>
  <c r="I4726" i="1"/>
  <c r="I4710" i="1"/>
  <c r="I4694" i="1"/>
  <c r="I4678" i="1"/>
  <c r="I4662" i="1"/>
  <c r="I4646" i="1"/>
  <c r="I4630" i="1"/>
  <c r="I4614" i="1"/>
  <c r="I4598" i="1"/>
  <c r="I4582" i="1"/>
  <c r="I4566" i="1"/>
  <c r="I4550" i="1"/>
  <c r="I4534" i="1"/>
  <c r="I4518" i="1"/>
  <c r="I4994" i="1"/>
  <c r="I4977" i="1"/>
  <c r="I4961" i="1"/>
  <c r="I4945" i="1"/>
  <c r="I4929" i="1"/>
  <c r="I4913" i="1"/>
  <c r="I4897" i="1"/>
  <c r="I4881" i="1"/>
  <c r="I4865" i="1"/>
  <c r="I4849" i="1"/>
  <c r="I4833" i="1"/>
  <c r="I4817" i="1"/>
  <c r="I4801" i="1"/>
  <c r="I4785" i="1"/>
  <c r="I4769" i="1"/>
  <c r="I4753" i="1"/>
  <c r="I4737" i="1"/>
  <c r="I4721" i="1"/>
  <c r="I4705" i="1"/>
  <c r="I4689" i="1"/>
  <c r="I4673" i="1"/>
  <c r="I4657" i="1"/>
  <c r="I4641" i="1"/>
  <c r="I4625" i="1"/>
  <c r="I4609" i="1"/>
  <c r="I4593" i="1"/>
  <c r="I4577" i="1"/>
  <c r="I4561" i="1"/>
  <c r="I4545" i="1"/>
  <c r="I4529" i="1"/>
  <c r="I4992" i="1"/>
  <c r="I4976" i="1"/>
  <c r="I4960" i="1"/>
  <c r="I4944" i="1"/>
  <c r="I4928" i="1"/>
  <c r="I4912" i="1"/>
  <c r="I4896" i="1"/>
  <c r="I4880" i="1"/>
  <c r="I4864" i="1"/>
  <c r="I4848" i="1"/>
  <c r="I4832" i="1"/>
  <c r="I4816" i="1"/>
  <c r="I4800" i="1"/>
  <c r="I4784" i="1"/>
  <c r="I4768" i="1"/>
  <c r="I4752" i="1"/>
  <c r="I4736" i="1"/>
  <c r="I4720" i="1"/>
  <c r="I4704" i="1"/>
  <c r="I4688" i="1"/>
  <c r="I4672" i="1"/>
  <c r="I4656" i="1"/>
  <c r="I4640" i="1"/>
  <c r="I4624" i="1"/>
  <c r="I4608" i="1"/>
  <c r="I4592" i="1"/>
  <c r="I4576" i="1"/>
  <c r="I4560" i="1"/>
  <c r="I4544" i="1"/>
  <c r="I4528" i="1"/>
  <c r="I4987" i="1"/>
  <c r="I4971" i="1"/>
  <c r="I4955" i="1"/>
  <c r="I4939" i="1"/>
  <c r="I4923" i="1"/>
  <c r="I4907" i="1"/>
  <c r="I4891" i="1"/>
  <c r="I4875" i="1"/>
  <c r="I4859" i="1"/>
  <c r="I4843" i="1"/>
  <c r="I4827" i="1"/>
  <c r="I4811" i="1"/>
  <c r="I4795" i="1"/>
  <c r="I4779" i="1"/>
  <c r="I4763" i="1"/>
  <c r="I4747" i="1"/>
  <c r="I4731" i="1"/>
  <c r="I4715" i="1"/>
  <c r="I4699" i="1"/>
  <c r="I4683" i="1"/>
  <c r="I4667" i="1"/>
  <c r="I4651" i="1"/>
  <c r="I4635" i="1"/>
  <c r="I4619" i="1"/>
  <c r="I4603" i="1"/>
  <c r="I4587" i="1"/>
  <c r="I4571" i="1"/>
  <c r="I4555" i="1"/>
  <c r="I4539" i="1"/>
  <c r="I4523" i="1"/>
  <c r="I4507" i="1"/>
  <c r="I4524" i="1"/>
  <c r="I4498" i="1"/>
  <c r="I4481" i="1"/>
  <c r="I4993" i="1"/>
  <c r="I4978" i="1"/>
  <c r="I4962" i="1"/>
  <c r="I4946" i="1"/>
  <c r="I4930" i="1"/>
  <c r="I4914" i="1"/>
  <c r="I4898" i="1"/>
  <c r="I4882" i="1"/>
  <c r="I4866" i="1"/>
  <c r="I4850" i="1"/>
  <c r="I4834" i="1"/>
  <c r="I4818" i="1"/>
  <c r="I4802" i="1"/>
  <c r="I4786" i="1"/>
  <c r="I4770" i="1"/>
  <c r="I4754" i="1"/>
  <c r="I4738" i="1"/>
  <c r="I4722" i="1"/>
  <c r="I4706" i="1"/>
  <c r="I4690" i="1"/>
  <c r="I4674" i="1"/>
  <c r="I4658" i="1"/>
  <c r="I4642" i="1"/>
  <c r="I4626" i="1"/>
  <c r="I4610" i="1"/>
  <c r="I4594" i="1"/>
  <c r="I4578" i="1"/>
  <c r="I4562" i="1"/>
  <c r="I4546" i="1"/>
  <c r="I4530" i="1"/>
  <c r="I4514" i="1"/>
  <c r="I4989" i="1"/>
  <c r="I4973" i="1"/>
  <c r="I4957" i="1"/>
  <c r="I4941" i="1"/>
  <c r="I4925" i="1"/>
  <c r="I4909" i="1"/>
  <c r="I4893" i="1"/>
  <c r="I4877" i="1"/>
  <c r="I4861" i="1"/>
  <c r="I4845" i="1"/>
  <c r="I4829" i="1"/>
  <c r="I4813" i="1"/>
  <c r="I4797" i="1"/>
  <c r="I4781" i="1"/>
  <c r="I4765" i="1"/>
  <c r="I4749" i="1"/>
  <c r="I4733" i="1"/>
  <c r="I4717" i="1"/>
  <c r="I4701" i="1"/>
  <c r="I4685" i="1"/>
  <c r="I4669" i="1"/>
  <c r="I4653" i="1"/>
  <c r="I4637" i="1"/>
  <c r="I4621" i="1"/>
  <c r="I4605" i="1"/>
  <c r="I4589" i="1"/>
  <c r="I4573" i="1"/>
  <c r="I4557" i="1"/>
  <c r="I4541" i="1"/>
  <c r="I4525" i="1"/>
  <c r="I4988" i="1"/>
  <c r="I4972" i="1"/>
  <c r="I4956" i="1"/>
  <c r="I4940" i="1"/>
  <c r="I4924" i="1"/>
  <c r="I4908" i="1"/>
  <c r="I4892" i="1"/>
  <c r="I4876" i="1"/>
  <c r="I4860" i="1"/>
  <c r="I4844" i="1"/>
  <c r="I4828" i="1"/>
  <c r="I4812" i="1"/>
  <c r="I4796" i="1"/>
  <c r="I4780" i="1"/>
  <c r="I4764" i="1"/>
  <c r="I4748" i="1"/>
  <c r="I4732" i="1"/>
  <c r="I4716" i="1"/>
  <c r="I4700" i="1"/>
  <c r="I4684" i="1"/>
  <c r="I4668" i="1"/>
  <c r="I4652" i="1"/>
  <c r="I4636" i="1"/>
  <c r="I4620" i="1"/>
  <c r="I4604" i="1"/>
  <c r="I4588" i="1"/>
  <c r="I4572" i="1"/>
  <c r="I4556" i="1"/>
  <c r="I4540" i="1"/>
  <c r="I4999" i="1"/>
  <c r="I4983" i="1"/>
  <c r="I4967" i="1"/>
  <c r="I4951" i="1"/>
  <c r="I4935" i="1"/>
  <c r="I4919" i="1"/>
  <c r="I4903" i="1"/>
  <c r="I4887" i="1"/>
  <c r="I4871" i="1"/>
  <c r="I4855" i="1"/>
  <c r="I4839" i="1"/>
  <c r="I4823" i="1"/>
  <c r="I4807" i="1"/>
  <c r="I4791" i="1"/>
  <c r="I4775" i="1"/>
  <c r="I4759" i="1"/>
  <c r="I4743" i="1"/>
  <c r="I4727" i="1"/>
  <c r="I4711" i="1"/>
  <c r="I4695" i="1"/>
  <c r="I4679" i="1"/>
  <c r="I4663" i="1"/>
  <c r="I4647" i="1"/>
  <c r="I4631" i="1"/>
  <c r="I4615" i="1"/>
  <c r="I4599" i="1"/>
  <c r="I4583" i="1"/>
  <c r="I4567" i="1"/>
  <c r="I4551" i="1"/>
  <c r="I4535" i="1"/>
  <c r="I4519" i="1"/>
  <c r="I4503" i="1"/>
  <c r="I4516" i="1"/>
  <c r="I4493" i="1"/>
  <c r="I4477" i="1"/>
  <c r="I4990" i="1"/>
  <c r="I4974" i="1"/>
  <c r="I4958" i="1"/>
  <c r="I4942" i="1"/>
  <c r="I4926" i="1"/>
  <c r="I4910" i="1"/>
  <c r="I4894" i="1"/>
  <c r="I4878" i="1"/>
  <c r="I4862" i="1"/>
  <c r="I4846" i="1"/>
  <c r="I4830" i="1"/>
  <c r="I4814" i="1"/>
  <c r="I4798" i="1"/>
  <c r="I4782" i="1"/>
  <c r="I4766" i="1"/>
  <c r="I4750" i="1"/>
  <c r="I4734" i="1"/>
  <c r="I4718" i="1"/>
  <c r="I4702" i="1"/>
  <c r="I4686" i="1"/>
  <c r="I4670" i="1"/>
  <c r="I4654" i="1"/>
  <c r="I4638" i="1"/>
  <c r="I4622" i="1"/>
  <c r="I4606" i="1"/>
  <c r="I4590" i="1"/>
  <c r="I4574" i="1"/>
  <c r="I4558" i="1"/>
  <c r="I4542" i="1"/>
  <c r="I4526" i="1"/>
  <c r="I5000" i="1"/>
  <c r="I4985" i="1"/>
  <c r="I4969" i="1"/>
  <c r="I4953" i="1"/>
  <c r="I4937" i="1"/>
  <c r="I4921" i="1"/>
  <c r="I4905" i="1"/>
  <c r="I4889" i="1"/>
  <c r="I4873" i="1"/>
  <c r="I4857" i="1"/>
  <c r="I4841" i="1"/>
  <c r="I4825" i="1"/>
  <c r="I4809" i="1"/>
  <c r="I4793" i="1"/>
  <c r="I4777" i="1"/>
  <c r="I4761" i="1"/>
  <c r="I4745" i="1"/>
  <c r="I4729" i="1"/>
  <c r="I4713" i="1"/>
  <c r="I4697" i="1"/>
  <c r="I4681" i="1"/>
  <c r="I4665" i="1"/>
  <c r="I4649" i="1"/>
  <c r="I4633" i="1"/>
  <c r="I4617" i="1"/>
  <c r="I4601" i="1"/>
  <c r="I4585" i="1"/>
  <c r="I4569" i="1"/>
  <c r="I4553" i="1"/>
  <c r="I4537" i="1"/>
  <c r="I5001" i="1"/>
  <c r="I4984" i="1"/>
  <c r="I4968" i="1"/>
  <c r="I4952" i="1"/>
  <c r="I4936" i="1"/>
  <c r="I4920" i="1"/>
  <c r="I4904" i="1"/>
  <c r="I4888" i="1"/>
  <c r="I4872" i="1"/>
  <c r="I4856" i="1"/>
  <c r="I4840" i="1"/>
  <c r="I4824" i="1"/>
  <c r="I4808" i="1"/>
  <c r="I4792" i="1"/>
  <c r="I4776" i="1"/>
  <c r="I4760" i="1"/>
  <c r="I4744" i="1"/>
  <c r="I4728" i="1"/>
  <c r="I4712" i="1"/>
  <c r="I4696" i="1"/>
  <c r="I4680" i="1"/>
  <c r="I4664" i="1"/>
  <c r="I4648" i="1"/>
  <c r="I4632" i="1"/>
  <c r="I4616" i="1"/>
  <c r="I4600" i="1"/>
  <c r="I4584" i="1"/>
  <c r="I4568" i="1"/>
  <c r="I4552" i="1"/>
  <c r="I4536" i="1"/>
  <c r="I4995" i="1"/>
  <c r="I4979" i="1"/>
  <c r="I4963" i="1"/>
  <c r="I4947" i="1"/>
  <c r="I4931" i="1"/>
  <c r="I4915" i="1"/>
  <c r="I4899" i="1"/>
  <c r="I4883" i="1"/>
  <c r="I4867" i="1"/>
  <c r="I4851" i="1"/>
  <c r="I4835" i="1"/>
  <c r="I4819" i="1"/>
  <c r="I4803" i="1"/>
  <c r="I4787" i="1"/>
  <c r="I4771" i="1"/>
  <c r="I4755" i="1"/>
  <c r="I4739" i="1"/>
  <c r="I4723" i="1"/>
  <c r="I4707" i="1"/>
  <c r="I4691" i="1"/>
  <c r="I4675" i="1"/>
  <c r="I4659" i="1"/>
  <c r="I4643" i="1"/>
  <c r="I4627" i="1"/>
  <c r="I4611" i="1"/>
  <c r="I4595" i="1"/>
  <c r="I4579" i="1"/>
  <c r="I4563" i="1"/>
  <c r="I4547" i="1"/>
  <c r="I4531" i="1"/>
  <c r="I4515" i="1"/>
  <c r="I4499" i="1"/>
  <c r="I4509" i="1"/>
  <c r="I4489" i="1"/>
  <c r="I4473" i="1"/>
  <c r="I4457" i="1"/>
  <c r="I4441" i="1"/>
  <c r="I4465" i="1"/>
  <c r="I4433" i="1"/>
  <c r="I4417" i="1"/>
  <c r="I4401" i="1"/>
  <c r="I4385" i="1"/>
  <c r="I4369" i="1"/>
  <c r="I4353" i="1"/>
  <c r="I4337" i="1"/>
  <c r="I4321" i="1"/>
  <c r="I4305" i="1"/>
  <c r="I4289" i="1"/>
  <c r="I4273" i="1"/>
  <c r="I4257" i="1"/>
  <c r="I4241" i="1"/>
  <c r="I4225" i="1"/>
  <c r="I4209" i="1"/>
  <c r="I4193" i="1"/>
  <c r="I4177" i="1"/>
  <c r="I4161" i="1"/>
  <c r="I4145" i="1"/>
  <c r="I4129" i="1"/>
  <c r="I4113" i="1"/>
  <c r="I4097" i="1"/>
  <c r="I4081" i="1"/>
  <c r="I4065" i="1"/>
  <c r="I4049" i="1"/>
  <c r="I4033" i="1"/>
  <c r="I4017" i="1"/>
  <c r="I4513" i="1"/>
  <c r="I4492" i="1"/>
  <c r="I4476" i="1"/>
  <c r="I4460" i="1"/>
  <c r="I4444" i="1"/>
  <c r="I4428" i="1"/>
  <c r="I4412" i="1"/>
  <c r="I4396" i="1"/>
  <c r="I4380" i="1"/>
  <c r="I4364" i="1"/>
  <c r="I4348" i="1"/>
  <c r="I4332" i="1"/>
  <c r="I4316" i="1"/>
  <c r="I4300" i="1"/>
  <c r="I4284" i="1"/>
  <c r="I4268" i="1"/>
  <c r="I4252" i="1"/>
  <c r="I4236" i="1"/>
  <c r="I4220" i="1"/>
  <c r="I4204" i="1"/>
  <c r="I4188" i="1"/>
  <c r="I4172" i="1"/>
  <c r="I4156" i="1"/>
  <c r="I4140" i="1"/>
  <c r="I4124" i="1"/>
  <c r="I4108" i="1"/>
  <c r="I4092" i="1"/>
  <c r="I4076" i="1"/>
  <c r="I4060" i="1"/>
  <c r="I4044" i="1"/>
  <c r="I4028" i="1"/>
  <c r="I4012" i="1"/>
  <c r="I4506" i="1"/>
  <c r="I4487" i="1"/>
  <c r="I4471" i="1"/>
  <c r="I4455" i="1"/>
  <c r="I4439" i="1"/>
  <c r="I4423" i="1"/>
  <c r="I4407" i="1"/>
  <c r="I4391" i="1"/>
  <c r="I4375" i="1"/>
  <c r="I4359" i="1"/>
  <c r="I4343" i="1"/>
  <c r="I4327" i="1"/>
  <c r="I4311" i="1"/>
  <c r="I4295" i="1"/>
  <c r="I4279" i="1"/>
  <c r="I4263" i="1"/>
  <c r="I4247" i="1"/>
  <c r="I4231" i="1"/>
  <c r="I4215" i="1"/>
  <c r="I4199" i="1"/>
  <c r="I4183" i="1"/>
  <c r="I4167" i="1"/>
  <c r="I4151" i="1"/>
  <c r="I4135" i="1"/>
  <c r="I4119" i="1"/>
  <c r="I4103" i="1"/>
  <c r="I4087" i="1"/>
  <c r="I4071" i="1"/>
  <c r="I4055" i="1"/>
  <c r="I4039" i="1"/>
  <c r="I4023" i="1"/>
  <c r="I4517" i="1"/>
  <c r="I4494" i="1"/>
  <c r="I4478" i="1"/>
  <c r="I4462" i="1"/>
  <c r="I4446" i="1"/>
  <c r="I4430" i="1"/>
  <c r="I4414" i="1"/>
  <c r="I4398" i="1"/>
  <c r="I4382" i="1"/>
  <c r="I4366" i="1"/>
  <c r="I4350" i="1"/>
  <c r="I4334" i="1"/>
  <c r="I4318" i="1"/>
  <c r="I4302" i="1"/>
  <c r="I4286" i="1"/>
  <c r="I4270" i="1"/>
  <c r="I4254" i="1"/>
  <c r="I4238" i="1"/>
  <c r="I4222" i="1"/>
  <c r="I4206" i="1"/>
  <c r="I4190" i="1"/>
  <c r="I4174" i="1"/>
  <c r="I4158" i="1"/>
  <c r="I4142" i="1"/>
  <c r="I4126" i="1"/>
  <c r="I4110" i="1"/>
  <c r="I4094" i="1"/>
  <c r="I4078" i="1"/>
  <c r="I4062" i="1"/>
  <c r="I4046" i="1"/>
  <c r="I4030" i="1"/>
  <c r="I4014" i="1"/>
  <c r="I2" i="1"/>
  <c r="I316" i="1"/>
  <c r="I1982" i="1"/>
  <c r="I1848" i="1"/>
  <c r="I4461" i="1"/>
  <c r="I4429" i="1"/>
  <c r="I4413" i="1"/>
  <c r="I4397" i="1"/>
  <c r="I4381" i="1"/>
  <c r="I4365" i="1"/>
  <c r="I4349" i="1"/>
  <c r="I4333" i="1"/>
  <c r="I4317" i="1"/>
  <c r="I4301" i="1"/>
  <c r="I4285" i="1"/>
  <c r="I4269" i="1"/>
  <c r="I4253" i="1"/>
  <c r="I4237" i="1"/>
  <c r="I4221" i="1"/>
  <c r="I4205" i="1"/>
  <c r="I4189" i="1"/>
  <c r="I4173" i="1"/>
  <c r="I4157" i="1"/>
  <c r="I4141" i="1"/>
  <c r="I4125" i="1"/>
  <c r="I4109" i="1"/>
  <c r="I4093" i="1"/>
  <c r="I4077" i="1"/>
  <c r="I4061" i="1"/>
  <c r="I4045" i="1"/>
  <c r="I4029" i="1"/>
  <c r="I4013" i="1"/>
  <c r="I4508" i="1"/>
  <c r="I4488" i="1"/>
  <c r="I4472" i="1"/>
  <c r="I4456" i="1"/>
  <c r="I4440" i="1"/>
  <c r="I4424" i="1"/>
  <c r="I4408" i="1"/>
  <c r="I4392" i="1"/>
  <c r="I4376" i="1"/>
  <c r="I4360" i="1"/>
  <c r="I4344" i="1"/>
  <c r="I4328" i="1"/>
  <c r="I4312" i="1"/>
  <c r="I4296" i="1"/>
  <c r="I4280" i="1"/>
  <c r="I4264" i="1"/>
  <c r="I4248" i="1"/>
  <c r="I4232" i="1"/>
  <c r="I4216" i="1"/>
  <c r="I4200" i="1"/>
  <c r="I4184" i="1"/>
  <c r="I4168" i="1"/>
  <c r="I4152" i="1"/>
  <c r="I4136" i="1"/>
  <c r="I4120" i="1"/>
  <c r="I4104" i="1"/>
  <c r="I4088" i="1"/>
  <c r="I4072" i="1"/>
  <c r="I4056" i="1"/>
  <c r="I4040" i="1"/>
  <c r="I4024" i="1"/>
  <c r="I4008" i="1"/>
  <c r="I4501" i="1"/>
  <c r="I4483" i="1"/>
  <c r="I4467" i="1"/>
  <c r="I4451" i="1"/>
  <c r="I4435" i="1"/>
  <c r="I4419" i="1"/>
  <c r="I4403" i="1"/>
  <c r="I4387" i="1"/>
  <c r="I4371" i="1"/>
  <c r="I4355" i="1"/>
  <c r="I4339" i="1"/>
  <c r="I4323" i="1"/>
  <c r="I4307" i="1"/>
  <c r="I4291" i="1"/>
  <c r="I4275" i="1"/>
  <c r="I4259" i="1"/>
  <c r="I4243" i="1"/>
  <c r="I4227" i="1"/>
  <c r="I4211" i="1"/>
  <c r="I4195" i="1"/>
  <c r="I4179" i="1"/>
  <c r="I4163" i="1"/>
  <c r="I4147" i="1"/>
  <c r="I4131" i="1"/>
  <c r="I4115" i="1"/>
  <c r="I4099" i="1"/>
  <c r="I4083" i="1"/>
  <c r="I4067" i="1"/>
  <c r="I4051" i="1"/>
  <c r="I4035" i="1"/>
  <c r="I4019" i="1"/>
  <c r="I4510" i="1"/>
  <c r="I4490" i="1"/>
  <c r="I4474" i="1"/>
  <c r="I4458" i="1"/>
  <c r="I4442" i="1"/>
  <c r="I4426" i="1"/>
  <c r="I4410" i="1"/>
  <c r="I4394" i="1"/>
  <c r="I4378" i="1"/>
  <c r="I4362" i="1"/>
  <c r="I4346" i="1"/>
  <c r="I4330" i="1"/>
  <c r="I4314" i="1"/>
  <c r="I4298" i="1"/>
  <c r="I4282" i="1"/>
  <c r="I4266" i="1"/>
  <c r="I4250" i="1"/>
  <c r="I4234" i="1"/>
  <c r="I4218" i="1"/>
  <c r="I4202" i="1"/>
  <c r="I4186" i="1"/>
  <c r="I4170" i="1"/>
  <c r="I4449" i="1"/>
  <c r="I4425" i="1"/>
  <c r="I4409" i="1"/>
  <c r="I4393" i="1"/>
  <c r="I4377" i="1"/>
  <c r="I4361" i="1"/>
  <c r="I4345" i="1"/>
  <c r="I4329" i="1"/>
  <c r="I4313" i="1"/>
  <c r="I4297" i="1"/>
  <c r="I4281" i="1"/>
  <c r="I4265" i="1"/>
  <c r="I4249" i="1"/>
  <c r="I4233" i="1"/>
  <c r="I4217" i="1"/>
  <c r="I4201" i="1"/>
  <c r="I4185" i="1"/>
  <c r="I4169" i="1"/>
  <c r="I4153" i="1"/>
  <c r="I4137" i="1"/>
  <c r="I4121" i="1"/>
  <c r="I4105" i="1"/>
  <c r="I4089" i="1"/>
  <c r="I4073" i="1"/>
  <c r="I4057" i="1"/>
  <c r="I4041" i="1"/>
  <c r="I4025" i="1"/>
  <c r="I4009" i="1"/>
  <c r="I4502" i="1"/>
  <c r="I4484" i="1"/>
  <c r="I4468" i="1"/>
  <c r="I4452" i="1"/>
  <c r="I4436" i="1"/>
  <c r="I4420" i="1"/>
  <c r="I4404" i="1"/>
  <c r="I4388" i="1"/>
  <c r="I4372" i="1"/>
  <c r="I4356" i="1"/>
  <c r="I4340" i="1"/>
  <c r="I4324" i="1"/>
  <c r="I4308" i="1"/>
  <c r="I4292" i="1"/>
  <c r="I4276" i="1"/>
  <c r="I4260" i="1"/>
  <c r="I4244" i="1"/>
  <c r="I4228" i="1"/>
  <c r="I4212" i="1"/>
  <c r="I4196" i="1"/>
  <c r="I4180" i="1"/>
  <c r="I4164" i="1"/>
  <c r="I4148" i="1"/>
  <c r="I4132" i="1"/>
  <c r="I4116" i="1"/>
  <c r="I4100" i="1"/>
  <c r="I4084" i="1"/>
  <c r="I4068" i="1"/>
  <c r="I4052" i="1"/>
  <c r="I4036" i="1"/>
  <c r="I4020" i="1"/>
  <c r="I4520" i="1"/>
  <c r="I4496" i="1"/>
  <c r="I4479" i="1"/>
  <c r="I4463" i="1"/>
  <c r="I4447" i="1"/>
  <c r="I4431" i="1"/>
  <c r="I4415" i="1"/>
  <c r="I4399" i="1"/>
  <c r="I4383" i="1"/>
  <c r="I4367" i="1"/>
  <c r="I4351" i="1"/>
  <c r="I4335" i="1"/>
  <c r="I4319" i="1"/>
  <c r="I4303" i="1"/>
  <c r="I4287" i="1"/>
  <c r="I4271" i="1"/>
  <c r="I4255" i="1"/>
  <c r="I4239" i="1"/>
  <c r="I4223" i="1"/>
  <c r="I4207" i="1"/>
  <c r="I4191" i="1"/>
  <c r="I4175" i="1"/>
  <c r="I4159" i="1"/>
  <c r="I4143" i="1"/>
  <c r="I4127" i="1"/>
  <c r="I4111" i="1"/>
  <c r="I4095" i="1"/>
  <c r="I4079" i="1"/>
  <c r="I4063" i="1"/>
  <c r="I4047" i="1"/>
  <c r="I4031" i="1"/>
  <c r="I4015" i="1"/>
  <c r="I4505" i="1"/>
  <c r="I4486" i="1"/>
  <c r="I4470" i="1"/>
  <c r="I4454" i="1"/>
  <c r="I4438" i="1"/>
  <c r="I4422" i="1"/>
  <c r="I4406" i="1"/>
  <c r="I4390" i="1"/>
  <c r="I4374" i="1"/>
  <c r="I4358" i="1"/>
  <c r="I4342" i="1"/>
  <c r="I4326" i="1"/>
  <c r="I4310" i="1"/>
  <c r="I4294" i="1"/>
  <c r="I4278" i="1"/>
  <c r="I4262" i="1"/>
  <c r="I4246" i="1"/>
  <c r="I4230" i="1"/>
  <c r="I4214" i="1"/>
  <c r="I4198" i="1"/>
  <c r="I4182" i="1"/>
  <c r="I4166" i="1"/>
  <c r="I4150" i="1"/>
  <c r="I4134" i="1"/>
  <c r="I4118" i="1"/>
  <c r="I4102" i="1"/>
  <c r="I4086" i="1"/>
  <c r="I4070" i="1"/>
  <c r="I4445" i="1"/>
  <c r="I4421" i="1"/>
  <c r="I4405" i="1"/>
  <c r="I4389" i="1"/>
  <c r="I4373" i="1"/>
  <c r="I4357" i="1"/>
  <c r="I4341" i="1"/>
  <c r="I4325" i="1"/>
  <c r="I4309" i="1"/>
  <c r="I4293" i="1"/>
  <c r="I4277" i="1"/>
  <c r="I4261" i="1"/>
  <c r="I4245" i="1"/>
  <c r="I4229" i="1"/>
  <c r="I4213" i="1"/>
  <c r="I4197" i="1"/>
  <c r="I4181" i="1"/>
  <c r="I4165" i="1"/>
  <c r="I4149" i="1"/>
  <c r="I4133" i="1"/>
  <c r="I4117" i="1"/>
  <c r="I4101" i="1"/>
  <c r="I4085" i="1"/>
  <c r="I4069" i="1"/>
  <c r="I4053" i="1"/>
  <c r="I4037" i="1"/>
  <c r="I4021" i="1"/>
  <c r="I4521" i="1"/>
  <c r="I4497" i="1"/>
  <c r="I4480" i="1"/>
  <c r="I4464" i="1"/>
  <c r="I4448" i="1"/>
  <c r="I4432" i="1"/>
  <c r="I4416" i="1"/>
  <c r="I4400" i="1"/>
  <c r="I4384" i="1"/>
  <c r="I4368" i="1"/>
  <c r="I4352" i="1"/>
  <c r="I4336" i="1"/>
  <c r="I4320" i="1"/>
  <c r="I4304" i="1"/>
  <c r="I4288" i="1"/>
  <c r="I4272" i="1"/>
  <c r="I4256" i="1"/>
  <c r="I4240" i="1"/>
  <c r="I4224" i="1"/>
  <c r="I4208" i="1"/>
  <c r="I4192" i="1"/>
  <c r="I4176" i="1"/>
  <c r="I4160" i="1"/>
  <c r="I4144" i="1"/>
  <c r="I4128" i="1"/>
  <c r="I4112" i="1"/>
  <c r="I4096" i="1"/>
  <c r="I4080" i="1"/>
  <c r="I4064" i="1"/>
  <c r="I4048" i="1"/>
  <c r="I4032" i="1"/>
  <c r="I4016" i="1"/>
  <c r="I4512" i="1"/>
  <c r="I4491" i="1"/>
  <c r="I4475" i="1"/>
  <c r="I4459" i="1"/>
  <c r="I4443" i="1"/>
  <c r="I4427" i="1"/>
  <c r="I4411" i="1"/>
  <c r="I4395" i="1"/>
  <c r="I4379" i="1"/>
  <c r="I4363" i="1"/>
  <c r="I4347" i="1"/>
  <c r="I4331" i="1"/>
  <c r="I4315" i="1"/>
  <c r="I4299" i="1"/>
  <c r="I4283" i="1"/>
  <c r="I4267" i="1"/>
  <c r="I4251" i="1"/>
  <c r="I4235" i="1"/>
  <c r="I4219" i="1"/>
  <c r="I4203" i="1"/>
  <c r="I4187" i="1"/>
  <c r="I4171" i="1"/>
  <c r="I4155" i="1"/>
  <c r="I4139" i="1"/>
  <c r="I4123" i="1"/>
  <c r="I4107" i="1"/>
  <c r="I4091" i="1"/>
  <c r="I4075" i="1"/>
  <c r="I4059" i="1"/>
  <c r="I4043" i="1"/>
  <c r="I4027" i="1"/>
  <c r="I4011" i="1"/>
  <c r="I4500" i="1"/>
  <c r="I4482" i="1"/>
  <c r="I4466" i="1"/>
  <c r="I4450" i="1"/>
  <c r="I4434" i="1"/>
  <c r="I4418" i="1"/>
  <c r="I4402" i="1"/>
  <c r="I4386" i="1"/>
  <c r="I4370" i="1"/>
  <c r="I4354" i="1"/>
  <c r="I4338" i="1"/>
  <c r="I4322" i="1"/>
  <c r="I4306" i="1"/>
  <c r="I4290" i="1"/>
  <c r="I4274" i="1"/>
  <c r="I4258" i="1"/>
  <c r="I4242" i="1"/>
  <c r="I4226" i="1"/>
  <c r="I4210" i="1"/>
  <c r="I4194" i="1"/>
  <c r="I4178" i="1"/>
  <c r="I4162" i="1"/>
  <c r="I4146" i="1"/>
  <c r="I4130" i="1"/>
  <c r="I4114" i="1"/>
  <c r="I4098" i="1"/>
  <c r="I4082" i="1"/>
  <c r="I4154" i="1"/>
  <c r="I4090" i="1"/>
  <c r="I4054" i="1"/>
  <c r="I4034" i="1"/>
  <c r="I4010" i="1"/>
  <c r="I1849" i="1"/>
  <c r="I1964" i="1"/>
  <c r="I1868" i="1"/>
  <c r="I592" i="1"/>
  <c r="I1803" i="1"/>
  <c r="I1788" i="1"/>
  <c r="I1769" i="1"/>
  <c r="I1681" i="1"/>
  <c r="I1980" i="1"/>
  <c r="I163" i="1"/>
  <c r="I1877" i="1"/>
  <c r="I743" i="1"/>
  <c r="I1605" i="1"/>
  <c r="I1547" i="1"/>
  <c r="I314" i="1"/>
  <c r="I1519" i="1"/>
  <c r="I217" i="1"/>
  <c r="I622" i="1"/>
  <c r="I616" i="1"/>
  <c r="I519" i="1"/>
  <c r="I728" i="1"/>
  <c r="I429" i="1"/>
  <c r="I579" i="1"/>
  <c r="I509" i="1"/>
  <c r="I706" i="1"/>
  <c r="I159" i="1"/>
  <c r="I1881" i="1"/>
  <c r="I1999" i="1"/>
  <c r="I1744" i="1"/>
  <c r="I1834" i="1"/>
  <c r="I837" i="1"/>
  <c r="I1814" i="1"/>
  <c r="I1969" i="1"/>
  <c r="I773" i="1"/>
  <c r="I1959" i="1"/>
  <c r="I512" i="1"/>
  <c r="I1860" i="1"/>
  <c r="I1967" i="1"/>
  <c r="I164" i="1"/>
  <c r="I1817" i="1"/>
  <c r="I311" i="1"/>
  <c r="I1928" i="1"/>
  <c r="I1544" i="1"/>
  <c r="I1816" i="1"/>
  <c r="I1851" i="1"/>
  <c r="I328" i="1"/>
  <c r="I1914" i="1"/>
  <c r="I443" i="1"/>
  <c r="I1894" i="1"/>
  <c r="I297" i="1"/>
  <c r="I1858" i="1"/>
  <c r="I761" i="1"/>
  <c r="I1806" i="1"/>
  <c r="I605" i="1"/>
  <c r="I343" i="1"/>
  <c r="I701" i="1"/>
  <c r="I348" i="1"/>
  <c r="I1629" i="1"/>
  <c r="I1651" i="1"/>
  <c r="I1609" i="1"/>
  <c r="I1812" i="1"/>
  <c r="I1588" i="1"/>
  <c r="I4003" i="1"/>
  <c r="I1537" i="1"/>
  <c r="I1797" i="1"/>
  <c r="I2002" i="1"/>
  <c r="I1676" i="1"/>
  <c r="I1948" i="1"/>
  <c r="I1633" i="1"/>
  <c r="I1925" i="1"/>
  <c r="I1891" i="1"/>
  <c r="I1580" i="1"/>
  <c r="I1767" i="1"/>
  <c r="I1731" i="1"/>
  <c r="I1689" i="1"/>
  <c r="I1785" i="1"/>
  <c r="I409" i="1"/>
  <c r="I1594" i="1"/>
  <c r="I267" i="1"/>
  <c r="I1574" i="1"/>
  <c r="I1684" i="1"/>
  <c r="I1538" i="1"/>
  <c r="I862" i="1"/>
  <c r="I155" i="1"/>
  <c r="I997" i="1"/>
  <c r="I664" i="1"/>
  <c r="I465" i="1"/>
  <c r="I16" i="1"/>
  <c r="I191" i="1"/>
  <c r="I1856" i="1"/>
  <c r="I713" i="1"/>
  <c r="I1589" i="1"/>
  <c r="I1527" i="1"/>
  <c r="I808" i="1"/>
  <c r="I1717" i="1"/>
  <c r="I1756" i="1"/>
  <c r="I1955" i="1"/>
  <c r="I1953" i="1"/>
  <c r="I241" i="1"/>
  <c r="I1888" i="1"/>
  <c r="I111" i="1"/>
  <c r="I1864" i="1"/>
  <c r="I1825" i="1"/>
  <c r="I1945" i="1"/>
  <c r="I602" i="1"/>
  <c r="I1960" i="1"/>
  <c r="I823" i="1"/>
  <c r="I1669" i="1"/>
  <c r="I1631" i="1"/>
  <c r="I673" i="1"/>
  <c r="I1607" i="1"/>
  <c r="I115" i="1"/>
  <c r="I1559" i="1"/>
  <c r="I4138" i="1"/>
  <c r="I4074" i="1"/>
  <c r="I4050" i="1"/>
  <c r="I4026" i="1"/>
  <c r="I4006" i="1"/>
  <c r="I1665" i="1"/>
  <c r="I1981" i="1"/>
  <c r="I1521" i="1"/>
  <c r="I1765" i="1"/>
  <c r="I1827" i="1"/>
  <c r="I1532" i="1"/>
  <c r="I1645" i="1"/>
  <c r="I983" i="1"/>
  <c r="I1998" i="1"/>
  <c r="I1608" i="1"/>
  <c r="I1901" i="1"/>
  <c r="I1936" i="1"/>
  <c r="I187" i="1"/>
  <c r="I421" i="1"/>
  <c r="I210" i="1"/>
  <c r="I873" i="1"/>
  <c r="I205" i="1"/>
  <c r="I1922" i="1"/>
  <c r="I377" i="1"/>
  <c r="I1870" i="1"/>
  <c r="I464" i="1"/>
  <c r="I742" i="1"/>
  <c r="I1448" i="1"/>
  <c r="I458" i="1"/>
  <c r="I68" i="1"/>
  <c r="I1715" i="1"/>
  <c r="I1673" i="1"/>
  <c r="I1741" i="1"/>
  <c r="I810" i="1"/>
  <c r="I1578" i="1"/>
  <c r="I235" i="1"/>
  <c r="I4005" i="1"/>
  <c r="I1601" i="1"/>
  <c r="I1883" i="1"/>
  <c r="I1991" i="1"/>
  <c r="I1740" i="1"/>
  <c r="I1897" i="1"/>
  <c r="I1721" i="1"/>
  <c r="I1996" i="1"/>
  <c r="I1970" i="1"/>
  <c r="I1644" i="1"/>
  <c r="I1905" i="1"/>
  <c r="I922" i="1"/>
  <c r="I1836" i="1"/>
  <c r="I1875" i="1"/>
  <c r="I1568" i="1"/>
  <c r="I1658" i="1"/>
  <c r="I753" i="1"/>
  <c r="I1638" i="1"/>
  <c r="I961" i="1"/>
  <c r="I1602" i="1"/>
  <c r="I427" i="1"/>
  <c r="I1550" i="1"/>
  <c r="I950" i="1"/>
  <c r="I661" i="1"/>
  <c r="I893" i="1"/>
  <c r="I94" i="1"/>
  <c r="I93" i="1"/>
  <c r="I1941" i="1"/>
  <c r="I114" i="1"/>
  <c r="I1653" i="1"/>
  <c r="I1611" i="1"/>
  <c r="I1845" i="1"/>
  <c r="I276" i="1"/>
  <c r="I1821" i="1"/>
  <c r="I1795" i="1"/>
  <c r="I711" i="1"/>
  <c r="I1968" i="1"/>
  <c r="I623" i="1"/>
  <c r="I1949" i="1"/>
  <c r="I1911" i="1"/>
  <c r="I171" i="1"/>
  <c r="I112" i="1"/>
  <c r="I1855" i="1"/>
  <c r="I165" i="1"/>
  <c r="I1809" i="1"/>
  <c r="I1719" i="1"/>
  <c r="I125" i="1"/>
  <c r="I1691" i="1"/>
  <c r="I527" i="1"/>
  <c r="I1643" i="1"/>
  <c r="I269" i="1"/>
  <c r="I1575" i="1"/>
  <c r="I229" i="1"/>
  <c r="I957" i="1"/>
  <c r="I589" i="1"/>
  <c r="I926" i="1"/>
  <c r="I738" i="1"/>
  <c r="I1592" i="1"/>
  <c r="I1880" i="1"/>
  <c r="I1915" i="1"/>
  <c r="I149" i="1"/>
  <c r="I428" i="1"/>
  <c r="I502" i="1"/>
  <c r="I1777" i="1"/>
  <c r="I942" i="1"/>
  <c r="I1952" i="1"/>
  <c r="I1585" i="1"/>
  <c r="I1861" i="1"/>
  <c r="I1912" i="1"/>
  <c r="I1596" i="1"/>
  <c r="I1820" i="1"/>
  <c r="I500" i="1"/>
  <c r="I1975" i="1"/>
  <c r="I1672" i="1"/>
  <c r="I1978" i="1"/>
  <c r="I1729" i="1"/>
  <c r="I806" i="1"/>
  <c r="I419" i="1"/>
  <c r="I201" i="1"/>
  <c r="I104" i="1"/>
  <c r="I470" i="1"/>
  <c r="I820" i="1"/>
  <c r="I124" i="1"/>
  <c r="I1934" i="1"/>
  <c r="I347" i="1"/>
  <c r="I976" i="1"/>
  <c r="I80" i="1"/>
  <c r="I156" i="1"/>
  <c r="I1432" i="1"/>
  <c r="I323" i="1"/>
  <c r="I4122" i="1"/>
  <c r="I4066" i="1"/>
  <c r="I4042" i="1"/>
  <c r="I4022" i="1"/>
  <c r="I4007" i="1"/>
  <c r="I1692" i="1"/>
  <c r="I2000" i="1"/>
  <c r="I813" i="1"/>
  <c r="I1800" i="1"/>
  <c r="I1847" i="1"/>
  <c r="I1995" i="1"/>
  <c r="I1876" i="1"/>
  <c r="I1708" i="1"/>
  <c r="I1997" i="1"/>
  <c r="I302" i="1"/>
  <c r="I1921" i="1"/>
  <c r="I1958" i="1"/>
  <c r="I1632" i="1"/>
  <c r="I1722" i="1"/>
  <c r="I139" i="1"/>
  <c r="I1702" i="1"/>
  <c r="I424" i="1"/>
  <c r="I1666" i="1"/>
  <c r="I288" i="1"/>
  <c r="I1614" i="1"/>
  <c r="I836" i="1"/>
  <c r="I700" i="1"/>
  <c r="I103" i="1"/>
  <c r="I338" i="1"/>
  <c r="I83" i="1"/>
  <c r="I1779" i="1"/>
  <c r="I212" i="1"/>
  <c r="I1783" i="1"/>
  <c r="I1695" i="1"/>
  <c r="I237" i="1"/>
  <c r="I1671" i="1"/>
  <c r="I1931" i="1"/>
  <c r="I811" i="1"/>
  <c r="I1907" i="1"/>
  <c r="I1725" i="1"/>
  <c r="I814" i="1"/>
  <c r="I1887" i="1"/>
  <c r="I300" i="1"/>
  <c r="I1787" i="1"/>
  <c r="I1985" i="1"/>
  <c r="I188" i="1"/>
  <c r="I1517" i="1"/>
  <c r="I1539" i="1"/>
  <c r="I483" i="1"/>
  <c r="I1895" i="1"/>
  <c r="I202" i="1"/>
  <c r="I179" i="1"/>
  <c r="I333" i="1"/>
  <c r="I872" i="1"/>
  <c r="I1727" i="1"/>
  <c r="I222" i="1"/>
  <c r="I1659" i="1"/>
  <c r="I722" i="1"/>
  <c r="I243" i="1"/>
  <c r="I968" i="1"/>
  <c r="I433" i="1"/>
  <c r="I769" i="1"/>
  <c r="I1656" i="1"/>
  <c r="I1962" i="1"/>
  <c r="I1988" i="1"/>
  <c r="I101" i="1"/>
  <c r="I662" i="1"/>
  <c r="I1869" i="1"/>
  <c r="I1564" i="1"/>
  <c r="I1705" i="1"/>
  <c r="I1649" i="1"/>
  <c r="I1947" i="1"/>
  <c r="I1986" i="1"/>
  <c r="I1660" i="1"/>
  <c r="I1927" i="1"/>
  <c r="I1553" i="1"/>
  <c r="I1819" i="1"/>
  <c r="I1736" i="1"/>
  <c r="I1903" i="1"/>
  <c r="I1299" i="1"/>
  <c r="I342" i="1"/>
  <c r="I105" i="1"/>
  <c r="I344" i="1"/>
  <c r="I717" i="1"/>
  <c r="I839" i="1"/>
  <c r="I725" i="1"/>
  <c r="I272" i="1"/>
  <c r="I881" i="1"/>
  <c r="I523" i="1"/>
  <c r="I984" i="1"/>
  <c r="I541" i="1"/>
  <c r="I329" i="1"/>
  <c r="I25" i="1"/>
  <c r="I174" i="1"/>
  <c r="I1900" i="1"/>
  <c r="I1939" i="1"/>
  <c r="I1616" i="1"/>
  <c r="I1706" i="1"/>
  <c r="I703" i="1"/>
  <c r="I1804" i="1"/>
  <c r="I1871" i="1"/>
  <c r="I1909" i="1"/>
  <c r="I190" i="1"/>
  <c r="I1885" i="1"/>
  <c r="I1932" i="1"/>
  <c r="I618" i="1"/>
  <c r="I1773" i="1"/>
  <c r="I1772" i="1"/>
  <c r="I1709" i="1"/>
  <c r="I552" i="1"/>
  <c r="I1993" i="1"/>
  <c r="I1823" i="1"/>
  <c r="I1696" i="1"/>
  <c r="I1786" i="1"/>
  <c r="I399" i="1"/>
  <c r="I1766" i="1"/>
  <c r="I672" i="1"/>
  <c r="I1730" i="1"/>
  <c r="I255" i="1"/>
  <c r="I1678" i="1"/>
  <c r="I142" i="1"/>
  <c r="I575" i="1"/>
  <c r="I439" i="1"/>
  <c r="I594" i="1"/>
  <c r="I381" i="1"/>
  <c r="I1523" i="1"/>
  <c r="I1002" i="1"/>
  <c r="I4106" i="1"/>
  <c r="I4058" i="1"/>
  <c r="I4038" i="1"/>
  <c r="I4018" i="1"/>
  <c r="I1807" i="1"/>
  <c r="I324" i="1"/>
  <c r="I1824" i="1"/>
  <c r="I1548" i="1"/>
  <c r="I1677" i="1"/>
  <c r="I1505" i="1"/>
  <c r="I1701" i="1"/>
  <c r="I1908" i="1"/>
  <c r="I620" i="1"/>
  <c r="I1581" i="1"/>
  <c r="I1603" i="1"/>
  <c r="I1561" i="1"/>
  <c r="I1973" i="1"/>
  <c r="I152" i="1"/>
  <c r="I702" i="1"/>
  <c r="I131" i="1"/>
  <c r="I245" i="1"/>
  <c r="I493" i="1"/>
  <c r="I106" i="1"/>
  <c r="I1743" i="1"/>
  <c r="I230" i="1"/>
  <c r="I403" i="1"/>
  <c r="I1460" i="1"/>
  <c r="I96" i="1"/>
  <c r="I925" i="1"/>
  <c r="I1720" i="1"/>
  <c r="I1844" i="1"/>
  <c r="I1971" i="1"/>
  <c r="I614" i="1"/>
  <c r="I242" i="1"/>
  <c r="I964" i="1"/>
  <c r="I793" i="1"/>
  <c r="I1954" i="1"/>
  <c r="I1628" i="1"/>
  <c r="I1863" i="1"/>
  <c r="I1775" i="1"/>
  <c r="I1801" i="1"/>
  <c r="I1935" i="1"/>
  <c r="I1724" i="1"/>
  <c r="I1771" i="1"/>
  <c r="I1617" i="1"/>
  <c r="I1904" i="1"/>
  <c r="I244" i="1"/>
  <c r="I1789" i="1"/>
  <c r="I1780" i="1"/>
  <c r="I1541" i="1"/>
  <c r="I732" i="1"/>
  <c r="I723" i="1"/>
  <c r="I219" i="1"/>
  <c r="I611" i="1"/>
  <c r="I150" i="1"/>
  <c r="I390" i="1"/>
  <c r="I144" i="1"/>
  <c r="I633" i="1"/>
  <c r="I671" i="1"/>
  <c r="I540" i="1"/>
  <c r="I771" i="1"/>
  <c r="I696" i="1"/>
  <c r="I172" i="1"/>
  <c r="I1977" i="1"/>
  <c r="I1697" i="1"/>
  <c r="I1680" i="1"/>
  <c r="I1770" i="1"/>
  <c r="I1889" i="1"/>
  <c r="I812" i="1"/>
  <c r="I1984" i="1"/>
  <c r="I118" i="1"/>
  <c r="I1966" i="1"/>
  <c r="I2001" i="1"/>
  <c r="I462" i="1"/>
  <c r="I1867" i="1"/>
  <c r="I972" i="1"/>
  <c r="I1843" i="1"/>
  <c r="I481" i="1"/>
  <c r="I1940" i="1"/>
  <c r="I1733" i="1"/>
  <c r="I1760" i="1"/>
  <c r="I1850" i="1"/>
  <c r="I610" i="1"/>
  <c r="I1830" i="1"/>
  <c r="I658" i="1"/>
  <c r="I1794" i="1"/>
  <c r="I406" i="1"/>
  <c r="I1742" i="1"/>
  <c r="I128" i="1"/>
  <c r="I869" i="1"/>
  <c r="I50" i="1"/>
  <c r="I908" i="1"/>
  <c r="I1565" i="1"/>
  <c r="I1587" i="1"/>
  <c r="I1545" i="1"/>
  <c r="I1957" i="1"/>
  <c r="I181" i="1"/>
  <c r="I184" i="1"/>
  <c r="I4004" i="1"/>
  <c r="I332" i="1"/>
  <c r="I1919" i="1"/>
  <c r="I1933" i="1"/>
  <c r="I1612" i="1"/>
  <c r="I1841" i="1"/>
  <c r="I1569" i="1"/>
  <c r="I1840" i="1"/>
  <c r="I1805" i="1"/>
  <c r="I1516" i="1"/>
  <c r="I1613" i="1"/>
  <c r="I1667" i="1"/>
  <c r="I1625" i="1"/>
  <c r="I1865" i="1"/>
  <c r="I1652" i="1"/>
  <c r="I1530" i="1"/>
  <c r="I1572" i="1"/>
  <c r="I1510" i="1"/>
  <c r="I298" i="1"/>
  <c r="I136" i="1"/>
  <c r="I617" i="1"/>
  <c r="I236" i="1"/>
  <c r="I886" i="1"/>
  <c r="I31" i="1"/>
  <c r="I758" i="1"/>
  <c r="I41" i="1"/>
  <c r="I1784" i="1"/>
  <c r="I1749" i="1"/>
  <c r="I553" i="1"/>
  <c r="I831" i="1"/>
  <c r="I1793" i="1"/>
  <c r="I1853" i="1"/>
  <c r="I1552" i="1"/>
  <c r="I1642" i="1"/>
  <c r="I1514" i="1"/>
  <c r="I1622" i="1"/>
  <c r="I233" i="1"/>
  <c r="I1586" i="1"/>
  <c r="I1668" i="1"/>
  <c r="I1534" i="1"/>
  <c r="I897" i="1"/>
  <c r="I790" i="1"/>
  <c r="I214" i="1"/>
  <c r="I905" i="1"/>
  <c r="I442" i="1"/>
  <c r="I1835" i="1"/>
  <c r="I286" i="1"/>
  <c r="I1573" i="1"/>
  <c r="I1507" i="1"/>
  <c r="I415" i="1"/>
  <c r="I173" i="1"/>
  <c r="I733" i="1"/>
  <c r="I902" i="1"/>
  <c r="I283" i="1"/>
  <c r="I613" i="1"/>
  <c r="I469" i="1"/>
  <c r="I708" i="1"/>
  <c r="I788" i="1"/>
  <c r="I434" i="1"/>
  <c r="I1504" i="1"/>
  <c r="I1752" i="1"/>
  <c r="I1963" i="1"/>
  <c r="I1732" i="1"/>
  <c r="I121" i="1"/>
  <c r="I752" i="1"/>
  <c r="I284" i="1"/>
  <c r="I185" i="1"/>
  <c r="I515" i="1"/>
  <c r="I129" i="1"/>
  <c r="I299" i="1"/>
  <c r="I198" i="1"/>
  <c r="I928" i="1"/>
  <c r="I227" i="1"/>
  <c r="I657" i="1"/>
  <c r="I833" i="1"/>
  <c r="I73" i="1"/>
  <c r="I1763" i="1"/>
  <c r="I1791" i="1"/>
  <c r="I1832" i="1"/>
  <c r="I1536" i="1"/>
  <c r="I1626" i="1"/>
  <c r="I366" i="1"/>
  <c r="I1606" i="1"/>
  <c r="I514" i="1"/>
  <c r="I1570" i="1"/>
  <c r="I1604" i="1"/>
  <c r="I1518" i="1"/>
  <c r="I916" i="1"/>
  <c r="I341" i="1"/>
  <c r="I407" i="1"/>
  <c r="I561" i="1"/>
  <c r="I1661" i="1"/>
  <c r="I1683" i="1"/>
  <c r="I1641" i="1"/>
  <c r="I1924" i="1"/>
  <c r="I1716" i="1"/>
  <c r="I1546" i="1"/>
  <c r="I1636" i="1"/>
  <c r="I1750" i="1"/>
  <c r="I182" i="1"/>
  <c r="I1714" i="1"/>
  <c r="I615" i="1"/>
  <c r="I1662" i="1"/>
  <c r="I146" i="1"/>
  <c r="I564" i="1"/>
  <c r="I974" i="1"/>
  <c r="I705" i="1"/>
  <c r="I281" i="1"/>
  <c r="I1992" i="1"/>
  <c r="I915" i="1"/>
  <c r="I1737" i="1"/>
  <c r="I1675" i="1"/>
  <c r="I303" i="1"/>
  <c r="I1647" i="1"/>
  <c r="I863" i="1"/>
  <c r="I1599" i="1"/>
  <c r="I312" i="1"/>
  <c r="I1531" i="1"/>
  <c r="I313" i="1"/>
  <c r="I543" i="1"/>
  <c r="I391" i="1"/>
  <c r="I955" i="1"/>
  <c r="I735" i="1"/>
  <c r="I807" i="1"/>
  <c r="I1899" i="1"/>
  <c r="I207" i="1"/>
  <c r="I1621" i="1"/>
  <c r="I1567" i="1"/>
  <c r="I927" i="1"/>
  <c r="I232" i="1"/>
  <c r="I447" i="1"/>
  <c r="I1906" i="1"/>
  <c r="I189" i="1"/>
  <c r="I1854" i="1"/>
  <c r="I786" i="1"/>
  <c r="I999" i="1"/>
  <c r="I1384" i="1"/>
  <c r="I109" i="1"/>
  <c r="I77" i="1"/>
  <c r="I1635" i="1"/>
  <c r="I1593" i="1"/>
  <c r="I1713" i="1"/>
  <c r="I1524" i="1"/>
  <c r="I110" i="1"/>
  <c r="I140" i="1"/>
  <c r="I517" i="1"/>
  <c r="I532" i="1"/>
  <c r="I830" i="1"/>
  <c r="I917" i="1"/>
  <c r="I982" i="1"/>
  <c r="I601" i="1"/>
  <c r="I63" i="1"/>
  <c r="I322" i="1"/>
  <c r="I1452" i="1"/>
  <c r="I1533" i="1"/>
  <c r="I1555" i="1"/>
  <c r="I1513" i="1"/>
  <c r="I1916" i="1"/>
  <c r="I213" i="1"/>
  <c r="I417" i="1"/>
  <c r="I402" i="1"/>
  <c r="I1782" i="1"/>
  <c r="I588" i="1"/>
  <c r="I1746" i="1"/>
  <c r="I792" i="1"/>
  <c r="I1694" i="1"/>
  <c r="I992" i="1"/>
  <c r="I92" i="1"/>
  <c r="I261" i="1"/>
  <c r="I1815" i="1"/>
  <c r="I1873" i="1"/>
  <c r="I325" i="1"/>
  <c r="I772" i="1"/>
  <c r="I480" i="1"/>
  <c r="I108" i="1"/>
  <c r="I1707" i="1"/>
  <c r="I262" i="1"/>
  <c r="I1639" i="1"/>
  <c r="I472" i="1"/>
  <c r="I824" i="1"/>
  <c r="I459" i="1"/>
  <c r="I90" i="1"/>
  <c r="I875" i="1"/>
  <c r="I1576" i="1"/>
  <c r="I1859" i="1"/>
  <c r="I1893" i="1"/>
  <c r="I251" i="1"/>
  <c r="I1946" i="1"/>
  <c r="I986" i="1"/>
  <c r="I1926" i="1"/>
  <c r="I387" i="1"/>
  <c r="I1890" i="1"/>
  <c r="I134" i="1"/>
  <c r="I1838" i="1"/>
  <c r="I508" i="1"/>
  <c r="I969" i="1"/>
  <c r="I456" i="1"/>
  <c r="I246" i="1"/>
  <c r="I1488" i="1"/>
  <c r="I681" i="1"/>
  <c r="I1693" i="1"/>
  <c r="I1781" i="1"/>
  <c r="I1776" i="1"/>
  <c r="I1866" i="1"/>
  <c r="I389" i="1"/>
  <c r="I1878" i="1"/>
  <c r="I666" i="1"/>
  <c r="I1778" i="1"/>
  <c r="I374" i="1"/>
  <c r="I1726" i="1"/>
  <c r="I327" i="1"/>
  <c r="I631" i="1"/>
  <c r="I71" i="1"/>
  <c r="I689" i="1"/>
  <c r="I920" i="1"/>
  <c r="I1987" i="1"/>
  <c r="I292" i="1"/>
  <c r="I1852" i="1"/>
  <c r="I1759" i="1"/>
  <c r="I295" i="1"/>
  <c r="I1735" i="1"/>
  <c r="I804" i="1"/>
  <c r="I1687" i="1"/>
  <c r="I231" i="1"/>
  <c r="I1615" i="1"/>
  <c r="I221" i="1"/>
  <c r="I572" i="1"/>
  <c r="I859" i="1"/>
  <c r="I84" i="1"/>
  <c r="I466" i="1"/>
  <c r="I781" i="1"/>
  <c r="I1976" i="1"/>
  <c r="I542" i="1"/>
  <c r="I1685" i="1"/>
  <c r="I1655" i="1"/>
  <c r="I193" i="1"/>
  <c r="I959" i="1"/>
  <c r="I422" i="1"/>
  <c r="I113" i="1"/>
  <c r="I176" i="1"/>
  <c r="I819" i="1"/>
  <c r="I319" i="1"/>
  <c r="I660" i="1"/>
  <c r="I34" i="1"/>
  <c r="I147" i="1"/>
  <c r="I1484" i="1"/>
  <c r="I1704" i="1"/>
  <c r="I1761" i="1"/>
  <c r="I1913" i="1"/>
  <c r="I264" i="1"/>
  <c r="I208" i="1"/>
  <c r="I628" i="1"/>
  <c r="I285" i="1"/>
  <c r="I829" i="1"/>
  <c r="I122" i="1"/>
  <c r="I307" i="1"/>
  <c r="I260" i="1"/>
  <c r="I718" i="1"/>
  <c r="I663" i="1"/>
  <c r="I14" i="1"/>
  <c r="I486" i="1"/>
  <c r="I21" i="1"/>
  <c r="I1624" i="1"/>
  <c r="I1923" i="1"/>
  <c r="I1956" i="1"/>
  <c r="I162" i="1"/>
  <c r="I1001" i="1"/>
  <c r="I929" i="1"/>
  <c r="I1686" i="1"/>
  <c r="I224" i="1"/>
  <c r="I1650" i="1"/>
  <c r="I340" i="1"/>
  <c r="I1598" i="1"/>
  <c r="I822" i="1"/>
  <c r="I789" i="1"/>
  <c r="I488" i="1"/>
  <c r="I334" i="1"/>
  <c r="I393" i="1"/>
  <c r="I1920" i="1"/>
  <c r="I516" i="1"/>
  <c r="I1637" i="1"/>
  <c r="I1591" i="1"/>
  <c r="I167" i="1"/>
  <c r="I1563" i="1"/>
  <c r="I727" i="1"/>
  <c r="I1515" i="1"/>
  <c r="I981" i="1"/>
  <c r="I803" i="1"/>
  <c r="I420" i="1"/>
  <c r="I228" i="1"/>
  <c r="I571" i="1"/>
  <c r="I533" i="1"/>
  <c r="I454" i="1"/>
  <c r="I892" i="1"/>
  <c r="I425" i="1"/>
  <c r="I474" i="1"/>
  <c r="I1764" i="1"/>
  <c r="I1525" i="1"/>
  <c r="I196" i="1"/>
  <c r="I177" i="1"/>
  <c r="I1583" i="1"/>
  <c r="I652" i="1"/>
  <c r="I166" i="1"/>
  <c r="I978" i="1"/>
  <c r="I715" i="1"/>
  <c r="I127" i="1"/>
  <c r="I898" i="1"/>
  <c r="I697" i="1"/>
  <c r="I934" i="1"/>
  <c r="I394" i="1"/>
  <c r="I524" i="1"/>
  <c r="I1879" i="1"/>
  <c r="I1917" i="1"/>
  <c r="I1600" i="1"/>
  <c r="I1690" i="1"/>
  <c r="I290" i="1"/>
  <c r="I1670" i="1"/>
  <c r="I642" i="1"/>
  <c r="I1634" i="1"/>
  <c r="I438" i="1"/>
  <c r="I1582" i="1"/>
  <c r="I218" i="1"/>
  <c r="I896" i="1"/>
  <c r="I359" i="1"/>
  <c r="I560" i="1"/>
  <c r="I1799" i="1"/>
  <c r="I1747" i="1"/>
  <c r="I1753" i="1"/>
  <c r="I1811" i="1"/>
  <c r="I1520" i="1"/>
  <c r="I1610" i="1"/>
  <c r="I379" i="1"/>
  <c r="I1558" i="1"/>
  <c r="I1620" i="1"/>
  <c r="I1522" i="1"/>
  <c r="I249" i="1"/>
  <c r="I817" i="1"/>
  <c r="I380" i="1"/>
  <c r="I759" i="1"/>
  <c r="I396" i="1"/>
  <c r="I40" i="1"/>
  <c r="I1768" i="1"/>
  <c r="I1983" i="1"/>
  <c r="I1748" i="1"/>
  <c r="I1509" i="1"/>
  <c r="I248" i="1"/>
  <c r="I726" i="1"/>
  <c r="I279" i="1"/>
  <c r="I921" i="1"/>
  <c r="I413" i="1"/>
  <c r="I973" i="1"/>
  <c r="I801" i="1"/>
  <c r="I491" i="1"/>
  <c r="I659" i="1"/>
  <c r="I301" i="1"/>
  <c r="I884" i="1"/>
  <c r="I408" i="1"/>
  <c r="I1688" i="1"/>
  <c r="I1994" i="1"/>
  <c r="I1839" i="1"/>
  <c r="I135" i="1"/>
  <c r="I119" i="1"/>
  <c r="I993" i="1"/>
  <c r="I180" i="1"/>
  <c r="I315" i="1"/>
  <c r="I1535" i="1"/>
  <c r="I169" i="1"/>
  <c r="I362" i="1"/>
  <c r="I160" i="1"/>
  <c r="I410" i="1"/>
  <c r="I336" i="1"/>
  <c r="I239" i="1"/>
  <c r="I587" i="1"/>
  <c r="I102" i="1"/>
  <c r="I1828" i="1"/>
  <c r="I1951" i="1"/>
  <c r="I1728" i="1"/>
  <c r="I1818" i="1"/>
  <c r="I570" i="1"/>
  <c r="I1798" i="1"/>
  <c r="I844" i="1"/>
  <c r="I1762" i="1"/>
  <c r="I520" i="1"/>
  <c r="I1710" i="1"/>
  <c r="I203" i="1"/>
  <c r="I835" i="1"/>
  <c r="I270" i="1"/>
  <c r="I846" i="1"/>
  <c r="I1965" i="1"/>
  <c r="I643" i="1"/>
  <c r="I1943" i="1"/>
  <c r="I1974" i="1"/>
  <c r="I1648" i="1"/>
  <c r="I1738" i="1"/>
  <c r="I216" i="1"/>
  <c r="I197" i="1"/>
  <c r="I274" i="1"/>
  <c r="I183" i="1"/>
  <c r="I1723" i="1"/>
  <c r="I81" i="1"/>
  <c r="I321" i="1"/>
  <c r="I1404" i="1"/>
  <c r="I398" i="1"/>
  <c r="I271" i="1"/>
  <c r="I1640" i="1"/>
  <c r="I1944" i="1"/>
  <c r="I1972" i="1"/>
  <c r="I372" i="1"/>
  <c r="I933" i="1"/>
  <c r="I446" i="1"/>
  <c r="I632" i="1"/>
  <c r="I153" i="1"/>
  <c r="I966" i="1"/>
  <c r="I277" i="1"/>
  <c r="I1902" i="1"/>
  <c r="I250" i="1"/>
  <c r="I289" i="1"/>
  <c r="I75" i="1"/>
  <c r="I627" i="1"/>
  <c r="I339" i="1"/>
  <c r="I1560" i="1"/>
  <c r="I1837" i="1"/>
  <c r="I1872" i="1"/>
  <c r="I215" i="1"/>
  <c r="I477" i="1"/>
  <c r="I1528" i="1"/>
  <c r="I1829" i="1"/>
  <c r="I200" i="1"/>
  <c r="I1898" i="1"/>
  <c r="I280" i="1"/>
  <c r="I1942" i="1"/>
  <c r="I729" i="1"/>
  <c r="I1842" i="1"/>
  <c r="I707" i="1"/>
  <c r="I1790" i="1"/>
  <c r="I397" i="1"/>
  <c r="I258" i="1"/>
  <c r="I791" i="1"/>
  <c r="I88" i="1"/>
  <c r="I1549" i="1"/>
  <c r="I1571" i="1"/>
  <c r="I1529" i="1"/>
  <c r="I1937" i="1"/>
  <c r="I412" i="1"/>
  <c r="I82" i="1"/>
  <c r="I123" i="1"/>
  <c r="I809" i="1"/>
  <c r="I913" i="1"/>
  <c r="I783" i="1"/>
  <c r="I1703" i="1"/>
  <c r="I145" i="1"/>
  <c r="I497" i="1"/>
  <c r="I1340" i="1"/>
  <c r="I882" i="1"/>
  <c r="I441" i="1"/>
  <c r="I382" i="1"/>
  <c r="I1929" i="1"/>
  <c r="I392" i="1"/>
  <c r="I1831" i="1"/>
  <c r="I1739" i="1"/>
  <c r="I562" i="1"/>
  <c r="I1508" i="1"/>
  <c r="I282" i="1"/>
  <c r="I1623" i="1"/>
  <c r="I883" i="1"/>
  <c r="I1551" i="1"/>
  <c r="I952" i="1"/>
  <c r="I724" i="1"/>
  <c r="I360" i="1"/>
  <c r="I278" i="1"/>
  <c r="I646" i="1"/>
  <c r="I1512" i="1"/>
  <c r="I1757" i="1"/>
  <c r="I1808" i="1"/>
  <c r="I1792" i="1"/>
  <c r="I1882" i="1"/>
  <c r="I528" i="1"/>
  <c r="I1862" i="1"/>
  <c r="I1000" i="1"/>
  <c r="I1826" i="1"/>
  <c r="I367" i="1"/>
  <c r="I1774" i="1"/>
  <c r="I847" i="1"/>
  <c r="I369" i="1"/>
  <c r="I1003" i="1"/>
  <c r="I699" i="1"/>
  <c r="I1833" i="1"/>
  <c r="I762" i="1"/>
  <c r="I1745" i="1"/>
  <c r="I1892" i="1"/>
  <c r="I1712" i="1"/>
  <c r="I1802" i="1"/>
  <c r="I744" i="1"/>
  <c r="I256" i="1"/>
  <c r="I346" i="1"/>
  <c r="I853" i="1"/>
  <c r="I418" i="1"/>
  <c r="I1918" i="1"/>
  <c r="I767" i="1"/>
  <c r="I938" i="1"/>
  <c r="I49" i="1"/>
  <c r="I763" i="1"/>
  <c r="I1368" i="1"/>
  <c r="I1699" i="1"/>
  <c r="I1657" i="1"/>
  <c r="I1979" i="1"/>
  <c r="I805" i="1"/>
  <c r="I1562" i="1"/>
  <c r="I1700" i="1"/>
  <c r="I1542" i="1"/>
  <c r="I1556" i="1"/>
  <c r="I1506" i="1"/>
  <c r="I211" i="1"/>
  <c r="I919" i="1"/>
  <c r="I669" i="1"/>
  <c r="I19" i="1"/>
  <c r="I504" i="1"/>
  <c r="I37" i="1"/>
  <c r="I1597" i="1"/>
  <c r="I1619" i="1"/>
  <c r="I1577" i="1"/>
  <c r="I1989" i="1"/>
  <c r="I416" i="1"/>
  <c r="I143" i="1"/>
  <c r="I1755" i="1"/>
  <c r="I148" i="1"/>
  <c r="I352" i="1"/>
  <c r="I603" i="1"/>
  <c r="I120" i="1"/>
  <c r="I947" i="1"/>
  <c r="I967" i="1"/>
  <c r="I679" i="1"/>
  <c r="I747" i="1"/>
  <c r="I796" i="1"/>
  <c r="I815" i="1"/>
  <c r="I1961" i="1"/>
  <c r="I1990" i="1"/>
  <c r="I1664" i="1"/>
  <c r="I1754" i="1"/>
  <c r="I320" i="1"/>
  <c r="I1734" i="1"/>
  <c r="I473" i="1"/>
  <c r="I1698" i="1"/>
  <c r="I914" i="1"/>
  <c r="I1646" i="1"/>
  <c r="I294" i="1"/>
  <c r="I695" i="1"/>
  <c r="I363" i="1"/>
  <c r="I600" i="1"/>
  <c r="I1884" i="1"/>
  <c r="I522" i="1"/>
  <c r="I1857" i="1"/>
  <c r="I1896" i="1"/>
  <c r="I1584" i="1"/>
  <c r="I1674" i="1"/>
  <c r="I918" i="1"/>
  <c r="I170" i="1"/>
  <c r="I373" i="1"/>
  <c r="I430" i="1"/>
  <c r="I1813" i="1"/>
  <c r="I1930" i="1"/>
  <c r="I1627" i="1"/>
  <c r="I1579" i="1"/>
  <c r="I265" i="1"/>
  <c r="I911" i="1"/>
  <c r="I463" i="1"/>
  <c r="I51" i="1"/>
  <c r="I995" i="1"/>
  <c r="I1473" i="1"/>
  <c r="I956" i="1"/>
  <c r="I356" i="1"/>
  <c r="I682" i="1"/>
  <c r="I785" i="1"/>
  <c r="I1130" i="1"/>
  <c r="I1387" i="1"/>
  <c r="I1238" i="1"/>
  <c r="I1495" i="1"/>
  <c r="I1234" i="1"/>
  <c r="I1491" i="1"/>
  <c r="I1214" i="1"/>
  <c r="I1471" i="1"/>
  <c r="I1119" i="1"/>
  <c r="I2060" i="1"/>
  <c r="I2124" i="1"/>
  <c r="I65" i="1"/>
  <c r="I766" i="1"/>
  <c r="I56" i="1"/>
  <c r="I787" i="1"/>
  <c r="I76" i="1"/>
  <c r="I1050" i="1"/>
  <c r="I1307" i="1"/>
  <c r="I1158" i="1"/>
  <c r="I1415" i="1"/>
  <c r="I1154" i="1"/>
  <c r="I1411" i="1"/>
  <c r="I1134" i="1"/>
  <c r="I1391" i="1"/>
  <c r="I1039" i="1"/>
  <c r="I2065" i="1"/>
  <c r="I2129" i="1"/>
  <c r="I411" i="1"/>
  <c r="I1436" i="1"/>
  <c r="I980" i="1"/>
  <c r="I1356" i="1"/>
  <c r="I768" i="1"/>
  <c r="I1097" i="1"/>
  <c r="I370" i="1"/>
  <c r="I1205" i="1"/>
  <c r="I368" i="1"/>
  <c r="I1201" i="1"/>
  <c r="I756" i="1"/>
  <c r="I1181" i="1"/>
  <c r="I1011" i="1"/>
  <c r="I2026" i="1"/>
  <c r="I2090" i="1"/>
  <c r="I2154" i="1"/>
  <c r="I977" i="1"/>
  <c r="I760" i="1"/>
  <c r="I130" i="1"/>
  <c r="I378" i="1"/>
  <c r="I1466" i="1"/>
  <c r="I1212" i="1"/>
  <c r="I26" i="1"/>
  <c r="I1718" i="1"/>
  <c r="I158" i="1"/>
  <c r="I1682" i="1"/>
  <c r="I653" i="1"/>
  <c r="I1630" i="1"/>
  <c r="I496" i="1"/>
  <c r="I784" i="1"/>
  <c r="I253" i="1"/>
  <c r="I499" i="1"/>
  <c r="I206" i="1"/>
  <c r="I358" i="1"/>
  <c r="I943" i="1"/>
  <c r="I751" i="1"/>
  <c r="I794" i="1"/>
  <c r="I1257" i="1"/>
  <c r="I650" i="1"/>
  <c r="I1365" i="1"/>
  <c r="I549" i="1"/>
  <c r="I1361" i="1"/>
  <c r="I548" i="1"/>
  <c r="I1341" i="1"/>
  <c r="I1147" i="1"/>
  <c r="I2016" i="1"/>
  <c r="I2080" i="1"/>
  <c r="I2144" i="1"/>
  <c r="I510" i="1"/>
  <c r="I32" i="1"/>
  <c r="I750" i="1"/>
  <c r="I45" i="1"/>
  <c r="I668" i="1"/>
  <c r="I1177" i="1"/>
  <c r="I444" i="1"/>
  <c r="I1285" i="1"/>
  <c r="I870" i="1"/>
  <c r="I1281" i="1"/>
  <c r="I885" i="1"/>
  <c r="I1261" i="1"/>
  <c r="I1067" i="1"/>
  <c r="I2021" i="1"/>
  <c r="I2085" i="1"/>
  <c r="I2149" i="1"/>
  <c r="I565" i="1"/>
  <c r="I867" i="1"/>
  <c r="I559" i="1"/>
  <c r="I878" i="1"/>
  <c r="I1354" i="1"/>
  <c r="I1100" i="1"/>
  <c r="I1462" i="1"/>
  <c r="I1208" i="1"/>
  <c r="I1458" i="1"/>
  <c r="I1204" i="1"/>
  <c r="I1438" i="1"/>
  <c r="I1184" i="1"/>
  <c r="I1123" i="1"/>
  <c r="I2046" i="1"/>
  <c r="I2110" i="1"/>
  <c r="I604" i="1"/>
  <c r="I985" i="1"/>
  <c r="I1352" i="1"/>
  <c r="I798" i="1"/>
  <c r="I675" i="1"/>
  <c r="I1146" i="1"/>
  <c r="I1910" i="1"/>
  <c r="I194" i="1"/>
  <c r="I1874" i="1"/>
  <c r="I461" i="1"/>
  <c r="I1822" i="1"/>
  <c r="I755" i="1"/>
  <c r="I693" i="1"/>
  <c r="I574" i="1"/>
  <c r="I923" i="1"/>
  <c r="I1396" i="1"/>
  <c r="I566" i="1"/>
  <c r="I7" i="1"/>
  <c r="I337" i="1"/>
  <c r="I29" i="1"/>
  <c r="I1449" i="1"/>
  <c r="I1255" i="1"/>
  <c r="I1110" i="1"/>
  <c r="I1367" i="1"/>
  <c r="I1106" i="1"/>
  <c r="I1363" i="1"/>
  <c r="I1086" i="1"/>
  <c r="I1343" i="1"/>
  <c r="I2004" i="1"/>
  <c r="I2068" i="1"/>
  <c r="I2132" i="1"/>
  <c r="I440" i="1"/>
  <c r="I607" i="1"/>
  <c r="I720" i="1"/>
  <c r="I880" i="1"/>
  <c r="I737" i="1"/>
  <c r="I1369" i="1"/>
  <c r="I1175" i="1"/>
  <c r="I1030" i="1"/>
  <c r="I1283" i="1"/>
  <c r="I1026" i="1"/>
  <c r="I1279" i="1"/>
  <c r="I1006" i="1"/>
  <c r="I1259" i="1"/>
  <c r="I2009" i="1"/>
  <c r="I2073" i="1"/>
  <c r="I2137" i="1"/>
  <c r="I940" i="1"/>
  <c r="I889" i="1"/>
  <c r="I719" i="1"/>
  <c r="I395" i="1"/>
  <c r="I1469" i="1"/>
  <c r="I1292" i="1"/>
  <c r="I776" i="1"/>
  <c r="I1077" i="1"/>
  <c r="I698" i="1"/>
  <c r="I1073" i="1"/>
  <c r="I72" i="1"/>
  <c r="I1053" i="1"/>
  <c r="I1111" i="1"/>
  <c r="I2034" i="1"/>
  <c r="I2098" i="1"/>
  <c r="I2162" i="1"/>
  <c r="I667" i="1"/>
  <c r="I460" i="1"/>
  <c r="I86" i="1"/>
  <c r="I484" i="1"/>
  <c r="I1846" i="1"/>
  <c r="I890" i="1"/>
  <c r="I1810" i="1"/>
  <c r="I457" i="1"/>
  <c r="I1758" i="1"/>
  <c r="I912" i="1"/>
  <c r="I670" i="1"/>
  <c r="I5" i="1"/>
  <c r="I704" i="1"/>
  <c r="I944" i="1"/>
  <c r="I475" i="1"/>
  <c r="I960" i="1"/>
  <c r="I506" i="1"/>
  <c r="I948" i="1"/>
  <c r="I1385" i="1"/>
  <c r="I1191" i="1"/>
  <c r="I1046" i="1"/>
  <c r="I1303" i="1"/>
  <c r="I1042" i="1"/>
  <c r="I1295" i="1"/>
  <c r="I1022" i="1"/>
  <c r="I1275" i="1"/>
  <c r="I2008" i="1"/>
  <c r="I2072" i="1"/>
  <c r="I2136" i="1"/>
  <c r="I970" i="1"/>
  <c r="I840" i="1"/>
  <c r="I990" i="1"/>
  <c r="I891" i="1"/>
  <c r="I694" i="1"/>
  <c r="I1305" i="1"/>
  <c r="I1364" i="1"/>
  <c r="I1413" i="1"/>
  <c r="I1348" i="1"/>
  <c r="I1409" i="1"/>
  <c r="I437" i="1"/>
  <c r="I1389" i="1"/>
  <c r="I1211" i="1"/>
  <c r="I2013" i="1"/>
  <c r="I2077" i="1"/>
  <c r="I2141" i="1"/>
  <c r="I485" i="1"/>
  <c r="I645" i="1"/>
  <c r="I855" i="1"/>
  <c r="I674" i="1"/>
  <c r="I1482" i="1"/>
  <c r="I1228" i="1"/>
  <c r="I35" i="1"/>
  <c r="I1013" i="1"/>
  <c r="I54" i="1"/>
  <c r="I1009" i="1"/>
  <c r="I6" i="1"/>
  <c r="I1312" i="1"/>
  <c r="I1047" i="1"/>
  <c r="I2038" i="1"/>
  <c r="I2102" i="1"/>
  <c r="I2168" i="1"/>
  <c r="I137" i="1"/>
  <c r="I482" i="1"/>
  <c r="I414" i="1"/>
  <c r="I36" i="1"/>
  <c r="I1274" i="1"/>
  <c r="I686" i="1"/>
  <c r="I909" i="1"/>
  <c r="I1125" i="1"/>
  <c r="I838" i="1"/>
  <c r="I1121" i="1"/>
  <c r="I857" i="1"/>
  <c r="I1796" i="1"/>
  <c r="I268" i="1"/>
  <c r="I1526" i="1"/>
  <c r="I490" i="1"/>
  <c r="I1511" i="1"/>
  <c r="I683" i="1"/>
  <c r="I558" i="1"/>
  <c r="I254" i="1"/>
  <c r="I386" i="1"/>
  <c r="I238" i="1"/>
  <c r="I739" i="1"/>
  <c r="I471" i="1"/>
  <c r="I746" i="1"/>
  <c r="I577" i="1"/>
  <c r="I1321" i="1"/>
  <c r="I1444" i="1"/>
  <c r="I1429" i="1"/>
  <c r="I1428" i="1"/>
  <c r="I1425" i="1"/>
  <c r="I936" i="1"/>
  <c r="I1405" i="1"/>
  <c r="I1231" i="1"/>
  <c r="I2012" i="1"/>
  <c r="I2076" i="1"/>
  <c r="I2140" i="1"/>
  <c r="I263" i="1"/>
  <c r="I841" i="1"/>
  <c r="I971" i="1"/>
  <c r="I100" i="1"/>
  <c r="I345" i="1"/>
  <c r="I1241" i="1"/>
  <c r="I740" i="1"/>
  <c r="I1349" i="1"/>
  <c r="I649" i="1"/>
  <c r="I1345" i="1"/>
  <c r="I678" i="1"/>
  <c r="I1325" i="1"/>
  <c r="I1131" i="1"/>
  <c r="I2017" i="1"/>
  <c r="I2081" i="1"/>
  <c r="I2145" i="1"/>
  <c r="I353" i="1"/>
  <c r="I866" i="1"/>
  <c r="I887" i="1"/>
  <c r="I98" i="1"/>
  <c r="I1418" i="1"/>
  <c r="I1164" i="1"/>
  <c r="I1408" i="1"/>
  <c r="I1272" i="1"/>
  <c r="I1392" i="1"/>
  <c r="I1268" i="1"/>
  <c r="I1502" i="1"/>
  <c r="I1248" i="1"/>
  <c r="I1199" i="1"/>
  <c r="I2042" i="1"/>
  <c r="I2106" i="1"/>
  <c r="I2176" i="1"/>
  <c r="I907" i="1"/>
  <c r="I12" i="1"/>
  <c r="I426" i="1"/>
  <c r="I1489" i="1"/>
  <c r="I1210" i="1"/>
  <c r="I1467" i="1"/>
  <c r="I782" i="1"/>
  <c r="I962" i="1"/>
  <c r="I138" i="1"/>
  <c r="I518" i="1"/>
  <c r="I85" i="1"/>
  <c r="I626" i="1"/>
  <c r="I133" i="1"/>
  <c r="I1492" i="1"/>
  <c r="I234" i="1"/>
  <c r="I1388" i="1"/>
  <c r="I826" i="1"/>
  <c r="I691" i="1"/>
  <c r="I450" i="1"/>
  <c r="I690" i="1"/>
  <c r="I18" i="1"/>
  <c r="I1324" i="1"/>
  <c r="I554" i="1"/>
  <c r="I1109" i="1"/>
  <c r="I931" i="1"/>
  <c r="I1105" i="1"/>
  <c r="I495" i="1"/>
  <c r="I1085" i="1"/>
  <c r="I1143" i="1"/>
  <c r="I2032" i="1"/>
  <c r="I2096" i="1"/>
  <c r="I2160" i="1"/>
  <c r="I630" i="1"/>
  <c r="I545" i="1"/>
  <c r="I455" i="1"/>
  <c r="I544" i="1"/>
  <c r="I1498" i="1"/>
  <c r="I1244" i="1"/>
  <c r="I58" i="1"/>
  <c r="I1029" i="1"/>
  <c r="I60" i="1"/>
  <c r="I1025" i="1"/>
  <c r="I42" i="1"/>
  <c r="I1005" i="1"/>
  <c r="I1063" i="1"/>
  <c r="I2037" i="1"/>
  <c r="I2101" i="1"/>
  <c r="I2165" i="1"/>
  <c r="I525" i="1"/>
  <c r="I501" i="1"/>
  <c r="I951" i="1"/>
  <c r="I536" i="1"/>
  <c r="I1098" i="1"/>
  <c r="I1355" i="1"/>
  <c r="I1206" i="1"/>
  <c r="I1463" i="1"/>
  <c r="I1202" i="1"/>
  <c r="I1459" i="1"/>
  <c r="I1182" i="1"/>
  <c r="I1439" i="1"/>
  <c r="I1087" i="1"/>
  <c r="I2062" i="1"/>
  <c r="I2126" i="1"/>
  <c r="I573" i="1"/>
  <c r="I599" i="1"/>
  <c r="I821" i="1"/>
  <c r="I648" i="1"/>
  <c r="I304" i="1"/>
  <c r="I1337" i="1"/>
  <c r="I1654" i="1"/>
  <c r="I994" i="1"/>
  <c r="I1618" i="1"/>
  <c r="I521" i="1"/>
  <c r="I1566" i="1"/>
  <c r="I530" i="1"/>
  <c r="I547" i="1"/>
  <c r="I259" i="1"/>
  <c r="I710" i="1"/>
  <c r="I779" i="1"/>
  <c r="I43" i="1"/>
  <c r="I606" i="1"/>
  <c r="I24" i="1"/>
  <c r="I538" i="1"/>
  <c r="I1193" i="1"/>
  <c r="I591" i="1"/>
  <c r="I1301" i="1"/>
  <c r="I335" i="1"/>
  <c r="I1297" i="1"/>
  <c r="I777" i="1"/>
  <c r="I1277" i="1"/>
  <c r="I1083" i="1"/>
  <c r="I2020" i="1"/>
  <c r="I2084" i="1"/>
  <c r="I2148" i="1"/>
  <c r="I843" i="1"/>
  <c r="I1476" i="1"/>
  <c r="I287" i="1"/>
  <c r="I1420" i="1"/>
  <c r="I655" i="1"/>
  <c r="I1113" i="1"/>
  <c r="I306" i="1"/>
  <c r="I1221" i="1"/>
  <c r="I640" i="1"/>
  <c r="I1217" i="1"/>
  <c r="I639" i="1"/>
  <c r="I1197" i="1"/>
  <c r="I1031" i="1"/>
  <c r="I2025" i="1"/>
  <c r="I2089" i="1"/>
  <c r="I2153" i="1"/>
  <c r="I583" i="1"/>
  <c r="I351" i="1"/>
  <c r="I223" i="1"/>
  <c r="I22" i="1"/>
  <c r="I1290" i="1"/>
  <c r="I1036" i="1"/>
  <c r="I1398" i="1"/>
  <c r="I1144" i="1"/>
  <c r="I1394" i="1"/>
  <c r="I1140" i="1"/>
  <c r="I1374" i="1"/>
  <c r="I1120" i="1"/>
  <c r="I1059" i="1"/>
  <c r="I2050" i="1"/>
  <c r="I2114" i="1"/>
  <c r="I67" i="1"/>
  <c r="I593" i="1"/>
  <c r="I637" i="1"/>
  <c r="I357" i="1"/>
  <c r="I28" i="1"/>
  <c r="I1590" i="1"/>
  <c r="I582" i="1"/>
  <c r="I1554" i="1"/>
  <c r="I1540" i="1"/>
  <c r="I498" i="1"/>
  <c r="I716" i="1"/>
  <c r="I534" i="1"/>
  <c r="I754" i="1"/>
  <c r="I677" i="1"/>
  <c r="I423" i="1"/>
  <c r="I4" i="1"/>
  <c r="I257" i="1"/>
  <c r="I1468" i="1"/>
  <c r="I555" i="1"/>
  <c r="I1129" i="1"/>
  <c r="I376" i="1"/>
  <c r="I1237" i="1"/>
  <c r="I736" i="1"/>
  <c r="I1233" i="1"/>
  <c r="I539" i="1"/>
  <c r="I1213" i="1"/>
  <c r="I1019" i="1"/>
  <c r="I2024" i="1"/>
  <c r="I2088" i="1"/>
  <c r="I2152" i="1"/>
  <c r="I749" i="1"/>
  <c r="I275" i="1"/>
  <c r="I225" i="1"/>
  <c r="I998" i="1"/>
  <c r="I30" i="1"/>
  <c r="I1049" i="1"/>
  <c r="I684" i="1"/>
  <c r="I1157" i="1"/>
  <c r="I580" i="1"/>
  <c r="I1153" i="1"/>
  <c r="I656" i="1"/>
  <c r="I1133" i="1"/>
  <c r="I1203" i="1"/>
  <c r="I2029" i="1"/>
  <c r="I2093" i="1"/>
  <c r="I2157" i="1"/>
  <c r="I958" i="1"/>
  <c r="I61" i="1"/>
  <c r="I745" i="1"/>
  <c r="I23" i="1"/>
  <c r="I1226" i="1"/>
  <c r="I1483" i="1"/>
  <c r="I1334" i="1"/>
  <c r="I1080" i="1"/>
  <c r="I1330" i="1"/>
  <c r="I1076" i="1"/>
  <c r="I1310" i="1"/>
  <c r="I1056" i="1"/>
  <c r="I1235" i="1"/>
  <c r="I2054" i="1"/>
  <c r="I2118" i="1"/>
  <c r="I1456" i="1"/>
  <c r="I505" i="1"/>
  <c r="I17" i="1"/>
  <c r="I910" i="1"/>
  <c r="I55" i="1"/>
  <c r="I1557" i="1"/>
  <c r="I954" i="1"/>
  <c r="I612" i="1"/>
  <c r="I199" i="1"/>
  <c r="I1950" i="1"/>
  <c r="I879" i="1"/>
  <c r="I48" i="1"/>
  <c r="I757" i="1"/>
  <c r="I78" i="1"/>
  <c r="I478" i="1"/>
  <c r="I842" i="1"/>
  <c r="I621" i="1"/>
  <c r="I448" i="1"/>
  <c r="I451" i="1"/>
  <c r="I1065" i="1"/>
  <c r="I567" i="1"/>
  <c r="I1173" i="1"/>
  <c r="I487" i="1"/>
  <c r="I1169" i="1"/>
  <c r="I494" i="1"/>
  <c r="I1149" i="1"/>
  <c r="I1227" i="1"/>
  <c r="I2028" i="1"/>
  <c r="I2092" i="1"/>
  <c r="I2156" i="1"/>
  <c r="I975" i="1"/>
  <c r="I780" i="1"/>
  <c r="I778" i="1"/>
  <c r="I799" i="1"/>
  <c r="I1501" i="1"/>
  <c r="I1308" i="1"/>
  <c r="I685" i="1"/>
  <c r="I1093" i="1"/>
  <c r="I584" i="1"/>
  <c r="I1089" i="1"/>
  <c r="I597" i="1"/>
  <c r="I1069" i="1"/>
  <c r="I1127" i="1"/>
  <c r="I2033" i="1"/>
  <c r="I2097" i="1"/>
  <c r="I2161" i="1"/>
  <c r="I247" i="1"/>
  <c r="I1416" i="1"/>
  <c r="I349" i="1"/>
  <c r="I1336" i="1"/>
  <c r="I1162" i="1"/>
  <c r="I1419" i="1"/>
  <c r="I1270" i="1"/>
  <c r="I1016" i="1"/>
  <c r="I1266" i="1"/>
  <c r="I1012" i="1"/>
  <c r="I1246" i="1"/>
  <c r="I59" i="1"/>
  <c r="I1151" i="1"/>
  <c r="I2058" i="1"/>
  <c r="I2122" i="1"/>
  <c r="I318" i="1"/>
  <c r="I865" i="1"/>
  <c r="I991" i="1"/>
  <c r="I877" i="1"/>
  <c r="I401" i="1"/>
  <c r="I1401" i="1"/>
  <c r="I1207" i="1"/>
  <c r="I1543" i="1"/>
  <c r="I924" i="1"/>
  <c r="I107" i="1"/>
  <c r="I712" i="1"/>
  <c r="I619" i="1"/>
  <c r="I291" i="1"/>
  <c r="I730" i="1"/>
  <c r="I688" i="1"/>
  <c r="I949" i="1"/>
  <c r="I578" i="1"/>
  <c r="I871" i="1"/>
  <c r="I595" i="1"/>
  <c r="I467" i="1"/>
  <c r="I644" i="1"/>
  <c r="I1322" i="1"/>
  <c r="I1068" i="1"/>
  <c r="I1430" i="1"/>
  <c r="I1176" i="1"/>
  <c r="I1426" i="1"/>
  <c r="I1172" i="1"/>
  <c r="I1406" i="1"/>
  <c r="I1152" i="1"/>
  <c r="I1091" i="1"/>
  <c r="I2048" i="1"/>
  <c r="I2112" i="1"/>
  <c r="I57" i="1"/>
  <c r="I629" i="1"/>
  <c r="I9" i="1"/>
  <c r="I365" i="1"/>
  <c r="I10" i="1"/>
  <c r="I1242" i="1"/>
  <c r="I1499" i="1"/>
  <c r="I1350" i="1"/>
  <c r="I1096" i="1"/>
  <c r="I1346" i="1"/>
  <c r="I1092" i="1"/>
  <c r="I1326" i="1"/>
  <c r="I1072" i="1"/>
  <c r="I1007" i="1"/>
  <c r="I2053" i="1"/>
  <c r="I2117" i="1"/>
  <c r="I308" i="1"/>
  <c r="I489" i="1"/>
  <c r="I816" i="1"/>
  <c r="I535" i="1"/>
  <c r="I586" i="1"/>
  <c r="I1289" i="1"/>
  <c r="I431" i="1"/>
  <c r="I1397" i="1"/>
  <c r="I965" i="1"/>
  <c r="I1393" i="1"/>
  <c r="I310" i="1"/>
  <c r="I1373" i="1"/>
  <c r="I1187" i="1"/>
  <c r="I2014" i="1"/>
  <c r="I2078" i="1"/>
  <c r="I2142" i="1"/>
  <c r="I503" i="1"/>
  <c r="I1372" i="1"/>
  <c r="I946" i="1"/>
  <c r="I932" i="1"/>
  <c r="I868" i="1"/>
  <c r="I828" i="1"/>
  <c r="I252" i="1"/>
  <c r="I1751" i="1"/>
  <c r="I168" i="1"/>
  <c r="I1679" i="1"/>
  <c r="I452" i="1"/>
  <c r="I375" i="1"/>
  <c r="I266" i="1"/>
  <c r="I563" i="1"/>
  <c r="I987" i="1"/>
  <c r="I326" i="1"/>
  <c r="I651" i="1"/>
  <c r="I209" i="1"/>
  <c r="I404" i="1"/>
  <c r="I1360" i="1"/>
  <c r="I1260" i="1"/>
  <c r="I66" i="1"/>
  <c r="I1045" i="1"/>
  <c r="I8" i="1"/>
  <c r="I1041" i="1"/>
  <c r="I79" i="1"/>
  <c r="I1021" i="1"/>
  <c r="I1079" i="1"/>
  <c r="I2036" i="1"/>
  <c r="I2100" i="1"/>
  <c r="I2164" i="1"/>
  <c r="I330" i="1"/>
  <c r="I435" i="1"/>
  <c r="I405" i="1"/>
  <c r="I774" i="1"/>
  <c r="I1434" i="1"/>
  <c r="I1180" i="1"/>
  <c r="I1461" i="1"/>
  <c r="I1288" i="1"/>
  <c r="I1453" i="1"/>
  <c r="I1284" i="1"/>
  <c r="I1376" i="1"/>
  <c r="I1264" i="1"/>
  <c r="I1219" i="1"/>
  <c r="I2041" i="1"/>
  <c r="I2105" i="1"/>
  <c r="I2173" i="1"/>
  <c r="I87" i="1"/>
  <c r="I64" i="1"/>
  <c r="I361" i="1"/>
  <c r="I15" i="1"/>
  <c r="I1034" i="1"/>
  <c r="I1287" i="1"/>
  <c r="I1142" i="1"/>
  <c r="I1399" i="1"/>
  <c r="I1138" i="1"/>
  <c r="I1395" i="1"/>
  <c r="I1118" i="1"/>
  <c r="I1375" i="1"/>
  <c r="I1023" i="1"/>
  <c r="I2066" i="1"/>
  <c r="I2130" i="1"/>
  <c r="I903" i="1"/>
  <c r="I636" i="1"/>
  <c r="I453" i="1"/>
  <c r="I635" i="1"/>
  <c r="I1711" i="1"/>
  <c r="I154" i="1"/>
  <c r="I1663" i="1"/>
  <c r="I513" i="1"/>
  <c r="I1595" i="1"/>
  <c r="I581" i="1"/>
  <c r="I989" i="1"/>
  <c r="I309" i="1"/>
  <c r="I529" i="1"/>
  <c r="I638" i="1"/>
  <c r="I692" i="1"/>
  <c r="I860" i="1"/>
  <c r="I432" i="1"/>
  <c r="I680" i="1"/>
  <c r="I1450" i="1"/>
  <c r="I1196" i="1"/>
  <c r="I1493" i="1"/>
  <c r="I1304" i="1"/>
  <c r="I1485" i="1"/>
  <c r="I1300" i="1"/>
  <c r="I1440" i="1"/>
  <c r="I1280" i="1"/>
  <c r="I1247" i="1"/>
  <c r="I2040" i="1"/>
  <c r="I2104" i="1"/>
  <c r="I2172" i="1"/>
  <c r="I557" i="1"/>
  <c r="I731" i="1"/>
  <c r="I797" i="1"/>
  <c r="I775" i="1"/>
  <c r="I1370" i="1"/>
  <c r="I1116" i="1"/>
  <c r="I1478" i="1"/>
  <c r="I1224" i="1"/>
  <c r="I1474" i="1"/>
  <c r="I1220" i="1"/>
  <c r="I1454" i="1"/>
  <c r="I1200" i="1"/>
  <c r="I1139" i="1"/>
  <c r="I2045" i="1"/>
  <c r="I2109" i="1"/>
  <c r="I979" i="1"/>
  <c r="I354" i="1"/>
  <c r="I273" i="1"/>
  <c r="I371" i="1"/>
  <c r="I1380" i="1"/>
  <c r="I1417" i="1"/>
  <c r="I1223" i="1"/>
  <c r="I1078" i="1"/>
  <c r="I1335" i="1"/>
  <c r="I1074" i="1"/>
  <c r="I1331" i="1"/>
  <c r="I1054" i="1"/>
  <c r="I1311" i="1"/>
  <c r="I2006" i="1"/>
  <c r="I2070" i="1"/>
  <c r="I2134" i="1"/>
  <c r="I569" i="1"/>
  <c r="I576" i="1"/>
  <c r="I598" i="1"/>
  <c r="I39" i="1"/>
  <c r="I350" i="1"/>
  <c r="I714" i="1"/>
  <c r="I186" i="1"/>
  <c r="I317" i="1"/>
  <c r="I876" i="1"/>
  <c r="I625" i="1"/>
  <c r="I852" i="1"/>
  <c r="I91" i="1"/>
  <c r="I99" i="1"/>
  <c r="I849" i="1"/>
  <c r="I800" i="1"/>
  <c r="I608" i="1"/>
  <c r="I848" i="1"/>
  <c r="I641" i="1"/>
  <c r="I1386" i="1"/>
  <c r="I1132" i="1"/>
  <c r="I1494" i="1"/>
  <c r="I1240" i="1"/>
  <c r="I1490" i="1"/>
  <c r="I1236" i="1"/>
  <c r="I1470" i="1"/>
  <c r="I1216" i="1"/>
  <c r="I1155" i="1"/>
  <c r="I2044" i="1"/>
  <c r="I2108" i="1"/>
  <c r="I53" i="1"/>
  <c r="I996" i="1"/>
  <c r="I734" i="1"/>
  <c r="I930" i="1"/>
  <c r="I97" i="1"/>
  <c r="I1306" i="1"/>
  <c r="I1052" i="1"/>
  <c r="I1414" i="1"/>
  <c r="I1160" i="1"/>
  <c r="I1410" i="1"/>
  <c r="I1156" i="1"/>
  <c r="I1390" i="1"/>
  <c r="I1136" i="1"/>
  <c r="I1075" i="1"/>
  <c r="I2049" i="1"/>
  <c r="I2113" i="1"/>
  <c r="I226" i="1"/>
  <c r="I384" i="1"/>
  <c r="I963" i="1"/>
  <c r="I468" i="1"/>
  <c r="I364" i="1"/>
  <c r="I1353" i="1"/>
  <c r="I1159" i="1"/>
  <c r="I1014" i="1"/>
  <c r="I1267" i="1"/>
  <c r="I1010" i="1"/>
  <c r="I1472" i="1"/>
  <c r="I1437" i="1"/>
  <c r="I1243" i="1"/>
  <c r="I2010" i="1"/>
  <c r="I2074" i="1"/>
  <c r="I2138" i="1"/>
  <c r="I861" i="1"/>
  <c r="I62" i="1"/>
  <c r="I240" i="1"/>
  <c r="I1500" i="1"/>
  <c r="I904" i="1"/>
  <c r="I1145" i="1"/>
  <c r="I709" i="1"/>
  <c r="I117" i="1"/>
  <c r="I383" i="1"/>
  <c r="I1938" i="1"/>
  <c r="I95" i="1"/>
  <c r="I1886" i="1"/>
  <c r="I818" i="1"/>
  <c r="I953" i="1"/>
  <c r="I1481" i="1"/>
  <c r="I939" i="1"/>
  <c r="I400" i="1"/>
  <c r="I851" i="1"/>
  <c r="I52" i="1"/>
  <c r="I568" i="1"/>
  <c r="I3" i="1"/>
  <c r="I1066" i="1"/>
  <c r="I1323" i="1"/>
  <c r="I1174" i="1"/>
  <c r="I1431" i="1"/>
  <c r="I1170" i="1"/>
  <c r="I1427" i="1"/>
  <c r="I1150" i="1"/>
  <c r="I1407" i="1"/>
  <c r="I1055" i="1"/>
  <c r="I2064" i="1"/>
  <c r="I2128" i="1"/>
  <c r="I1332" i="1"/>
  <c r="I331" i="1"/>
  <c r="I945" i="1"/>
  <c r="I665" i="1"/>
  <c r="I1464" i="1"/>
  <c r="I1433" i="1"/>
  <c r="I1239" i="1"/>
  <c r="I1094" i="1"/>
  <c r="I1351" i="1"/>
  <c r="I1090" i="1"/>
  <c r="I1347" i="1"/>
  <c r="I1070" i="1"/>
  <c r="I1327" i="1"/>
  <c r="I2005" i="1"/>
  <c r="I2069" i="1"/>
  <c r="I2133" i="1"/>
  <c r="I178" i="1"/>
  <c r="I941" i="1"/>
  <c r="I832" i="1"/>
  <c r="I937" i="1"/>
  <c r="I33" i="1"/>
  <c r="I1033" i="1"/>
  <c r="I834" i="1"/>
  <c r="I1141" i="1"/>
  <c r="I741" i="1"/>
  <c r="I1137" i="1"/>
  <c r="I748" i="1"/>
  <c r="I1117" i="1"/>
  <c r="I1183" i="1"/>
  <c r="I2030" i="1"/>
  <c r="I2094" i="1"/>
  <c r="I2158" i="1"/>
  <c r="I935" i="1"/>
  <c r="I476" i="1"/>
  <c r="I609" i="1"/>
  <c r="I507" i="1"/>
  <c r="I1402" i="1"/>
  <c r="I802" i="1"/>
  <c r="I827" i="1"/>
  <c r="I721" i="1"/>
  <c r="I157" i="1"/>
  <c r="I175" i="1"/>
  <c r="I293" i="1"/>
  <c r="I900" i="1"/>
  <c r="I305" i="1"/>
  <c r="I551" i="1"/>
  <c r="I596" i="1"/>
  <c r="I220" i="1"/>
  <c r="I38" i="1"/>
  <c r="I388" i="1"/>
  <c r="I44" i="1"/>
  <c r="I1258" i="1"/>
  <c r="I1004" i="1"/>
  <c r="I1366" i="1"/>
  <c r="I1112" i="1"/>
  <c r="I1362" i="1"/>
  <c r="I1108" i="1"/>
  <c r="I1342" i="1"/>
  <c r="I1088" i="1"/>
  <c r="I1027" i="1"/>
  <c r="I2052" i="1"/>
  <c r="I2116" i="1"/>
  <c r="I858" i="1"/>
  <c r="I624" i="1"/>
  <c r="I1465" i="1"/>
  <c r="I825" i="1"/>
  <c r="I1400" i="1"/>
  <c r="I1178" i="1"/>
  <c r="I1435" i="1"/>
  <c r="I1286" i="1"/>
  <c r="I1032" i="1"/>
  <c r="I1282" i="1"/>
  <c r="I1028" i="1"/>
  <c r="I1262" i="1"/>
  <c r="I1008" i="1"/>
  <c r="I1171" i="1"/>
  <c r="I2057" i="1"/>
  <c r="I2121" i="1"/>
  <c r="I355" i="1"/>
  <c r="I479" i="1"/>
  <c r="I850" i="1"/>
  <c r="I445" i="1"/>
  <c r="I546" i="1"/>
  <c r="I1225" i="1"/>
  <c r="I854" i="1"/>
  <c r="I1333" i="1"/>
  <c r="I765" i="1"/>
  <c r="I1329" i="1"/>
  <c r="I770" i="1"/>
  <c r="I1309" i="1"/>
  <c r="I1115" i="1"/>
  <c r="I2018" i="1"/>
  <c r="I2082" i="1"/>
  <c r="I2146" i="1"/>
  <c r="I141" i="1"/>
  <c r="I895" i="1"/>
  <c r="I204" i="1"/>
  <c r="I590" i="1"/>
  <c r="I192" i="1"/>
  <c r="I449" i="1"/>
  <c r="I526" i="1"/>
  <c r="I161" i="1"/>
  <c r="I296" i="1"/>
  <c r="I988" i="1"/>
  <c r="I676" i="1"/>
  <c r="I894" i="1"/>
  <c r="I132" i="1"/>
  <c r="I556" i="1"/>
  <c r="I195" i="1"/>
  <c r="I1497" i="1"/>
  <c r="I511" i="1"/>
  <c r="I1457" i="1"/>
  <c r="I1194" i="1"/>
  <c r="I1451" i="1"/>
  <c r="I1302" i="1"/>
  <c r="I1048" i="1"/>
  <c r="I1298" i="1"/>
  <c r="I1044" i="1"/>
  <c r="I1278" i="1"/>
  <c r="I1024" i="1"/>
  <c r="I1195" i="1"/>
  <c r="I2056" i="1"/>
  <c r="I2120" i="1"/>
  <c r="I13" i="1"/>
  <c r="I151" i="1"/>
  <c r="I874" i="1"/>
  <c r="I116" i="1"/>
  <c r="I888" i="1"/>
  <c r="I1114" i="1"/>
  <c r="I1371" i="1"/>
  <c r="I1222" i="1"/>
  <c r="I1479" i="1"/>
  <c r="I1218" i="1"/>
  <c r="I1475" i="1"/>
  <c r="I1198" i="1"/>
  <c r="I1455" i="1"/>
  <c r="I1103" i="1"/>
  <c r="I2061" i="1"/>
  <c r="I2125" i="1"/>
  <c r="I654" i="1"/>
  <c r="I11" i="1"/>
  <c r="I436" i="1"/>
  <c r="I20" i="1"/>
  <c r="I764" i="1"/>
  <c r="I1161" i="1"/>
  <c r="I585" i="1"/>
  <c r="I1269" i="1"/>
  <c r="I89" i="1"/>
  <c r="I1265" i="1"/>
  <c r="I531" i="1"/>
  <c r="I1245" i="1"/>
  <c r="I1051" i="1"/>
  <c r="I2022" i="1"/>
  <c r="I2086" i="1"/>
  <c r="I2150" i="1"/>
  <c r="I492" i="1"/>
  <c r="I537" i="1"/>
  <c r="I126" i="1"/>
  <c r="I550" i="1"/>
  <c r="I1424" i="1"/>
  <c r="I1276" i="1"/>
  <c r="I1271" i="1"/>
  <c r="I1381" i="1"/>
  <c r="I899" i="1"/>
  <c r="I1377" i="1"/>
  <c r="I1018" i="1"/>
  <c r="I1446" i="1"/>
  <c r="I1442" i="1"/>
  <c r="I901" i="1"/>
  <c r="I1101" i="1"/>
  <c r="I1163" i="1"/>
  <c r="I2031" i="1"/>
  <c r="I2095" i="1"/>
  <c r="I2159" i="1"/>
  <c r="I2225" i="1"/>
  <c r="I2289" i="1"/>
  <c r="I2353" i="1"/>
  <c r="I2417" i="1"/>
  <c r="I2481" i="1"/>
  <c r="I2545" i="1"/>
  <c r="I2609" i="1"/>
  <c r="I2166" i="1"/>
  <c r="I2230" i="1"/>
  <c r="I2294" i="1"/>
  <c r="I2358" i="1"/>
  <c r="I2422" i="1"/>
  <c r="I2486" i="1"/>
  <c r="I2550" i="1"/>
  <c r="I2614" i="1"/>
  <c r="I2171" i="1"/>
  <c r="I2235" i="1"/>
  <c r="I2299" i="1"/>
  <c r="I2363" i="1"/>
  <c r="I2427" i="1"/>
  <c r="I2491" i="1"/>
  <c r="I2555" i="1"/>
  <c r="I2619" i="1"/>
  <c r="I2192" i="1"/>
  <c r="I2256" i="1"/>
  <c r="I2320" i="1"/>
  <c r="I2384" i="1"/>
  <c r="I2448" i="1"/>
  <c r="I2512" i="1"/>
  <c r="I2576" i="1"/>
  <c r="I2640" i="1"/>
  <c r="I2673" i="1"/>
  <c r="I2737" i="1"/>
  <c r="I2801" i="1"/>
  <c r="I2865" i="1"/>
  <c r="I2929" i="1"/>
  <c r="I2993" i="1"/>
  <c r="I3066" i="1"/>
  <c r="I3179" i="1"/>
  <c r="I2782" i="1"/>
  <c r="I2846" i="1"/>
  <c r="I2910" i="1"/>
  <c r="I2974" i="1"/>
  <c r="I3040" i="1"/>
  <c r="I3142" i="1"/>
  <c r="I2667" i="1"/>
  <c r="I2731" i="1"/>
  <c r="I2795" i="1"/>
  <c r="I2859" i="1"/>
  <c r="I2923" i="1"/>
  <c r="I2987" i="1"/>
  <c r="I3058" i="1"/>
  <c r="I1081" i="1"/>
  <c r="I1382" i="1"/>
  <c r="I1128" i="1"/>
  <c r="I1378" i="1"/>
  <c r="I1124" i="1"/>
  <c r="I1358" i="1"/>
  <c r="I1104" i="1"/>
  <c r="I1043" i="1"/>
  <c r="I2051" i="1"/>
  <c r="I2115" i="1"/>
  <c r="I2181" i="1"/>
  <c r="I2245" i="1"/>
  <c r="I2309" i="1"/>
  <c r="I2373" i="1"/>
  <c r="I2437" i="1"/>
  <c r="I2501" i="1"/>
  <c r="I2565" i="1"/>
  <c r="I2629" i="1"/>
  <c r="I2186" i="1"/>
  <c r="I2250" i="1"/>
  <c r="I2314" i="1"/>
  <c r="I2378" i="1"/>
  <c r="I2442" i="1"/>
  <c r="I2506" i="1"/>
  <c r="I2570" i="1"/>
  <c r="I2634" i="1"/>
  <c r="I2191" i="1"/>
  <c r="I2255" i="1"/>
  <c r="I2319" i="1"/>
  <c r="I2383" i="1"/>
  <c r="I2447" i="1"/>
  <c r="I2511" i="1"/>
  <c r="I2575" i="1"/>
  <c r="I2639" i="1"/>
  <c r="I2212" i="1"/>
  <c r="I2276" i="1"/>
  <c r="I2340" i="1"/>
  <c r="I2404" i="1"/>
  <c r="I2468" i="1"/>
  <c r="I2532" i="1"/>
  <c r="I2596" i="1"/>
  <c r="I2698" i="1"/>
  <c r="I2693" i="1"/>
  <c r="I2757" i="1"/>
  <c r="I2821" i="1"/>
  <c r="I2885" i="1"/>
  <c r="I2949" i="1"/>
  <c r="I3013" i="1"/>
  <c r="I3092" i="1"/>
  <c r="I3219" i="1"/>
  <c r="I2802" i="1"/>
  <c r="I2866" i="1"/>
  <c r="I2930" i="1"/>
  <c r="I2994" i="1"/>
  <c r="I3067" i="1"/>
  <c r="I3182" i="1"/>
  <c r="I2687" i="1"/>
  <c r="I2751" i="1"/>
  <c r="I2815" i="1"/>
  <c r="I2879" i="1"/>
  <c r="I2943" i="1"/>
  <c r="I3007" i="1"/>
  <c r="I3084" i="1"/>
  <c r="I3207" i="1"/>
  <c r="I1403" i="1"/>
  <c r="I1062" i="1"/>
  <c r="I1319" i="1"/>
  <c r="I1058" i="1"/>
  <c r="I1315" i="1"/>
  <c r="I1038" i="1"/>
  <c r="I1291" i="1"/>
  <c r="I2007" i="1"/>
  <c r="I2071" i="1"/>
  <c r="I2135" i="1"/>
  <c r="I2201" i="1"/>
  <c r="I2265" i="1"/>
  <c r="I2329" i="1"/>
  <c r="I2393" i="1"/>
  <c r="I2457" i="1"/>
  <c r="I2521" i="1"/>
  <c r="I2585" i="1"/>
  <c r="I2654" i="1"/>
  <c r="I2206" i="1"/>
  <c r="I2270" i="1"/>
  <c r="I2334" i="1"/>
  <c r="I2398" i="1"/>
  <c r="I2462" i="1"/>
  <c r="I2526" i="1"/>
  <c r="I2590" i="1"/>
  <c r="I2674" i="1"/>
  <c r="I2211" i="1"/>
  <c r="I2275" i="1"/>
  <c r="I2339" i="1"/>
  <c r="I2403" i="1"/>
  <c r="I2467" i="1"/>
  <c r="I2531" i="1"/>
  <c r="I2595" i="1"/>
  <c r="I2694" i="1"/>
  <c r="I2232" i="1"/>
  <c r="I2296" i="1"/>
  <c r="I2360" i="1"/>
  <c r="I2424" i="1"/>
  <c r="I2488" i="1"/>
  <c r="I2552" i="1"/>
  <c r="I2616" i="1"/>
  <c r="I2649" i="1"/>
  <c r="I2713" i="1"/>
  <c r="I2777" i="1"/>
  <c r="I2841" i="1"/>
  <c r="I2905" i="1"/>
  <c r="I2969" i="1"/>
  <c r="I3034" i="1"/>
  <c r="I3131" i="1"/>
  <c r="I2758" i="1"/>
  <c r="I2822" i="1"/>
  <c r="I2886" i="1"/>
  <c r="I2950" i="1"/>
  <c r="I3014" i="1"/>
  <c r="I3094" i="1"/>
  <c r="I3222" i="1"/>
  <c r="I2707" i="1"/>
  <c r="I2771" i="1"/>
  <c r="I2835" i="1"/>
  <c r="I2899" i="1"/>
  <c r="I2963" i="1"/>
  <c r="I3027" i="1"/>
  <c r="I3119" i="1"/>
  <c r="I2648" i="1"/>
  <c r="I385" i="1"/>
  <c r="I1189" i="1"/>
  <c r="I845" i="1"/>
  <c r="I1185" i="1"/>
  <c r="I856" i="1"/>
  <c r="I1165" i="1"/>
  <c r="I1251" i="1"/>
  <c r="I2027" i="1"/>
  <c r="I2091" i="1"/>
  <c r="I2155" i="1"/>
  <c r="I2221" i="1"/>
  <c r="I2285" i="1"/>
  <c r="I2349" i="1"/>
  <c r="I2413" i="1"/>
  <c r="I2477" i="1"/>
  <c r="I2541" i="1"/>
  <c r="I2605" i="1"/>
  <c r="I2734" i="1"/>
  <c r="I2226" i="1"/>
  <c r="I2290" i="1"/>
  <c r="I2354" i="1"/>
  <c r="I2418" i="1"/>
  <c r="I2482" i="1"/>
  <c r="I2546" i="1"/>
  <c r="I2610" i="1"/>
  <c r="I2167" i="1"/>
  <c r="I2231" i="1"/>
  <c r="I2295" i="1"/>
  <c r="I2359" i="1"/>
  <c r="I2423" i="1"/>
  <c r="I2487" i="1"/>
  <c r="I2551" i="1"/>
  <c r="I2615" i="1"/>
  <c r="I2188" i="1"/>
  <c r="I2252" i="1"/>
  <c r="I2316" i="1"/>
  <c r="I2380" i="1"/>
  <c r="I2444" i="1"/>
  <c r="I2508" i="1"/>
  <c r="I2572" i="1"/>
  <c r="I2636" i="1"/>
  <c r="I2669" i="1"/>
  <c r="I2733" i="1"/>
  <c r="I2797" i="1"/>
  <c r="I2861" i="1"/>
  <c r="I2925" i="1"/>
  <c r="I2989" i="1"/>
  <c r="I3060" i="1"/>
  <c r="I3171" i="1"/>
  <c r="I2778" i="1"/>
  <c r="I2842" i="1"/>
  <c r="I2906" i="1"/>
  <c r="I2970" i="1"/>
  <c r="I1209" i="1"/>
  <c r="I1190" i="1"/>
  <c r="I1186" i="1"/>
  <c r="I1422" i="1"/>
  <c r="I1168" i="1"/>
  <c r="I1107" i="1"/>
  <c r="I2047" i="1"/>
  <c r="I2111" i="1"/>
  <c r="I2177" i="1"/>
  <c r="I2241" i="1"/>
  <c r="I2305" i="1"/>
  <c r="I2369" i="1"/>
  <c r="I2433" i="1"/>
  <c r="I2497" i="1"/>
  <c r="I2561" i="1"/>
  <c r="I2625" i="1"/>
  <c r="I2182" i="1"/>
  <c r="I2246" i="1"/>
  <c r="I2310" i="1"/>
  <c r="I2374" i="1"/>
  <c r="I2438" i="1"/>
  <c r="I2502" i="1"/>
  <c r="I2566" i="1"/>
  <c r="I2630" i="1"/>
  <c r="I2187" i="1"/>
  <c r="I2251" i="1"/>
  <c r="I2315" i="1"/>
  <c r="I2379" i="1"/>
  <c r="I2443" i="1"/>
  <c r="I2507" i="1"/>
  <c r="I2571" i="1"/>
  <c r="I2635" i="1"/>
  <c r="I2208" i="1"/>
  <c r="I2272" i="1"/>
  <c r="I2336" i="1"/>
  <c r="I2400" i="1"/>
  <c r="I2464" i="1"/>
  <c r="I2528" i="1"/>
  <c r="I2592" i="1"/>
  <c r="I2682" i="1"/>
  <c r="I2689" i="1"/>
  <c r="I2753" i="1"/>
  <c r="I2817" i="1"/>
  <c r="I2881" i="1"/>
  <c r="I2945" i="1"/>
  <c r="I3009" i="1"/>
  <c r="I3087" i="1"/>
  <c r="I3211" i="1"/>
  <c r="I2798" i="1"/>
  <c r="I2862" i="1"/>
  <c r="I2926" i="1"/>
  <c r="I2990" i="1"/>
  <c r="I3062" i="1"/>
  <c r="I3174" i="1"/>
  <c r="I2683" i="1"/>
  <c r="I2747" i="1"/>
  <c r="I2811" i="1"/>
  <c r="I2875" i="1"/>
  <c r="I2939" i="1"/>
  <c r="I3003" i="1"/>
  <c r="I3079" i="1"/>
  <c r="I1020" i="1"/>
  <c r="I1126" i="1"/>
  <c r="I1383" i="1"/>
  <c r="I1122" i="1"/>
  <c r="I1379" i="1"/>
  <c r="I1102" i="1"/>
  <c r="I1359" i="1"/>
  <c r="I2003" i="1"/>
  <c r="I2067" i="1"/>
  <c r="I2131" i="1"/>
  <c r="I2197" i="1"/>
  <c r="I2261" i="1"/>
  <c r="I2325" i="1"/>
  <c r="I2389" i="1"/>
  <c r="I2453" i="1"/>
  <c r="I2517" i="1"/>
  <c r="I2581" i="1"/>
  <c r="I2646" i="1"/>
  <c r="I2202" i="1"/>
  <c r="I2266" i="1"/>
  <c r="I2330" i="1"/>
  <c r="I2394" i="1"/>
  <c r="I2458" i="1"/>
  <c r="I2522" i="1"/>
  <c r="I2586" i="1"/>
  <c r="I2658" i="1"/>
  <c r="I2207" i="1"/>
  <c r="I2271" i="1"/>
  <c r="I2335" i="1"/>
  <c r="I2399" i="1"/>
  <c r="I2463" i="1"/>
  <c r="I2527" i="1"/>
  <c r="I2591" i="1"/>
  <c r="I2678" i="1"/>
  <c r="I2228" i="1"/>
  <c r="I2292" i="1"/>
  <c r="I2356" i="1"/>
  <c r="I2420" i="1"/>
  <c r="I2484" i="1"/>
  <c r="I2548" i="1"/>
  <c r="I2612" i="1"/>
  <c r="I2645" i="1"/>
  <c r="I2709" i="1"/>
  <c r="I2773" i="1"/>
  <c r="I2837" i="1"/>
  <c r="I2901" i="1"/>
  <c r="I2965" i="1"/>
  <c r="I3029" i="1"/>
  <c r="I3123" i="1"/>
  <c r="I2754" i="1"/>
  <c r="I2818" i="1"/>
  <c r="I2882" i="1"/>
  <c r="I2946" i="1"/>
  <c r="I3010" i="1"/>
  <c r="I3088" i="1"/>
  <c r="I3214" i="1"/>
  <c r="I2703" i="1"/>
  <c r="I2767" i="1"/>
  <c r="I2831" i="1"/>
  <c r="I2895" i="1"/>
  <c r="I2959" i="1"/>
  <c r="I3023" i="1"/>
  <c r="I3111" i="1"/>
  <c r="I3258" i="1"/>
  <c r="I795" i="1"/>
  <c r="I1253" i="1"/>
  <c r="I634" i="1"/>
  <c r="I1249" i="1"/>
  <c r="I647" i="1"/>
  <c r="I1229" i="1"/>
  <c r="I1035" i="1"/>
  <c r="I2023" i="1"/>
  <c r="I2087" i="1"/>
  <c r="I2151" i="1"/>
  <c r="I2217" i="1"/>
  <c r="I2281" i="1"/>
  <c r="I2345" i="1"/>
  <c r="I2409" i="1"/>
  <c r="I2473" i="1"/>
  <c r="I2537" i="1"/>
  <c r="I2601" i="1"/>
  <c r="I2718" i="1"/>
  <c r="I2222" i="1"/>
  <c r="I2286" i="1"/>
  <c r="I2350" i="1"/>
  <c r="I2414" i="1"/>
  <c r="I2478" i="1"/>
  <c r="I2542" i="1"/>
  <c r="I2606" i="1"/>
  <c r="I2738" i="1"/>
  <c r="I2227" i="1"/>
  <c r="I2291" i="1"/>
  <c r="I2355" i="1"/>
  <c r="I2419" i="1"/>
  <c r="I2483" i="1"/>
  <c r="I2547" i="1"/>
  <c r="I2611" i="1"/>
  <c r="I2184" i="1"/>
  <c r="I2248" i="1"/>
  <c r="I2312" i="1"/>
  <c r="I2376" i="1"/>
  <c r="I2440" i="1"/>
  <c r="I2504" i="1"/>
  <c r="I2568" i="1"/>
  <c r="I2632" i="1"/>
  <c r="I2665" i="1"/>
  <c r="I2729" i="1"/>
  <c r="I2793" i="1"/>
  <c r="I2857" i="1"/>
  <c r="I2921" i="1"/>
  <c r="I2985" i="1"/>
  <c r="I3055" i="1"/>
  <c r="I3163" i="1"/>
  <c r="I2774" i="1"/>
  <c r="I2838" i="1"/>
  <c r="I2902" i="1"/>
  <c r="I2966" i="1"/>
  <c r="I3030" i="1"/>
  <c r="I3126" i="1"/>
  <c r="I2659" i="1"/>
  <c r="I2723" i="1"/>
  <c r="I2787" i="1"/>
  <c r="I2851" i="1"/>
  <c r="I2915" i="1"/>
  <c r="I2979" i="1"/>
  <c r="I3047" i="1"/>
  <c r="I3151" i="1"/>
  <c r="I1082" i="1"/>
  <c r="I1344" i="1"/>
  <c r="I1256" i="1"/>
  <c r="I1328" i="1"/>
  <c r="I1252" i="1"/>
  <c r="I1486" i="1"/>
  <c r="I1232" i="1"/>
  <c r="I1179" i="1"/>
  <c r="I2043" i="1"/>
  <c r="I2107" i="1"/>
  <c r="I2180" i="1"/>
  <c r="I2237" i="1"/>
  <c r="I2301" i="1"/>
  <c r="I2365" i="1"/>
  <c r="I2429" i="1"/>
  <c r="I2493" i="1"/>
  <c r="I2557" i="1"/>
  <c r="I2621" i="1"/>
  <c r="I2178" i="1"/>
  <c r="I2242" i="1"/>
  <c r="I2306" i="1"/>
  <c r="I2370" i="1"/>
  <c r="I2434" i="1"/>
  <c r="I2498" i="1"/>
  <c r="I2562" i="1"/>
  <c r="I2626" i="1"/>
  <c r="I2183" i="1"/>
  <c r="I2247" i="1"/>
  <c r="I2311" i="1"/>
  <c r="I2375" i="1"/>
  <c r="I2439" i="1"/>
  <c r="I2503" i="1"/>
  <c r="I2567" i="1"/>
  <c r="I2631" i="1"/>
  <c r="I2204" i="1"/>
  <c r="I2268" i="1"/>
  <c r="I2332" i="1"/>
  <c r="I2396" i="1"/>
  <c r="I2460" i="1"/>
  <c r="I2524" i="1"/>
  <c r="I2588" i="1"/>
  <c r="I2666" i="1"/>
  <c r="I1273" i="1"/>
  <c r="I1192" i="1"/>
  <c r="I1188" i="1"/>
  <c r="I1166" i="1"/>
  <c r="I1423" i="1"/>
  <c r="I1071" i="1"/>
  <c r="I2063" i="1"/>
  <c r="I2127" i="1"/>
  <c r="I2193" i="1"/>
  <c r="I2257" i="1"/>
  <c r="I2321" i="1"/>
  <c r="I2385" i="1"/>
  <c r="I2449" i="1"/>
  <c r="I2513" i="1"/>
  <c r="I2577" i="1"/>
  <c r="I2641" i="1"/>
  <c r="I2198" i="1"/>
  <c r="I2262" i="1"/>
  <c r="I2326" i="1"/>
  <c r="I2390" i="1"/>
  <c r="I2454" i="1"/>
  <c r="I2518" i="1"/>
  <c r="I2582" i="1"/>
  <c r="I2647" i="1"/>
  <c r="I2203" i="1"/>
  <c r="I2267" i="1"/>
  <c r="I2331" i="1"/>
  <c r="I2395" i="1"/>
  <c r="I2459" i="1"/>
  <c r="I2523" i="1"/>
  <c r="I2587" i="1"/>
  <c r="I2662" i="1"/>
  <c r="I2224" i="1"/>
  <c r="I2288" i="1"/>
  <c r="I2352" i="1"/>
  <c r="I2416" i="1"/>
  <c r="I2480" i="1"/>
  <c r="I2544" i="1"/>
  <c r="I2608" i="1"/>
  <c r="I2746" i="1"/>
  <c r="I2705" i="1"/>
  <c r="I2769" i="1"/>
  <c r="I2833" i="1"/>
  <c r="I2897" i="1"/>
  <c r="I2961" i="1"/>
  <c r="I3025" i="1"/>
  <c r="I3115" i="1"/>
  <c r="I2750" i="1"/>
  <c r="I2814" i="1"/>
  <c r="I2878" i="1"/>
  <c r="I2942" i="1"/>
  <c r="I3006" i="1"/>
  <c r="I3083" i="1"/>
  <c r="I3206" i="1"/>
  <c r="I2699" i="1"/>
  <c r="I2763" i="1"/>
  <c r="I2827" i="1"/>
  <c r="I2891" i="1"/>
  <c r="I2955" i="1"/>
  <c r="I3019" i="1"/>
  <c r="I3103" i="1"/>
  <c r="I1496" i="1"/>
  <c r="I1317" i="1"/>
  <c r="I864" i="1"/>
  <c r="I1313" i="1"/>
  <c r="I687" i="1"/>
  <c r="I1293" i="1"/>
  <c r="I1099" i="1"/>
  <c r="I2019" i="1"/>
  <c r="I2083" i="1"/>
  <c r="I2147" i="1"/>
  <c r="I2213" i="1"/>
  <c r="I2277" i="1"/>
  <c r="I2341" i="1"/>
  <c r="I2405" i="1"/>
  <c r="I2469" i="1"/>
  <c r="I2533" i="1"/>
  <c r="I2597" i="1"/>
  <c r="I2702" i="1"/>
  <c r="I2218" i="1"/>
  <c r="I2282" i="1"/>
  <c r="I2346" i="1"/>
  <c r="I2410" i="1"/>
  <c r="I2474" i="1"/>
  <c r="I2538" i="1"/>
  <c r="I2602" i="1"/>
  <c r="I2722" i="1"/>
  <c r="I2223" i="1"/>
  <c r="I2287" i="1"/>
  <c r="I2351" i="1"/>
  <c r="I2415" i="1"/>
  <c r="I2479" i="1"/>
  <c r="I2543" i="1"/>
  <c r="I2607" i="1"/>
  <c r="I2742" i="1"/>
  <c r="I2244" i="1"/>
  <c r="I2308" i="1"/>
  <c r="I2372" i="1"/>
  <c r="I2436" i="1"/>
  <c r="I2500" i="1"/>
  <c r="I2564" i="1"/>
  <c r="I2628" i="1"/>
  <c r="I2661" i="1"/>
  <c r="I2725" i="1"/>
  <c r="I2789" i="1"/>
  <c r="I2853" i="1"/>
  <c r="I2917" i="1"/>
  <c r="I2981" i="1"/>
  <c r="I3050" i="1"/>
  <c r="I3155" i="1"/>
  <c r="I2770" i="1"/>
  <c r="I2834" i="1"/>
  <c r="I2898" i="1"/>
  <c r="I2962" i="1"/>
  <c r="I3026" i="1"/>
  <c r="I3118" i="1"/>
  <c r="I2655" i="1"/>
  <c r="I2719" i="1"/>
  <c r="I2783" i="1"/>
  <c r="I2847" i="1"/>
  <c r="I2911" i="1"/>
  <c r="I2975" i="1"/>
  <c r="I3042" i="1"/>
  <c r="I3143" i="1"/>
  <c r="I1338" i="1"/>
  <c r="I1503" i="1"/>
  <c r="I1320" i="1"/>
  <c r="I47" i="1"/>
  <c r="I1316" i="1"/>
  <c r="I1477" i="1"/>
  <c r="I1296" i="1"/>
  <c r="I1015" i="1"/>
  <c r="I2039" i="1"/>
  <c r="I2103" i="1"/>
  <c r="I2169" i="1"/>
  <c r="I2233" i="1"/>
  <c r="I2297" i="1"/>
  <c r="I2361" i="1"/>
  <c r="I2425" i="1"/>
  <c r="I2489" i="1"/>
  <c r="I2553" i="1"/>
  <c r="I2617" i="1"/>
  <c r="I2174" i="1"/>
  <c r="I2238" i="1"/>
  <c r="I2302" i="1"/>
  <c r="I2366" i="1"/>
  <c r="I2430" i="1"/>
  <c r="I2494" i="1"/>
  <c r="I2558" i="1"/>
  <c r="I2622" i="1"/>
  <c r="I2179" i="1"/>
  <c r="I2243" i="1"/>
  <c r="I2307" i="1"/>
  <c r="I2371" i="1"/>
  <c r="I2435" i="1"/>
  <c r="I2499" i="1"/>
  <c r="I2563" i="1"/>
  <c r="I2627" i="1"/>
  <c r="I2200" i="1"/>
  <c r="I2264" i="1"/>
  <c r="I2328" i="1"/>
  <c r="I2392" i="1"/>
  <c r="I2456" i="1"/>
  <c r="I2520" i="1"/>
  <c r="I2584" i="1"/>
  <c r="I2651" i="1"/>
  <c r="I2681" i="1"/>
  <c r="I2745" i="1"/>
  <c r="I2809" i="1"/>
  <c r="I2873" i="1"/>
  <c r="I2937" i="1"/>
  <c r="I3001" i="1"/>
  <c r="I3076" i="1"/>
  <c r="I3195" i="1"/>
  <c r="I2790" i="1"/>
  <c r="I2854" i="1"/>
  <c r="I2918" i="1"/>
  <c r="I2982" i="1"/>
  <c r="I3051" i="1"/>
  <c r="I3158" i="1"/>
  <c r="I2675" i="1"/>
  <c r="I2739" i="1"/>
  <c r="I2803" i="1"/>
  <c r="I2867" i="1"/>
  <c r="I2931" i="1"/>
  <c r="I2995" i="1"/>
  <c r="I3068" i="1"/>
  <c r="I3183" i="1"/>
  <c r="I1148" i="1"/>
  <c r="I1254" i="1"/>
  <c r="I74" i="1"/>
  <c r="I1250" i="1"/>
  <c r="I70" i="1"/>
  <c r="I1230" i="1"/>
  <c r="I1487" i="1"/>
  <c r="I1135" i="1"/>
  <c r="I2059" i="1"/>
  <c r="I2123" i="1"/>
  <c r="I2189" i="1"/>
  <c r="I2253" i="1"/>
  <c r="I2317" i="1"/>
  <c r="I2381" i="1"/>
  <c r="I2445" i="1"/>
  <c r="I2509" i="1"/>
  <c r="I2573" i="1"/>
  <c r="I2637" i="1"/>
  <c r="I2194" i="1"/>
  <c r="I2258" i="1"/>
  <c r="I2322" i="1"/>
  <c r="I2386" i="1"/>
  <c r="I2450" i="1"/>
  <c r="I2514" i="1"/>
  <c r="I2578" i="1"/>
  <c r="I2642" i="1"/>
  <c r="I2199" i="1"/>
  <c r="I2263" i="1"/>
  <c r="I2327" i="1"/>
  <c r="I2391" i="1"/>
  <c r="I2455" i="1"/>
  <c r="I2519" i="1"/>
  <c r="I2583" i="1"/>
  <c r="I2650" i="1"/>
  <c r="I2220" i="1"/>
  <c r="I2284" i="1"/>
  <c r="I2348" i="1"/>
  <c r="I2412" i="1"/>
  <c r="I2476" i="1"/>
  <c r="I2540" i="1"/>
  <c r="I2604" i="1"/>
  <c r="I2730" i="1"/>
  <c r="I2701" i="1"/>
  <c r="I2765" i="1"/>
  <c r="I2829" i="1"/>
  <c r="I2893" i="1"/>
  <c r="I2957" i="1"/>
  <c r="I3021" i="1"/>
  <c r="I3107" i="1"/>
  <c r="I3250" i="1"/>
  <c r="I2810" i="1"/>
  <c r="I2874" i="1"/>
  <c r="I2938" i="1"/>
  <c r="I3002" i="1"/>
  <c r="I3078" i="1"/>
  <c r="I3198" i="1"/>
  <c r="I2695" i="1"/>
  <c r="I2759" i="1"/>
  <c r="I2823" i="1"/>
  <c r="I2887" i="1"/>
  <c r="I2951" i="1"/>
  <c r="I3015" i="1"/>
  <c r="I3095" i="1"/>
  <c r="I3226" i="1"/>
  <c r="I2672" i="1"/>
  <c r="I2736" i="1"/>
  <c r="I2800" i="1"/>
  <c r="I1084" i="1"/>
  <c r="I1447" i="1"/>
  <c r="I1443" i="1"/>
  <c r="I1357" i="1"/>
  <c r="I1167" i="1"/>
  <c r="I2015" i="1"/>
  <c r="I2079" i="1"/>
  <c r="I2143" i="1"/>
  <c r="I2209" i="1"/>
  <c r="I2273" i="1"/>
  <c r="I2337" i="1"/>
  <c r="I2401" i="1"/>
  <c r="I2465" i="1"/>
  <c r="I2529" i="1"/>
  <c r="I2593" i="1"/>
  <c r="I2686" i="1"/>
  <c r="I2214" i="1"/>
  <c r="I2278" i="1"/>
  <c r="I2342" i="1"/>
  <c r="I2406" i="1"/>
  <c r="I2470" i="1"/>
  <c r="I2534" i="1"/>
  <c r="I2598" i="1"/>
  <c r="I2706" i="1"/>
  <c r="I2219" i="1"/>
  <c r="I2283" i="1"/>
  <c r="I2347" i="1"/>
  <c r="I2411" i="1"/>
  <c r="I2475" i="1"/>
  <c r="I2539" i="1"/>
  <c r="I2603" i="1"/>
  <c r="I2726" i="1"/>
  <c r="I2240" i="1"/>
  <c r="I2304" i="1"/>
  <c r="I2368" i="1"/>
  <c r="I2432" i="1"/>
  <c r="I2496" i="1"/>
  <c r="I2560" i="1"/>
  <c r="I2624" i="1"/>
  <c r="I2657" i="1"/>
  <c r="I2721" i="1"/>
  <c r="I2785" i="1"/>
  <c r="I2849" i="1"/>
  <c r="I2913" i="1"/>
  <c r="I2977" i="1"/>
  <c r="I3044" i="1"/>
  <c r="I3147" i="1"/>
  <c r="I2766" i="1"/>
  <c r="I2830" i="1"/>
  <c r="I2894" i="1"/>
  <c r="I2958" i="1"/>
  <c r="I3022" i="1"/>
  <c r="I3110" i="1"/>
  <c r="I3254" i="1"/>
  <c r="I2715" i="1"/>
  <c r="I2779" i="1"/>
  <c r="I2843" i="1"/>
  <c r="I2907" i="1"/>
  <c r="I2971" i="1"/>
  <c r="I3036" i="1"/>
  <c r="I46" i="1"/>
  <c r="I906" i="1"/>
  <c r="I1061" i="1"/>
  <c r="I27" i="1"/>
  <c r="I1057" i="1"/>
  <c r="I69" i="1"/>
  <c r="I1037" i="1"/>
  <c r="I1095" i="1"/>
  <c r="I2035" i="1"/>
  <c r="I2099" i="1"/>
  <c r="I2163" i="1"/>
  <c r="I2229" i="1"/>
  <c r="I2293" i="1"/>
  <c r="I2357" i="1"/>
  <c r="I2421" i="1"/>
  <c r="I2485" i="1"/>
  <c r="I2549" i="1"/>
  <c r="I2613" i="1"/>
  <c r="I2170" i="1"/>
  <c r="I2234" i="1"/>
  <c r="I2298" i="1"/>
  <c r="I2362" i="1"/>
  <c r="I2426" i="1"/>
  <c r="I2490" i="1"/>
  <c r="I2554" i="1"/>
  <c r="I2618" i="1"/>
  <c r="I2175" i="1"/>
  <c r="I2239" i="1"/>
  <c r="I2303" i="1"/>
  <c r="I2367" i="1"/>
  <c r="I2431" i="1"/>
  <c r="I2495" i="1"/>
  <c r="I2559" i="1"/>
  <c r="I2623" i="1"/>
  <c r="I2196" i="1"/>
  <c r="I2260" i="1"/>
  <c r="I2324" i="1"/>
  <c r="I2388" i="1"/>
  <c r="I2452" i="1"/>
  <c r="I2516" i="1"/>
  <c r="I2580" i="1"/>
  <c r="I2644" i="1"/>
  <c r="I2677" i="1"/>
  <c r="I2741" i="1"/>
  <c r="I2805" i="1"/>
  <c r="I2869" i="1"/>
  <c r="I2933" i="1"/>
  <c r="I2997" i="1"/>
  <c r="I3071" i="1"/>
  <c r="I3187" i="1"/>
  <c r="I2786" i="1"/>
  <c r="I2850" i="1"/>
  <c r="I2914" i="1"/>
  <c r="I2978" i="1"/>
  <c r="I3046" i="1"/>
  <c r="I3150" i="1"/>
  <c r="I2671" i="1"/>
  <c r="I2735" i="1"/>
  <c r="I2799" i="1"/>
  <c r="I2863" i="1"/>
  <c r="I2927" i="1"/>
  <c r="I2991" i="1"/>
  <c r="I3063" i="1"/>
  <c r="I3175" i="1"/>
  <c r="I1017" i="1"/>
  <c r="I1318" i="1"/>
  <c r="I1064" i="1"/>
  <c r="I1314" i="1"/>
  <c r="I1060" i="1"/>
  <c r="I1294" i="1"/>
  <c r="I1040" i="1"/>
  <c r="I1215" i="1"/>
  <c r="I2055" i="1"/>
  <c r="I2119" i="1"/>
  <c r="I2185" i="1"/>
  <c r="I2249" i="1"/>
  <c r="I2313" i="1"/>
  <c r="I2377" i="1"/>
  <c r="I2441" i="1"/>
  <c r="I2505" i="1"/>
  <c r="I2569" i="1"/>
  <c r="I2633" i="1"/>
  <c r="I2190" i="1"/>
  <c r="I2254" i="1"/>
  <c r="I2318" i="1"/>
  <c r="I2382" i="1"/>
  <c r="I2446" i="1"/>
  <c r="I2510" i="1"/>
  <c r="I2574" i="1"/>
  <c r="I2638" i="1"/>
  <c r="I2195" i="1"/>
  <c r="I2259" i="1"/>
  <c r="I2323" i="1"/>
  <c r="I2387" i="1"/>
  <c r="I2451" i="1"/>
  <c r="I2515" i="1"/>
  <c r="I2579" i="1"/>
  <c r="I2643" i="1"/>
  <c r="I2216" i="1"/>
  <c r="I2280" i="1"/>
  <c r="I2344" i="1"/>
  <c r="I2408" i="1"/>
  <c r="I2472" i="1"/>
  <c r="I2536" i="1"/>
  <c r="I2600" i="1"/>
  <c r="I2714" i="1"/>
  <c r="I2697" i="1"/>
  <c r="I2761" i="1"/>
  <c r="I2825" i="1"/>
  <c r="I2889" i="1"/>
  <c r="I2953" i="1"/>
  <c r="I3017" i="1"/>
  <c r="I3099" i="1"/>
  <c r="I3234" i="1"/>
  <c r="I2806" i="1"/>
  <c r="I2870" i="1"/>
  <c r="I2934" i="1"/>
  <c r="I2998" i="1"/>
  <c r="I3072" i="1"/>
  <c r="I3190" i="1"/>
  <c r="I2691" i="1"/>
  <c r="I2755" i="1"/>
  <c r="I2819" i="1"/>
  <c r="I2883" i="1"/>
  <c r="I2947" i="1"/>
  <c r="I3011" i="1"/>
  <c r="I3090" i="1"/>
  <c r="I3215" i="1"/>
  <c r="I1339" i="1"/>
  <c r="I1445" i="1"/>
  <c r="I1480" i="1"/>
  <c r="I1441" i="1"/>
  <c r="I1412" i="1"/>
  <c r="I1421" i="1"/>
  <c r="I1263" i="1"/>
  <c r="I2011" i="1"/>
  <c r="I2075" i="1"/>
  <c r="I2139" i="1"/>
  <c r="I2205" i="1"/>
  <c r="I2269" i="1"/>
  <c r="I2333" i="1"/>
  <c r="I2397" i="1"/>
  <c r="I2461" i="1"/>
  <c r="I2525" i="1"/>
  <c r="I2589" i="1"/>
  <c r="I2670" i="1"/>
  <c r="I2210" i="1"/>
  <c r="I2274" i="1"/>
  <c r="I2338" i="1"/>
  <c r="I2402" i="1"/>
  <c r="I2466" i="1"/>
  <c r="I2530" i="1"/>
  <c r="I2594" i="1"/>
  <c r="I2690" i="1"/>
  <c r="I2215" i="1"/>
  <c r="I2279" i="1"/>
  <c r="I2343" i="1"/>
  <c r="I2407" i="1"/>
  <c r="I2471" i="1"/>
  <c r="I2535" i="1"/>
  <c r="I2599" i="1"/>
  <c r="I2710" i="1"/>
  <c r="I2236" i="1"/>
  <c r="I2300" i="1"/>
  <c r="I2364" i="1"/>
  <c r="I2428" i="1"/>
  <c r="I2492" i="1"/>
  <c r="I2556" i="1"/>
  <c r="I2620" i="1"/>
  <c r="I2653" i="1"/>
  <c r="I2717" i="1"/>
  <c r="I2781" i="1"/>
  <c r="I2845" i="1"/>
  <c r="I2909" i="1"/>
  <c r="I2973" i="1"/>
  <c r="I3039" i="1"/>
  <c r="I3139" i="1"/>
  <c r="I2762" i="1"/>
  <c r="I2826" i="1"/>
  <c r="I2890" i="1"/>
  <c r="I2954" i="1"/>
  <c r="I3018" i="1"/>
  <c r="I3102" i="1"/>
  <c r="I3238" i="1"/>
  <c r="I2711" i="1"/>
  <c r="I2775" i="1"/>
  <c r="I2839" i="1"/>
  <c r="I2903" i="1"/>
  <c r="I2967" i="1"/>
  <c r="I3031" i="1"/>
  <c r="I3127" i="1"/>
  <c r="I2652" i="1"/>
  <c r="I2688" i="1"/>
  <c r="I2685" i="1"/>
  <c r="I2941" i="1"/>
  <c r="I2794" i="1"/>
  <c r="I3035" i="1"/>
  <c r="I2663" i="1"/>
  <c r="I2791" i="1"/>
  <c r="I2919" i="1"/>
  <c r="I3052" i="1"/>
  <c r="I3135" i="1"/>
  <c r="I2752" i="1"/>
  <c r="I2832" i="1"/>
  <c r="I2896" i="1"/>
  <c r="I2960" i="1"/>
  <c r="I3024" i="1"/>
  <c r="I3114" i="1"/>
  <c r="I3262" i="1"/>
  <c r="I3326" i="1"/>
  <c r="I3390" i="1"/>
  <c r="I3454" i="1"/>
  <c r="I3542" i="1"/>
  <c r="I3263" i="1"/>
  <c r="I3327" i="1"/>
  <c r="I3391" i="1"/>
  <c r="I3455" i="1"/>
  <c r="I3543" i="1"/>
  <c r="I3140" i="1"/>
  <c r="I3204" i="1"/>
  <c r="I3268" i="1"/>
  <c r="I3332" i="1"/>
  <c r="I3396" i="1"/>
  <c r="I3460" i="1"/>
  <c r="I3554" i="1"/>
  <c r="I3081" i="1"/>
  <c r="I3145" i="1"/>
  <c r="I3209" i="1"/>
  <c r="I3273" i="1"/>
  <c r="I3337" i="1"/>
  <c r="I3401" i="1"/>
  <c r="I3465" i="1"/>
  <c r="I3567" i="1"/>
  <c r="I3659" i="1"/>
  <c r="I3723" i="1"/>
  <c r="I3787" i="1"/>
  <c r="I3851" i="1"/>
  <c r="I3915" i="1"/>
  <c r="I3979" i="1"/>
  <c r="I3536" i="1"/>
  <c r="I3600" i="1"/>
  <c r="I3664" i="1"/>
  <c r="I3728" i="1"/>
  <c r="I3792" i="1"/>
  <c r="I3856" i="1"/>
  <c r="I3920" i="1"/>
  <c r="I3984" i="1"/>
  <c r="I3541" i="1"/>
  <c r="I3605" i="1"/>
  <c r="I3669" i="1"/>
  <c r="I3733" i="1"/>
  <c r="I3797" i="1"/>
  <c r="I3861" i="1"/>
  <c r="I3925" i="1"/>
  <c r="I3989" i="1"/>
  <c r="I3610" i="1"/>
  <c r="I3674" i="1"/>
  <c r="I3738" i="1"/>
  <c r="I3802" i="1"/>
  <c r="I3866" i="1"/>
  <c r="I3930" i="1"/>
  <c r="I3994" i="1"/>
  <c r="I2676" i="1"/>
  <c r="I2740" i="1"/>
  <c r="I2804" i="1"/>
  <c r="I2868" i="1"/>
  <c r="I2932" i="1"/>
  <c r="I2996" i="1"/>
  <c r="I3070" i="1"/>
  <c r="I3186" i="1"/>
  <c r="I3298" i="1"/>
  <c r="I3362" i="1"/>
  <c r="I3426" i="1"/>
  <c r="I3490" i="1"/>
  <c r="I3235" i="1"/>
  <c r="I3299" i="1"/>
  <c r="I3363" i="1"/>
  <c r="I3427" i="1"/>
  <c r="I3491" i="1"/>
  <c r="I3112" i="1"/>
  <c r="I3176" i="1"/>
  <c r="I3240" i="1"/>
  <c r="I3304" i="1"/>
  <c r="I3368" i="1"/>
  <c r="I3432" i="1"/>
  <c r="I3498" i="1"/>
  <c r="I3053" i="1"/>
  <c r="I3117" i="1"/>
  <c r="I3181" i="1"/>
  <c r="I3245" i="1"/>
  <c r="I3309" i="1"/>
  <c r="I3373" i="1"/>
  <c r="I3437" i="1"/>
  <c r="I3507" i="1"/>
  <c r="I3631" i="1"/>
  <c r="I3695" i="1"/>
  <c r="I3759" i="1"/>
  <c r="I3823" i="1"/>
  <c r="I3887" i="1"/>
  <c r="I3951" i="1"/>
  <c r="I3508" i="1"/>
  <c r="I3572" i="1"/>
  <c r="I3636" i="1"/>
  <c r="I3700" i="1"/>
  <c r="I3764" i="1"/>
  <c r="I3828" i="1"/>
  <c r="I3892" i="1"/>
  <c r="I3956" i="1"/>
  <c r="I3513" i="1"/>
  <c r="I3577" i="1"/>
  <c r="I3641" i="1"/>
  <c r="I3705" i="1"/>
  <c r="I3769" i="1"/>
  <c r="I3833" i="1"/>
  <c r="I3897" i="1"/>
  <c r="I3961" i="1"/>
  <c r="I3582" i="1"/>
  <c r="I3646" i="1"/>
  <c r="I3710" i="1"/>
  <c r="I3774" i="1"/>
  <c r="I3838" i="1"/>
  <c r="I3902" i="1"/>
  <c r="I3982" i="1"/>
  <c r="I2696" i="1"/>
  <c r="I2760" i="1"/>
  <c r="I2824" i="1"/>
  <c r="I2888" i="1"/>
  <c r="I2952" i="1"/>
  <c r="I3016" i="1"/>
  <c r="I3098" i="1"/>
  <c r="I3230" i="1"/>
  <c r="I3318" i="1"/>
  <c r="I3382" i="1"/>
  <c r="I3446" i="1"/>
  <c r="I3526" i="1"/>
  <c r="I3255" i="1"/>
  <c r="I3319" i="1"/>
  <c r="I3383" i="1"/>
  <c r="I3447" i="1"/>
  <c r="I3527" i="1"/>
  <c r="I3132" i="1"/>
  <c r="I3196" i="1"/>
  <c r="I3260" i="1"/>
  <c r="I3324" i="1"/>
  <c r="I3388" i="1"/>
  <c r="I3452" i="1"/>
  <c r="I3538" i="1"/>
  <c r="I3073" i="1"/>
  <c r="I3137" i="1"/>
  <c r="I3201" i="1"/>
  <c r="I3265" i="1"/>
  <c r="I3329" i="1"/>
  <c r="I3393" i="1"/>
  <c r="I3457" i="1"/>
  <c r="I3547" i="1"/>
  <c r="I3651" i="1"/>
  <c r="I3715" i="1"/>
  <c r="I3779" i="1"/>
  <c r="I3843" i="1"/>
  <c r="I3907" i="1"/>
  <c r="I3971" i="1"/>
  <c r="I3528" i="1"/>
  <c r="I3592" i="1"/>
  <c r="I3656" i="1"/>
  <c r="I3720" i="1"/>
  <c r="I3784" i="1"/>
  <c r="I3848" i="1"/>
  <c r="I3912" i="1"/>
  <c r="I3976" i="1"/>
  <c r="I3533" i="1"/>
  <c r="I3597" i="1"/>
  <c r="I3661" i="1"/>
  <c r="I3725" i="1"/>
  <c r="I3789" i="1"/>
  <c r="I3853" i="1"/>
  <c r="I3917" i="1"/>
  <c r="I3981" i="1"/>
  <c r="I3602" i="1"/>
  <c r="I3666" i="1"/>
  <c r="I3730" i="1"/>
  <c r="I3794" i="1"/>
  <c r="I3858" i="1"/>
  <c r="I3922" i="1"/>
  <c r="I3986" i="1"/>
  <c r="I2684" i="1"/>
  <c r="I2748" i="1"/>
  <c r="I2812" i="1"/>
  <c r="I2876" i="1"/>
  <c r="I2940" i="1"/>
  <c r="I3004" i="1"/>
  <c r="I3080" i="1"/>
  <c r="I3202" i="1"/>
  <c r="I3306" i="1"/>
  <c r="I3370" i="1"/>
  <c r="I3434" i="1"/>
  <c r="I3502" i="1"/>
  <c r="I3243" i="1"/>
  <c r="I3307" i="1"/>
  <c r="I3371" i="1"/>
  <c r="I3435" i="1"/>
  <c r="I3503" i="1"/>
  <c r="I3120" i="1"/>
  <c r="I3184" i="1"/>
  <c r="I3248" i="1"/>
  <c r="I3312" i="1"/>
  <c r="I3376" i="1"/>
  <c r="I3440" i="1"/>
  <c r="I3514" i="1"/>
  <c r="I3061" i="1"/>
  <c r="I3125" i="1"/>
  <c r="I3189" i="1"/>
  <c r="I3253" i="1"/>
  <c r="I3317" i="1"/>
  <c r="I3381" i="1"/>
  <c r="I3445" i="1"/>
  <c r="I3523" i="1"/>
  <c r="I3639" i="1"/>
  <c r="I3703" i="1"/>
  <c r="I3767" i="1"/>
  <c r="I3831" i="1"/>
  <c r="I3895" i="1"/>
  <c r="I3959" i="1"/>
  <c r="I3516" i="1"/>
  <c r="I3580" i="1"/>
  <c r="I3644" i="1"/>
  <c r="I3708" i="1"/>
  <c r="I3772" i="1"/>
  <c r="I3836" i="1"/>
  <c r="I3900" i="1"/>
  <c r="I3964" i="1"/>
  <c r="I3521" i="1"/>
  <c r="I3585" i="1"/>
  <c r="I3649" i="1"/>
  <c r="I3713" i="1"/>
  <c r="I3777" i="1"/>
  <c r="I3841" i="1"/>
  <c r="I3905" i="1"/>
  <c r="I3969" i="1"/>
  <c r="I3590" i="1"/>
  <c r="I3654" i="1"/>
  <c r="I3718" i="1"/>
  <c r="I3782" i="1"/>
  <c r="I3846" i="1"/>
  <c r="I2749" i="1"/>
  <c r="I3005" i="1"/>
  <c r="I2858" i="1"/>
  <c r="I3056" i="1"/>
  <c r="I2679" i="1"/>
  <c r="I2807" i="1"/>
  <c r="I2935" i="1"/>
  <c r="I3074" i="1"/>
  <c r="I2656" i="1"/>
  <c r="I2768" i="1"/>
  <c r="I2848" i="1"/>
  <c r="I2912" i="1"/>
  <c r="I2976" i="1"/>
  <c r="I3043" i="1"/>
  <c r="I3146" i="1"/>
  <c r="I3278" i="1"/>
  <c r="I3342" i="1"/>
  <c r="I3406" i="1"/>
  <c r="I3470" i="1"/>
  <c r="I3587" i="1"/>
  <c r="I3279" i="1"/>
  <c r="I3343" i="1"/>
  <c r="I3407" i="1"/>
  <c r="I3471" i="1"/>
  <c r="I3591" i="1"/>
  <c r="I3156" i="1"/>
  <c r="I3220" i="1"/>
  <c r="I3284" i="1"/>
  <c r="I3348" i="1"/>
  <c r="I3412" i="1"/>
  <c r="I3476" i="1"/>
  <c r="I3033" i="1"/>
  <c r="I3097" i="1"/>
  <c r="I3161" i="1"/>
  <c r="I3225" i="1"/>
  <c r="I3289" i="1"/>
  <c r="I3353" i="1"/>
  <c r="I3417" i="1"/>
  <c r="I3481" i="1"/>
  <c r="I3611" i="1"/>
  <c r="I3675" i="1"/>
  <c r="I3739" i="1"/>
  <c r="I3803" i="1"/>
  <c r="I3867" i="1"/>
  <c r="I3931" i="1"/>
  <c r="I3995" i="1"/>
  <c r="I3552" i="1"/>
  <c r="I3616" i="1"/>
  <c r="I3680" i="1"/>
  <c r="I3744" i="1"/>
  <c r="I3808" i="1"/>
  <c r="I3872" i="1"/>
  <c r="I3936" i="1"/>
  <c r="I4000" i="1"/>
  <c r="I3557" i="1"/>
  <c r="I3621" i="1"/>
  <c r="I3685" i="1"/>
  <c r="I3749" i="1"/>
  <c r="I3813" i="1"/>
  <c r="I3877" i="1"/>
  <c r="I3941" i="1"/>
  <c r="I3562" i="1"/>
  <c r="I3626" i="1"/>
  <c r="I3690" i="1"/>
  <c r="I3754" i="1"/>
  <c r="I3818" i="1"/>
  <c r="I3882" i="1"/>
  <c r="I3946" i="1"/>
  <c r="I3998" i="1"/>
  <c r="I2692" i="1"/>
  <c r="I2756" i="1"/>
  <c r="I2820" i="1"/>
  <c r="I2884" i="1"/>
  <c r="I2948" i="1"/>
  <c r="I3012" i="1"/>
  <c r="I3091" i="1"/>
  <c r="I3218" i="1"/>
  <c r="I3314" i="1"/>
  <c r="I3378" i="1"/>
  <c r="I3442" i="1"/>
  <c r="I3518" i="1"/>
  <c r="I3251" i="1"/>
  <c r="I3315" i="1"/>
  <c r="I3379" i="1"/>
  <c r="I3443" i="1"/>
  <c r="I3519" i="1"/>
  <c r="I3128" i="1"/>
  <c r="I3192" i="1"/>
  <c r="I3256" i="1"/>
  <c r="I3320" i="1"/>
  <c r="I3384" i="1"/>
  <c r="I3448" i="1"/>
  <c r="I3530" i="1"/>
  <c r="I3069" i="1"/>
  <c r="I3133" i="1"/>
  <c r="I3197" i="1"/>
  <c r="I3261" i="1"/>
  <c r="I3325" i="1"/>
  <c r="I3389" i="1"/>
  <c r="I3453" i="1"/>
  <c r="I3539" i="1"/>
  <c r="I3647" i="1"/>
  <c r="I3711" i="1"/>
  <c r="I3775" i="1"/>
  <c r="I3839" i="1"/>
  <c r="I3903" i="1"/>
  <c r="I3967" i="1"/>
  <c r="I3524" i="1"/>
  <c r="I3588" i="1"/>
  <c r="I3652" i="1"/>
  <c r="I3716" i="1"/>
  <c r="I3780" i="1"/>
  <c r="I3844" i="1"/>
  <c r="I3908" i="1"/>
  <c r="I3972" i="1"/>
  <c r="I3529" i="1"/>
  <c r="I3593" i="1"/>
  <c r="I3657" i="1"/>
  <c r="I3721" i="1"/>
  <c r="I3785" i="1"/>
  <c r="I3849" i="1"/>
  <c r="I3913" i="1"/>
  <c r="I3977" i="1"/>
  <c r="I3598" i="1"/>
  <c r="I3662" i="1"/>
  <c r="I3726" i="1"/>
  <c r="I3790" i="1"/>
  <c r="I3854" i="1"/>
  <c r="I3918" i="1"/>
  <c r="I3199" i="1"/>
  <c r="I2712" i="1"/>
  <c r="I2776" i="1"/>
  <c r="I2840" i="1"/>
  <c r="I2904" i="1"/>
  <c r="I2968" i="1"/>
  <c r="I3032" i="1"/>
  <c r="I3130" i="1"/>
  <c r="I3270" i="1"/>
  <c r="I3334" i="1"/>
  <c r="I3398" i="1"/>
  <c r="I3462" i="1"/>
  <c r="I3558" i="1"/>
  <c r="I3271" i="1"/>
  <c r="I3335" i="1"/>
  <c r="I3399" i="1"/>
  <c r="I3463" i="1"/>
  <c r="I3559" i="1"/>
  <c r="I3148" i="1"/>
  <c r="I3212" i="1"/>
  <c r="I3276" i="1"/>
  <c r="I3340" i="1"/>
  <c r="I3404" i="1"/>
  <c r="I3468" i="1"/>
  <c r="I3579" i="1"/>
  <c r="I3089" i="1"/>
  <c r="I3153" i="1"/>
  <c r="I3217" i="1"/>
  <c r="I3281" i="1"/>
  <c r="I3345" i="1"/>
  <c r="I3409" i="1"/>
  <c r="I3473" i="1"/>
  <c r="I3599" i="1"/>
  <c r="I3667" i="1"/>
  <c r="I3731" i="1"/>
  <c r="I3795" i="1"/>
  <c r="I3859" i="1"/>
  <c r="I3923" i="1"/>
  <c r="I3987" i="1"/>
  <c r="I3544" i="1"/>
  <c r="I3608" i="1"/>
  <c r="I3672" i="1"/>
  <c r="I3736" i="1"/>
  <c r="I3800" i="1"/>
  <c r="I3864" i="1"/>
  <c r="I3928" i="1"/>
  <c r="I3992" i="1"/>
  <c r="I3549" i="1"/>
  <c r="I3613" i="1"/>
  <c r="I3677" i="1"/>
  <c r="I3741" i="1"/>
  <c r="I3805" i="1"/>
  <c r="I3869" i="1"/>
  <c r="I3933" i="1"/>
  <c r="I3997" i="1"/>
  <c r="I3618" i="1"/>
  <c r="I3682" i="1"/>
  <c r="I3746" i="1"/>
  <c r="I3810" i="1"/>
  <c r="I3874" i="1"/>
  <c r="I3938" i="1"/>
  <c r="I4002" i="1"/>
  <c r="I2700" i="1"/>
  <c r="I2764" i="1"/>
  <c r="I2828" i="1"/>
  <c r="I2892" i="1"/>
  <c r="I2956" i="1"/>
  <c r="I3020" i="1"/>
  <c r="I3106" i="1"/>
  <c r="I3246" i="1"/>
  <c r="I3322" i="1"/>
  <c r="I3386" i="1"/>
  <c r="I3450" i="1"/>
  <c r="I3534" i="1"/>
  <c r="I3259" i="1"/>
  <c r="I3323" i="1"/>
  <c r="I3387" i="1"/>
  <c r="I3451" i="1"/>
  <c r="I3535" i="1"/>
  <c r="I3136" i="1"/>
  <c r="I3200" i="1"/>
  <c r="I3264" i="1"/>
  <c r="I3328" i="1"/>
  <c r="I3392" i="1"/>
  <c r="I3456" i="1"/>
  <c r="I3546" i="1"/>
  <c r="I3077" i="1"/>
  <c r="I3141" i="1"/>
  <c r="I3205" i="1"/>
  <c r="I3269" i="1"/>
  <c r="I3333" i="1"/>
  <c r="I3397" i="1"/>
  <c r="I3461" i="1"/>
  <c r="I3555" i="1"/>
  <c r="I3655" i="1"/>
  <c r="I3719" i="1"/>
  <c r="I3783" i="1"/>
  <c r="I3847" i="1"/>
  <c r="I3911" i="1"/>
  <c r="I3975" i="1"/>
  <c r="I3532" i="1"/>
  <c r="I3596" i="1"/>
  <c r="I3660" i="1"/>
  <c r="I3724" i="1"/>
  <c r="I3788" i="1"/>
  <c r="I3852" i="1"/>
  <c r="I3916" i="1"/>
  <c r="I3980" i="1"/>
  <c r="I3537" i="1"/>
  <c r="I3601" i="1"/>
  <c r="I3665" i="1"/>
  <c r="I3729" i="1"/>
  <c r="I3793" i="1"/>
  <c r="I3857" i="1"/>
  <c r="I3921" i="1"/>
  <c r="I3985" i="1"/>
  <c r="I3606" i="1"/>
  <c r="I3670" i="1"/>
  <c r="I3734" i="1"/>
  <c r="I3798" i="1"/>
  <c r="I3862" i="1"/>
  <c r="I3926" i="1"/>
  <c r="I3990" i="1"/>
  <c r="I3622" i="1"/>
  <c r="I3750" i="1"/>
  <c r="I3814" i="1"/>
  <c r="I2813" i="1"/>
  <c r="I3082" i="1"/>
  <c r="I2922" i="1"/>
  <c r="I3134" i="1"/>
  <c r="I2727" i="1"/>
  <c r="I2855" i="1"/>
  <c r="I2983" i="1"/>
  <c r="I3159" i="1"/>
  <c r="I2704" i="1"/>
  <c r="I2784" i="1"/>
  <c r="I2864" i="1"/>
  <c r="I2928" i="1"/>
  <c r="I2992" i="1"/>
  <c r="I3064" i="1"/>
  <c r="I3178" i="1"/>
  <c r="I3294" i="1"/>
  <c r="I3358" i="1"/>
  <c r="I3422" i="1"/>
  <c r="I3486" i="1"/>
  <c r="I3231" i="1"/>
  <c r="I3295" i="1"/>
  <c r="I3359" i="1"/>
  <c r="I3423" i="1"/>
  <c r="I3487" i="1"/>
  <c r="I3108" i="1"/>
  <c r="I3172" i="1"/>
  <c r="I3236" i="1"/>
  <c r="I3300" i="1"/>
  <c r="I3364" i="1"/>
  <c r="I3428" i="1"/>
  <c r="I3492" i="1"/>
  <c r="I3049" i="1"/>
  <c r="I3113" i="1"/>
  <c r="I3177" i="1"/>
  <c r="I3241" i="1"/>
  <c r="I3305" i="1"/>
  <c r="I3369" i="1"/>
  <c r="I3433" i="1"/>
  <c r="I3499" i="1"/>
  <c r="I3627" i="1"/>
  <c r="I3691" i="1"/>
  <c r="I3755" i="1"/>
  <c r="I3819" i="1"/>
  <c r="I3883" i="1"/>
  <c r="I3947" i="1"/>
  <c r="I3504" i="1"/>
  <c r="I3568" i="1"/>
  <c r="I3632" i="1"/>
  <c r="I3696" i="1"/>
  <c r="I3760" i="1"/>
  <c r="I3824" i="1"/>
  <c r="I3888" i="1"/>
  <c r="I3952" i="1"/>
  <c r="I3509" i="1"/>
  <c r="I3573" i="1"/>
  <c r="I3637" i="1"/>
  <c r="I3701" i="1"/>
  <c r="I3765" i="1"/>
  <c r="I3829" i="1"/>
  <c r="I3893" i="1"/>
  <c r="I3957" i="1"/>
  <c r="I3578" i="1"/>
  <c r="I3642" i="1"/>
  <c r="I3706" i="1"/>
  <c r="I3770" i="1"/>
  <c r="I3834" i="1"/>
  <c r="I3898" i="1"/>
  <c r="I3962" i="1"/>
  <c r="I3167" i="1"/>
  <c r="I2708" i="1"/>
  <c r="I2772" i="1"/>
  <c r="I2836" i="1"/>
  <c r="I2900" i="1"/>
  <c r="I2964" i="1"/>
  <c r="I3028" i="1"/>
  <c r="I3122" i="1"/>
  <c r="I3266" i="1"/>
  <c r="I3330" i="1"/>
  <c r="I3394" i="1"/>
  <c r="I3458" i="1"/>
  <c r="I3550" i="1"/>
  <c r="I3267" i="1"/>
  <c r="I3331" i="1"/>
  <c r="I3395" i="1"/>
  <c r="I3459" i="1"/>
  <c r="I3551" i="1"/>
  <c r="I3144" i="1"/>
  <c r="I3208" i="1"/>
  <c r="I3272" i="1"/>
  <c r="I3336" i="1"/>
  <c r="I3400" i="1"/>
  <c r="I3464" i="1"/>
  <c r="I3563" i="1"/>
  <c r="I3085" i="1"/>
  <c r="I3149" i="1"/>
  <c r="I3213" i="1"/>
  <c r="I3277" i="1"/>
  <c r="I3341" i="1"/>
  <c r="I3405" i="1"/>
  <c r="I3469" i="1"/>
  <c r="I3583" i="1"/>
  <c r="I3663" i="1"/>
  <c r="I3727" i="1"/>
  <c r="I3791" i="1"/>
  <c r="I3855" i="1"/>
  <c r="I3919" i="1"/>
  <c r="I3983" i="1"/>
  <c r="I3540" i="1"/>
  <c r="I3604" i="1"/>
  <c r="I3668" i="1"/>
  <c r="I3732" i="1"/>
  <c r="I3796" i="1"/>
  <c r="I3860" i="1"/>
  <c r="I3924" i="1"/>
  <c r="I3988" i="1"/>
  <c r="I3545" i="1"/>
  <c r="I3609" i="1"/>
  <c r="I3673" i="1"/>
  <c r="I3737" i="1"/>
  <c r="I3801" i="1"/>
  <c r="I3865" i="1"/>
  <c r="I3929" i="1"/>
  <c r="I3993" i="1"/>
  <c r="I3614" i="1"/>
  <c r="I3678" i="1"/>
  <c r="I3742" i="1"/>
  <c r="I3806" i="1"/>
  <c r="I3870" i="1"/>
  <c r="I3934" i="1"/>
  <c r="I2664" i="1"/>
  <c r="I2728" i="1"/>
  <c r="I2792" i="1"/>
  <c r="I2856" i="1"/>
  <c r="I2920" i="1"/>
  <c r="I2984" i="1"/>
  <c r="I3054" i="1"/>
  <c r="I3162" i="1"/>
  <c r="I3286" i="1"/>
  <c r="I3350" i="1"/>
  <c r="I3414" i="1"/>
  <c r="I3478" i="1"/>
  <c r="I3223" i="1"/>
  <c r="I3287" i="1"/>
  <c r="I3351" i="1"/>
  <c r="I3415" i="1"/>
  <c r="I3479" i="1"/>
  <c r="I3100" i="1"/>
  <c r="I3164" i="1"/>
  <c r="I3228" i="1"/>
  <c r="I3292" i="1"/>
  <c r="I3356" i="1"/>
  <c r="I3420" i="1"/>
  <c r="I3484" i="1"/>
  <c r="I3041" i="1"/>
  <c r="I3105" i="1"/>
  <c r="I3169" i="1"/>
  <c r="I3233" i="1"/>
  <c r="I3297" i="1"/>
  <c r="I3361" i="1"/>
  <c r="I3425" i="1"/>
  <c r="I3489" i="1"/>
  <c r="I3619" i="1"/>
  <c r="I3683" i="1"/>
  <c r="I3747" i="1"/>
  <c r="I3811" i="1"/>
  <c r="I3875" i="1"/>
  <c r="I3939" i="1"/>
  <c r="I3496" i="1"/>
  <c r="I3560" i="1"/>
  <c r="I3624" i="1"/>
  <c r="I3688" i="1"/>
  <c r="I3752" i="1"/>
  <c r="I3816" i="1"/>
  <c r="I3880" i="1"/>
  <c r="I3944" i="1"/>
  <c r="I3501" i="1"/>
  <c r="I3565" i="1"/>
  <c r="I3629" i="1"/>
  <c r="I3693" i="1"/>
  <c r="I3757" i="1"/>
  <c r="I3821" i="1"/>
  <c r="I3885" i="1"/>
  <c r="I3949" i="1"/>
  <c r="I3570" i="1"/>
  <c r="I3634" i="1"/>
  <c r="I3698" i="1"/>
  <c r="I3762" i="1"/>
  <c r="I3826" i="1"/>
  <c r="I3890" i="1"/>
  <c r="I3954" i="1"/>
  <c r="I3242" i="1"/>
  <c r="I2716" i="1"/>
  <c r="I2780" i="1"/>
  <c r="I2844" i="1"/>
  <c r="I2908" i="1"/>
  <c r="I2972" i="1"/>
  <c r="I3038" i="1"/>
  <c r="I3138" i="1"/>
  <c r="I3274" i="1"/>
  <c r="I3338" i="1"/>
  <c r="I3402" i="1"/>
  <c r="I3466" i="1"/>
  <c r="I3571" i="1"/>
  <c r="I3275" i="1"/>
  <c r="I3339" i="1"/>
  <c r="I3403" i="1"/>
  <c r="I3467" i="1"/>
  <c r="I3575" i="1"/>
  <c r="I3152" i="1"/>
  <c r="I3216" i="1"/>
  <c r="I3280" i="1"/>
  <c r="I3344" i="1"/>
  <c r="I3408" i="1"/>
  <c r="I3472" i="1"/>
  <c r="I3595" i="1"/>
  <c r="I3093" i="1"/>
  <c r="I3157" i="1"/>
  <c r="I3221" i="1"/>
  <c r="I3285" i="1"/>
  <c r="I3349" i="1"/>
  <c r="I3413" i="1"/>
  <c r="I3477" i="1"/>
  <c r="I3607" i="1"/>
  <c r="I3671" i="1"/>
  <c r="I3735" i="1"/>
  <c r="I3799" i="1"/>
  <c r="I3863" i="1"/>
  <c r="I3927" i="1"/>
  <c r="I3991" i="1"/>
  <c r="I3548" i="1"/>
  <c r="I3612" i="1"/>
  <c r="I3676" i="1"/>
  <c r="I3740" i="1"/>
  <c r="I3804" i="1"/>
  <c r="I3868" i="1"/>
  <c r="I3932" i="1"/>
  <c r="I3996" i="1"/>
  <c r="I3553" i="1"/>
  <c r="I3617" i="1"/>
  <c r="I3681" i="1"/>
  <c r="I3745" i="1"/>
  <c r="I3809" i="1"/>
  <c r="I3873" i="1"/>
  <c r="I3937" i="1"/>
  <c r="I4001" i="1"/>
  <c r="I3686" i="1"/>
  <c r="I3878" i="1"/>
  <c r="I2877" i="1"/>
  <c r="I3203" i="1"/>
  <c r="I2986" i="1"/>
  <c r="I3166" i="1"/>
  <c r="I2743" i="1"/>
  <c r="I2871" i="1"/>
  <c r="I2999" i="1"/>
  <c r="I3191" i="1"/>
  <c r="I2720" i="1"/>
  <c r="I2816" i="1"/>
  <c r="I2880" i="1"/>
  <c r="I2944" i="1"/>
  <c r="I3008" i="1"/>
  <c r="I3086" i="1"/>
  <c r="I3210" i="1"/>
  <c r="I3310" i="1"/>
  <c r="I3374" i="1"/>
  <c r="I3438" i="1"/>
  <c r="I3510" i="1"/>
  <c r="I3247" i="1"/>
  <c r="I3311" i="1"/>
  <c r="I3375" i="1"/>
  <c r="I3439" i="1"/>
  <c r="I3511" i="1"/>
  <c r="I3124" i="1"/>
  <c r="I3188" i="1"/>
  <c r="I3252" i="1"/>
  <c r="I3316" i="1"/>
  <c r="I3380" i="1"/>
  <c r="I3444" i="1"/>
  <c r="I3522" i="1"/>
  <c r="I3065" i="1"/>
  <c r="I3129" i="1"/>
  <c r="I3193" i="1"/>
  <c r="I3257" i="1"/>
  <c r="I3321" i="1"/>
  <c r="I3385" i="1"/>
  <c r="I3449" i="1"/>
  <c r="I3531" i="1"/>
  <c r="I3643" i="1"/>
  <c r="I3707" i="1"/>
  <c r="I3771" i="1"/>
  <c r="I3835" i="1"/>
  <c r="I3899" i="1"/>
  <c r="I3963" i="1"/>
  <c r="I3520" i="1"/>
  <c r="I3584" i="1"/>
  <c r="I3648" i="1"/>
  <c r="I3712" i="1"/>
  <c r="I3776" i="1"/>
  <c r="I3840" i="1"/>
  <c r="I3904" i="1"/>
  <c r="I3968" i="1"/>
  <c r="I3525" i="1"/>
  <c r="I3589" i="1"/>
  <c r="I3653" i="1"/>
  <c r="I3717" i="1"/>
  <c r="I3781" i="1"/>
  <c r="I3845" i="1"/>
  <c r="I3909" i="1"/>
  <c r="I3973" i="1"/>
  <c r="I3594" i="1"/>
  <c r="I3658" i="1"/>
  <c r="I3722" i="1"/>
  <c r="I3786" i="1"/>
  <c r="I3850" i="1"/>
  <c r="I3914" i="1"/>
  <c r="I3978" i="1"/>
  <c r="I2660" i="1"/>
  <c r="I2724" i="1"/>
  <c r="I2788" i="1"/>
  <c r="I2852" i="1"/>
  <c r="I2916" i="1"/>
  <c r="I2980" i="1"/>
  <c r="I3048" i="1"/>
  <c r="I3154" i="1"/>
  <c r="I3282" i="1"/>
  <c r="I3346" i="1"/>
  <c r="I3410" i="1"/>
  <c r="I3474" i="1"/>
  <c r="I3603" i="1"/>
  <c r="I3283" i="1"/>
  <c r="I3347" i="1"/>
  <c r="I3411" i="1"/>
  <c r="I3475" i="1"/>
  <c r="I3096" i="1"/>
  <c r="I3160" i="1"/>
  <c r="I3224" i="1"/>
  <c r="I3288" i="1"/>
  <c r="I3352" i="1"/>
  <c r="I3416" i="1"/>
  <c r="I3480" i="1"/>
  <c r="I3037" i="1"/>
  <c r="I3101" i="1"/>
  <c r="I3165" i="1"/>
  <c r="I3229" i="1"/>
  <c r="I3293" i="1"/>
  <c r="I3357" i="1"/>
  <c r="I3421" i="1"/>
  <c r="I3485" i="1"/>
  <c r="I3615" i="1"/>
  <c r="I3679" i="1"/>
  <c r="I3743" i="1"/>
  <c r="I3807" i="1"/>
  <c r="I3871" i="1"/>
  <c r="I3935" i="1"/>
  <c r="I3999" i="1"/>
  <c r="I3556" i="1"/>
  <c r="I3620" i="1"/>
  <c r="I3684" i="1"/>
  <c r="I3748" i="1"/>
  <c r="I3812" i="1"/>
  <c r="I3876" i="1"/>
  <c r="I3940" i="1"/>
  <c r="I3497" i="1"/>
  <c r="I3561" i="1"/>
  <c r="I3625" i="1"/>
  <c r="I3689" i="1"/>
  <c r="I3753" i="1"/>
  <c r="I3817" i="1"/>
  <c r="I3881" i="1"/>
  <c r="I3945" i="1"/>
  <c r="I3566" i="1"/>
  <c r="I3630" i="1"/>
  <c r="I3694" i="1"/>
  <c r="I3758" i="1"/>
  <c r="I3822" i="1"/>
  <c r="I3886" i="1"/>
  <c r="I3950" i="1"/>
  <c r="I2680" i="1"/>
  <c r="I2744" i="1"/>
  <c r="I2808" i="1"/>
  <c r="I2872" i="1"/>
  <c r="I2936" i="1"/>
  <c r="I3000" i="1"/>
  <c r="I3075" i="1"/>
  <c r="I3194" i="1"/>
  <c r="I3302" i="1"/>
  <c r="I3366" i="1"/>
  <c r="I3430" i="1"/>
  <c r="I3494" i="1"/>
  <c r="I3239" i="1"/>
  <c r="I3303" i="1"/>
  <c r="I3367" i="1"/>
  <c r="I3431" i="1"/>
  <c r="I3495" i="1"/>
  <c r="I3116" i="1"/>
  <c r="I3180" i="1"/>
  <c r="I3244" i="1"/>
  <c r="I3308" i="1"/>
  <c r="I3372" i="1"/>
  <c r="I3436" i="1"/>
  <c r="I3506" i="1"/>
  <c r="I3057" i="1"/>
  <c r="I3121" i="1"/>
  <c r="I3185" i="1"/>
  <c r="I3249" i="1"/>
  <c r="I3313" i="1"/>
  <c r="I3377" i="1"/>
  <c r="I3441" i="1"/>
  <c r="I3515" i="1"/>
  <c r="I3635" i="1"/>
  <c r="I3699" i="1"/>
  <c r="I3763" i="1"/>
  <c r="I3827" i="1"/>
  <c r="I3891" i="1"/>
  <c r="I3955" i="1"/>
  <c r="I3512" i="1"/>
  <c r="I3576" i="1"/>
  <c r="I3640" i="1"/>
  <c r="I3704" i="1"/>
  <c r="I3768" i="1"/>
  <c r="I3832" i="1"/>
  <c r="I3896" i="1"/>
  <c r="I3960" i="1"/>
  <c r="I3517" i="1"/>
  <c r="I3581" i="1"/>
  <c r="I3645" i="1"/>
  <c r="I3709" i="1"/>
  <c r="I3773" i="1"/>
  <c r="I3837" i="1"/>
  <c r="I3901" i="1"/>
  <c r="I3965" i="1"/>
  <c r="I3586" i="1"/>
  <c r="I3650" i="1"/>
  <c r="I3714" i="1"/>
  <c r="I3778" i="1"/>
  <c r="I3842" i="1"/>
  <c r="I3906" i="1"/>
  <c r="I3970" i="1"/>
  <c r="I2668" i="1"/>
  <c r="I2732" i="1"/>
  <c r="I2796" i="1"/>
  <c r="I2860" i="1"/>
  <c r="I2924" i="1"/>
  <c r="I2988" i="1"/>
  <c r="I3059" i="1"/>
  <c r="I3170" i="1"/>
  <c r="I3290" i="1"/>
  <c r="I3354" i="1"/>
  <c r="I3418" i="1"/>
  <c r="I3482" i="1"/>
  <c r="I3227" i="1"/>
  <c r="I3291" i="1"/>
  <c r="I3355" i="1"/>
  <c r="I3419" i="1"/>
  <c r="I3483" i="1"/>
  <c r="I3104" i="1"/>
  <c r="I3168" i="1"/>
  <c r="I3232" i="1"/>
  <c r="I3296" i="1"/>
  <c r="I3360" i="1"/>
  <c r="I3424" i="1"/>
  <c r="I3488" i="1"/>
  <c r="I3045" i="1"/>
  <c r="I3109" i="1"/>
  <c r="I3173" i="1"/>
  <c r="I3237" i="1"/>
  <c r="I3301" i="1"/>
  <c r="I3365" i="1"/>
  <c r="I3429" i="1"/>
  <c r="I3493" i="1"/>
  <c r="I3623" i="1"/>
  <c r="I3687" i="1"/>
  <c r="I3751" i="1"/>
  <c r="I3815" i="1"/>
  <c r="I3879" i="1"/>
  <c r="I3943" i="1"/>
  <c r="I3500" i="1"/>
  <c r="I3564" i="1"/>
  <c r="I3628" i="1"/>
  <c r="I3692" i="1"/>
  <c r="I3756" i="1"/>
  <c r="I3820" i="1"/>
  <c r="I3884" i="1"/>
  <c r="I3948" i="1"/>
  <c r="I3505" i="1"/>
  <c r="I3569" i="1"/>
  <c r="I3633" i="1"/>
  <c r="I3697" i="1"/>
  <c r="I3761" i="1"/>
  <c r="I3825" i="1"/>
  <c r="I3889" i="1"/>
  <c r="I3953" i="1"/>
  <c r="I3574" i="1"/>
  <c r="I3638" i="1"/>
  <c r="I3702" i="1"/>
  <c r="I3766" i="1"/>
  <c r="I3830" i="1"/>
  <c r="I3894" i="1"/>
  <c r="I3910" i="1"/>
  <c r="I3966" i="1"/>
  <c r="I3942" i="1"/>
  <c r="I3974" i="1"/>
  <c r="I3958" i="1"/>
  <c r="J3958" i="1" l="1"/>
  <c r="J3974" i="1"/>
  <c r="J3942" i="1"/>
  <c r="J3966" i="1"/>
  <c r="J3910" i="1"/>
  <c r="J3894" i="1"/>
  <c r="J3830" i="1"/>
  <c r="J3766" i="1"/>
  <c r="J3702" i="1"/>
  <c r="J3638" i="1"/>
  <c r="J3574" i="1"/>
  <c r="J3953" i="1"/>
  <c r="J3889" i="1"/>
  <c r="J3825" i="1"/>
  <c r="J3761" i="1"/>
  <c r="J3697" i="1"/>
  <c r="J3633" i="1"/>
  <c r="J3569" i="1"/>
  <c r="J3505" i="1"/>
  <c r="J3948" i="1"/>
  <c r="J3884" i="1"/>
  <c r="J3820" i="1"/>
  <c r="J3756" i="1"/>
  <c r="J3692" i="1"/>
  <c r="J3628" i="1"/>
  <c r="J3564" i="1"/>
  <c r="J3500" i="1"/>
  <c r="J3943" i="1"/>
  <c r="J3879" i="1"/>
  <c r="J3815" i="1"/>
  <c r="J3751" i="1"/>
  <c r="J3687" i="1"/>
  <c r="J3623" i="1"/>
  <c r="J3493" i="1"/>
  <c r="J3429" i="1"/>
  <c r="J3365" i="1"/>
  <c r="J3301" i="1"/>
  <c r="J3237" i="1"/>
  <c r="J3173" i="1"/>
  <c r="J3109" i="1"/>
  <c r="J3045" i="1"/>
  <c r="J3488" i="1"/>
  <c r="J3424" i="1"/>
  <c r="J3360" i="1"/>
  <c r="J3296" i="1"/>
  <c r="J3232" i="1"/>
  <c r="J3168" i="1"/>
  <c r="J3104" i="1"/>
  <c r="J3483" i="1"/>
  <c r="J3419" i="1"/>
  <c r="J3355" i="1"/>
  <c r="J3291" i="1"/>
  <c r="J3227" i="1"/>
  <c r="J3482" i="1"/>
  <c r="J3418" i="1"/>
  <c r="J3354" i="1"/>
  <c r="J3290" i="1"/>
  <c r="J3170" i="1"/>
  <c r="J3059" i="1"/>
  <c r="J2988" i="1"/>
  <c r="J2924" i="1"/>
  <c r="J2860" i="1"/>
  <c r="J2796" i="1"/>
  <c r="J2732" i="1"/>
  <c r="J2668" i="1"/>
  <c r="J3970" i="1"/>
  <c r="J3906" i="1"/>
  <c r="J3842" i="1"/>
  <c r="J3778" i="1"/>
  <c r="J3714" i="1"/>
  <c r="J3650" i="1"/>
  <c r="J3586" i="1"/>
  <c r="J3965" i="1"/>
  <c r="J3901" i="1"/>
  <c r="J3837" i="1"/>
  <c r="J3773" i="1"/>
  <c r="J3709" i="1"/>
  <c r="J3645" i="1"/>
  <c r="J3581" i="1"/>
  <c r="J3517" i="1"/>
  <c r="J3960" i="1"/>
  <c r="J3896" i="1"/>
  <c r="J3832" i="1"/>
  <c r="J3768" i="1"/>
  <c r="J3704" i="1"/>
  <c r="J3640" i="1"/>
  <c r="J3576" i="1"/>
  <c r="J3512" i="1"/>
  <c r="J3955" i="1"/>
  <c r="J3891" i="1"/>
  <c r="J3827" i="1"/>
  <c r="J3763" i="1"/>
  <c r="J3699" i="1"/>
  <c r="J3635" i="1"/>
  <c r="J3515" i="1"/>
  <c r="J3441" i="1"/>
  <c r="J3377" i="1"/>
  <c r="J3313" i="1"/>
  <c r="J3249" i="1"/>
  <c r="J3185" i="1"/>
  <c r="J3121" i="1"/>
  <c r="J3057" i="1"/>
  <c r="J3506" i="1"/>
  <c r="J3436" i="1"/>
  <c r="J3372" i="1"/>
  <c r="J3308" i="1"/>
  <c r="J3244" i="1"/>
  <c r="J3180" i="1"/>
  <c r="J3116" i="1"/>
  <c r="J3495" i="1"/>
  <c r="J3431" i="1"/>
  <c r="J3367" i="1"/>
  <c r="J3303" i="1"/>
  <c r="J3239" i="1"/>
  <c r="J3494" i="1"/>
  <c r="J3430" i="1"/>
  <c r="J3366" i="1"/>
  <c r="J3302" i="1"/>
  <c r="J3194" i="1"/>
  <c r="J3075" i="1"/>
  <c r="J3000" i="1"/>
  <c r="J2936" i="1"/>
  <c r="J2872" i="1"/>
  <c r="J2808" i="1"/>
  <c r="J2744" i="1"/>
  <c r="J2680" i="1"/>
  <c r="J3950" i="1"/>
  <c r="J3886" i="1"/>
  <c r="J3822" i="1"/>
  <c r="J3758" i="1"/>
  <c r="J3694" i="1"/>
  <c r="J3630" i="1"/>
  <c r="J3566" i="1"/>
  <c r="J3945" i="1"/>
  <c r="J3881" i="1"/>
  <c r="J3817" i="1"/>
  <c r="J3753" i="1"/>
  <c r="J3689" i="1"/>
  <c r="J3625" i="1"/>
  <c r="J3561" i="1"/>
  <c r="J3497" i="1"/>
  <c r="J3940" i="1"/>
  <c r="J3876" i="1"/>
  <c r="J3812" i="1"/>
  <c r="J3748" i="1"/>
  <c r="J3684" i="1"/>
  <c r="J3620" i="1"/>
  <c r="J3556" i="1"/>
  <c r="J3999" i="1"/>
  <c r="J3935" i="1"/>
  <c r="J3871" i="1"/>
  <c r="J3807" i="1"/>
  <c r="J3743" i="1"/>
  <c r="J3679" i="1"/>
  <c r="J3615" i="1"/>
  <c r="J3485" i="1"/>
  <c r="J3421" i="1"/>
  <c r="J3357" i="1"/>
  <c r="J3293" i="1"/>
  <c r="J3229" i="1"/>
  <c r="J3165" i="1"/>
  <c r="J3101" i="1"/>
  <c r="J3037" i="1"/>
  <c r="J3480" i="1"/>
  <c r="J3416" i="1"/>
  <c r="J3352" i="1"/>
  <c r="J3288" i="1"/>
  <c r="J3224" i="1"/>
  <c r="J3160" i="1"/>
  <c r="J3096" i="1"/>
  <c r="J3475" i="1"/>
  <c r="J3411" i="1"/>
  <c r="J3347" i="1"/>
  <c r="J3283" i="1"/>
  <c r="J3603" i="1"/>
  <c r="J3474" i="1"/>
  <c r="J3410" i="1"/>
  <c r="J3346" i="1"/>
  <c r="J3282" i="1"/>
  <c r="J3154" i="1"/>
  <c r="J3048" i="1"/>
  <c r="J2980" i="1"/>
  <c r="J2916" i="1"/>
  <c r="J2852" i="1"/>
  <c r="J2788" i="1"/>
  <c r="J2724" i="1"/>
  <c r="J2660" i="1"/>
  <c r="J3978" i="1"/>
  <c r="J3914" i="1"/>
  <c r="J3850" i="1"/>
  <c r="J3786" i="1"/>
  <c r="J3722" i="1"/>
  <c r="J3658" i="1"/>
  <c r="J3594" i="1"/>
  <c r="J3973" i="1"/>
  <c r="J3909" i="1"/>
  <c r="J3845" i="1"/>
  <c r="J3781" i="1"/>
  <c r="J3717" i="1"/>
  <c r="J3653" i="1"/>
  <c r="J3589" i="1"/>
  <c r="J3525" i="1"/>
  <c r="J3968" i="1"/>
  <c r="J3904" i="1"/>
  <c r="J3840" i="1"/>
  <c r="J3776" i="1"/>
  <c r="J3712" i="1"/>
  <c r="J3648" i="1"/>
  <c r="J3584" i="1"/>
  <c r="J3520" i="1"/>
  <c r="J3963" i="1"/>
  <c r="J3899" i="1"/>
  <c r="J3835" i="1"/>
  <c r="J3771" i="1"/>
  <c r="J3707" i="1"/>
  <c r="J3643" i="1"/>
  <c r="J3531" i="1"/>
  <c r="J3449" i="1"/>
  <c r="J3385" i="1"/>
  <c r="J3321" i="1"/>
  <c r="J3257" i="1"/>
  <c r="J3193" i="1"/>
  <c r="J3129" i="1"/>
  <c r="J3065" i="1"/>
  <c r="J3522" i="1"/>
  <c r="J3444" i="1"/>
  <c r="J3380" i="1"/>
  <c r="J3316" i="1"/>
  <c r="J3252" i="1"/>
  <c r="J3188" i="1"/>
  <c r="J3124" i="1"/>
  <c r="J3511" i="1"/>
  <c r="J3439" i="1"/>
  <c r="J3375" i="1"/>
  <c r="J3311" i="1"/>
  <c r="J3247" i="1"/>
  <c r="J3510" i="1"/>
  <c r="J3438" i="1"/>
  <c r="J3374" i="1"/>
  <c r="J3310" i="1"/>
  <c r="J3210" i="1"/>
  <c r="J3086" i="1"/>
  <c r="J3008" i="1"/>
  <c r="J2944" i="1"/>
  <c r="J2880" i="1"/>
  <c r="J2816" i="1"/>
  <c r="J2720" i="1"/>
  <c r="J3191" i="1"/>
  <c r="J2999" i="1"/>
  <c r="J2871" i="1"/>
  <c r="J2743" i="1"/>
  <c r="J3166" i="1"/>
  <c r="J2986" i="1"/>
  <c r="J3203" i="1"/>
  <c r="J2877" i="1"/>
  <c r="J3878" i="1"/>
  <c r="J3686" i="1"/>
  <c r="J4001" i="1"/>
  <c r="J3937" i="1"/>
  <c r="J3873" i="1"/>
  <c r="J3809" i="1"/>
  <c r="J3745" i="1"/>
  <c r="J3681" i="1"/>
  <c r="J3617" i="1"/>
  <c r="J3553" i="1"/>
  <c r="J3996" i="1"/>
  <c r="J3932" i="1"/>
  <c r="J3868" i="1"/>
  <c r="J3804" i="1"/>
  <c r="J3740" i="1"/>
  <c r="J3676" i="1"/>
  <c r="J3612" i="1"/>
  <c r="J3548" i="1"/>
  <c r="J3991" i="1"/>
  <c r="J3927" i="1"/>
  <c r="J3863" i="1"/>
  <c r="J3799" i="1"/>
  <c r="J3735" i="1"/>
  <c r="J3671" i="1"/>
  <c r="J3607" i="1"/>
  <c r="J3477" i="1"/>
  <c r="J3413" i="1"/>
  <c r="J3349" i="1"/>
  <c r="J3285" i="1"/>
  <c r="J3221" i="1"/>
  <c r="J3157" i="1"/>
  <c r="J3093" i="1"/>
  <c r="J3595" i="1"/>
  <c r="J3472" i="1"/>
  <c r="J3408" i="1"/>
  <c r="J3344" i="1"/>
  <c r="J3280" i="1"/>
  <c r="J3216" i="1"/>
  <c r="J3152" i="1"/>
  <c r="J3575" i="1"/>
  <c r="J3467" i="1"/>
  <c r="J3403" i="1"/>
  <c r="J3339" i="1"/>
  <c r="J3275" i="1"/>
  <c r="J3571" i="1"/>
  <c r="J3466" i="1"/>
  <c r="J3402" i="1"/>
  <c r="J3338" i="1"/>
  <c r="J3274" i="1"/>
  <c r="J3138" i="1"/>
  <c r="J3038" i="1"/>
  <c r="J2972" i="1"/>
  <c r="J2908" i="1"/>
  <c r="J2844" i="1"/>
  <c r="J2780" i="1"/>
  <c r="J2716" i="1"/>
  <c r="J3242" i="1"/>
  <c r="J3954" i="1"/>
  <c r="J3890" i="1"/>
  <c r="J3826" i="1"/>
  <c r="J3762" i="1"/>
  <c r="J3698" i="1"/>
  <c r="J3634" i="1"/>
  <c r="J3570" i="1"/>
  <c r="J3949" i="1"/>
  <c r="J3885" i="1"/>
  <c r="J3821" i="1"/>
  <c r="J3757" i="1"/>
  <c r="J3693" i="1"/>
  <c r="J3629" i="1"/>
  <c r="J3565" i="1"/>
  <c r="J3501" i="1"/>
  <c r="J3944" i="1"/>
  <c r="J3880" i="1"/>
  <c r="J3816" i="1"/>
  <c r="J3752" i="1"/>
  <c r="J3688" i="1"/>
  <c r="J3624" i="1"/>
  <c r="J3560" i="1"/>
  <c r="J3496" i="1"/>
  <c r="J3939" i="1"/>
  <c r="J3875" i="1"/>
  <c r="J3811" i="1"/>
  <c r="J3747" i="1"/>
  <c r="J3683" i="1"/>
  <c r="J3619" i="1"/>
  <c r="J3489" i="1"/>
  <c r="J3425" i="1"/>
  <c r="J3361" i="1"/>
  <c r="J3297" i="1"/>
  <c r="J3233" i="1"/>
  <c r="J3169" i="1"/>
  <c r="J3105" i="1"/>
  <c r="J3041" i="1"/>
  <c r="J3484" i="1"/>
  <c r="J3420" i="1"/>
  <c r="J3356" i="1"/>
  <c r="J3292" i="1"/>
  <c r="J3228" i="1"/>
  <c r="J3164" i="1"/>
  <c r="J3100" i="1"/>
  <c r="J3479" i="1"/>
  <c r="J3415" i="1"/>
  <c r="J3351" i="1"/>
  <c r="J3287" i="1"/>
  <c r="J3223" i="1"/>
  <c r="J3478" i="1"/>
  <c r="J3414" i="1"/>
  <c r="J3350" i="1"/>
  <c r="J3286" i="1"/>
  <c r="J3162" i="1"/>
  <c r="J3054" i="1"/>
  <c r="J2984" i="1"/>
  <c r="J2920" i="1"/>
  <c r="J2856" i="1"/>
  <c r="J2792" i="1"/>
  <c r="J2728" i="1"/>
  <c r="J2664" i="1"/>
  <c r="J3934" i="1"/>
  <c r="J3870" i="1"/>
  <c r="J3806" i="1"/>
  <c r="J3742" i="1"/>
  <c r="J3678" i="1"/>
  <c r="J3614" i="1"/>
  <c r="J3993" i="1"/>
  <c r="J3929" i="1"/>
  <c r="J3865" i="1"/>
  <c r="J3801" i="1"/>
  <c r="J3737" i="1"/>
  <c r="J3673" i="1"/>
  <c r="J3609" i="1"/>
  <c r="J3545" i="1"/>
  <c r="J3988" i="1"/>
  <c r="J3924" i="1"/>
  <c r="J3860" i="1"/>
  <c r="J3796" i="1"/>
  <c r="J3732" i="1"/>
  <c r="J3668" i="1"/>
  <c r="J3604" i="1"/>
  <c r="J3540" i="1"/>
  <c r="J3983" i="1"/>
  <c r="J3919" i="1"/>
  <c r="J3855" i="1"/>
  <c r="J3791" i="1"/>
  <c r="J3727" i="1"/>
  <c r="J3663" i="1"/>
  <c r="J3583" i="1"/>
  <c r="J3469" i="1"/>
  <c r="J3405" i="1"/>
  <c r="J3341" i="1"/>
  <c r="J3277" i="1"/>
  <c r="J3213" i="1"/>
  <c r="J3149" i="1"/>
  <c r="J3085" i="1"/>
  <c r="J3563" i="1"/>
  <c r="J3464" i="1"/>
  <c r="J3400" i="1"/>
  <c r="J3336" i="1"/>
  <c r="J3272" i="1"/>
  <c r="J3208" i="1"/>
  <c r="J3144" i="1"/>
  <c r="J3551" i="1"/>
  <c r="J3459" i="1"/>
  <c r="J3395" i="1"/>
  <c r="J3331" i="1"/>
  <c r="J3267" i="1"/>
  <c r="J3550" i="1"/>
  <c r="J3458" i="1"/>
  <c r="J3394" i="1"/>
  <c r="J3330" i="1"/>
  <c r="J3266" i="1"/>
  <c r="J3122" i="1"/>
  <c r="J3028" i="1"/>
  <c r="J2964" i="1"/>
  <c r="J2900" i="1"/>
  <c r="J2836" i="1"/>
  <c r="J2772" i="1"/>
  <c r="J2708" i="1"/>
  <c r="J3167" i="1"/>
  <c r="J3962" i="1"/>
  <c r="J3898" i="1"/>
  <c r="J3834" i="1"/>
  <c r="J3770" i="1"/>
  <c r="J3706" i="1"/>
  <c r="J3642" i="1"/>
  <c r="J3578" i="1"/>
  <c r="J3957" i="1"/>
  <c r="J3893" i="1"/>
  <c r="J3829" i="1"/>
  <c r="J3765" i="1"/>
  <c r="J3701" i="1"/>
  <c r="J3637" i="1"/>
  <c r="J3573" i="1"/>
  <c r="J3509" i="1"/>
  <c r="J3952" i="1"/>
  <c r="J3888" i="1"/>
  <c r="J3824" i="1"/>
  <c r="J3760" i="1"/>
  <c r="J3696" i="1"/>
  <c r="J3632" i="1"/>
  <c r="J3568" i="1"/>
  <c r="J3504" i="1"/>
  <c r="J3947" i="1"/>
  <c r="J3883" i="1"/>
  <c r="J3819" i="1"/>
  <c r="J3755" i="1"/>
  <c r="J3691" i="1"/>
  <c r="J3627" i="1"/>
  <c r="J3499" i="1"/>
  <c r="J3433" i="1"/>
  <c r="J3369" i="1"/>
  <c r="J3305" i="1"/>
  <c r="J3241" i="1"/>
  <c r="J3177" i="1"/>
  <c r="J3113" i="1"/>
  <c r="J3049" i="1"/>
  <c r="J3492" i="1"/>
  <c r="J3428" i="1"/>
  <c r="J3364" i="1"/>
  <c r="J3300" i="1"/>
  <c r="J3236" i="1"/>
  <c r="J3172" i="1"/>
  <c r="J3108" i="1"/>
  <c r="J3487" i="1"/>
  <c r="J3423" i="1"/>
  <c r="J3359" i="1"/>
  <c r="J3295" i="1"/>
  <c r="J3231" i="1"/>
  <c r="J3486" i="1"/>
  <c r="J3422" i="1"/>
  <c r="J3358" i="1"/>
  <c r="J3294" i="1"/>
  <c r="J3178" i="1"/>
  <c r="J3064" i="1"/>
  <c r="J2992" i="1"/>
  <c r="J2928" i="1"/>
  <c r="J2864" i="1"/>
  <c r="J2784" i="1"/>
  <c r="J2704" i="1"/>
  <c r="J3159" i="1"/>
  <c r="J2983" i="1"/>
  <c r="J2855" i="1"/>
  <c r="J2727" i="1"/>
  <c r="J3134" i="1"/>
  <c r="J2922" i="1"/>
  <c r="J3082" i="1"/>
  <c r="J2813" i="1"/>
  <c r="J3814" i="1"/>
  <c r="J3750" i="1"/>
  <c r="J3622" i="1"/>
  <c r="J3990" i="1"/>
  <c r="J3926" i="1"/>
  <c r="J3862" i="1"/>
  <c r="J3798" i="1"/>
  <c r="J3734" i="1"/>
  <c r="J3670" i="1"/>
  <c r="J3606" i="1"/>
  <c r="J3985" i="1"/>
  <c r="J3921" i="1"/>
  <c r="J3857" i="1"/>
  <c r="J3793" i="1"/>
  <c r="J3729" i="1"/>
  <c r="J3665" i="1"/>
  <c r="J3601" i="1"/>
  <c r="J3537" i="1"/>
  <c r="J3980" i="1"/>
  <c r="J3916" i="1"/>
  <c r="J3852" i="1"/>
  <c r="J3788" i="1"/>
  <c r="J3724" i="1"/>
  <c r="J3660" i="1"/>
  <c r="J3596" i="1"/>
  <c r="J3532" i="1"/>
  <c r="J3975" i="1"/>
  <c r="J3911" i="1"/>
  <c r="J3847" i="1"/>
  <c r="J3783" i="1"/>
  <c r="J3719" i="1"/>
  <c r="J3655" i="1"/>
  <c r="J3555" i="1"/>
  <c r="J3461" i="1"/>
  <c r="J3397" i="1"/>
  <c r="J3333" i="1"/>
  <c r="J3269" i="1"/>
  <c r="J3205" i="1"/>
  <c r="J3141" i="1"/>
  <c r="J3077" i="1"/>
  <c r="J3546" i="1"/>
  <c r="J3456" i="1"/>
  <c r="J3392" i="1"/>
  <c r="J3328" i="1"/>
  <c r="J3264" i="1"/>
  <c r="J3200" i="1"/>
  <c r="J3136" i="1"/>
  <c r="J3535" i="1"/>
  <c r="J3451" i="1"/>
  <c r="J3387" i="1"/>
  <c r="J3323" i="1"/>
  <c r="J3259" i="1"/>
  <c r="J3534" i="1"/>
  <c r="J3450" i="1"/>
  <c r="J3386" i="1"/>
  <c r="J3322" i="1"/>
  <c r="J3246" i="1"/>
  <c r="J3106" i="1"/>
  <c r="J3020" i="1"/>
  <c r="J2956" i="1"/>
  <c r="J2892" i="1"/>
  <c r="J2828" i="1"/>
  <c r="J2764" i="1"/>
  <c r="J2700" i="1"/>
  <c r="J4002" i="1"/>
  <c r="J3938" i="1"/>
  <c r="J3874" i="1"/>
  <c r="J3810" i="1"/>
  <c r="J3746" i="1"/>
  <c r="J3682" i="1"/>
  <c r="J3618" i="1"/>
  <c r="J3997" i="1"/>
  <c r="J3933" i="1"/>
  <c r="J3869" i="1"/>
  <c r="J3805" i="1"/>
  <c r="J3741" i="1"/>
  <c r="J3677" i="1"/>
  <c r="J3613" i="1"/>
  <c r="J3549" i="1"/>
  <c r="J3992" i="1"/>
  <c r="J3928" i="1"/>
  <c r="J3864" i="1"/>
  <c r="J3800" i="1"/>
  <c r="J3736" i="1"/>
  <c r="J3672" i="1"/>
  <c r="J3608" i="1"/>
  <c r="J3544" i="1"/>
  <c r="J3987" i="1"/>
  <c r="J3923" i="1"/>
  <c r="J3859" i="1"/>
  <c r="J3795" i="1"/>
  <c r="J3731" i="1"/>
  <c r="J3667" i="1"/>
  <c r="J3599" i="1"/>
  <c r="J3473" i="1"/>
  <c r="J3409" i="1"/>
  <c r="J3345" i="1"/>
  <c r="J3281" i="1"/>
  <c r="J3217" i="1"/>
  <c r="J3153" i="1"/>
  <c r="J3089" i="1"/>
  <c r="J3579" i="1"/>
  <c r="J3468" i="1"/>
  <c r="J3404" i="1"/>
  <c r="J3340" i="1"/>
  <c r="J3276" i="1"/>
  <c r="J3212" i="1"/>
  <c r="J3148" i="1"/>
  <c r="J3559" i="1"/>
  <c r="J3463" i="1"/>
  <c r="J3399" i="1"/>
  <c r="J3335" i="1"/>
  <c r="J3271" i="1"/>
  <c r="J3558" i="1"/>
  <c r="J3462" i="1"/>
  <c r="J3398" i="1"/>
  <c r="J3334" i="1"/>
  <c r="J3270" i="1"/>
  <c r="J3130" i="1"/>
  <c r="J3032" i="1"/>
  <c r="J2968" i="1"/>
  <c r="J2904" i="1"/>
  <c r="J2840" i="1"/>
  <c r="J2776" i="1"/>
  <c r="J2712" i="1"/>
  <c r="J3199" i="1"/>
  <c r="J3918" i="1"/>
  <c r="J3854" i="1"/>
  <c r="J3790" i="1"/>
  <c r="J3726" i="1"/>
  <c r="J3662" i="1"/>
  <c r="J3598" i="1"/>
  <c r="J3977" i="1"/>
  <c r="J3913" i="1"/>
  <c r="J3849" i="1"/>
  <c r="J3785" i="1"/>
  <c r="J3721" i="1"/>
  <c r="J3657" i="1"/>
  <c r="J3593" i="1"/>
  <c r="J3529" i="1"/>
  <c r="J3972" i="1"/>
  <c r="J3908" i="1"/>
  <c r="J3844" i="1"/>
  <c r="J3780" i="1"/>
  <c r="J3716" i="1"/>
  <c r="J3652" i="1"/>
  <c r="J3588" i="1"/>
  <c r="J3524" i="1"/>
  <c r="J3967" i="1"/>
  <c r="J3903" i="1"/>
  <c r="J3839" i="1"/>
  <c r="J3775" i="1"/>
  <c r="J3711" i="1"/>
  <c r="J3647" i="1"/>
  <c r="J3539" i="1"/>
  <c r="J3453" i="1"/>
  <c r="J3389" i="1"/>
  <c r="J3325" i="1"/>
  <c r="J3261" i="1"/>
  <c r="J3197" i="1"/>
  <c r="J3133" i="1"/>
  <c r="J3069" i="1"/>
  <c r="J3530" i="1"/>
  <c r="J3448" i="1"/>
  <c r="J3384" i="1"/>
  <c r="J3320" i="1"/>
  <c r="J3256" i="1"/>
  <c r="J3192" i="1"/>
  <c r="J3128" i="1"/>
  <c r="J3519" i="1"/>
  <c r="J3443" i="1"/>
  <c r="J3379" i="1"/>
  <c r="J3315" i="1"/>
  <c r="J3251" i="1"/>
  <c r="J3518" i="1"/>
  <c r="J3442" i="1"/>
  <c r="J3378" i="1"/>
  <c r="J3314" i="1"/>
  <c r="J3218" i="1"/>
  <c r="J3091" i="1"/>
  <c r="J3012" i="1"/>
  <c r="J2948" i="1"/>
  <c r="J2884" i="1"/>
  <c r="J2820" i="1"/>
  <c r="J2756" i="1"/>
  <c r="J2692" i="1"/>
  <c r="J3998" i="1"/>
  <c r="J3946" i="1"/>
  <c r="J3882" i="1"/>
  <c r="J3818" i="1"/>
  <c r="J3754" i="1"/>
  <c r="J3690" i="1"/>
  <c r="J3626" i="1"/>
  <c r="J3562" i="1"/>
  <c r="J3941" i="1"/>
  <c r="J3877" i="1"/>
  <c r="J3813" i="1"/>
  <c r="J3749" i="1"/>
  <c r="J3685" i="1"/>
  <c r="J3621" i="1"/>
  <c r="J3557" i="1"/>
  <c r="J4000" i="1"/>
  <c r="J3936" i="1"/>
  <c r="J3872" i="1"/>
  <c r="J3808" i="1"/>
  <c r="J3744" i="1"/>
  <c r="J3680" i="1"/>
  <c r="J3616" i="1"/>
  <c r="J3552" i="1"/>
  <c r="J3995" i="1"/>
  <c r="J3931" i="1"/>
  <c r="J3867" i="1"/>
  <c r="J3803" i="1"/>
  <c r="J3739" i="1"/>
  <c r="J3675" i="1"/>
  <c r="J3611" i="1"/>
  <c r="J3481" i="1"/>
  <c r="J3417" i="1"/>
  <c r="J3353" i="1"/>
  <c r="J3289" i="1"/>
  <c r="J3225" i="1"/>
  <c r="J3161" i="1"/>
  <c r="J3097" i="1"/>
  <c r="J3033" i="1"/>
  <c r="J3476" i="1"/>
  <c r="J3412" i="1"/>
  <c r="J3348" i="1"/>
  <c r="J3284" i="1"/>
  <c r="J3220" i="1"/>
  <c r="J3156" i="1"/>
  <c r="J3591" i="1"/>
  <c r="J3471" i="1"/>
  <c r="J3407" i="1"/>
  <c r="J3343" i="1"/>
  <c r="J3279" i="1"/>
  <c r="J3587" i="1"/>
  <c r="J3470" i="1"/>
  <c r="J3406" i="1"/>
  <c r="J3342" i="1"/>
  <c r="J3278" i="1"/>
  <c r="J3146" i="1"/>
  <c r="J3043" i="1"/>
  <c r="J2976" i="1"/>
  <c r="J2912" i="1"/>
  <c r="J2848" i="1"/>
  <c r="J2768" i="1"/>
  <c r="J2656" i="1"/>
  <c r="J3074" i="1"/>
  <c r="J2935" i="1"/>
  <c r="J2807" i="1"/>
  <c r="J2679" i="1"/>
  <c r="J3056" i="1"/>
  <c r="J2858" i="1"/>
  <c r="J3005" i="1"/>
  <c r="J2749" i="1"/>
  <c r="J3846" i="1"/>
  <c r="J3782" i="1"/>
  <c r="J3718" i="1"/>
  <c r="J3654" i="1"/>
  <c r="J3590" i="1"/>
  <c r="J3969" i="1"/>
  <c r="J3905" i="1"/>
  <c r="J3841" i="1"/>
  <c r="J3777" i="1"/>
  <c r="J3713" i="1"/>
  <c r="J3649" i="1"/>
  <c r="J3585" i="1"/>
  <c r="J3521" i="1"/>
  <c r="J3964" i="1"/>
  <c r="J3900" i="1"/>
  <c r="J3836" i="1"/>
  <c r="J3772" i="1"/>
  <c r="J3708" i="1"/>
  <c r="J3644" i="1"/>
  <c r="J3580" i="1"/>
  <c r="J3516" i="1"/>
  <c r="J3959" i="1"/>
  <c r="J3895" i="1"/>
  <c r="J3831" i="1"/>
  <c r="J3767" i="1"/>
  <c r="J3703" i="1"/>
  <c r="J3639" i="1"/>
  <c r="J3523" i="1"/>
  <c r="J3445" i="1"/>
  <c r="J3381" i="1"/>
  <c r="J3317" i="1"/>
  <c r="J3253" i="1"/>
  <c r="J3189" i="1"/>
  <c r="J3125" i="1"/>
  <c r="J3061" i="1"/>
  <c r="J3514" i="1"/>
  <c r="J3440" i="1"/>
  <c r="J3376" i="1"/>
  <c r="J3312" i="1"/>
  <c r="J3248" i="1"/>
  <c r="J3184" i="1"/>
  <c r="J3120" i="1"/>
  <c r="J3503" i="1"/>
  <c r="J3435" i="1"/>
  <c r="J3371" i="1"/>
  <c r="J3307" i="1"/>
  <c r="J3243" i="1"/>
  <c r="J3502" i="1"/>
  <c r="J3434" i="1"/>
  <c r="J3370" i="1"/>
  <c r="J3306" i="1"/>
  <c r="J3202" i="1"/>
  <c r="J3080" i="1"/>
  <c r="J3004" i="1"/>
  <c r="J2940" i="1"/>
  <c r="J2876" i="1"/>
  <c r="J2812" i="1"/>
  <c r="J2748" i="1"/>
  <c r="J2684" i="1"/>
  <c r="J3986" i="1"/>
  <c r="J3922" i="1"/>
  <c r="J3858" i="1"/>
  <c r="J3794" i="1"/>
  <c r="J3730" i="1"/>
  <c r="J3666" i="1"/>
  <c r="J3602" i="1"/>
  <c r="J3981" i="1"/>
  <c r="J3917" i="1"/>
  <c r="J3853" i="1"/>
  <c r="J3789" i="1"/>
  <c r="J3725" i="1"/>
  <c r="J3661" i="1"/>
  <c r="J3597" i="1"/>
  <c r="J3533" i="1"/>
  <c r="J3976" i="1"/>
  <c r="J3912" i="1"/>
  <c r="J3848" i="1"/>
  <c r="J3784" i="1"/>
  <c r="J3720" i="1"/>
  <c r="J3656" i="1"/>
  <c r="J3592" i="1"/>
  <c r="J3528" i="1"/>
  <c r="J3971" i="1"/>
  <c r="J3907" i="1"/>
  <c r="J3843" i="1"/>
  <c r="J3779" i="1"/>
  <c r="J3715" i="1"/>
  <c r="J3651" i="1"/>
  <c r="J3547" i="1"/>
  <c r="J3457" i="1"/>
  <c r="J3393" i="1"/>
  <c r="J3329" i="1"/>
  <c r="J3265" i="1"/>
  <c r="J3201" i="1"/>
  <c r="J3137" i="1"/>
  <c r="J3073" i="1"/>
  <c r="J3538" i="1"/>
  <c r="J3452" i="1"/>
  <c r="J3388" i="1"/>
  <c r="J3324" i="1"/>
  <c r="J3260" i="1"/>
  <c r="J3196" i="1"/>
  <c r="J3132" i="1"/>
  <c r="J3527" i="1"/>
  <c r="J3447" i="1"/>
  <c r="J3383" i="1"/>
  <c r="J3319" i="1"/>
  <c r="J3255" i="1"/>
  <c r="J3526" i="1"/>
  <c r="J3446" i="1"/>
  <c r="J3382" i="1"/>
  <c r="J3318" i="1"/>
  <c r="J3230" i="1"/>
  <c r="J3098" i="1"/>
  <c r="J3016" i="1"/>
  <c r="J2952" i="1"/>
  <c r="J2888" i="1"/>
  <c r="J2824" i="1"/>
  <c r="J2760" i="1"/>
  <c r="J2696" i="1"/>
  <c r="J3982" i="1"/>
  <c r="J3902" i="1"/>
  <c r="J3838" i="1"/>
  <c r="J3774" i="1"/>
  <c r="J3710" i="1"/>
  <c r="J3646" i="1"/>
  <c r="J3582" i="1"/>
  <c r="J3961" i="1"/>
  <c r="J3897" i="1"/>
  <c r="J3833" i="1"/>
  <c r="J3769" i="1"/>
  <c r="J3705" i="1"/>
  <c r="J3641" i="1"/>
  <c r="J3577" i="1"/>
  <c r="J3513" i="1"/>
  <c r="J3956" i="1"/>
  <c r="J3892" i="1"/>
  <c r="J3828" i="1"/>
  <c r="J3764" i="1"/>
  <c r="J3700" i="1"/>
  <c r="J3636" i="1"/>
  <c r="J3572" i="1"/>
  <c r="J3508" i="1"/>
  <c r="J3951" i="1"/>
  <c r="J3887" i="1"/>
  <c r="J3823" i="1"/>
  <c r="J3759" i="1"/>
  <c r="J3695" i="1"/>
  <c r="J3631" i="1"/>
  <c r="J3507" i="1"/>
  <c r="J3437" i="1"/>
  <c r="J3373" i="1"/>
  <c r="J3309" i="1"/>
  <c r="J3245" i="1"/>
  <c r="J3181" i="1"/>
  <c r="J3117" i="1"/>
  <c r="J3053" i="1"/>
  <c r="J3498" i="1"/>
  <c r="J3432" i="1"/>
  <c r="J3368" i="1"/>
  <c r="J3304" i="1"/>
  <c r="J3240" i="1"/>
  <c r="J3176" i="1"/>
  <c r="J3112" i="1"/>
  <c r="J3491" i="1"/>
  <c r="J3427" i="1"/>
  <c r="J3363" i="1"/>
  <c r="J3299" i="1"/>
  <c r="J3235" i="1"/>
  <c r="J3490" i="1"/>
  <c r="J3426" i="1"/>
  <c r="J3362" i="1"/>
  <c r="J3298" i="1"/>
  <c r="J3186" i="1"/>
  <c r="J3070" i="1"/>
  <c r="J2996" i="1"/>
  <c r="J2932" i="1"/>
  <c r="J2868" i="1"/>
  <c r="J2804" i="1"/>
  <c r="J2740" i="1"/>
  <c r="J2676" i="1"/>
  <c r="J3994" i="1"/>
  <c r="J3930" i="1"/>
  <c r="J3866" i="1"/>
  <c r="J3802" i="1"/>
  <c r="J3738" i="1"/>
  <c r="J3674" i="1"/>
  <c r="J3610" i="1"/>
  <c r="J3989" i="1"/>
  <c r="J3925" i="1"/>
  <c r="J3861" i="1"/>
  <c r="J3797" i="1"/>
  <c r="J3733" i="1"/>
  <c r="J3669" i="1"/>
  <c r="J3605" i="1"/>
  <c r="J3541" i="1"/>
  <c r="J3984" i="1"/>
  <c r="J3920" i="1"/>
  <c r="J3856" i="1"/>
  <c r="J3792" i="1"/>
  <c r="J3728" i="1"/>
  <c r="J3664" i="1"/>
  <c r="J3600" i="1"/>
  <c r="J3536" i="1"/>
  <c r="J3979" i="1"/>
  <c r="J3915" i="1"/>
  <c r="J3851" i="1"/>
  <c r="J3787" i="1"/>
  <c r="J3723" i="1"/>
  <c r="J3659" i="1"/>
  <c r="J3567" i="1"/>
  <c r="J3465" i="1"/>
  <c r="J3401" i="1"/>
  <c r="J3337" i="1"/>
  <c r="J3273" i="1"/>
  <c r="J3209" i="1"/>
  <c r="J3145" i="1"/>
  <c r="J3081" i="1"/>
  <c r="J3554" i="1"/>
  <c r="J3460" i="1"/>
  <c r="J3396" i="1"/>
  <c r="J3332" i="1"/>
  <c r="J3268" i="1"/>
  <c r="J3204" i="1"/>
  <c r="J3140" i="1"/>
  <c r="J3543" i="1"/>
  <c r="J3455" i="1"/>
  <c r="J3391" i="1"/>
  <c r="J3327" i="1"/>
  <c r="J3263" i="1"/>
  <c r="J3542" i="1"/>
  <c r="J3454" i="1"/>
  <c r="J3390" i="1"/>
  <c r="J3326" i="1"/>
  <c r="J3262" i="1"/>
  <c r="J3114" i="1"/>
  <c r="J3024" i="1"/>
  <c r="J2960" i="1"/>
  <c r="J2896" i="1"/>
  <c r="J2832" i="1"/>
  <c r="J2752" i="1"/>
  <c r="J3135" i="1"/>
  <c r="J3052" i="1"/>
  <c r="J2919" i="1"/>
  <c r="J2791" i="1"/>
  <c r="J2663" i="1"/>
  <c r="J3035" i="1"/>
  <c r="J2794" i="1"/>
  <c r="J2941" i="1"/>
  <c r="J2685" i="1"/>
  <c r="J2688" i="1"/>
  <c r="J2652" i="1"/>
  <c r="J3127" i="1"/>
  <c r="J3031" i="1"/>
  <c r="J2967" i="1"/>
  <c r="J2903" i="1"/>
  <c r="J2839" i="1"/>
  <c r="J2775" i="1"/>
  <c r="J2711" i="1"/>
  <c r="J3238" i="1"/>
  <c r="J3102" i="1"/>
  <c r="J3018" i="1"/>
  <c r="J2954" i="1"/>
  <c r="J2890" i="1"/>
  <c r="J2826" i="1"/>
  <c r="J2762" i="1"/>
  <c r="J3139" i="1"/>
  <c r="J3039" i="1"/>
  <c r="J2973" i="1"/>
  <c r="J2909" i="1"/>
  <c r="J2845" i="1"/>
  <c r="J2781" i="1"/>
  <c r="J2717" i="1"/>
  <c r="J2653" i="1"/>
  <c r="J2620" i="1"/>
  <c r="J2556" i="1"/>
  <c r="J2492" i="1"/>
  <c r="J2428" i="1"/>
  <c r="J2364" i="1"/>
  <c r="J2300" i="1"/>
  <c r="J2236" i="1"/>
  <c r="J2710" i="1"/>
  <c r="J2599" i="1"/>
  <c r="J2535" i="1"/>
  <c r="J2471" i="1"/>
  <c r="J2407" i="1"/>
  <c r="J2343" i="1"/>
  <c r="J2279" i="1"/>
  <c r="J2215" i="1"/>
  <c r="J2690" i="1"/>
  <c r="J2594" i="1"/>
  <c r="J2530" i="1"/>
  <c r="J2466" i="1"/>
  <c r="J2402" i="1"/>
  <c r="J2338" i="1"/>
  <c r="J2274" i="1"/>
  <c r="J2210" i="1"/>
  <c r="J2670" i="1"/>
  <c r="J2589" i="1"/>
  <c r="J2525" i="1"/>
  <c r="J2461" i="1"/>
  <c r="J2397" i="1"/>
  <c r="J2333" i="1"/>
  <c r="J2269" i="1"/>
  <c r="J2205" i="1"/>
  <c r="J2139" i="1"/>
  <c r="J2075" i="1"/>
  <c r="J2011" i="1"/>
  <c r="J1263" i="1"/>
  <c r="J1421" i="1"/>
  <c r="J1412" i="1"/>
  <c r="J1441" i="1"/>
  <c r="J1480" i="1"/>
  <c r="J1445" i="1"/>
  <c r="J1339" i="1"/>
  <c r="J3215" i="1"/>
  <c r="J3090" i="1"/>
  <c r="J3011" i="1"/>
  <c r="J2947" i="1"/>
  <c r="J2883" i="1"/>
  <c r="J2819" i="1"/>
  <c r="J2755" i="1"/>
  <c r="J2691" i="1"/>
  <c r="J3190" i="1"/>
  <c r="J3072" i="1"/>
  <c r="J2998" i="1"/>
  <c r="J2934" i="1"/>
  <c r="J2870" i="1"/>
  <c r="J2806" i="1"/>
  <c r="J3234" i="1"/>
  <c r="J3099" i="1"/>
  <c r="J3017" i="1"/>
  <c r="J2953" i="1"/>
  <c r="J2889" i="1"/>
  <c r="J2825" i="1"/>
  <c r="J2761" i="1"/>
  <c r="J2697" i="1"/>
  <c r="J2714" i="1"/>
  <c r="J2600" i="1"/>
  <c r="J2536" i="1"/>
  <c r="J2472" i="1"/>
  <c r="J2408" i="1"/>
  <c r="J2344" i="1"/>
  <c r="J2280" i="1"/>
  <c r="J2216" i="1"/>
  <c r="J2643" i="1"/>
  <c r="J2579" i="1"/>
  <c r="J2515" i="1"/>
  <c r="J2451" i="1"/>
  <c r="J2387" i="1"/>
  <c r="J2323" i="1"/>
  <c r="J2259" i="1"/>
  <c r="J2195" i="1"/>
  <c r="J2638" i="1"/>
  <c r="J2574" i="1"/>
  <c r="J2510" i="1"/>
  <c r="J2446" i="1"/>
  <c r="J2382" i="1"/>
  <c r="J2318" i="1"/>
  <c r="J2254" i="1"/>
  <c r="J2190" i="1"/>
  <c r="J2633" i="1"/>
  <c r="J2569" i="1"/>
  <c r="J2505" i="1"/>
  <c r="J2441" i="1"/>
  <c r="J2377" i="1"/>
  <c r="J2313" i="1"/>
  <c r="J2249" i="1"/>
  <c r="J2185" i="1"/>
  <c r="J2119" i="1"/>
  <c r="J2055" i="1"/>
  <c r="J1215" i="1"/>
  <c r="J1040" i="1"/>
  <c r="J1294" i="1"/>
  <c r="J1060" i="1"/>
  <c r="J1314" i="1"/>
  <c r="J1064" i="1"/>
  <c r="J1318" i="1"/>
  <c r="J1017" i="1"/>
  <c r="J3175" i="1"/>
  <c r="J3063" i="1"/>
  <c r="J2991" i="1"/>
  <c r="J2927" i="1"/>
  <c r="J2863" i="1"/>
  <c r="J2799" i="1"/>
  <c r="J2735" i="1"/>
  <c r="J2671" i="1"/>
  <c r="J3150" i="1"/>
  <c r="J3046" i="1"/>
  <c r="J2978" i="1"/>
  <c r="J2914" i="1"/>
  <c r="J2850" i="1"/>
  <c r="J2786" i="1"/>
  <c r="J3187" i="1"/>
  <c r="J3071" i="1"/>
  <c r="J2997" i="1"/>
  <c r="J2933" i="1"/>
  <c r="J2869" i="1"/>
  <c r="J2805" i="1"/>
  <c r="J2741" i="1"/>
  <c r="J2677" i="1"/>
  <c r="J2644" i="1"/>
  <c r="J2580" i="1"/>
  <c r="J2516" i="1"/>
  <c r="J2452" i="1"/>
  <c r="J2388" i="1"/>
  <c r="J2324" i="1"/>
  <c r="J2260" i="1"/>
  <c r="J2196" i="1"/>
  <c r="J2623" i="1"/>
  <c r="J2559" i="1"/>
  <c r="J2495" i="1"/>
  <c r="J2431" i="1"/>
  <c r="J2367" i="1"/>
  <c r="J2303" i="1"/>
  <c r="J2239" i="1"/>
  <c r="J2175" i="1"/>
  <c r="J2618" i="1"/>
  <c r="J2554" i="1"/>
  <c r="J2490" i="1"/>
  <c r="J2426" i="1"/>
  <c r="J2362" i="1"/>
  <c r="J2298" i="1"/>
  <c r="J2234" i="1"/>
  <c r="J2170" i="1"/>
  <c r="J2613" i="1"/>
  <c r="J2549" i="1"/>
  <c r="J2485" i="1"/>
  <c r="J2421" i="1"/>
  <c r="J2357" i="1"/>
  <c r="J2293" i="1"/>
  <c r="J2229" i="1"/>
  <c r="J2163" i="1"/>
  <c r="J2099" i="1"/>
  <c r="J2035" i="1"/>
  <c r="J1095" i="1"/>
  <c r="J1037" i="1"/>
  <c r="J69" i="1"/>
  <c r="J1057" i="1"/>
  <c r="J27" i="1"/>
  <c r="J1061" i="1"/>
  <c r="J906" i="1"/>
  <c r="J46" i="1"/>
  <c r="J3036" i="1"/>
  <c r="J2971" i="1"/>
  <c r="J2907" i="1"/>
  <c r="J2843" i="1"/>
  <c r="J2779" i="1"/>
  <c r="J2715" i="1"/>
  <c r="J3254" i="1"/>
  <c r="J3110" i="1"/>
  <c r="J3022" i="1"/>
  <c r="J2958" i="1"/>
  <c r="J2894" i="1"/>
  <c r="J2830" i="1"/>
  <c r="J2766" i="1"/>
  <c r="J3147" i="1"/>
  <c r="J3044" i="1"/>
  <c r="J2977" i="1"/>
  <c r="J2913" i="1"/>
  <c r="J2849" i="1"/>
  <c r="J2785" i="1"/>
  <c r="J2721" i="1"/>
  <c r="J2657" i="1"/>
  <c r="J2624" i="1"/>
  <c r="J2560" i="1"/>
  <c r="J2496" i="1"/>
  <c r="J2432" i="1"/>
  <c r="J2368" i="1"/>
  <c r="J2304" i="1"/>
  <c r="J2240" i="1"/>
  <c r="J2726" i="1"/>
  <c r="J2603" i="1"/>
  <c r="J2539" i="1"/>
  <c r="J2475" i="1"/>
  <c r="J2411" i="1"/>
  <c r="J2347" i="1"/>
  <c r="J2283" i="1"/>
  <c r="J2219" i="1"/>
  <c r="J2706" i="1"/>
  <c r="J2598" i="1"/>
  <c r="J2534" i="1"/>
  <c r="J2470" i="1"/>
  <c r="J2406" i="1"/>
  <c r="J2342" i="1"/>
  <c r="J2278" i="1"/>
  <c r="J2214" i="1"/>
  <c r="J2686" i="1"/>
  <c r="J2593" i="1"/>
  <c r="J2529" i="1"/>
  <c r="J2465" i="1"/>
  <c r="J2401" i="1"/>
  <c r="J2337" i="1"/>
  <c r="J2273" i="1"/>
  <c r="J2209" i="1"/>
  <c r="J2143" i="1"/>
  <c r="J2079" i="1"/>
  <c r="J2015" i="1"/>
  <c r="J1167" i="1"/>
  <c r="J1357" i="1"/>
  <c r="J1443" i="1"/>
  <c r="J1447" i="1"/>
  <c r="J1084" i="1"/>
  <c r="J2800" i="1"/>
  <c r="J2736" i="1"/>
  <c r="J2672" i="1"/>
  <c r="J3226" i="1"/>
  <c r="J3095" i="1"/>
  <c r="J3015" i="1"/>
  <c r="J2951" i="1"/>
  <c r="J2887" i="1"/>
  <c r="J2823" i="1"/>
  <c r="J2759" i="1"/>
  <c r="J2695" i="1"/>
  <c r="J3198" i="1"/>
  <c r="J3078" i="1"/>
  <c r="J3002" i="1"/>
  <c r="J2938" i="1"/>
  <c r="J2874" i="1"/>
  <c r="J2810" i="1"/>
  <c r="J3250" i="1"/>
  <c r="J3107" i="1"/>
  <c r="J3021" i="1"/>
  <c r="J2957" i="1"/>
  <c r="J2893" i="1"/>
  <c r="J2829" i="1"/>
  <c r="J2765" i="1"/>
  <c r="J2701" i="1"/>
  <c r="J2730" i="1"/>
  <c r="J2604" i="1"/>
  <c r="J2540" i="1"/>
  <c r="J2476" i="1"/>
  <c r="J2412" i="1"/>
  <c r="J2348" i="1"/>
  <c r="J2284" i="1"/>
  <c r="J2220" i="1"/>
  <c r="J2650" i="1"/>
  <c r="J2583" i="1"/>
  <c r="J2519" i="1"/>
  <c r="J2455" i="1"/>
  <c r="J2391" i="1"/>
  <c r="J2327" i="1"/>
  <c r="J2263" i="1"/>
  <c r="J2199" i="1"/>
  <c r="J2642" i="1"/>
  <c r="J2578" i="1"/>
  <c r="J2514" i="1"/>
  <c r="J2450" i="1"/>
  <c r="J2386" i="1"/>
  <c r="J2322" i="1"/>
  <c r="J2258" i="1"/>
  <c r="J2194" i="1"/>
  <c r="J2637" i="1"/>
  <c r="J2573" i="1"/>
  <c r="J2509" i="1"/>
  <c r="J2445" i="1"/>
  <c r="J2381" i="1"/>
  <c r="J2317" i="1"/>
  <c r="J2253" i="1"/>
  <c r="J2189" i="1"/>
  <c r="J2123" i="1"/>
  <c r="J2059" i="1"/>
  <c r="J1135" i="1"/>
  <c r="J1487" i="1"/>
  <c r="J1230" i="1"/>
  <c r="J70" i="1"/>
  <c r="J1250" i="1"/>
  <c r="J74" i="1"/>
  <c r="J1254" i="1"/>
  <c r="J1148" i="1"/>
  <c r="J3183" i="1"/>
  <c r="J3068" i="1"/>
  <c r="J2995" i="1"/>
  <c r="J2931" i="1"/>
  <c r="J2867" i="1"/>
  <c r="J2803" i="1"/>
  <c r="J2739" i="1"/>
  <c r="J2675" i="1"/>
  <c r="J3158" i="1"/>
  <c r="J3051" i="1"/>
  <c r="J2982" i="1"/>
  <c r="J2918" i="1"/>
  <c r="J2854" i="1"/>
  <c r="J2790" i="1"/>
  <c r="J3195" i="1"/>
  <c r="J3076" i="1"/>
  <c r="J3001" i="1"/>
  <c r="J2937" i="1"/>
  <c r="J2873" i="1"/>
  <c r="J2809" i="1"/>
  <c r="J2745" i="1"/>
  <c r="J2681" i="1"/>
  <c r="J2651" i="1"/>
  <c r="J2584" i="1"/>
  <c r="J2520" i="1"/>
  <c r="J2456" i="1"/>
  <c r="J2392" i="1"/>
  <c r="J2328" i="1"/>
  <c r="J2264" i="1"/>
  <c r="J2200" i="1"/>
  <c r="J2627" i="1"/>
  <c r="J2563" i="1"/>
  <c r="J2499" i="1"/>
  <c r="J2435" i="1"/>
  <c r="J2371" i="1"/>
  <c r="J2307" i="1"/>
  <c r="J2243" i="1"/>
  <c r="J2179" i="1"/>
  <c r="J2622" i="1"/>
  <c r="J2558" i="1"/>
  <c r="J2494" i="1"/>
  <c r="J2430" i="1"/>
  <c r="J2366" i="1"/>
  <c r="J2302" i="1"/>
  <c r="J2238" i="1"/>
  <c r="J2174" i="1"/>
  <c r="J2617" i="1"/>
  <c r="J2553" i="1"/>
  <c r="J2489" i="1"/>
  <c r="J2425" i="1"/>
  <c r="J2361" i="1"/>
  <c r="J2297" i="1"/>
  <c r="J2233" i="1"/>
  <c r="J2169" i="1"/>
  <c r="J2103" i="1"/>
  <c r="J2039" i="1"/>
  <c r="J1015" i="1"/>
  <c r="J1296" i="1"/>
  <c r="J1477" i="1"/>
  <c r="J1316" i="1"/>
  <c r="J47" i="1"/>
  <c r="J1320" i="1"/>
  <c r="J1503" i="1"/>
  <c r="J1338" i="1"/>
  <c r="J3143" i="1"/>
  <c r="J3042" i="1"/>
  <c r="J2975" i="1"/>
  <c r="J2911" i="1"/>
  <c r="J2847" i="1"/>
  <c r="J2783" i="1"/>
  <c r="J2719" i="1"/>
  <c r="J2655" i="1"/>
  <c r="J3118" i="1"/>
  <c r="J3026" i="1"/>
  <c r="J2962" i="1"/>
  <c r="J2898" i="1"/>
  <c r="J2834" i="1"/>
  <c r="J2770" i="1"/>
  <c r="J3155" i="1"/>
  <c r="J3050" i="1"/>
  <c r="J2981" i="1"/>
  <c r="J2917" i="1"/>
  <c r="J2853" i="1"/>
  <c r="J2789" i="1"/>
  <c r="J2725" i="1"/>
  <c r="J2661" i="1"/>
  <c r="J2628" i="1"/>
  <c r="J2564" i="1"/>
  <c r="J2500" i="1"/>
  <c r="J2436" i="1"/>
  <c r="J2372" i="1"/>
  <c r="J2308" i="1"/>
  <c r="J2244" i="1"/>
  <c r="J2742" i="1"/>
  <c r="J2607" i="1"/>
  <c r="J2543" i="1"/>
  <c r="J2479" i="1"/>
  <c r="J2415" i="1"/>
  <c r="J2351" i="1"/>
  <c r="J2287" i="1"/>
  <c r="J2223" i="1"/>
  <c r="J2722" i="1"/>
  <c r="J2602" i="1"/>
  <c r="J2538" i="1"/>
  <c r="J2474" i="1"/>
  <c r="J2410" i="1"/>
  <c r="J2346" i="1"/>
  <c r="J2282" i="1"/>
  <c r="J2218" i="1"/>
  <c r="J2702" i="1"/>
  <c r="J2597" i="1"/>
  <c r="J2533" i="1"/>
  <c r="J2469" i="1"/>
  <c r="J2405" i="1"/>
  <c r="J2341" i="1"/>
  <c r="J2277" i="1"/>
  <c r="J2213" i="1"/>
  <c r="J2147" i="1"/>
  <c r="J2083" i="1"/>
  <c r="J2019" i="1"/>
  <c r="J1099" i="1"/>
  <c r="J1293" i="1"/>
  <c r="J687" i="1"/>
  <c r="J1313" i="1"/>
  <c r="J864" i="1"/>
  <c r="J1317" i="1"/>
  <c r="J1496" i="1"/>
  <c r="J3103" i="1"/>
  <c r="J3019" i="1"/>
  <c r="J2955" i="1"/>
  <c r="J2891" i="1"/>
  <c r="J2827" i="1"/>
  <c r="J2763" i="1"/>
  <c r="J2699" i="1"/>
  <c r="J3206" i="1"/>
  <c r="J3083" i="1"/>
  <c r="J3006" i="1"/>
  <c r="J2942" i="1"/>
  <c r="J2878" i="1"/>
  <c r="J2814" i="1"/>
  <c r="J2750" i="1"/>
  <c r="J3115" i="1"/>
  <c r="J3025" i="1"/>
  <c r="J2961" i="1"/>
  <c r="J2897" i="1"/>
  <c r="J2833" i="1"/>
  <c r="J2769" i="1"/>
  <c r="J2705" i="1"/>
  <c r="J2746" i="1"/>
  <c r="J2608" i="1"/>
  <c r="J2544" i="1"/>
  <c r="J2480" i="1"/>
  <c r="J2416" i="1"/>
  <c r="J2352" i="1"/>
  <c r="J2288" i="1"/>
  <c r="J2224" i="1"/>
  <c r="J2662" i="1"/>
  <c r="J2587" i="1"/>
  <c r="J2523" i="1"/>
  <c r="J2459" i="1"/>
  <c r="J2395" i="1"/>
  <c r="J2331" i="1"/>
  <c r="J2267" i="1"/>
  <c r="J2203" i="1"/>
  <c r="J2647" i="1"/>
  <c r="J2582" i="1"/>
  <c r="J2518" i="1"/>
  <c r="J2454" i="1"/>
  <c r="J2390" i="1"/>
  <c r="J2326" i="1"/>
  <c r="J2262" i="1"/>
  <c r="J2198" i="1"/>
  <c r="J2641" i="1"/>
  <c r="J2577" i="1"/>
  <c r="J2513" i="1"/>
  <c r="J2449" i="1"/>
  <c r="J2385" i="1"/>
  <c r="J2321" i="1"/>
  <c r="J2257" i="1"/>
  <c r="J2193" i="1"/>
  <c r="J2127" i="1"/>
  <c r="J2063" i="1"/>
  <c r="J1071" i="1"/>
  <c r="J1423" i="1"/>
  <c r="J1166" i="1"/>
  <c r="J1188" i="1"/>
  <c r="J1192" i="1"/>
  <c r="J1273" i="1"/>
  <c r="J2666" i="1"/>
  <c r="J2588" i="1"/>
  <c r="J2524" i="1"/>
  <c r="J2460" i="1"/>
  <c r="J2396" i="1"/>
  <c r="J2332" i="1"/>
  <c r="J2268" i="1"/>
  <c r="J2204" i="1"/>
  <c r="J2631" i="1"/>
  <c r="J2567" i="1"/>
  <c r="J2503" i="1"/>
  <c r="J2439" i="1"/>
  <c r="J2375" i="1"/>
  <c r="J2311" i="1"/>
  <c r="J2247" i="1"/>
  <c r="J2183" i="1"/>
  <c r="J2626" i="1"/>
  <c r="J2562" i="1"/>
  <c r="J2498" i="1"/>
  <c r="J2434" i="1"/>
  <c r="J2370" i="1"/>
  <c r="J2306" i="1"/>
  <c r="J2242" i="1"/>
  <c r="J2178" i="1"/>
  <c r="J2621" i="1"/>
  <c r="J2557" i="1"/>
  <c r="J2493" i="1"/>
  <c r="J2429" i="1"/>
  <c r="J2365" i="1"/>
  <c r="J2301" i="1"/>
  <c r="J2237" i="1"/>
  <c r="J2180" i="1"/>
  <c r="J2107" i="1"/>
  <c r="J2043" i="1"/>
  <c r="J1179" i="1"/>
  <c r="J1232" i="1"/>
  <c r="J1486" i="1"/>
  <c r="J1252" i="1"/>
  <c r="J1328" i="1"/>
  <c r="J1256" i="1"/>
  <c r="J1344" i="1"/>
  <c r="J1082" i="1"/>
  <c r="J3151" i="1"/>
  <c r="J3047" i="1"/>
  <c r="J2979" i="1"/>
  <c r="J2915" i="1"/>
  <c r="J2851" i="1"/>
  <c r="J2787" i="1"/>
  <c r="J2723" i="1"/>
  <c r="J2659" i="1"/>
  <c r="J3126" i="1"/>
  <c r="J3030" i="1"/>
  <c r="J2966" i="1"/>
  <c r="J2902" i="1"/>
  <c r="J2838" i="1"/>
  <c r="J2774" i="1"/>
  <c r="J3163" i="1"/>
  <c r="J3055" i="1"/>
  <c r="J2985" i="1"/>
  <c r="J2921" i="1"/>
  <c r="J2857" i="1"/>
  <c r="J2793" i="1"/>
  <c r="J2729" i="1"/>
  <c r="J2665" i="1"/>
  <c r="J2632" i="1"/>
  <c r="J2568" i="1"/>
  <c r="J2504" i="1"/>
  <c r="J2440" i="1"/>
  <c r="J2376" i="1"/>
  <c r="J2312" i="1"/>
  <c r="J2248" i="1"/>
  <c r="J2184" i="1"/>
  <c r="J2611" i="1"/>
  <c r="J2547" i="1"/>
  <c r="J2483" i="1"/>
  <c r="J2419" i="1"/>
  <c r="J2355" i="1"/>
  <c r="J2291" i="1"/>
  <c r="J2227" i="1"/>
  <c r="J2738" i="1"/>
  <c r="J2606" i="1"/>
  <c r="J2542" i="1"/>
  <c r="J2478" i="1"/>
  <c r="J2414" i="1"/>
  <c r="J2350" i="1"/>
  <c r="J2286" i="1"/>
  <c r="J2222" i="1"/>
  <c r="J2718" i="1"/>
  <c r="J2601" i="1"/>
  <c r="J2537" i="1"/>
  <c r="J2473" i="1"/>
  <c r="J2409" i="1"/>
  <c r="J2345" i="1"/>
  <c r="J2281" i="1"/>
  <c r="J2217" i="1"/>
  <c r="J2151" i="1"/>
  <c r="J2087" i="1"/>
  <c r="J2023" i="1"/>
  <c r="J1035" i="1"/>
  <c r="J1229" i="1"/>
  <c r="J647" i="1"/>
  <c r="J1249" i="1"/>
  <c r="J634" i="1"/>
  <c r="J1253" i="1"/>
  <c r="J795" i="1"/>
  <c r="J3258" i="1"/>
  <c r="J3111" i="1"/>
  <c r="J3023" i="1"/>
  <c r="J2959" i="1"/>
  <c r="J2895" i="1"/>
  <c r="J2831" i="1"/>
  <c r="J2767" i="1"/>
  <c r="J2703" i="1"/>
  <c r="J3214" i="1"/>
  <c r="J3088" i="1"/>
  <c r="J3010" i="1"/>
  <c r="J2946" i="1"/>
  <c r="J2882" i="1"/>
  <c r="J2818" i="1"/>
  <c r="J2754" i="1"/>
  <c r="J3123" i="1"/>
  <c r="J3029" i="1"/>
  <c r="J2965" i="1"/>
  <c r="J2901" i="1"/>
  <c r="J2837" i="1"/>
  <c r="J2773" i="1"/>
  <c r="J2709" i="1"/>
  <c r="J2645" i="1"/>
  <c r="J2612" i="1"/>
  <c r="J2548" i="1"/>
  <c r="J2484" i="1"/>
  <c r="J2420" i="1"/>
  <c r="J2356" i="1"/>
  <c r="J2292" i="1"/>
  <c r="J2228" i="1"/>
  <c r="J2678" i="1"/>
  <c r="J2591" i="1"/>
  <c r="J2527" i="1"/>
  <c r="J2463" i="1"/>
  <c r="J2399" i="1"/>
  <c r="J2335" i="1"/>
  <c r="J2271" i="1"/>
  <c r="J2207" i="1"/>
  <c r="J2658" i="1"/>
  <c r="J2586" i="1"/>
  <c r="J2522" i="1"/>
  <c r="J2458" i="1"/>
  <c r="J2394" i="1"/>
  <c r="J2330" i="1"/>
  <c r="J2266" i="1"/>
  <c r="J2202" i="1"/>
  <c r="J2646" i="1"/>
  <c r="J2581" i="1"/>
  <c r="J2517" i="1"/>
  <c r="J2453" i="1"/>
  <c r="J2389" i="1"/>
  <c r="J2325" i="1"/>
  <c r="J2261" i="1"/>
  <c r="J2197" i="1"/>
  <c r="J2131" i="1"/>
  <c r="J2067" i="1"/>
  <c r="J2003" i="1"/>
  <c r="J1359" i="1"/>
  <c r="J1102" i="1"/>
  <c r="J1379" i="1"/>
  <c r="J1122" i="1"/>
  <c r="J1383" i="1"/>
  <c r="J1126" i="1"/>
  <c r="J1020" i="1"/>
  <c r="J3079" i="1"/>
  <c r="J3003" i="1"/>
  <c r="J2939" i="1"/>
  <c r="J2875" i="1"/>
  <c r="J2811" i="1"/>
  <c r="J2747" i="1"/>
  <c r="J2683" i="1"/>
  <c r="J3174" i="1"/>
  <c r="J3062" i="1"/>
  <c r="J2990" i="1"/>
  <c r="J2926" i="1"/>
  <c r="J2862" i="1"/>
  <c r="J2798" i="1"/>
  <c r="J3211" i="1"/>
  <c r="J3087" i="1"/>
  <c r="J3009" i="1"/>
  <c r="J2945" i="1"/>
  <c r="J2881" i="1"/>
  <c r="J2817" i="1"/>
  <c r="J2753" i="1"/>
  <c r="J2689" i="1"/>
  <c r="J2682" i="1"/>
  <c r="J2592" i="1"/>
  <c r="J2528" i="1"/>
  <c r="J2464" i="1"/>
  <c r="J2400" i="1"/>
  <c r="J2336" i="1"/>
  <c r="J2272" i="1"/>
  <c r="J2208" i="1"/>
  <c r="J2635" i="1"/>
  <c r="J2571" i="1"/>
  <c r="J2507" i="1"/>
  <c r="J2443" i="1"/>
  <c r="J2379" i="1"/>
  <c r="J2315" i="1"/>
  <c r="J2251" i="1"/>
  <c r="J2187" i="1"/>
  <c r="J2630" i="1"/>
  <c r="J2566" i="1"/>
  <c r="J2502" i="1"/>
  <c r="J2438" i="1"/>
  <c r="J2374" i="1"/>
  <c r="J2310" i="1"/>
  <c r="J2246" i="1"/>
  <c r="J2182" i="1"/>
  <c r="J2625" i="1"/>
  <c r="J2561" i="1"/>
  <c r="J2497" i="1"/>
  <c r="J2433" i="1"/>
  <c r="J2369" i="1"/>
  <c r="J2305" i="1"/>
  <c r="J2241" i="1"/>
  <c r="J2177" i="1"/>
  <c r="J2111" i="1"/>
  <c r="J2047" i="1"/>
  <c r="J1107" i="1"/>
  <c r="J1168" i="1"/>
  <c r="J1422" i="1"/>
  <c r="J1186" i="1"/>
  <c r="J1190" i="1"/>
  <c r="J1209" i="1"/>
  <c r="J2970" i="1"/>
  <c r="J2906" i="1"/>
  <c r="J2842" i="1"/>
  <c r="J2778" i="1"/>
  <c r="J3171" i="1"/>
  <c r="J3060" i="1"/>
  <c r="J2989" i="1"/>
  <c r="J2925" i="1"/>
  <c r="J2861" i="1"/>
  <c r="J2797" i="1"/>
  <c r="J2733" i="1"/>
  <c r="J2669" i="1"/>
  <c r="J2636" i="1"/>
  <c r="J2572" i="1"/>
  <c r="J2508" i="1"/>
  <c r="J2444" i="1"/>
  <c r="J2380" i="1"/>
  <c r="J2316" i="1"/>
  <c r="J2252" i="1"/>
  <c r="J2188" i="1"/>
  <c r="J2615" i="1"/>
  <c r="J2551" i="1"/>
  <c r="J2487" i="1"/>
  <c r="J2423" i="1"/>
  <c r="J2359" i="1"/>
  <c r="J2295" i="1"/>
  <c r="J2231" i="1"/>
  <c r="J2167" i="1"/>
  <c r="J2610" i="1"/>
  <c r="J2546" i="1"/>
  <c r="J2482" i="1"/>
  <c r="J2418" i="1"/>
  <c r="J2354" i="1"/>
  <c r="J2290" i="1"/>
  <c r="J2226" i="1"/>
  <c r="J2734" i="1"/>
  <c r="J2605" i="1"/>
  <c r="J2541" i="1"/>
  <c r="J2477" i="1"/>
  <c r="J2413" i="1"/>
  <c r="J2349" i="1"/>
  <c r="J2285" i="1"/>
  <c r="J2221" i="1"/>
  <c r="J2155" i="1"/>
  <c r="J2091" i="1"/>
  <c r="J2027" i="1"/>
  <c r="J1251" i="1"/>
  <c r="J1165" i="1"/>
  <c r="J856" i="1"/>
  <c r="J1185" i="1"/>
  <c r="J845" i="1"/>
  <c r="J1189" i="1"/>
  <c r="J385" i="1"/>
  <c r="J2648" i="1"/>
  <c r="J3119" i="1"/>
  <c r="J3027" i="1"/>
  <c r="J2963" i="1"/>
  <c r="J2899" i="1"/>
  <c r="J2835" i="1"/>
  <c r="J2771" i="1"/>
  <c r="J2707" i="1"/>
  <c r="J3222" i="1"/>
  <c r="J3094" i="1"/>
  <c r="J3014" i="1"/>
  <c r="J2950" i="1"/>
  <c r="J2886" i="1"/>
  <c r="J2822" i="1"/>
  <c r="J2758" i="1"/>
  <c r="J3131" i="1"/>
  <c r="J3034" i="1"/>
  <c r="J2969" i="1"/>
  <c r="J2905" i="1"/>
  <c r="J2841" i="1"/>
  <c r="J2777" i="1"/>
  <c r="J2713" i="1"/>
  <c r="J2649" i="1"/>
  <c r="J2616" i="1"/>
  <c r="J2552" i="1"/>
  <c r="J2488" i="1"/>
  <c r="J2424" i="1"/>
  <c r="J2360" i="1"/>
  <c r="J2296" i="1"/>
  <c r="J2232" i="1"/>
  <c r="J2694" i="1"/>
  <c r="J2595" i="1"/>
  <c r="J2531" i="1"/>
  <c r="J2467" i="1"/>
  <c r="J2403" i="1"/>
  <c r="J2339" i="1"/>
  <c r="J2275" i="1"/>
  <c r="J2211" i="1"/>
  <c r="J2674" i="1"/>
  <c r="J2590" i="1"/>
  <c r="J2526" i="1"/>
  <c r="J2462" i="1"/>
  <c r="J2398" i="1"/>
  <c r="J2334" i="1"/>
  <c r="J2270" i="1"/>
  <c r="J2206" i="1"/>
  <c r="J2654" i="1"/>
  <c r="J2585" i="1"/>
  <c r="J2521" i="1"/>
  <c r="J2457" i="1"/>
  <c r="J2393" i="1"/>
  <c r="J2329" i="1"/>
  <c r="J2265" i="1"/>
  <c r="J2201" i="1"/>
  <c r="J2135" i="1"/>
  <c r="J2071" i="1"/>
  <c r="J2007" i="1"/>
  <c r="J1291" i="1"/>
  <c r="J1038" i="1"/>
  <c r="J1315" i="1"/>
  <c r="J1058" i="1"/>
  <c r="J1319" i="1"/>
  <c r="J1062" i="1"/>
  <c r="J1403" i="1"/>
  <c r="J3207" i="1"/>
  <c r="J3084" i="1"/>
  <c r="J3007" i="1"/>
  <c r="J2943" i="1"/>
  <c r="J2879" i="1"/>
  <c r="J2815" i="1"/>
  <c r="J2751" i="1"/>
  <c r="J2687" i="1"/>
  <c r="J3182" i="1"/>
  <c r="J3067" i="1"/>
  <c r="J2994" i="1"/>
  <c r="J2930" i="1"/>
  <c r="J2866" i="1"/>
  <c r="J2802" i="1"/>
  <c r="J3219" i="1"/>
  <c r="J3092" i="1"/>
  <c r="J3013" i="1"/>
  <c r="J2949" i="1"/>
  <c r="J2885" i="1"/>
  <c r="J2821" i="1"/>
  <c r="J2757" i="1"/>
  <c r="J2693" i="1"/>
  <c r="J2698" i="1"/>
  <c r="J2596" i="1"/>
  <c r="J2532" i="1"/>
  <c r="J2468" i="1"/>
  <c r="J2404" i="1"/>
  <c r="J2340" i="1"/>
  <c r="J2276" i="1"/>
  <c r="J2212" i="1"/>
  <c r="J2639" i="1"/>
  <c r="J2575" i="1"/>
  <c r="J2511" i="1"/>
  <c r="J2447" i="1"/>
  <c r="J2383" i="1"/>
  <c r="J2319" i="1"/>
  <c r="J2255" i="1"/>
  <c r="J2191" i="1"/>
  <c r="J2634" i="1"/>
  <c r="J2570" i="1"/>
  <c r="J2506" i="1"/>
  <c r="J2442" i="1"/>
  <c r="J2378" i="1"/>
  <c r="J2314" i="1"/>
  <c r="J2250" i="1"/>
  <c r="J2186" i="1"/>
  <c r="J2629" i="1"/>
  <c r="J2565" i="1"/>
  <c r="J2501" i="1"/>
  <c r="J2437" i="1"/>
  <c r="J2373" i="1"/>
  <c r="J2309" i="1"/>
  <c r="J2245" i="1"/>
  <c r="J2181" i="1"/>
  <c r="J2115" i="1"/>
  <c r="J2051" i="1"/>
  <c r="J1043" i="1"/>
  <c r="J1104" i="1"/>
  <c r="J1358" i="1"/>
  <c r="J1124" i="1"/>
  <c r="J1378" i="1"/>
  <c r="J1128" i="1"/>
  <c r="J1382" i="1"/>
  <c r="J1081" i="1"/>
  <c r="J3058" i="1"/>
  <c r="J2987" i="1"/>
  <c r="J2923" i="1"/>
  <c r="J2859" i="1"/>
  <c r="J2795" i="1"/>
  <c r="J2731" i="1"/>
  <c r="J2667" i="1"/>
  <c r="J3142" i="1"/>
  <c r="J3040" i="1"/>
  <c r="J2974" i="1"/>
  <c r="J2910" i="1"/>
  <c r="J2846" i="1"/>
  <c r="J2782" i="1"/>
  <c r="J3179" i="1"/>
  <c r="J3066" i="1"/>
  <c r="J2993" i="1"/>
  <c r="J2929" i="1"/>
  <c r="J2865" i="1"/>
  <c r="J2801" i="1"/>
  <c r="J2737" i="1"/>
  <c r="J2673" i="1"/>
  <c r="J2640" i="1"/>
  <c r="J2576" i="1"/>
  <c r="J2512" i="1"/>
  <c r="J2448" i="1"/>
  <c r="J2384" i="1"/>
  <c r="J2320" i="1"/>
  <c r="J2256" i="1"/>
  <c r="J2192" i="1"/>
  <c r="J2619" i="1"/>
  <c r="J2555" i="1"/>
  <c r="J2491" i="1"/>
  <c r="J2427" i="1"/>
  <c r="J2363" i="1"/>
  <c r="J2299" i="1"/>
  <c r="J2235" i="1"/>
  <c r="J2171" i="1"/>
  <c r="J2614" i="1"/>
  <c r="J2550" i="1"/>
  <c r="J2486" i="1"/>
  <c r="J2422" i="1"/>
  <c r="J2358" i="1"/>
  <c r="J2294" i="1"/>
  <c r="J2230" i="1"/>
  <c r="J2166" i="1"/>
  <c r="J2609" i="1"/>
  <c r="J2545" i="1"/>
  <c r="J2481" i="1"/>
  <c r="J2417" i="1"/>
  <c r="J2353" i="1"/>
  <c r="J2289" i="1"/>
  <c r="J2225" i="1"/>
  <c r="J2159" i="1"/>
  <c r="J2095" i="1"/>
  <c r="J2031" i="1"/>
  <c r="J1163" i="1"/>
  <c r="J1101" i="1"/>
  <c r="J901" i="1"/>
  <c r="J1442" i="1"/>
  <c r="J1446" i="1"/>
  <c r="J1018" i="1"/>
  <c r="J1377" i="1"/>
  <c r="J899" i="1"/>
  <c r="J1381" i="1"/>
  <c r="J1271" i="1"/>
  <c r="J1276" i="1"/>
  <c r="J1424" i="1"/>
  <c r="J550" i="1"/>
  <c r="J126" i="1"/>
  <c r="J537" i="1"/>
  <c r="J492" i="1"/>
  <c r="J2150" i="1"/>
  <c r="J2086" i="1"/>
  <c r="J2022" i="1"/>
  <c r="J1051" i="1"/>
  <c r="J1245" i="1"/>
  <c r="J531" i="1"/>
  <c r="J1265" i="1"/>
  <c r="J89" i="1"/>
  <c r="J1269" i="1"/>
  <c r="J585" i="1"/>
  <c r="J1161" i="1"/>
  <c r="J764" i="1"/>
  <c r="J20" i="1"/>
  <c r="J436" i="1"/>
  <c r="J11" i="1"/>
  <c r="J654" i="1"/>
  <c r="J2125" i="1"/>
  <c r="J2061" i="1"/>
  <c r="J1103" i="1"/>
  <c r="J1455" i="1"/>
  <c r="J1198" i="1"/>
  <c r="J1475" i="1"/>
  <c r="J1218" i="1"/>
  <c r="J1479" i="1"/>
  <c r="J1222" i="1"/>
  <c r="J1371" i="1"/>
  <c r="J1114" i="1"/>
  <c r="J888" i="1"/>
  <c r="J116" i="1"/>
  <c r="J874" i="1"/>
  <c r="J151" i="1"/>
  <c r="J13" i="1"/>
  <c r="J2120" i="1"/>
  <c r="J2056" i="1"/>
  <c r="J1195" i="1"/>
  <c r="J1024" i="1"/>
  <c r="J1278" i="1"/>
  <c r="J1044" i="1"/>
  <c r="J1298" i="1"/>
  <c r="J1048" i="1"/>
  <c r="J1302" i="1"/>
  <c r="J1451" i="1"/>
  <c r="J1194" i="1"/>
  <c r="J1457" i="1"/>
  <c r="J511" i="1"/>
  <c r="J1497" i="1"/>
  <c r="J195" i="1"/>
  <c r="J556" i="1"/>
  <c r="J132" i="1"/>
  <c r="J894" i="1"/>
  <c r="J676" i="1"/>
  <c r="J988" i="1"/>
  <c r="J296" i="1"/>
  <c r="J161" i="1"/>
  <c r="J526" i="1"/>
  <c r="J449" i="1"/>
  <c r="J192" i="1"/>
  <c r="J590" i="1"/>
  <c r="J204" i="1"/>
  <c r="J895" i="1"/>
  <c r="J141" i="1"/>
  <c r="J2146" i="1"/>
  <c r="J2082" i="1"/>
  <c r="J2018" i="1"/>
  <c r="J1115" i="1"/>
  <c r="J1309" i="1"/>
  <c r="J770" i="1"/>
  <c r="J1329" i="1"/>
  <c r="J765" i="1"/>
  <c r="J1333" i="1"/>
  <c r="J854" i="1"/>
  <c r="J1225" i="1"/>
  <c r="J546" i="1"/>
  <c r="J445" i="1"/>
  <c r="J850" i="1"/>
  <c r="J479" i="1"/>
  <c r="J355" i="1"/>
  <c r="J2121" i="1"/>
  <c r="J2057" i="1"/>
  <c r="J1171" i="1"/>
  <c r="J1008" i="1"/>
  <c r="J1262" i="1"/>
  <c r="J1028" i="1"/>
  <c r="J1282" i="1"/>
  <c r="J1032" i="1"/>
  <c r="J1286" i="1"/>
  <c r="J1435" i="1"/>
  <c r="J1178" i="1"/>
  <c r="J1400" i="1"/>
  <c r="J825" i="1"/>
  <c r="J1465" i="1"/>
  <c r="J624" i="1"/>
  <c r="J858" i="1"/>
  <c r="J2116" i="1"/>
  <c r="J2052" i="1"/>
  <c r="J1027" i="1"/>
  <c r="J1088" i="1"/>
  <c r="J1342" i="1"/>
  <c r="J1108" i="1"/>
  <c r="J1362" i="1"/>
  <c r="J1112" i="1"/>
  <c r="J1366" i="1"/>
  <c r="J1004" i="1"/>
  <c r="J1258" i="1"/>
  <c r="J44" i="1"/>
  <c r="J388" i="1"/>
  <c r="J38" i="1"/>
  <c r="J220" i="1"/>
  <c r="J596" i="1"/>
  <c r="J551" i="1"/>
  <c r="J305" i="1"/>
  <c r="J900" i="1"/>
  <c r="J293" i="1"/>
  <c r="J175" i="1"/>
  <c r="J157" i="1"/>
  <c r="J721" i="1"/>
  <c r="J827" i="1"/>
  <c r="J802" i="1"/>
  <c r="J1402" i="1"/>
  <c r="J507" i="1"/>
  <c r="J609" i="1"/>
  <c r="J476" i="1"/>
  <c r="J935" i="1"/>
  <c r="J2158" i="1"/>
  <c r="J2094" i="1"/>
  <c r="J2030" i="1"/>
  <c r="J1183" i="1"/>
  <c r="J1117" i="1"/>
  <c r="J748" i="1"/>
  <c r="J1137" i="1"/>
  <c r="J741" i="1"/>
  <c r="J1141" i="1"/>
  <c r="J834" i="1"/>
  <c r="J1033" i="1"/>
  <c r="J33" i="1"/>
  <c r="J937" i="1"/>
  <c r="J832" i="1"/>
  <c r="J941" i="1"/>
  <c r="J178" i="1"/>
  <c r="J2133" i="1"/>
  <c r="J2069" i="1"/>
  <c r="J2005" i="1"/>
  <c r="J1327" i="1"/>
  <c r="J1070" i="1"/>
  <c r="J1347" i="1"/>
  <c r="J1090" i="1"/>
  <c r="J1351" i="1"/>
  <c r="J1094" i="1"/>
  <c r="J1239" i="1"/>
  <c r="J1433" i="1"/>
  <c r="J1464" i="1"/>
  <c r="J665" i="1"/>
  <c r="J945" i="1"/>
  <c r="J331" i="1"/>
  <c r="J1332" i="1"/>
  <c r="J2128" i="1"/>
  <c r="J2064" i="1"/>
  <c r="J1055" i="1"/>
  <c r="J1407" i="1"/>
  <c r="J1150" i="1"/>
  <c r="J1427" i="1"/>
  <c r="J1170" i="1"/>
  <c r="J1431" i="1"/>
  <c r="J1174" i="1"/>
  <c r="J1323" i="1"/>
  <c r="J1066" i="1"/>
  <c r="J3" i="1"/>
  <c r="J568" i="1"/>
  <c r="J52" i="1"/>
  <c r="J851" i="1"/>
  <c r="J400" i="1"/>
  <c r="J939" i="1"/>
  <c r="J1481" i="1"/>
  <c r="J953" i="1"/>
  <c r="J818" i="1"/>
  <c r="J1886" i="1"/>
  <c r="J95" i="1"/>
  <c r="J1938" i="1"/>
  <c r="J383" i="1"/>
  <c r="J117" i="1"/>
  <c r="J709" i="1"/>
  <c r="J1145" i="1"/>
  <c r="J904" i="1"/>
  <c r="J1500" i="1"/>
  <c r="J240" i="1"/>
  <c r="J62" i="1"/>
  <c r="J861" i="1"/>
  <c r="J2138" i="1"/>
  <c r="J2074" i="1"/>
  <c r="J2010" i="1"/>
  <c r="J1243" i="1"/>
  <c r="J1437" i="1"/>
  <c r="J1472" i="1"/>
  <c r="J1010" i="1"/>
  <c r="J1267" i="1"/>
  <c r="J1014" i="1"/>
  <c r="J1159" i="1"/>
  <c r="J1353" i="1"/>
  <c r="J364" i="1"/>
  <c r="J468" i="1"/>
  <c r="J963" i="1"/>
  <c r="J384" i="1"/>
  <c r="J226" i="1"/>
  <c r="J2113" i="1"/>
  <c r="J2049" i="1"/>
  <c r="J1075" i="1"/>
  <c r="J1136" i="1"/>
  <c r="J1390" i="1"/>
  <c r="J1156" i="1"/>
  <c r="J1410" i="1"/>
  <c r="J1160" i="1"/>
  <c r="J1414" i="1"/>
  <c r="J1052" i="1"/>
  <c r="J1306" i="1"/>
  <c r="J97" i="1"/>
  <c r="J930" i="1"/>
  <c r="J734" i="1"/>
  <c r="J996" i="1"/>
  <c r="J53" i="1"/>
  <c r="J2108" i="1"/>
  <c r="J2044" i="1"/>
  <c r="J1155" i="1"/>
  <c r="J1216" i="1"/>
  <c r="J1470" i="1"/>
  <c r="J1236" i="1"/>
  <c r="J1490" i="1"/>
  <c r="J1240" i="1"/>
  <c r="J1494" i="1"/>
  <c r="J1132" i="1"/>
  <c r="J1386" i="1"/>
  <c r="J641" i="1"/>
  <c r="J848" i="1"/>
  <c r="J608" i="1"/>
  <c r="J800" i="1"/>
  <c r="J849" i="1"/>
  <c r="J99" i="1"/>
  <c r="J91" i="1"/>
  <c r="J852" i="1"/>
  <c r="J625" i="1"/>
  <c r="J876" i="1"/>
  <c r="J317" i="1"/>
  <c r="J186" i="1"/>
  <c r="J714" i="1"/>
  <c r="J350" i="1"/>
  <c r="J39" i="1"/>
  <c r="J598" i="1"/>
  <c r="J576" i="1"/>
  <c r="J569" i="1"/>
  <c r="J2134" i="1"/>
  <c r="J2070" i="1"/>
  <c r="J2006" i="1"/>
  <c r="J1311" i="1"/>
  <c r="J1054" i="1"/>
  <c r="J1331" i="1"/>
  <c r="J1074" i="1"/>
  <c r="J1335" i="1"/>
  <c r="J1078" i="1"/>
  <c r="J1223" i="1"/>
  <c r="J1417" i="1"/>
  <c r="J1380" i="1"/>
  <c r="J371" i="1"/>
  <c r="J273" i="1"/>
  <c r="J354" i="1"/>
  <c r="J979" i="1"/>
  <c r="J2109" i="1"/>
  <c r="J2045" i="1"/>
  <c r="J1139" i="1"/>
  <c r="J1200" i="1"/>
  <c r="J1454" i="1"/>
  <c r="J1220" i="1"/>
  <c r="J1474" i="1"/>
  <c r="J1224" i="1"/>
  <c r="J1478" i="1"/>
  <c r="J1116" i="1"/>
  <c r="J1370" i="1"/>
  <c r="J775" i="1"/>
  <c r="J797" i="1"/>
  <c r="J731" i="1"/>
  <c r="J557" i="1"/>
  <c r="J2172" i="1"/>
  <c r="J2104" i="1"/>
  <c r="J2040" i="1"/>
  <c r="J1247" i="1"/>
  <c r="J1280" i="1"/>
  <c r="J1440" i="1"/>
  <c r="J1300" i="1"/>
  <c r="J1485" i="1"/>
  <c r="J1304" i="1"/>
  <c r="J1493" i="1"/>
  <c r="J1196" i="1"/>
  <c r="J1450" i="1"/>
  <c r="J680" i="1"/>
  <c r="J432" i="1"/>
  <c r="J860" i="1"/>
  <c r="J692" i="1"/>
  <c r="J638" i="1"/>
  <c r="J529" i="1"/>
  <c r="J309" i="1"/>
  <c r="J989" i="1"/>
  <c r="J581" i="1"/>
  <c r="J1595" i="1"/>
  <c r="J513" i="1"/>
  <c r="J1663" i="1"/>
  <c r="J154" i="1"/>
  <c r="J1711" i="1"/>
  <c r="J635" i="1"/>
  <c r="J453" i="1"/>
  <c r="J636" i="1"/>
  <c r="J903" i="1"/>
  <c r="J2130" i="1"/>
  <c r="J2066" i="1"/>
  <c r="J1023" i="1"/>
  <c r="J1375" i="1"/>
  <c r="J1118" i="1"/>
  <c r="J1395" i="1"/>
  <c r="J1138" i="1"/>
  <c r="J1399" i="1"/>
  <c r="J1142" i="1"/>
  <c r="J1287" i="1"/>
  <c r="J1034" i="1"/>
  <c r="J15" i="1"/>
  <c r="J361" i="1"/>
  <c r="J64" i="1"/>
  <c r="J87" i="1"/>
  <c r="J2173" i="1"/>
  <c r="J2105" i="1"/>
  <c r="J2041" i="1"/>
  <c r="J1219" i="1"/>
  <c r="J1264" i="1"/>
  <c r="J1376" i="1"/>
  <c r="J1284" i="1"/>
  <c r="J1453" i="1"/>
  <c r="J1288" i="1"/>
  <c r="J1461" i="1"/>
  <c r="J1180" i="1"/>
  <c r="J1434" i="1"/>
  <c r="J774" i="1"/>
  <c r="J405" i="1"/>
  <c r="J435" i="1"/>
  <c r="J330" i="1"/>
  <c r="J2164" i="1"/>
  <c r="J2100" i="1"/>
  <c r="J2036" i="1"/>
  <c r="J1079" i="1"/>
  <c r="J1021" i="1"/>
  <c r="J79" i="1"/>
  <c r="J1041" i="1"/>
  <c r="J8" i="1"/>
  <c r="J1045" i="1"/>
  <c r="J66" i="1"/>
  <c r="J1260" i="1"/>
  <c r="J1360" i="1"/>
  <c r="J404" i="1"/>
  <c r="J209" i="1"/>
  <c r="J651" i="1"/>
  <c r="J326" i="1"/>
  <c r="J987" i="1"/>
  <c r="J563" i="1"/>
  <c r="J266" i="1"/>
  <c r="J375" i="1"/>
  <c r="J452" i="1"/>
  <c r="J1679" i="1"/>
  <c r="J168" i="1"/>
  <c r="J1751" i="1"/>
  <c r="J252" i="1"/>
  <c r="J828" i="1"/>
  <c r="J868" i="1"/>
  <c r="J932" i="1"/>
  <c r="J946" i="1"/>
  <c r="J1372" i="1"/>
  <c r="J503" i="1"/>
  <c r="J2142" i="1"/>
  <c r="J2078" i="1"/>
  <c r="J2014" i="1"/>
  <c r="J1187" i="1"/>
  <c r="J1373" i="1"/>
  <c r="J310" i="1"/>
  <c r="J1393" i="1"/>
  <c r="J965" i="1"/>
  <c r="J1397" i="1"/>
  <c r="J431" i="1"/>
  <c r="J1289" i="1"/>
  <c r="J586" i="1"/>
  <c r="J535" i="1"/>
  <c r="J816" i="1"/>
  <c r="J489" i="1"/>
  <c r="J308" i="1"/>
  <c r="J2117" i="1"/>
  <c r="J2053" i="1"/>
  <c r="J1007" i="1"/>
  <c r="J1072" i="1"/>
  <c r="J1326" i="1"/>
  <c r="J1092" i="1"/>
  <c r="J1346" i="1"/>
  <c r="J1096" i="1"/>
  <c r="J1350" i="1"/>
  <c r="J1499" i="1"/>
  <c r="J1242" i="1"/>
  <c r="J10" i="1"/>
  <c r="J365" i="1"/>
  <c r="J9" i="1"/>
  <c r="J629" i="1"/>
  <c r="J57" i="1"/>
  <c r="J2112" i="1"/>
  <c r="J2048" i="1"/>
  <c r="J1091" i="1"/>
  <c r="J1152" i="1"/>
  <c r="J1406" i="1"/>
  <c r="J1172" i="1"/>
  <c r="J1426" i="1"/>
  <c r="J1176" i="1"/>
  <c r="J1430" i="1"/>
  <c r="J1068" i="1"/>
  <c r="J1322" i="1"/>
  <c r="J644" i="1"/>
  <c r="J467" i="1"/>
  <c r="J595" i="1"/>
  <c r="J871" i="1"/>
  <c r="J578" i="1"/>
  <c r="J949" i="1"/>
  <c r="J688" i="1"/>
  <c r="J730" i="1"/>
  <c r="J291" i="1"/>
  <c r="J619" i="1"/>
  <c r="J712" i="1"/>
  <c r="J107" i="1"/>
  <c r="J924" i="1"/>
  <c r="J1543" i="1"/>
  <c r="J1207" i="1"/>
  <c r="J1401" i="1"/>
  <c r="J401" i="1"/>
  <c r="J877" i="1"/>
  <c r="J991" i="1"/>
  <c r="J865" i="1"/>
  <c r="J318" i="1"/>
  <c r="J2122" i="1"/>
  <c r="J2058" i="1"/>
  <c r="J1151" i="1"/>
  <c r="J59" i="1"/>
  <c r="J1246" i="1"/>
  <c r="J1012" i="1"/>
  <c r="J1266" i="1"/>
  <c r="J1016" i="1"/>
  <c r="J1270" i="1"/>
  <c r="J1419" i="1"/>
  <c r="J1162" i="1"/>
  <c r="J1336" i="1"/>
  <c r="J349" i="1"/>
  <c r="J1416" i="1"/>
  <c r="J247" i="1"/>
  <c r="J2161" i="1"/>
  <c r="J2097" i="1"/>
  <c r="J2033" i="1"/>
  <c r="J1127" i="1"/>
  <c r="J1069" i="1"/>
  <c r="J597" i="1"/>
  <c r="J1089" i="1"/>
  <c r="J584" i="1"/>
  <c r="J1093" i="1"/>
  <c r="J685" i="1"/>
  <c r="J1308" i="1"/>
  <c r="J1501" i="1"/>
  <c r="J799" i="1"/>
  <c r="J778" i="1"/>
  <c r="J780" i="1"/>
  <c r="J975" i="1"/>
  <c r="J2156" i="1"/>
  <c r="J2092" i="1"/>
  <c r="J2028" i="1"/>
  <c r="J1227" i="1"/>
  <c r="J1149" i="1"/>
  <c r="J494" i="1"/>
  <c r="J1169" i="1"/>
  <c r="J487" i="1"/>
  <c r="J1173" i="1"/>
  <c r="J567" i="1"/>
  <c r="J1065" i="1"/>
  <c r="J451" i="1"/>
  <c r="J448" i="1"/>
  <c r="J621" i="1"/>
  <c r="J842" i="1"/>
  <c r="J478" i="1"/>
  <c r="J78" i="1"/>
  <c r="J757" i="1"/>
  <c r="J48" i="1"/>
  <c r="J879" i="1"/>
  <c r="J1950" i="1"/>
  <c r="J199" i="1"/>
  <c r="J612" i="1"/>
  <c r="J954" i="1"/>
  <c r="J1557" i="1"/>
  <c r="J55" i="1"/>
  <c r="J910" i="1"/>
  <c r="J17" i="1"/>
  <c r="J505" i="1"/>
  <c r="J1456" i="1"/>
  <c r="J2118" i="1"/>
  <c r="J2054" i="1"/>
  <c r="J1235" i="1"/>
  <c r="J1056" i="1"/>
  <c r="J1310" i="1"/>
  <c r="J1076" i="1"/>
  <c r="J1330" i="1"/>
  <c r="J1080" i="1"/>
  <c r="J1334" i="1"/>
  <c r="J1483" i="1"/>
  <c r="J1226" i="1"/>
  <c r="J23" i="1"/>
  <c r="J745" i="1"/>
  <c r="J61" i="1"/>
  <c r="J958" i="1"/>
  <c r="J2157" i="1"/>
  <c r="J2093" i="1"/>
  <c r="J2029" i="1"/>
  <c r="J1203" i="1"/>
  <c r="J1133" i="1"/>
  <c r="J656" i="1"/>
  <c r="J1153" i="1"/>
  <c r="J580" i="1"/>
  <c r="J1157" i="1"/>
  <c r="J684" i="1"/>
  <c r="J1049" i="1"/>
  <c r="J30" i="1"/>
  <c r="J998" i="1"/>
  <c r="J225" i="1"/>
  <c r="J275" i="1"/>
  <c r="J749" i="1"/>
  <c r="J2152" i="1"/>
  <c r="J2088" i="1"/>
  <c r="J2024" i="1"/>
  <c r="J1019" i="1"/>
  <c r="J1213" i="1"/>
  <c r="J539" i="1"/>
  <c r="J1233" i="1"/>
  <c r="J736" i="1"/>
  <c r="J1237" i="1"/>
  <c r="J376" i="1"/>
  <c r="J1129" i="1"/>
  <c r="J555" i="1"/>
  <c r="J1468" i="1"/>
  <c r="J257" i="1"/>
  <c r="J4" i="1"/>
  <c r="J423" i="1"/>
  <c r="J677" i="1"/>
  <c r="J754" i="1"/>
  <c r="J534" i="1"/>
  <c r="J716" i="1"/>
  <c r="J498" i="1"/>
  <c r="J1540" i="1"/>
  <c r="J1554" i="1"/>
  <c r="J582" i="1"/>
  <c r="J1590" i="1"/>
  <c r="J28" i="1"/>
  <c r="J357" i="1"/>
  <c r="J637" i="1"/>
  <c r="J593" i="1"/>
  <c r="J67" i="1"/>
  <c r="J2114" i="1"/>
  <c r="J2050" i="1"/>
  <c r="J1059" i="1"/>
  <c r="J1120" i="1"/>
  <c r="J1374" i="1"/>
  <c r="J1140" i="1"/>
  <c r="J1394" i="1"/>
  <c r="J1144" i="1"/>
  <c r="J1398" i="1"/>
  <c r="J1036" i="1"/>
  <c r="J1290" i="1"/>
  <c r="J22" i="1"/>
  <c r="J223" i="1"/>
  <c r="J351" i="1"/>
  <c r="J583" i="1"/>
  <c r="J2153" i="1"/>
  <c r="J2089" i="1"/>
  <c r="J2025" i="1"/>
  <c r="J1031" i="1"/>
  <c r="J1197" i="1"/>
  <c r="J639" i="1"/>
  <c r="J1217" i="1"/>
  <c r="J640" i="1"/>
  <c r="J1221" i="1"/>
  <c r="J306" i="1"/>
  <c r="J1113" i="1"/>
  <c r="J655" i="1"/>
  <c r="J1420" i="1"/>
  <c r="J287" i="1"/>
  <c r="J1476" i="1"/>
  <c r="J843" i="1"/>
  <c r="J2148" i="1"/>
  <c r="J2084" i="1"/>
  <c r="J2020" i="1"/>
  <c r="J1083" i="1"/>
  <c r="J1277" i="1"/>
  <c r="J777" i="1"/>
  <c r="J1297" i="1"/>
  <c r="J335" i="1"/>
  <c r="J1301" i="1"/>
  <c r="J591" i="1"/>
  <c r="J1193" i="1"/>
  <c r="J538" i="1"/>
  <c r="J24" i="1"/>
  <c r="J606" i="1"/>
  <c r="J43" i="1"/>
  <c r="J779" i="1"/>
  <c r="J710" i="1"/>
  <c r="J259" i="1"/>
  <c r="J547" i="1"/>
  <c r="J530" i="1"/>
  <c r="J1566" i="1"/>
  <c r="J521" i="1"/>
  <c r="J1618" i="1"/>
  <c r="J994" i="1"/>
  <c r="J1654" i="1"/>
  <c r="J1337" i="1"/>
  <c r="J304" i="1"/>
  <c r="J648" i="1"/>
  <c r="J821" i="1"/>
  <c r="J599" i="1"/>
  <c r="J573" i="1"/>
  <c r="J2126" i="1"/>
  <c r="J2062" i="1"/>
  <c r="J1087" i="1"/>
  <c r="J1439" i="1"/>
  <c r="J1182" i="1"/>
  <c r="J1459" i="1"/>
  <c r="J1202" i="1"/>
  <c r="J1463" i="1"/>
  <c r="J1206" i="1"/>
  <c r="J1355" i="1"/>
  <c r="J1098" i="1"/>
  <c r="J536" i="1"/>
  <c r="J951" i="1"/>
  <c r="J501" i="1"/>
  <c r="J525" i="1"/>
  <c r="J2165" i="1"/>
  <c r="J2101" i="1"/>
  <c r="J2037" i="1"/>
  <c r="J1063" i="1"/>
  <c r="J1005" i="1"/>
  <c r="J42" i="1"/>
  <c r="J1025" i="1"/>
  <c r="J60" i="1"/>
  <c r="J1029" i="1"/>
  <c r="J58" i="1"/>
  <c r="J1244" i="1"/>
  <c r="J1498" i="1"/>
  <c r="J544" i="1"/>
  <c r="J455" i="1"/>
  <c r="J545" i="1"/>
  <c r="J630" i="1"/>
  <c r="J2160" i="1"/>
  <c r="J2096" i="1"/>
  <c r="J2032" i="1"/>
  <c r="J1143" i="1"/>
  <c r="J1085" i="1"/>
  <c r="J495" i="1"/>
  <c r="J1105" i="1"/>
  <c r="J931" i="1"/>
  <c r="J1109" i="1"/>
  <c r="J554" i="1"/>
  <c r="J1324" i="1"/>
  <c r="J18" i="1"/>
  <c r="J690" i="1"/>
  <c r="J450" i="1"/>
  <c r="J691" i="1"/>
  <c r="J826" i="1"/>
  <c r="J1388" i="1"/>
  <c r="J234" i="1"/>
  <c r="J1492" i="1"/>
  <c r="J133" i="1"/>
  <c r="J626" i="1"/>
  <c r="J85" i="1"/>
  <c r="J518" i="1"/>
  <c r="J138" i="1"/>
  <c r="J962" i="1"/>
  <c r="J782" i="1"/>
  <c r="J1467" i="1"/>
  <c r="J1210" i="1"/>
  <c r="J1489" i="1"/>
  <c r="J426" i="1"/>
  <c r="J12" i="1"/>
  <c r="J907" i="1"/>
  <c r="J2176" i="1"/>
  <c r="J2106" i="1"/>
  <c r="J2042" i="1"/>
  <c r="J1199" i="1"/>
  <c r="J1248" i="1"/>
  <c r="J1502" i="1"/>
  <c r="J1268" i="1"/>
  <c r="J1392" i="1"/>
  <c r="J1272" i="1"/>
  <c r="J1408" i="1"/>
  <c r="J1164" i="1"/>
  <c r="J1418" i="1"/>
  <c r="J98" i="1"/>
  <c r="J887" i="1"/>
  <c r="J866" i="1"/>
  <c r="J353" i="1"/>
  <c r="J2145" i="1"/>
  <c r="J2081" i="1"/>
  <c r="J2017" i="1"/>
  <c r="J1131" i="1"/>
  <c r="J1325" i="1"/>
  <c r="J678" i="1"/>
  <c r="J1345" i="1"/>
  <c r="J649" i="1"/>
  <c r="J1349" i="1"/>
  <c r="J740" i="1"/>
  <c r="J1241" i="1"/>
  <c r="J345" i="1"/>
  <c r="J100" i="1"/>
  <c r="J971" i="1"/>
  <c r="J841" i="1"/>
  <c r="J263" i="1"/>
  <c r="J2140" i="1"/>
  <c r="J2076" i="1"/>
  <c r="J2012" i="1"/>
  <c r="J1231" i="1"/>
  <c r="J1405" i="1"/>
  <c r="J936" i="1"/>
  <c r="J1425" i="1"/>
  <c r="J1428" i="1"/>
  <c r="J1429" i="1"/>
  <c r="J1444" i="1"/>
  <c r="J1321" i="1"/>
  <c r="J577" i="1"/>
  <c r="J746" i="1"/>
  <c r="J471" i="1"/>
  <c r="J739" i="1"/>
  <c r="J238" i="1"/>
  <c r="J386" i="1"/>
  <c r="J254" i="1"/>
  <c r="J558" i="1"/>
  <c r="J683" i="1"/>
  <c r="J1511" i="1"/>
  <c r="J490" i="1"/>
  <c r="J1526" i="1"/>
  <c r="J268" i="1"/>
  <c r="J1796" i="1"/>
  <c r="J857" i="1"/>
  <c r="J1121" i="1"/>
  <c r="J838" i="1"/>
  <c r="J1125" i="1"/>
  <c r="J909" i="1"/>
  <c r="J686" i="1"/>
  <c r="J1274" i="1"/>
  <c r="J36" i="1"/>
  <c r="J414" i="1"/>
  <c r="J482" i="1"/>
  <c r="J137" i="1"/>
  <c r="J2168" i="1"/>
  <c r="J2102" i="1"/>
  <c r="J2038" i="1"/>
  <c r="J1047" i="1"/>
  <c r="J1312" i="1"/>
  <c r="J6" i="1"/>
  <c r="J1009" i="1"/>
  <c r="J54" i="1"/>
  <c r="J1013" i="1"/>
  <c r="J35" i="1"/>
  <c r="J1228" i="1"/>
  <c r="J1482" i="1"/>
  <c r="J674" i="1"/>
  <c r="J855" i="1"/>
  <c r="J645" i="1"/>
  <c r="J485" i="1"/>
  <c r="J2141" i="1"/>
  <c r="J2077" i="1"/>
  <c r="J2013" i="1"/>
  <c r="J1211" i="1"/>
  <c r="J1389" i="1"/>
  <c r="J437" i="1"/>
  <c r="J1409" i="1"/>
  <c r="J1348" i="1"/>
  <c r="J1413" i="1"/>
  <c r="J1364" i="1"/>
  <c r="J1305" i="1"/>
  <c r="J694" i="1"/>
  <c r="J891" i="1"/>
  <c r="J990" i="1"/>
  <c r="J840" i="1"/>
  <c r="J970" i="1"/>
  <c r="J2136" i="1"/>
  <c r="J2072" i="1"/>
  <c r="J2008" i="1"/>
  <c r="J1275" i="1"/>
  <c r="J1022" i="1"/>
  <c r="J1295" i="1"/>
  <c r="J1042" i="1"/>
  <c r="J1303" i="1"/>
  <c r="J1046" i="1"/>
  <c r="J1191" i="1"/>
  <c r="J1385" i="1"/>
  <c r="J948" i="1"/>
  <c r="J506" i="1"/>
  <c r="J960" i="1"/>
  <c r="J475" i="1"/>
  <c r="J944" i="1"/>
  <c r="J704" i="1"/>
  <c r="J5" i="1"/>
  <c r="J670" i="1"/>
  <c r="J912" i="1"/>
  <c r="J1758" i="1"/>
  <c r="J457" i="1"/>
  <c r="J1810" i="1"/>
  <c r="J890" i="1"/>
  <c r="J1846" i="1"/>
  <c r="J484" i="1"/>
  <c r="J86" i="1"/>
  <c r="J460" i="1"/>
  <c r="J667" i="1"/>
  <c r="J2162" i="1"/>
  <c r="J2098" i="1"/>
  <c r="J2034" i="1"/>
  <c r="J1111" i="1"/>
  <c r="J1053" i="1"/>
  <c r="J72" i="1"/>
  <c r="J1073" i="1"/>
  <c r="J698" i="1"/>
  <c r="J1077" i="1"/>
  <c r="J776" i="1"/>
  <c r="J1292" i="1"/>
  <c r="J1469" i="1"/>
  <c r="J395" i="1"/>
  <c r="J719" i="1"/>
  <c r="J889" i="1"/>
  <c r="J940" i="1"/>
  <c r="J2137" i="1"/>
  <c r="J2073" i="1"/>
  <c r="J2009" i="1"/>
  <c r="J1259" i="1"/>
  <c r="J1006" i="1"/>
  <c r="J1279" i="1"/>
  <c r="J1026" i="1"/>
  <c r="J1283" i="1"/>
  <c r="J1030" i="1"/>
  <c r="J1175" i="1"/>
  <c r="J1369" i="1"/>
  <c r="J737" i="1"/>
  <c r="J880" i="1"/>
  <c r="J720" i="1"/>
  <c r="J607" i="1"/>
  <c r="J440" i="1"/>
  <c r="J2132" i="1"/>
  <c r="J2068" i="1"/>
  <c r="J2004" i="1"/>
  <c r="J1343" i="1"/>
  <c r="J1086" i="1"/>
  <c r="J1363" i="1"/>
  <c r="J1106" i="1"/>
  <c r="J1367" i="1"/>
  <c r="J1110" i="1"/>
  <c r="J1255" i="1"/>
  <c r="J1449" i="1"/>
  <c r="J29" i="1"/>
  <c r="J337" i="1"/>
  <c r="J7" i="1"/>
  <c r="J566" i="1"/>
  <c r="J1396" i="1"/>
  <c r="J923" i="1"/>
  <c r="J574" i="1"/>
  <c r="J693" i="1"/>
  <c r="J755" i="1"/>
  <c r="J1822" i="1"/>
  <c r="J461" i="1"/>
  <c r="J1874" i="1"/>
  <c r="J194" i="1"/>
  <c r="J1910" i="1"/>
  <c r="J1146" i="1"/>
  <c r="J675" i="1"/>
  <c r="J798" i="1"/>
  <c r="J1352" i="1"/>
  <c r="J985" i="1"/>
  <c r="J604" i="1"/>
  <c r="J2110" i="1"/>
  <c r="J2046" i="1"/>
  <c r="J1123" i="1"/>
  <c r="J1184" i="1"/>
  <c r="J1438" i="1"/>
  <c r="J1204" i="1"/>
  <c r="J1458" i="1"/>
  <c r="J1208" i="1"/>
  <c r="J1462" i="1"/>
  <c r="J1100" i="1"/>
  <c r="J1354" i="1"/>
  <c r="J878" i="1"/>
  <c r="J559" i="1"/>
  <c r="J867" i="1"/>
  <c r="J565" i="1"/>
  <c r="J2149" i="1"/>
  <c r="J2085" i="1"/>
  <c r="J2021" i="1"/>
  <c r="J1067" i="1"/>
  <c r="J1261" i="1"/>
  <c r="J885" i="1"/>
  <c r="J1281" i="1"/>
  <c r="J870" i="1"/>
  <c r="J1285" i="1"/>
  <c r="J444" i="1"/>
  <c r="J1177" i="1"/>
  <c r="J668" i="1"/>
  <c r="J45" i="1"/>
  <c r="J750" i="1"/>
  <c r="J32" i="1"/>
  <c r="J510" i="1"/>
  <c r="J2144" i="1"/>
  <c r="J2080" i="1"/>
  <c r="J2016" i="1"/>
  <c r="J1147" i="1"/>
  <c r="J1341" i="1"/>
  <c r="J548" i="1"/>
  <c r="J1361" i="1"/>
  <c r="J549" i="1"/>
  <c r="J1365" i="1"/>
  <c r="J650" i="1"/>
  <c r="J1257" i="1"/>
  <c r="J794" i="1"/>
  <c r="J751" i="1"/>
  <c r="J943" i="1"/>
  <c r="J358" i="1"/>
  <c r="J206" i="1"/>
  <c r="J499" i="1"/>
  <c r="J253" i="1"/>
  <c r="J784" i="1"/>
  <c r="J496" i="1"/>
  <c r="J1630" i="1"/>
  <c r="J653" i="1"/>
  <c r="J1682" i="1"/>
  <c r="J158" i="1"/>
  <c r="J1718" i="1"/>
  <c r="J26" i="1"/>
  <c r="J1212" i="1"/>
  <c r="J1466" i="1"/>
  <c r="J378" i="1"/>
  <c r="J130" i="1"/>
  <c r="J760" i="1"/>
  <c r="J977" i="1"/>
  <c r="J2154" i="1"/>
  <c r="J2090" i="1"/>
  <c r="J2026" i="1"/>
  <c r="J1011" i="1"/>
  <c r="J1181" i="1"/>
  <c r="J756" i="1"/>
  <c r="J1201" i="1"/>
  <c r="J368" i="1"/>
  <c r="J1205" i="1"/>
  <c r="J370" i="1"/>
  <c r="J1097" i="1"/>
  <c r="J768" i="1"/>
  <c r="J1356" i="1"/>
  <c r="J980" i="1"/>
  <c r="J1436" i="1"/>
  <c r="J411" i="1"/>
  <c r="J2129" i="1"/>
  <c r="J2065" i="1"/>
  <c r="J1039" i="1"/>
  <c r="J1391" i="1"/>
  <c r="J1134" i="1"/>
  <c r="J1411" i="1"/>
  <c r="J1154" i="1"/>
  <c r="J1415" i="1"/>
  <c r="J1158" i="1"/>
  <c r="J1307" i="1"/>
  <c r="J1050" i="1"/>
  <c r="J76" i="1"/>
  <c r="J787" i="1"/>
  <c r="J56" i="1"/>
  <c r="J766" i="1"/>
  <c r="J65" i="1"/>
  <c r="J2124" i="1"/>
  <c r="J2060" i="1"/>
  <c r="J1119" i="1"/>
  <c r="J1471" i="1"/>
  <c r="J1214" i="1"/>
  <c r="J1491" i="1"/>
  <c r="J1234" i="1"/>
  <c r="J1495" i="1"/>
  <c r="J1238" i="1"/>
  <c r="J1387" i="1"/>
  <c r="J1130" i="1"/>
  <c r="J785" i="1"/>
  <c r="J682" i="1"/>
  <c r="J356" i="1"/>
  <c r="J956" i="1"/>
  <c r="J1473" i="1"/>
  <c r="J995" i="1"/>
  <c r="J51" i="1"/>
  <c r="J463" i="1"/>
  <c r="J911" i="1"/>
  <c r="J265" i="1"/>
  <c r="J1579" i="1"/>
  <c r="J1627" i="1"/>
  <c r="J1930" i="1"/>
  <c r="J1813" i="1"/>
  <c r="J430" i="1"/>
  <c r="J373" i="1"/>
  <c r="J170" i="1"/>
  <c r="J918" i="1"/>
  <c r="J1674" i="1"/>
  <c r="J1584" i="1"/>
  <c r="J1896" i="1"/>
  <c r="J1857" i="1"/>
  <c r="J522" i="1"/>
  <c r="J1884" i="1"/>
  <c r="J600" i="1"/>
  <c r="J363" i="1"/>
  <c r="J695" i="1"/>
  <c r="J294" i="1"/>
  <c r="J1646" i="1"/>
  <c r="J914" i="1"/>
  <c r="J1698" i="1"/>
  <c r="J473" i="1"/>
  <c r="J1734" i="1"/>
  <c r="J320" i="1"/>
  <c r="J1754" i="1"/>
  <c r="J1664" i="1"/>
  <c r="J1990" i="1"/>
  <c r="J1961" i="1"/>
  <c r="J815" i="1"/>
  <c r="J796" i="1"/>
  <c r="J747" i="1"/>
  <c r="J679" i="1"/>
  <c r="J967" i="1"/>
  <c r="J947" i="1"/>
  <c r="J120" i="1"/>
  <c r="J603" i="1"/>
  <c r="J352" i="1"/>
  <c r="J148" i="1"/>
  <c r="J1755" i="1"/>
  <c r="J143" i="1"/>
  <c r="J416" i="1"/>
  <c r="J1989" i="1"/>
  <c r="J1577" i="1"/>
  <c r="J1619" i="1"/>
  <c r="J1597" i="1"/>
  <c r="J37" i="1"/>
  <c r="J504" i="1"/>
  <c r="J19" i="1"/>
  <c r="J669" i="1"/>
  <c r="J919" i="1"/>
  <c r="J211" i="1"/>
  <c r="J1506" i="1"/>
  <c r="J1556" i="1"/>
  <c r="J1542" i="1"/>
  <c r="J1700" i="1"/>
  <c r="J1562" i="1"/>
  <c r="J805" i="1"/>
  <c r="J1979" i="1"/>
  <c r="J1657" i="1"/>
  <c r="J1699" i="1"/>
  <c r="J1368" i="1"/>
  <c r="J763" i="1"/>
  <c r="J49" i="1"/>
  <c r="J938" i="1"/>
  <c r="J767" i="1"/>
  <c r="J1918" i="1"/>
  <c r="J418" i="1"/>
  <c r="J853" i="1"/>
  <c r="J346" i="1"/>
  <c r="J256" i="1"/>
  <c r="J744" i="1"/>
  <c r="J1802" i="1"/>
  <c r="J1712" i="1"/>
  <c r="J1892" i="1"/>
  <c r="J1745" i="1"/>
  <c r="J762" i="1"/>
  <c r="J1833" i="1"/>
  <c r="J699" i="1"/>
  <c r="J1003" i="1"/>
  <c r="J369" i="1"/>
  <c r="J847" i="1"/>
  <c r="J1774" i="1"/>
  <c r="J367" i="1"/>
  <c r="J1826" i="1"/>
  <c r="J1000" i="1"/>
  <c r="J1862" i="1"/>
  <c r="J528" i="1"/>
  <c r="J1882" i="1"/>
  <c r="J1792" i="1"/>
  <c r="J1808" i="1"/>
  <c r="J1757" i="1"/>
  <c r="J1512" i="1"/>
  <c r="J646" i="1"/>
  <c r="J278" i="1"/>
  <c r="J360" i="1"/>
  <c r="J724" i="1"/>
  <c r="J952" i="1"/>
  <c r="J1551" i="1"/>
  <c r="J883" i="1"/>
  <c r="J1623" i="1"/>
  <c r="J282" i="1"/>
  <c r="J1508" i="1"/>
  <c r="J562" i="1"/>
  <c r="J1739" i="1"/>
  <c r="J1831" i="1"/>
  <c r="J392" i="1"/>
  <c r="J1929" i="1"/>
  <c r="J382" i="1"/>
  <c r="J441" i="1"/>
  <c r="J882" i="1"/>
  <c r="J1340" i="1"/>
  <c r="J497" i="1"/>
  <c r="J145" i="1"/>
  <c r="J1703" i="1"/>
  <c r="J783" i="1"/>
  <c r="J913" i="1"/>
  <c r="J809" i="1"/>
  <c r="J123" i="1"/>
  <c r="J82" i="1"/>
  <c r="J412" i="1"/>
  <c r="J1937" i="1"/>
  <c r="J1529" i="1"/>
  <c r="J1571" i="1"/>
  <c r="J1549" i="1"/>
  <c r="J88" i="1"/>
  <c r="J791" i="1"/>
  <c r="J258" i="1"/>
  <c r="J397" i="1"/>
  <c r="J1790" i="1"/>
  <c r="J707" i="1"/>
  <c r="J1842" i="1"/>
  <c r="J729" i="1"/>
  <c r="J1942" i="1"/>
  <c r="J280" i="1"/>
  <c r="J1898" i="1"/>
  <c r="J200" i="1"/>
  <c r="J1829" i="1"/>
  <c r="J1528" i="1"/>
  <c r="J477" i="1"/>
  <c r="J215" i="1"/>
  <c r="J1872" i="1"/>
  <c r="J1837" i="1"/>
  <c r="J1560" i="1"/>
  <c r="J339" i="1"/>
  <c r="J627" i="1"/>
  <c r="J75" i="1"/>
  <c r="J289" i="1"/>
  <c r="J250" i="1"/>
  <c r="J1902" i="1"/>
  <c r="J277" i="1"/>
  <c r="J966" i="1"/>
  <c r="J153" i="1"/>
  <c r="J632" i="1"/>
  <c r="J446" i="1"/>
  <c r="J933" i="1"/>
  <c r="J372" i="1"/>
  <c r="J1972" i="1"/>
  <c r="J1944" i="1"/>
  <c r="J1640" i="1"/>
  <c r="J271" i="1"/>
  <c r="J398" i="1"/>
  <c r="J1404" i="1"/>
  <c r="J321" i="1"/>
  <c r="J81" i="1"/>
  <c r="J1723" i="1"/>
  <c r="J183" i="1"/>
  <c r="J274" i="1"/>
  <c r="J197" i="1"/>
  <c r="J216" i="1"/>
  <c r="J1738" i="1"/>
  <c r="J1648" i="1"/>
  <c r="J1974" i="1"/>
  <c r="J1943" i="1"/>
  <c r="J643" i="1"/>
  <c r="J1965" i="1"/>
  <c r="J846" i="1"/>
  <c r="J270" i="1"/>
  <c r="J835" i="1"/>
  <c r="J203" i="1"/>
  <c r="J1710" i="1"/>
  <c r="J520" i="1"/>
  <c r="J1762" i="1"/>
  <c r="J844" i="1"/>
  <c r="J1798" i="1"/>
  <c r="J570" i="1"/>
  <c r="J1818" i="1"/>
  <c r="J1728" i="1"/>
  <c r="J1951" i="1"/>
  <c r="J1828" i="1"/>
  <c r="J102" i="1"/>
  <c r="J587" i="1"/>
  <c r="J239" i="1"/>
  <c r="J336" i="1"/>
  <c r="J410" i="1"/>
  <c r="J160" i="1"/>
  <c r="J362" i="1"/>
  <c r="J169" i="1"/>
  <c r="J1535" i="1"/>
  <c r="J315" i="1"/>
  <c r="J180" i="1"/>
  <c r="J993" i="1"/>
  <c r="J119" i="1"/>
  <c r="J135" i="1"/>
  <c r="J1839" i="1"/>
  <c r="J1994" i="1"/>
  <c r="J1688" i="1"/>
  <c r="J408" i="1"/>
  <c r="J884" i="1"/>
  <c r="J301" i="1"/>
  <c r="J659" i="1"/>
  <c r="J491" i="1"/>
  <c r="J801" i="1"/>
  <c r="J973" i="1"/>
  <c r="J413" i="1"/>
  <c r="J921" i="1"/>
  <c r="J279" i="1"/>
  <c r="J726" i="1"/>
  <c r="J248" i="1"/>
  <c r="J1509" i="1"/>
  <c r="J1748" i="1"/>
  <c r="J1983" i="1"/>
  <c r="J1768" i="1"/>
  <c r="J40" i="1"/>
  <c r="J396" i="1"/>
  <c r="J759" i="1"/>
  <c r="J380" i="1"/>
  <c r="J817" i="1"/>
  <c r="J249" i="1"/>
  <c r="J1522" i="1"/>
  <c r="J1620" i="1"/>
  <c r="J1558" i="1"/>
  <c r="J379" i="1"/>
  <c r="J1610" i="1"/>
  <c r="J1520" i="1"/>
  <c r="J1811" i="1"/>
  <c r="J1753" i="1"/>
  <c r="J1747" i="1"/>
  <c r="J1799" i="1"/>
  <c r="J560" i="1"/>
  <c r="J359" i="1"/>
  <c r="J896" i="1"/>
  <c r="J218" i="1"/>
  <c r="J1582" i="1"/>
  <c r="J438" i="1"/>
  <c r="J1634" i="1"/>
  <c r="J642" i="1"/>
  <c r="J1670" i="1"/>
  <c r="J290" i="1"/>
  <c r="J1690" i="1"/>
  <c r="J1600" i="1"/>
  <c r="J1917" i="1"/>
  <c r="J1879" i="1"/>
  <c r="J524" i="1"/>
  <c r="J394" i="1"/>
  <c r="J934" i="1"/>
  <c r="J697" i="1"/>
  <c r="J898" i="1"/>
  <c r="J127" i="1"/>
  <c r="J715" i="1"/>
  <c r="J978" i="1"/>
  <c r="J166" i="1"/>
  <c r="J652" i="1"/>
  <c r="J1583" i="1"/>
  <c r="J177" i="1"/>
  <c r="J196" i="1"/>
  <c r="J1525" i="1"/>
  <c r="J1764" i="1"/>
  <c r="J474" i="1"/>
  <c r="J425" i="1"/>
  <c r="J892" i="1"/>
  <c r="J454" i="1"/>
  <c r="J533" i="1"/>
  <c r="J571" i="1"/>
  <c r="J228" i="1"/>
  <c r="J420" i="1"/>
  <c r="J803" i="1"/>
  <c r="J981" i="1"/>
  <c r="J1515" i="1"/>
  <c r="J727" i="1"/>
  <c r="J1563" i="1"/>
  <c r="J167" i="1"/>
  <c r="J1591" i="1"/>
  <c r="J1637" i="1"/>
  <c r="J516" i="1"/>
  <c r="J1920" i="1"/>
  <c r="J393" i="1"/>
  <c r="J334" i="1"/>
  <c r="J488" i="1"/>
  <c r="J789" i="1"/>
  <c r="J822" i="1"/>
  <c r="J1598" i="1"/>
  <c r="J340" i="1"/>
  <c r="J1650" i="1"/>
  <c r="J224" i="1"/>
  <c r="J1686" i="1"/>
  <c r="J929" i="1"/>
  <c r="J1001" i="1"/>
  <c r="J162" i="1"/>
  <c r="J1956" i="1"/>
  <c r="J1923" i="1"/>
  <c r="J1624" i="1"/>
  <c r="J21" i="1"/>
  <c r="J486" i="1"/>
  <c r="J14" i="1"/>
  <c r="J663" i="1"/>
  <c r="J718" i="1"/>
  <c r="J260" i="1"/>
  <c r="J307" i="1"/>
  <c r="J122" i="1"/>
  <c r="J829" i="1"/>
  <c r="J285" i="1"/>
  <c r="J628" i="1"/>
  <c r="J208" i="1"/>
  <c r="J264" i="1"/>
  <c r="J1913" i="1"/>
  <c r="J1761" i="1"/>
  <c r="J1704" i="1"/>
  <c r="J1484" i="1"/>
  <c r="J147" i="1"/>
  <c r="J34" i="1"/>
  <c r="J660" i="1"/>
  <c r="J319" i="1"/>
  <c r="J819" i="1"/>
  <c r="J176" i="1"/>
  <c r="J113" i="1"/>
  <c r="J422" i="1"/>
  <c r="J959" i="1"/>
  <c r="J193" i="1"/>
  <c r="J1655" i="1"/>
  <c r="J1685" i="1"/>
  <c r="J542" i="1"/>
  <c r="J1976" i="1"/>
  <c r="J781" i="1"/>
  <c r="J466" i="1"/>
  <c r="J84" i="1"/>
  <c r="J859" i="1"/>
  <c r="J572" i="1"/>
  <c r="J221" i="1"/>
  <c r="J1615" i="1"/>
  <c r="J231" i="1"/>
  <c r="J1687" i="1"/>
  <c r="J804" i="1"/>
  <c r="J1735" i="1"/>
  <c r="J295" i="1"/>
  <c r="J1759" i="1"/>
  <c r="J1852" i="1"/>
  <c r="J292" i="1"/>
  <c r="J1987" i="1"/>
  <c r="J920" i="1"/>
  <c r="J689" i="1"/>
  <c r="J71" i="1"/>
  <c r="J631" i="1"/>
  <c r="J327" i="1"/>
  <c r="J1726" i="1"/>
  <c r="J374" i="1"/>
  <c r="J1778" i="1"/>
  <c r="J666" i="1"/>
  <c r="J1878" i="1"/>
  <c r="J389" i="1"/>
  <c r="J1866" i="1"/>
  <c r="J1776" i="1"/>
  <c r="J1781" i="1"/>
  <c r="J1693" i="1"/>
  <c r="J681" i="1"/>
  <c r="J1488" i="1"/>
  <c r="J246" i="1"/>
  <c r="J456" i="1"/>
  <c r="J969" i="1"/>
  <c r="J508" i="1"/>
  <c r="J1838" i="1"/>
  <c r="J134" i="1"/>
  <c r="J1890" i="1"/>
  <c r="J387" i="1"/>
  <c r="J1926" i="1"/>
  <c r="J986" i="1"/>
  <c r="J1946" i="1"/>
  <c r="J251" i="1"/>
  <c r="J1893" i="1"/>
  <c r="J1859" i="1"/>
  <c r="J1576" i="1"/>
  <c r="J875" i="1"/>
  <c r="J90" i="1"/>
  <c r="J459" i="1"/>
  <c r="J824" i="1"/>
  <c r="J472" i="1"/>
  <c r="J1639" i="1"/>
  <c r="J262" i="1"/>
  <c r="J1707" i="1"/>
  <c r="J108" i="1"/>
  <c r="J480" i="1"/>
  <c r="J772" i="1"/>
  <c r="J325" i="1"/>
  <c r="J1873" i="1"/>
  <c r="J1815" i="1"/>
  <c r="J261" i="1"/>
  <c r="J92" i="1"/>
  <c r="J992" i="1"/>
  <c r="J1694" i="1"/>
  <c r="J792" i="1"/>
  <c r="J1746" i="1"/>
  <c r="J588" i="1"/>
  <c r="J1782" i="1"/>
  <c r="J402" i="1"/>
  <c r="J417" i="1"/>
  <c r="J213" i="1"/>
  <c r="J1916" i="1"/>
  <c r="J1513" i="1"/>
  <c r="J1555" i="1"/>
  <c r="J1533" i="1"/>
  <c r="J1452" i="1"/>
  <c r="J322" i="1"/>
  <c r="J63" i="1"/>
  <c r="J601" i="1"/>
  <c r="J982" i="1"/>
  <c r="J917" i="1"/>
  <c r="J830" i="1"/>
  <c r="J532" i="1"/>
  <c r="J517" i="1"/>
  <c r="J140" i="1"/>
  <c r="J110" i="1"/>
  <c r="J1524" i="1"/>
  <c r="J1713" i="1"/>
  <c r="J1593" i="1"/>
  <c r="J1635" i="1"/>
  <c r="J77" i="1"/>
  <c r="J109" i="1"/>
  <c r="J1384" i="1"/>
  <c r="J999" i="1"/>
  <c r="J786" i="1"/>
  <c r="J1854" i="1"/>
  <c r="J189" i="1"/>
  <c r="J1906" i="1"/>
  <c r="J447" i="1"/>
  <c r="J232" i="1"/>
  <c r="J927" i="1"/>
  <c r="J1567" i="1"/>
  <c r="J1621" i="1"/>
  <c r="J207" i="1"/>
  <c r="J1899" i="1"/>
  <c r="J807" i="1"/>
  <c r="J735" i="1"/>
  <c r="J955" i="1"/>
  <c r="J391" i="1"/>
  <c r="J543" i="1"/>
  <c r="J313" i="1"/>
  <c r="J1531" i="1"/>
  <c r="J312" i="1"/>
  <c r="J1599" i="1"/>
  <c r="J863" i="1"/>
  <c r="J1647" i="1"/>
  <c r="J303" i="1"/>
  <c r="J1675" i="1"/>
  <c r="J1737" i="1"/>
  <c r="J915" i="1"/>
  <c r="J1992" i="1"/>
  <c r="J281" i="1"/>
  <c r="J705" i="1"/>
  <c r="J974" i="1"/>
  <c r="J564" i="1"/>
  <c r="J146" i="1"/>
  <c r="J1662" i="1"/>
  <c r="J615" i="1"/>
  <c r="J1714" i="1"/>
  <c r="J182" i="1"/>
  <c r="J1750" i="1"/>
  <c r="J1636" i="1"/>
  <c r="J1546" i="1"/>
  <c r="J1716" i="1"/>
  <c r="J1924" i="1"/>
  <c r="J1641" i="1"/>
  <c r="J1683" i="1"/>
  <c r="J1661" i="1"/>
  <c r="J561" i="1"/>
  <c r="J407" i="1"/>
  <c r="J341" i="1"/>
  <c r="J916" i="1"/>
  <c r="J1518" i="1"/>
  <c r="J1604" i="1"/>
  <c r="J1570" i="1"/>
  <c r="J514" i="1"/>
  <c r="J1606" i="1"/>
  <c r="J366" i="1"/>
  <c r="J1626" i="1"/>
  <c r="J1536" i="1"/>
  <c r="J1832" i="1"/>
  <c r="J1791" i="1"/>
  <c r="J1763" i="1"/>
  <c r="J73" i="1"/>
  <c r="J833" i="1"/>
  <c r="J657" i="1"/>
  <c r="J227" i="1"/>
  <c r="J928" i="1"/>
  <c r="J198" i="1"/>
  <c r="J299" i="1"/>
  <c r="J129" i="1"/>
  <c r="J515" i="1"/>
  <c r="J185" i="1"/>
  <c r="J284" i="1"/>
  <c r="J752" i="1"/>
  <c r="J121" i="1"/>
  <c r="J1732" i="1"/>
  <c r="J1963" i="1"/>
  <c r="J1752" i="1"/>
  <c r="J1504" i="1"/>
  <c r="J434" i="1"/>
  <c r="J788" i="1"/>
  <c r="J708" i="1"/>
  <c r="J469" i="1"/>
  <c r="J613" i="1"/>
  <c r="J283" i="1"/>
  <c r="J902" i="1"/>
  <c r="J733" i="1"/>
  <c r="J173" i="1"/>
  <c r="J415" i="1"/>
  <c r="J1507" i="1"/>
  <c r="J1573" i="1"/>
  <c r="J286" i="1"/>
  <c r="J1835" i="1"/>
  <c r="J442" i="1"/>
  <c r="J905" i="1"/>
  <c r="J214" i="1"/>
  <c r="J790" i="1"/>
  <c r="J897" i="1"/>
  <c r="J1534" i="1"/>
  <c r="J1668" i="1"/>
  <c r="J1586" i="1"/>
  <c r="J233" i="1"/>
  <c r="J1622" i="1"/>
  <c r="J1514" i="1"/>
  <c r="J1642" i="1"/>
  <c r="J1552" i="1"/>
  <c r="J1853" i="1"/>
  <c r="J1793" i="1"/>
  <c r="J831" i="1"/>
  <c r="J553" i="1"/>
  <c r="J1749" i="1"/>
  <c r="J1784" i="1"/>
  <c r="J41" i="1"/>
  <c r="J758" i="1"/>
  <c r="J31" i="1"/>
  <c r="J886" i="1"/>
  <c r="J236" i="1"/>
  <c r="J617" i="1"/>
  <c r="J136" i="1"/>
  <c r="J298" i="1"/>
  <c r="J1510" i="1"/>
  <c r="J1572" i="1"/>
  <c r="J1530" i="1"/>
  <c r="J1652" i="1"/>
  <c r="J1865" i="1"/>
  <c r="J1625" i="1"/>
  <c r="J1667" i="1"/>
  <c r="J1613" i="1"/>
  <c r="J1516" i="1"/>
  <c r="J1805" i="1"/>
  <c r="J1840" i="1"/>
  <c r="J1569" i="1"/>
  <c r="J1841" i="1"/>
  <c r="J1612" i="1"/>
  <c r="J1933" i="1"/>
  <c r="J1919" i="1"/>
  <c r="J332" i="1"/>
  <c r="J4004" i="1"/>
  <c r="J184" i="1"/>
  <c r="J181" i="1"/>
  <c r="J1957" i="1"/>
  <c r="J1545" i="1"/>
  <c r="J1587" i="1"/>
  <c r="J1565" i="1"/>
  <c r="J908" i="1"/>
  <c r="J50" i="1"/>
  <c r="J869" i="1"/>
  <c r="J128" i="1"/>
  <c r="J1742" i="1"/>
  <c r="J406" i="1"/>
  <c r="J1794" i="1"/>
  <c r="J658" i="1"/>
  <c r="J1830" i="1"/>
  <c r="J610" i="1"/>
  <c r="J1850" i="1"/>
  <c r="J1760" i="1"/>
  <c r="J1733" i="1"/>
  <c r="J1940" i="1"/>
  <c r="J481" i="1"/>
  <c r="J1843" i="1"/>
  <c r="J972" i="1"/>
  <c r="J1867" i="1"/>
  <c r="J462" i="1"/>
  <c r="J2001" i="1"/>
  <c r="J1966" i="1"/>
  <c r="J118" i="1"/>
  <c r="J1984" i="1"/>
  <c r="J812" i="1"/>
  <c r="J1889" i="1"/>
  <c r="J1770" i="1"/>
  <c r="J1680" i="1"/>
  <c r="J1697" i="1"/>
  <c r="J1977" i="1"/>
  <c r="J172" i="1"/>
  <c r="J696" i="1"/>
  <c r="J771" i="1"/>
  <c r="J540" i="1"/>
  <c r="J671" i="1"/>
  <c r="J633" i="1"/>
  <c r="J144" i="1"/>
  <c r="J390" i="1"/>
  <c r="J150" i="1"/>
  <c r="J611" i="1"/>
  <c r="J219" i="1"/>
  <c r="J723" i="1"/>
  <c r="J732" i="1"/>
  <c r="J1541" i="1"/>
  <c r="J1780" i="1"/>
  <c r="J1789" i="1"/>
  <c r="J244" i="1"/>
  <c r="J1904" i="1"/>
  <c r="J1617" i="1"/>
  <c r="J1771" i="1"/>
  <c r="J1724" i="1"/>
  <c r="J1935" i="1"/>
  <c r="J1801" i="1"/>
  <c r="J1775" i="1"/>
  <c r="J1863" i="1"/>
  <c r="J1628" i="1"/>
  <c r="J1954" i="1"/>
  <c r="J793" i="1"/>
  <c r="J964" i="1"/>
  <c r="J242" i="1"/>
  <c r="J614" i="1"/>
  <c r="J1971" i="1"/>
  <c r="J1844" i="1"/>
  <c r="J1720" i="1"/>
  <c r="J925" i="1"/>
  <c r="J96" i="1"/>
  <c r="J1460" i="1"/>
  <c r="J403" i="1"/>
  <c r="J230" i="1"/>
  <c r="J1743" i="1"/>
  <c r="J106" i="1"/>
  <c r="J493" i="1"/>
  <c r="J245" i="1"/>
  <c r="J131" i="1"/>
  <c r="J702" i="1"/>
  <c r="J152" i="1"/>
  <c r="J1973" i="1"/>
  <c r="J1561" i="1"/>
  <c r="J1603" i="1"/>
  <c r="J1581" i="1"/>
  <c r="J620" i="1"/>
  <c r="J1908" i="1"/>
  <c r="J1701" i="1"/>
  <c r="J1505" i="1"/>
  <c r="J1677" i="1"/>
  <c r="J1548" i="1"/>
  <c r="J1824" i="1"/>
  <c r="J324" i="1"/>
  <c r="J1807" i="1"/>
  <c r="J4018" i="1"/>
  <c r="J4038" i="1"/>
  <c r="J4058" i="1"/>
  <c r="J4106" i="1"/>
  <c r="J1002" i="1"/>
  <c r="J1523" i="1"/>
  <c r="J381" i="1"/>
  <c r="J594" i="1"/>
  <c r="J439" i="1"/>
  <c r="J575" i="1"/>
  <c r="J142" i="1"/>
  <c r="J1678" i="1"/>
  <c r="J255" i="1"/>
  <c r="J1730" i="1"/>
  <c r="J672" i="1"/>
  <c r="J1766" i="1"/>
  <c r="J399" i="1"/>
  <c r="J1786" i="1"/>
  <c r="J1696" i="1"/>
  <c r="J1823" i="1"/>
  <c r="J1993" i="1"/>
  <c r="J552" i="1"/>
  <c r="J1709" i="1"/>
  <c r="J1772" i="1"/>
  <c r="J1773" i="1"/>
  <c r="J618" i="1"/>
  <c r="J1932" i="1"/>
  <c r="J1885" i="1"/>
  <c r="J190" i="1"/>
  <c r="J1909" i="1"/>
  <c r="J1871" i="1"/>
  <c r="J1804" i="1"/>
  <c r="J703" i="1"/>
  <c r="J1706" i="1"/>
  <c r="J1616" i="1"/>
  <c r="J1939" i="1"/>
  <c r="J1900" i="1"/>
  <c r="J174" i="1"/>
  <c r="J25" i="1"/>
  <c r="J329" i="1"/>
  <c r="J541" i="1"/>
  <c r="J984" i="1"/>
  <c r="J523" i="1"/>
  <c r="J881" i="1"/>
  <c r="J272" i="1"/>
  <c r="J725" i="1"/>
  <c r="J839" i="1"/>
  <c r="J717" i="1"/>
  <c r="J344" i="1"/>
  <c r="J105" i="1"/>
  <c r="J342" i="1"/>
  <c r="J1299" i="1"/>
  <c r="J1903" i="1"/>
  <c r="J1736" i="1"/>
  <c r="J1819" i="1"/>
  <c r="J1553" i="1"/>
  <c r="J1927" i="1"/>
  <c r="J1660" i="1"/>
  <c r="J1986" i="1"/>
  <c r="J1947" i="1"/>
  <c r="J1649" i="1"/>
  <c r="J1705" i="1"/>
  <c r="J1564" i="1"/>
  <c r="J1869" i="1"/>
  <c r="J662" i="1"/>
  <c r="J101" i="1"/>
  <c r="J1988" i="1"/>
  <c r="J1962" i="1"/>
  <c r="J1656" i="1"/>
  <c r="J769" i="1"/>
  <c r="J433" i="1"/>
  <c r="J968" i="1"/>
  <c r="J243" i="1"/>
  <c r="J722" i="1"/>
  <c r="J1659" i="1"/>
  <c r="J222" i="1"/>
  <c r="J1727" i="1"/>
  <c r="J872" i="1"/>
  <c r="J333" i="1"/>
  <c r="J179" i="1"/>
  <c r="J202" i="1"/>
  <c r="J1895" i="1"/>
  <c r="J483" i="1"/>
  <c r="J1539" i="1"/>
  <c r="J1517" i="1"/>
  <c r="J188" i="1"/>
  <c r="J1985" i="1"/>
  <c r="J1787" i="1"/>
  <c r="J300" i="1"/>
  <c r="J1887" i="1"/>
  <c r="J814" i="1"/>
  <c r="J1725" i="1"/>
  <c r="J1907" i="1"/>
  <c r="J811" i="1"/>
  <c r="J1931" i="1"/>
  <c r="J1671" i="1"/>
  <c r="J237" i="1"/>
  <c r="J1695" i="1"/>
  <c r="J1783" i="1"/>
  <c r="J212" i="1"/>
  <c r="J1779" i="1"/>
  <c r="J83" i="1"/>
  <c r="J338" i="1"/>
  <c r="J103" i="1"/>
  <c r="J700" i="1"/>
  <c r="J836" i="1"/>
  <c r="J1614" i="1"/>
  <c r="J288" i="1"/>
  <c r="J1666" i="1"/>
  <c r="J424" i="1"/>
  <c r="J1702" i="1"/>
  <c r="J139" i="1"/>
  <c r="J1722" i="1"/>
  <c r="J1632" i="1"/>
  <c r="J1958" i="1"/>
  <c r="J1921" i="1"/>
  <c r="J302" i="1"/>
  <c r="J1997" i="1"/>
  <c r="J1708" i="1"/>
  <c r="J1876" i="1"/>
  <c r="J1995" i="1"/>
  <c r="J1847" i="1"/>
  <c r="J1800" i="1"/>
  <c r="J813" i="1"/>
  <c r="J2000" i="1"/>
  <c r="J1692" i="1"/>
  <c r="J4007" i="1"/>
  <c r="J4022" i="1"/>
  <c r="J4042" i="1"/>
  <c r="J4066" i="1"/>
  <c r="J4122" i="1"/>
  <c r="J323" i="1"/>
  <c r="J1432" i="1"/>
  <c r="J156" i="1"/>
  <c r="J80" i="1"/>
  <c r="J976" i="1"/>
  <c r="J347" i="1"/>
  <c r="J1934" i="1"/>
  <c r="J124" i="1"/>
  <c r="J820" i="1"/>
  <c r="J470" i="1"/>
  <c r="J104" i="1"/>
  <c r="J201" i="1"/>
  <c r="J419" i="1"/>
  <c r="J806" i="1"/>
  <c r="J1729" i="1"/>
  <c r="J1978" i="1"/>
  <c r="J1672" i="1"/>
  <c r="J1975" i="1"/>
  <c r="J500" i="1"/>
  <c r="J1820" i="1"/>
  <c r="J1596" i="1"/>
  <c r="J1912" i="1"/>
  <c r="J1861" i="1"/>
  <c r="J1585" i="1"/>
  <c r="J1952" i="1"/>
  <c r="J942" i="1"/>
  <c r="J1777" i="1"/>
  <c r="J502" i="1"/>
  <c r="J428" i="1"/>
  <c r="J149" i="1"/>
  <c r="J1915" i="1"/>
  <c r="J1880" i="1"/>
  <c r="J1592" i="1"/>
  <c r="J738" i="1"/>
  <c r="J926" i="1"/>
  <c r="J589" i="1"/>
  <c r="J957" i="1"/>
  <c r="J229" i="1"/>
  <c r="J1575" i="1"/>
  <c r="J269" i="1"/>
  <c r="J1643" i="1"/>
  <c r="J527" i="1"/>
  <c r="J1691" i="1"/>
  <c r="J125" i="1"/>
  <c r="J1719" i="1"/>
  <c r="J1809" i="1"/>
  <c r="J165" i="1"/>
  <c r="J1855" i="1"/>
  <c r="J112" i="1"/>
  <c r="J171" i="1"/>
  <c r="J1911" i="1"/>
  <c r="J1949" i="1"/>
  <c r="J623" i="1"/>
  <c r="J1968" i="1"/>
  <c r="J711" i="1"/>
  <c r="J1795" i="1"/>
  <c r="J1821" i="1"/>
  <c r="J276" i="1"/>
  <c r="J1845" i="1"/>
  <c r="J1611" i="1"/>
  <c r="J1653" i="1"/>
  <c r="J114" i="1"/>
  <c r="J1941" i="1"/>
  <c r="J93" i="1"/>
  <c r="J94" i="1"/>
  <c r="J893" i="1"/>
  <c r="J661" i="1"/>
  <c r="J950" i="1"/>
  <c r="J1550" i="1"/>
  <c r="J427" i="1"/>
  <c r="J1602" i="1"/>
  <c r="J961" i="1"/>
  <c r="J1638" i="1"/>
  <c r="J753" i="1"/>
  <c r="J1658" i="1"/>
  <c r="J1568" i="1"/>
  <c r="J1875" i="1"/>
  <c r="J1836" i="1"/>
  <c r="J922" i="1"/>
  <c r="J1905" i="1"/>
  <c r="J1644" i="1"/>
  <c r="J1970" i="1"/>
  <c r="J1996" i="1"/>
  <c r="J1721" i="1"/>
  <c r="J1897" i="1"/>
  <c r="J1740" i="1"/>
  <c r="J1991" i="1"/>
  <c r="J1883" i="1"/>
  <c r="J1601" i="1"/>
  <c r="J4005" i="1"/>
  <c r="J235" i="1"/>
  <c r="J1578" i="1"/>
  <c r="J810" i="1"/>
  <c r="J1741" i="1"/>
  <c r="J1673" i="1"/>
  <c r="J1715" i="1"/>
  <c r="J68" i="1"/>
  <c r="J458" i="1"/>
  <c r="J1448" i="1"/>
  <c r="J742" i="1"/>
  <c r="J464" i="1"/>
  <c r="J1870" i="1"/>
  <c r="J377" i="1"/>
  <c r="J1922" i="1"/>
  <c r="J205" i="1"/>
  <c r="J873" i="1"/>
  <c r="J210" i="1"/>
  <c r="J421" i="1"/>
  <c r="J187" i="1"/>
  <c r="J1936" i="1"/>
  <c r="J1901" i="1"/>
  <c r="J1608" i="1"/>
  <c r="J1998" i="1"/>
  <c r="J983" i="1"/>
  <c r="J1645" i="1"/>
  <c r="J1532" i="1"/>
  <c r="J1827" i="1"/>
  <c r="J1765" i="1"/>
  <c r="J1521" i="1"/>
  <c r="J1981" i="1"/>
  <c r="J1665" i="1"/>
  <c r="J4006" i="1"/>
  <c r="J4026" i="1"/>
  <c r="J4050" i="1"/>
  <c r="J4074" i="1"/>
  <c r="J4138" i="1"/>
  <c r="J1559" i="1"/>
  <c r="J115" i="1"/>
  <c r="J1607" i="1"/>
  <c r="J673" i="1"/>
  <c r="J1631" i="1"/>
  <c r="J1669" i="1"/>
  <c r="J823" i="1"/>
  <c r="J1960" i="1"/>
  <c r="J602" i="1"/>
  <c r="J1945" i="1"/>
  <c r="J1825" i="1"/>
  <c r="J1864" i="1"/>
  <c r="J111" i="1"/>
  <c r="J1888" i="1"/>
  <c r="J241" i="1"/>
  <c r="J1953" i="1"/>
  <c r="J1955" i="1"/>
  <c r="J1756" i="1"/>
  <c r="J1717" i="1"/>
  <c r="J808" i="1"/>
  <c r="J1527" i="1"/>
  <c r="J1589" i="1"/>
  <c r="J713" i="1"/>
  <c r="J1856" i="1"/>
  <c r="J191" i="1"/>
  <c r="J16" i="1"/>
  <c r="J465" i="1"/>
  <c r="J664" i="1"/>
  <c r="J997" i="1"/>
  <c r="J155" i="1"/>
  <c r="J862" i="1"/>
  <c r="J1538" i="1"/>
  <c r="J1684" i="1"/>
  <c r="J1574" i="1"/>
  <c r="J267" i="1"/>
  <c r="J1594" i="1"/>
  <c r="J409" i="1"/>
  <c r="J1785" i="1"/>
  <c r="J1689" i="1"/>
  <c r="J1731" i="1"/>
  <c r="J1767" i="1"/>
  <c r="J1580" i="1"/>
  <c r="J1891" i="1"/>
  <c r="J1925" i="1"/>
  <c r="J1633" i="1"/>
  <c r="J1948" i="1"/>
  <c r="J1676" i="1"/>
  <c r="J2002" i="1"/>
  <c r="J1797" i="1"/>
  <c r="J1537" i="1"/>
  <c r="J4003" i="1"/>
  <c r="J1588" i="1"/>
  <c r="J1812" i="1"/>
  <c r="J1609" i="1"/>
  <c r="J1651" i="1"/>
  <c r="J1629" i="1"/>
  <c r="J348" i="1"/>
  <c r="J701" i="1"/>
  <c r="J343" i="1"/>
  <c r="J605" i="1"/>
  <c r="J1806" i="1"/>
  <c r="J761" i="1"/>
  <c r="J1858" i="1"/>
  <c r="J297" i="1"/>
  <c r="J1894" i="1"/>
  <c r="J443" i="1"/>
  <c r="J1914" i="1"/>
  <c r="J328" i="1"/>
  <c r="J1851" i="1"/>
  <c r="J1816" i="1"/>
  <c r="J1544" i="1"/>
  <c r="J1928" i="1"/>
  <c r="J311" i="1"/>
  <c r="J1817" i="1"/>
  <c r="J164" i="1"/>
  <c r="J1967" i="1"/>
  <c r="J1860" i="1"/>
  <c r="J512" i="1"/>
  <c r="J1959" i="1"/>
  <c r="J773" i="1"/>
  <c r="J1969" i="1"/>
  <c r="J1814" i="1"/>
  <c r="J837" i="1"/>
  <c r="J1834" i="1"/>
  <c r="J1744" i="1"/>
  <c r="J1999" i="1"/>
  <c r="J1881" i="1"/>
  <c r="J159" i="1"/>
  <c r="J706" i="1"/>
  <c r="J509" i="1"/>
  <c r="J579" i="1"/>
  <c r="J429" i="1"/>
  <c r="J728" i="1"/>
  <c r="J519" i="1"/>
  <c r="J616" i="1"/>
  <c r="J622" i="1"/>
  <c r="J217" i="1"/>
  <c r="J1519" i="1"/>
  <c r="J314" i="1"/>
  <c r="J1547" i="1"/>
  <c r="J1605" i="1"/>
  <c r="J743" i="1"/>
  <c r="J1877" i="1"/>
  <c r="J163" i="1"/>
  <c r="J1980" i="1"/>
  <c r="J1681" i="1"/>
  <c r="J1769" i="1"/>
  <c r="J1788" i="1"/>
  <c r="J1803" i="1"/>
  <c r="J592" i="1"/>
  <c r="J1868" i="1"/>
  <c r="J1964" i="1"/>
  <c r="J1849" i="1"/>
  <c r="J4010" i="1"/>
  <c r="J4034" i="1"/>
  <c r="J4054" i="1"/>
  <c r="J4090" i="1"/>
  <c r="J4154" i="1"/>
  <c r="J4082" i="1"/>
  <c r="J4098" i="1"/>
  <c r="J4114" i="1"/>
  <c r="J4130" i="1"/>
  <c r="J4146" i="1"/>
  <c r="J4162" i="1"/>
  <c r="J4178" i="1"/>
  <c r="J4194" i="1"/>
  <c r="J4210" i="1"/>
  <c r="J4226" i="1"/>
  <c r="J4242" i="1"/>
  <c r="J4258" i="1"/>
  <c r="J4274" i="1"/>
  <c r="J4290" i="1"/>
  <c r="J4306" i="1"/>
  <c r="J4322" i="1"/>
  <c r="J4338" i="1"/>
  <c r="J4354" i="1"/>
  <c r="J4370" i="1"/>
  <c r="J4386" i="1"/>
  <c r="J4402" i="1"/>
  <c r="J4418" i="1"/>
  <c r="J4434" i="1"/>
  <c r="J4450" i="1"/>
  <c r="J4466" i="1"/>
  <c r="J4482" i="1"/>
  <c r="J4500" i="1"/>
  <c r="J4011" i="1"/>
  <c r="J4027" i="1"/>
  <c r="J4043" i="1"/>
  <c r="J4059" i="1"/>
  <c r="J4075" i="1"/>
  <c r="J4091" i="1"/>
  <c r="J4107" i="1"/>
  <c r="J4123" i="1"/>
  <c r="J4139" i="1"/>
  <c r="J4155" i="1"/>
  <c r="J4171" i="1"/>
  <c r="J4187" i="1"/>
  <c r="J4203" i="1"/>
  <c r="J4219" i="1"/>
  <c r="J4235" i="1"/>
  <c r="J4251" i="1"/>
  <c r="J4267" i="1"/>
  <c r="J4283" i="1"/>
  <c r="J4299" i="1"/>
  <c r="J4315" i="1"/>
  <c r="J4331" i="1"/>
  <c r="J4347" i="1"/>
  <c r="J4363" i="1"/>
  <c r="J4379" i="1"/>
  <c r="J4395" i="1"/>
  <c r="J4411" i="1"/>
  <c r="J4427" i="1"/>
  <c r="J4443" i="1"/>
  <c r="J4459" i="1"/>
  <c r="J4475" i="1"/>
  <c r="J4491" i="1"/>
  <c r="J4512" i="1"/>
  <c r="J4016" i="1"/>
  <c r="J4032" i="1"/>
  <c r="J4048" i="1"/>
  <c r="J4064" i="1"/>
  <c r="J4080" i="1"/>
  <c r="J4096" i="1"/>
  <c r="J4112" i="1"/>
  <c r="J4128" i="1"/>
  <c r="J4144" i="1"/>
  <c r="J4160" i="1"/>
  <c r="J4176" i="1"/>
  <c r="J4192" i="1"/>
  <c r="J4208" i="1"/>
  <c r="J4224" i="1"/>
  <c r="J4240" i="1"/>
  <c r="J4256" i="1"/>
  <c r="J4272" i="1"/>
  <c r="J4288" i="1"/>
  <c r="J4304" i="1"/>
  <c r="J4320" i="1"/>
  <c r="J4336" i="1"/>
  <c r="J4352" i="1"/>
  <c r="J4368" i="1"/>
  <c r="J4384" i="1"/>
  <c r="J4400" i="1"/>
  <c r="J4416" i="1"/>
  <c r="J4432" i="1"/>
  <c r="J4448" i="1"/>
  <c r="J4464" i="1"/>
  <c r="J4480" i="1"/>
  <c r="J4497" i="1"/>
  <c r="J4521" i="1"/>
  <c r="J4021" i="1"/>
  <c r="J4037" i="1"/>
  <c r="J4053" i="1"/>
  <c r="J4069" i="1"/>
  <c r="J4085" i="1"/>
  <c r="J4101" i="1"/>
  <c r="J4117" i="1"/>
  <c r="J4133" i="1"/>
  <c r="J4149" i="1"/>
  <c r="J4165" i="1"/>
  <c r="J4181" i="1"/>
  <c r="J4197" i="1"/>
  <c r="J4213" i="1"/>
  <c r="J4229" i="1"/>
  <c r="J4245" i="1"/>
  <c r="J4261" i="1"/>
  <c r="J4277" i="1"/>
  <c r="J4293" i="1"/>
  <c r="J4309" i="1"/>
  <c r="J4325" i="1"/>
  <c r="J4341" i="1"/>
  <c r="J4357" i="1"/>
  <c r="J4373" i="1"/>
  <c r="J4389" i="1"/>
  <c r="J4405" i="1"/>
  <c r="J4421" i="1"/>
  <c r="J4445" i="1"/>
  <c r="J4070" i="1"/>
  <c r="J4086" i="1"/>
  <c r="J4102" i="1"/>
  <c r="J4118" i="1"/>
  <c r="J4134" i="1"/>
  <c r="J4150" i="1"/>
  <c r="J4166" i="1"/>
  <c r="J4182" i="1"/>
  <c r="J4198" i="1"/>
  <c r="J4214" i="1"/>
  <c r="J4230" i="1"/>
  <c r="J4246" i="1"/>
  <c r="J4262" i="1"/>
  <c r="J4278" i="1"/>
  <c r="J4294" i="1"/>
  <c r="J4310" i="1"/>
  <c r="J4326" i="1"/>
  <c r="J4342" i="1"/>
  <c r="J4358" i="1"/>
  <c r="J4374" i="1"/>
  <c r="J4390" i="1"/>
  <c r="J4406" i="1"/>
  <c r="J4422" i="1"/>
  <c r="J4438" i="1"/>
  <c r="J4454" i="1"/>
  <c r="J4470" i="1"/>
  <c r="J4486" i="1"/>
  <c r="J4505" i="1"/>
  <c r="J4015" i="1"/>
  <c r="J4031" i="1"/>
  <c r="J4047" i="1"/>
  <c r="J4063" i="1"/>
  <c r="J4079" i="1"/>
  <c r="J4095" i="1"/>
  <c r="J4111" i="1"/>
  <c r="J4127" i="1"/>
  <c r="J4143" i="1"/>
  <c r="J4159" i="1"/>
  <c r="J4175" i="1"/>
  <c r="J4191" i="1"/>
  <c r="J4207" i="1"/>
  <c r="J4223" i="1"/>
  <c r="J4239" i="1"/>
  <c r="J4255" i="1"/>
  <c r="J4271" i="1"/>
  <c r="J4287" i="1"/>
  <c r="J4303" i="1"/>
  <c r="J4319" i="1"/>
  <c r="J4335" i="1"/>
  <c r="J4351" i="1"/>
  <c r="J4367" i="1"/>
  <c r="J4383" i="1"/>
  <c r="J4399" i="1"/>
  <c r="J4415" i="1"/>
  <c r="J4431" i="1"/>
  <c r="J4447" i="1"/>
  <c r="J4463" i="1"/>
  <c r="J4479" i="1"/>
  <c r="J4496" i="1"/>
  <c r="J4520" i="1"/>
  <c r="J4020" i="1"/>
  <c r="J4036" i="1"/>
  <c r="J4052" i="1"/>
  <c r="J4068" i="1"/>
  <c r="J4084" i="1"/>
  <c r="J4100" i="1"/>
  <c r="J4116" i="1"/>
  <c r="J4132" i="1"/>
  <c r="J4148" i="1"/>
  <c r="J4164" i="1"/>
  <c r="J4180" i="1"/>
  <c r="J4196" i="1"/>
  <c r="J4212" i="1"/>
  <c r="J4228" i="1"/>
  <c r="J4244" i="1"/>
  <c r="J4260" i="1"/>
  <c r="J4276" i="1"/>
  <c r="J4292" i="1"/>
  <c r="J4308" i="1"/>
  <c r="J4324" i="1"/>
  <c r="J4340" i="1"/>
  <c r="J4356" i="1"/>
  <c r="J4372" i="1"/>
  <c r="J4388" i="1"/>
  <c r="J4404" i="1"/>
  <c r="J4420" i="1"/>
  <c r="J4436" i="1"/>
  <c r="J4452" i="1"/>
  <c r="J4468" i="1"/>
  <c r="J4484" i="1"/>
  <c r="J4502" i="1"/>
  <c r="J4009" i="1"/>
  <c r="J4025" i="1"/>
  <c r="J4041" i="1"/>
  <c r="J4057" i="1"/>
  <c r="J4073" i="1"/>
  <c r="J4089" i="1"/>
  <c r="J4105" i="1"/>
  <c r="J4121" i="1"/>
  <c r="J4137" i="1"/>
  <c r="J4153" i="1"/>
  <c r="J4169" i="1"/>
  <c r="J4185" i="1"/>
  <c r="J4201" i="1"/>
  <c r="J4217" i="1"/>
  <c r="J4233" i="1"/>
  <c r="J4249" i="1"/>
  <c r="J4265" i="1"/>
  <c r="J4281" i="1"/>
  <c r="J4297" i="1"/>
  <c r="J4313" i="1"/>
  <c r="J4329" i="1"/>
  <c r="J4345" i="1"/>
  <c r="J4361" i="1"/>
  <c r="J4377" i="1"/>
  <c r="J4393" i="1"/>
  <c r="J4409" i="1"/>
  <c r="J4425" i="1"/>
  <c r="J4449" i="1"/>
  <c r="J4170" i="1"/>
  <c r="J4186" i="1"/>
  <c r="J4202" i="1"/>
  <c r="J4218" i="1"/>
  <c r="J4234" i="1"/>
  <c r="J4250" i="1"/>
  <c r="J4266" i="1"/>
  <c r="J4282" i="1"/>
  <c r="J4298" i="1"/>
  <c r="J4314" i="1"/>
  <c r="J4330" i="1"/>
  <c r="J4346" i="1"/>
  <c r="J4362" i="1"/>
  <c r="J4378" i="1"/>
  <c r="J4394" i="1"/>
  <c r="J4410" i="1"/>
  <c r="J4426" i="1"/>
  <c r="J4442" i="1"/>
  <c r="J4458" i="1"/>
  <c r="J4474" i="1"/>
  <c r="J4490" i="1"/>
  <c r="J4510" i="1"/>
  <c r="J4019" i="1"/>
  <c r="J4035" i="1"/>
  <c r="J4051" i="1"/>
  <c r="J4067" i="1"/>
  <c r="J4083" i="1"/>
  <c r="J4099" i="1"/>
  <c r="J4115" i="1"/>
  <c r="J4131" i="1"/>
  <c r="J4147" i="1"/>
  <c r="J4163" i="1"/>
  <c r="J4179" i="1"/>
  <c r="J4195" i="1"/>
  <c r="J4211" i="1"/>
  <c r="J4227" i="1"/>
  <c r="J4243" i="1"/>
  <c r="J4259" i="1"/>
  <c r="J4275" i="1"/>
  <c r="J4291" i="1"/>
  <c r="J4307" i="1"/>
  <c r="J4323" i="1"/>
  <c r="J4339" i="1"/>
  <c r="J4355" i="1"/>
  <c r="J4371" i="1"/>
  <c r="J4387" i="1"/>
  <c r="J4403" i="1"/>
  <c r="J4419" i="1"/>
  <c r="J4435" i="1"/>
  <c r="J4451" i="1"/>
  <c r="J4467" i="1"/>
  <c r="J4483" i="1"/>
  <c r="J4501" i="1"/>
  <c r="J4008" i="1"/>
  <c r="J4024" i="1"/>
  <c r="J4040" i="1"/>
  <c r="J4056" i="1"/>
  <c r="J4072" i="1"/>
  <c r="J4088" i="1"/>
  <c r="J4104" i="1"/>
  <c r="J4120" i="1"/>
  <c r="J4136" i="1"/>
  <c r="J4152" i="1"/>
  <c r="J4168" i="1"/>
  <c r="J4184" i="1"/>
  <c r="J4200" i="1"/>
  <c r="J4216" i="1"/>
  <c r="J4232" i="1"/>
  <c r="J4248" i="1"/>
  <c r="J4264" i="1"/>
  <c r="J4280" i="1"/>
  <c r="J4296" i="1"/>
  <c r="J4312" i="1"/>
  <c r="J4328" i="1"/>
  <c r="J4344" i="1"/>
  <c r="J4360" i="1"/>
  <c r="J4376" i="1"/>
  <c r="J4392" i="1"/>
  <c r="J4408" i="1"/>
  <c r="J4424" i="1"/>
  <c r="J4440" i="1"/>
  <c r="J4456" i="1"/>
  <c r="J4472" i="1"/>
  <c r="J4488" i="1"/>
  <c r="J4508" i="1"/>
  <c r="J4013" i="1"/>
  <c r="J4029" i="1"/>
  <c r="J4045" i="1"/>
  <c r="J4061" i="1"/>
  <c r="J4077" i="1"/>
  <c r="J4093" i="1"/>
  <c r="J4109" i="1"/>
  <c r="J4125" i="1"/>
  <c r="J4141" i="1"/>
  <c r="J4157" i="1"/>
  <c r="J4173" i="1"/>
  <c r="J4189" i="1"/>
  <c r="J4205" i="1"/>
  <c r="J4221" i="1"/>
  <c r="J4237" i="1"/>
  <c r="J4253" i="1"/>
  <c r="J4269" i="1"/>
  <c r="J4285" i="1"/>
  <c r="J4301" i="1"/>
  <c r="J4317" i="1"/>
  <c r="J4333" i="1"/>
  <c r="J4349" i="1"/>
  <c r="J4365" i="1"/>
  <c r="J4381" i="1"/>
  <c r="J4397" i="1"/>
  <c r="J4413" i="1"/>
  <c r="J4429" i="1"/>
  <c r="J4461" i="1"/>
  <c r="J1848" i="1"/>
  <c r="J1982" i="1"/>
  <c r="J316" i="1"/>
  <c r="J2" i="1"/>
  <c r="K719" i="1" s="1"/>
  <c r="J4014" i="1"/>
  <c r="J4030" i="1"/>
  <c r="J4046" i="1"/>
  <c r="J4062" i="1"/>
  <c r="J4078" i="1"/>
  <c r="J4094" i="1"/>
  <c r="J4110" i="1"/>
  <c r="J4126" i="1"/>
  <c r="J4142" i="1"/>
  <c r="J4158" i="1"/>
  <c r="J4174" i="1"/>
  <c r="J4190" i="1"/>
  <c r="J4206" i="1"/>
  <c r="J4222" i="1"/>
  <c r="J4238" i="1"/>
  <c r="J4254" i="1"/>
  <c r="J4270" i="1"/>
  <c r="J4286" i="1"/>
  <c r="J4302" i="1"/>
  <c r="J4318" i="1"/>
  <c r="J4334" i="1"/>
  <c r="J4350" i="1"/>
  <c r="J4366" i="1"/>
  <c r="J4382" i="1"/>
  <c r="J4398" i="1"/>
  <c r="J4414" i="1"/>
  <c r="J4430" i="1"/>
  <c r="J4446" i="1"/>
  <c r="J4462" i="1"/>
  <c r="J4478" i="1"/>
  <c r="J4494" i="1"/>
  <c r="J4517" i="1"/>
  <c r="J4023" i="1"/>
  <c r="J4039" i="1"/>
  <c r="J4055" i="1"/>
  <c r="J4071" i="1"/>
  <c r="J4087" i="1"/>
  <c r="J4103" i="1"/>
  <c r="J4119" i="1"/>
  <c r="J4135" i="1"/>
  <c r="J4151" i="1"/>
  <c r="J4167" i="1"/>
  <c r="J4183" i="1"/>
  <c r="J4199" i="1"/>
  <c r="J4215" i="1"/>
  <c r="J4231" i="1"/>
  <c r="J4247" i="1"/>
  <c r="J4263" i="1"/>
  <c r="J4279" i="1"/>
  <c r="J4295" i="1"/>
  <c r="J4311" i="1"/>
  <c r="J4327" i="1"/>
  <c r="J4343" i="1"/>
  <c r="J4359" i="1"/>
  <c r="J4375" i="1"/>
  <c r="J4391" i="1"/>
  <c r="J4407" i="1"/>
  <c r="J4423" i="1"/>
  <c r="J4439" i="1"/>
  <c r="J4455" i="1"/>
  <c r="J4471" i="1"/>
  <c r="J4487" i="1"/>
  <c r="J4506" i="1"/>
  <c r="J4012" i="1"/>
  <c r="J4028" i="1"/>
  <c r="J4044" i="1"/>
  <c r="J4060" i="1"/>
  <c r="J4076" i="1"/>
  <c r="J4092" i="1"/>
  <c r="J4108" i="1"/>
  <c r="J4124" i="1"/>
  <c r="J4140" i="1"/>
  <c r="J4156" i="1"/>
  <c r="J4172" i="1"/>
  <c r="J4188" i="1"/>
  <c r="J4204" i="1"/>
  <c r="J4220" i="1"/>
  <c r="J4236" i="1"/>
  <c r="J4252" i="1"/>
  <c r="J4268" i="1"/>
  <c r="J4284" i="1"/>
  <c r="J4300" i="1"/>
  <c r="J4316" i="1"/>
  <c r="J4332" i="1"/>
  <c r="J4348" i="1"/>
  <c r="J4364" i="1"/>
  <c r="J4380" i="1"/>
  <c r="J4396" i="1"/>
  <c r="J4412" i="1"/>
  <c r="J4428" i="1"/>
  <c r="J4444" i="1"/>
  <c r="J4460" i="1"/>
  <c r="J4476" i="1"/>
  <c r="J4492" i="1"/>
  <c r="J4513" i="1"/>
  <c r="J4017" i="1"/>
  <c r="J4033" i="1"/>
  <c r="J4049" i="1"/>
  <c r="J4065" i="1"/>
  <c r="J4081" i="1"/>
  <c r="J4097" i="1"/>
  <c r="J4113" i="1"/>
  <c r="J4129" i="1"/>
  <c r="J4145" i="1"/>
  <c r="J4161" i="1"/>
  <c r="J4177" i="1"/>
  <c r="J4193" i="1"/>
  <c r="J4209" i="1"/>
  <c r="J4225" i="1"/>
  <c r="J4241" i="1"/>
  <c r="J4257" i="1"/>
  <c r="J4273" i="1"/>
  <c r="J4289" i="1"/>
  <c r="J4305" i="1"/>
  <c r="J4321" i="1"/>
  <c r="J4337" i="1"/>
  <c r="J4353" i="1"/>
  <c r="J4369" i="1"/>
  <c r="J4385" i="1"/>
  <c r="J4401" i="1"/>
  <c r="J4417" i="1"/>
  <c r="J4433" i="1"/>
  <c r="J4465" i="1"/>
  <c r="J4441" i="1"/>
  <c r="J4457" i="1"/>
  <c r="J4473" i="1"/>
  <c r="J4489" i="1"/>
  <c r="J4509" i="1"/>
  <c r="J4499" i="1"/>
  <c r="J4515" i="1"/>
  <c r="J4531" i="1"/>
  <c r="J4547" i="1"/>
  <c r="J4563" i="1"/>
  <c r="J4579" i="1"/>
  <c r="J4595" i="1"/>
  <c r="J4611" i="1"/>
  <c r="J4627" i="1"/>
  <c r="J4643" i="1"/>
  <c r="J4659" i="1"/>
  <c r="J4675" i="1"/>
  <c r="J4691" i="1"/>
  <c r="J4707" i="1"/>
  <c r="J4723" i="1"/>
  <c r="J4739" i="1"/>
  <c r="J4755" i="1"/>
  <c r="J4771" i="1"/>
  <c r="J4787" i="1"/>
  <c r="J4803" i="1"/>
  <c r="J4819" i="1"/>
  <c r="J4835" i="1"/>
  <c r="J4851" i="1"/>
  <c r="J4867" i="1"/>
  <c r="J4883" i="1"/>
  <c r="J4899" i="1"/>
  <c r="J4915" i="1"/>
  <c r="J4931" i="1"/>
  <c r="J4947" i="1"/>
  <c r="J4963" i="1"/>
  <c r="J4979" i="1"/>
  <c r="J4995" i="1"/>
  <c r="J4536" i="1"/>
  <c r="J4552" i="1"/>
  <c r="J4568" i="1"/>
  <c r="J4584" i="1"/>
  <c r="J4600" i="1"/>
  <c r="J4616" i="1"/>
  <c r="J4632" i="1"/>
  <c r="J4648" i="1"/>
  <c r="J4664" i="1"/>
  <c r="J4680" i="1"/>
  <c r="J4696" i="1"/>
  <c r="J4712" i="1"/>
  <c r="J4728" i="1"/>
  <c r="J4744" i="1"/>
  <c r="J4760" i="1"/>
  <c r="J4776" i="1"/>
  <c r="J4792" i="1"/>
  <c r="J4808" i="1"/>
  <c r="J4824" i="1"/>
  <c r="J4840" i="1"/>
  <c r="J4856" i="1"/>
  <c r="J4872" i="1"/>
  <c r="J4888" i="1"/>
  <c r="J4904" i="1"/>
  <c r="J4920" i="1"/>
  <c r="J4936" i="1"/>
  <c r="J4952" i="1"/>
  <c r="J4968" i="1"/>
  <c r="J4984" i="1"/>
  <c r="J5001" i="1"/>
  <c r="J4537" i="1"/>
  <c r="J4553" i="1"/>
  <c r="J4569" i="1"/>
  <c r="J4585" i="1"/>
  <c r="J4601" i="1"/>
  <c r="J4617" i="1"/>
  <c r="J4633" i="1"/>
  <c r="J4649" i="1"/>
  <c r="J4665" i="1"/>
  <c r="J4681" i="1"/>
  <c r="J4697" i="1"/>
  <c r="J4713" i="1"/>
  <c r="J4729" i="1"/>
  <c r="J4745" i="1"/>
  <c r="J4761" i="1"/>
  <c r="J4777" i="1"/>
  <c r="J4793" i="1"/>
  <c r="J4809" i="1"/>
  <c r="J4825" i="1"/>
  <c r="J4841" i="1"/>
  <c r="J4857" i="1"/>
  <c r="J4873" i="1"/>
  <c r="J4889" i="1"/>
  <c r="J4905" i="1"/>
  <c r="J4921" i="1"/>
  <c r="J4937" i="1"/>
  <c r="J4953" i="1"/>
  <c r="J4969" i="1"/>
  <c r="J4985" i="1"/>
  <c r="J5000" i="1"/>
  <c r="J4526" i="1"/>
  <c r="J4542" i="1"/>
  <c r="J4558" i="1"/>
  <c r="J4574" i="1"/>
  <c r="J4590" i="1"/>
  <c r="J4606" i="1"/>
  <c r="J4622" i="1"/>
  <c r="J4638" i="1"/>
  <c r="J4654" i="1"/>
  <c r="J4670" i="1"/>
  <c r="J4686" i="1"/>
  <c r="J4702" i="1"/>
  <c r="J4718" i="1"/>
  <c r="J4734" i="1"/>
  <c r="J4750" i="1"/>
  <c r="J4766" i="1"/>
  <c r="J4782" i="1"/>
  <c r="J4798" i="1"/>
  <c r="J4814" i="1"/>
  <c r="J4830" i="1"/>
  <c r="J4846" i="1"/>
  <c r="J4862" i="1"/>
  <c r="J4878" i="1"/>
  <c r="J4894" i="1"/>
  <c r="J4910" i="1"/>
  <c r="J4926" i="1"/>
  <c r="J4942" i="1"/>
  <c r="J4958" i="1"/>
  <c r="J4974" i="1"/>
  <c r="J4990" i="1"/>
  <c r="J4477" i="1"/>
  <c r="J4493" i="1"/>
  <c r="J4516" i="1"/>
  <c r="J4503" i="1"/>
  <c r="J4519" i="1"/>
  <c r="J4535" i="1"/>
  <c r="J4551" i="1"/>
  <c r="J4567" i="1"/>
  <c r="J4583" i="1"/>
  <c r="J4599" i="1"/>
  <c r="J4615" i="1"/>
  <c r="J4631" i="1"/>
  <c r="J4647" i="1"/>
  <c r="J4663" i="1"/>
  <c r="J4679" i="1"/>
  <c r="J4695" i="1"/>
  <c r="J4711" i="1"/>
  <c r="J4727" i="1"/>
  <c r="J4743" i="1"/>
  <c r="J4759" i="1"/>
  <c r="J4775" i="1"/>
  <c r="J4791" i="1"/>
  <c r="J4807" i="1"/>
  <c r="J4823" i="1"/>
  <c r="J4839" i="1"/>
  <c r="J4855" i="1"/>
  <c r="J4871" i="1"/>
  <c r="J4887" i="1"/>
  <c r="J4903" i="1"/>
  <c r="J4919" i="1"/>
  <c r="J4935" i="1"/>
  <c r="J4951" i="1"/>
  <c r="J4967" i="1"/>
  <c r="J4983" i="1"/>
  <c r="J4999" i="1"/>
  <c r="J4540" i="1"/>
  <c r="J4556" i="1"/>
  <c r="J4572" i="1"/>
  <c r="J4588" i="1"/>
  <c r="J4604" i="1"/>
  <c r="J4620" i="1"/>
  <c r="J4636" i="1"/>
  <c r="J4652" i="1"/>
  <c r="J4668" i="1"/>
  <c r="J4684" i="1"/>
  <c r="J4700" i="1"/>
  <c r="J4716" i="1"/>
  <c r="J4732" i="1"/>
  <c r="J4748" i="1"/>
  <c r="J4764" i="1"/>
  <c r="J4780" i="1"/>
  <c r="J4796" i="1"/>
  <c r="J4812" i="1"/>
  <c r="J4828" i="1"/>
  <c r="J4844" i="1"/>
  <c r="J4860" i="1"/>
  <c r="J4876" i="1"/>
  <c r="J4892" i="1"/>
  <c r="J4908" i="1"/>
  <c r="J4924" i="1"/>
  <c r="J4940" i="1"/>
  <c r="J4956" i="1"/>
  <c r="J4972" i="1"/>
  <c r="J4988" i="1"/>
  <c r="J4525" i="1"/>
  <c r="J4541" i="1"/>
  <c r="J4557" i="1"/>
  <c r="J4573" i="1"/>
  <c r="J4589" i="1"/>
  <c r="J4605" i="1"/>
  <c r="J4621" i="1"/>
  <c r="J4637" i="1"/>
  <c r="J4653" i="1"/>
  <c r="J4669" i="1"/>
  <c r="J4685" i="1"/>
  <c r="J4701" i="1"/>
  <c r="J4717" i="1"/>
  <c r="J4733" i="1"/>
  <c r="J4749" i="1"/>
  <c r="J4765" i="1"/>
  <c r="J4781" i="1"/>
  <c r="J4797" i="1"/>
  <c r="J4813" i="1"/>
  <c r="J4829" i="1"/>
  <c r="J4845" i="1"/>
  <c r="J4861" i="1"/>
  <c r="J4877" i="1"/>
  <c r="J4893" i="1"/>
  <c r="J4909" i="1"/>
  <c r="J4925" i="1"/>
  <c r="J4941" i="1"/>
  <c r="J4957" i="1"/>
  <c r="J4973" i="1"/>
  <c r="J4989" i="1"/>
  <c r="J4514" i="1"/>
  <c r="J4530" i="1"/>
  <c r="J4546" i="1"/>
  <c r="J4562" i="1"/>
  <c r="J4578" i="1"/>
  <c r="J4594" i="1"/>
  <c r="J4610" i="1"/>
  <c r="J4626" i="1"/>
  <c r="J4642" i="1"/>
  <c r="J4658" i="1"/>
  <c r="J4674" i="1"/>
  <c r="J4690" i="1"/>
  <c r="J4706" i="1"/>
  <c r="J4722" i="1"/>
  <c r="J4738" i="1"/>
  <c r="J4754" i="1"/>
  <c r="J4770" i="1"/>
  <c r="J4786" i="1"/>
  <c r="J4802" i="1"/>
  <c r="J4818" i="1"/>
  <c r="J4834" i="1"/>
  <c r="J4850" i="1"/>
  <c r="J4866" i="1"/>
  <c r="J4882" i="1"/>
  <c r="J4898" i="1"/>
  <c r="J4914" i="1"/>
  <c r="J4930" i="1"/>
  <c r="J4946" i="1"/>
  <c r="J4962" i="1"/>
  <c r="J4978" i="1"/>
  <c r="J4993" i="1"/>
  <c r="J4481" i="1"/>
  <c r="J4498" i="1"/>
  <c r="J4524" i="1"/>
  <c r="J4507" i="1"/>
  <c r="J4523" i="1"/>
  <c r="J4539" i="1"/>
  <c r="J4555" i="1"/>
  <c r="J4571" i="1"/>
  <c r="J4587" i="1"/>
  <c r="J4603" i="1"/>
  <c r="J4619" i="1"/>
  <c r="J4635" i="1"/>
  <c r="J4651" i="1"/>
  <c r="J4667" i="1"/>
  <c r="J4683" i="1"/>
  <c r="J4699" i="1"/>
  <c r="J4715" i="1"/>
  <c r="J4731" i="1"/>
  <c r="J4747" i="1"/>
  <c r="J4763" i="1"/>
  <c r="J4779" i="1"/>
  <c r="J4795" i="1"/>
  <c r="J4811" i="1"/>
  <c r="J4827" i="1"/>
  <c r="J4843" i="1"/>
  <c r="J4859" i="1"/>
  <c r="J4875" i="1"/>
  <c r="J4891" i="1"/>
  <c r="J4907" i="1"/>
  <c r="J4923" i="1"/>
  <c r="J4939" i="1"/>
  <c r="J4955" i="1"/>
  <c r="J4971" i="1"/>
  <c r="J4987" i="1"/>
  <c r="J4528" i="1"/>
  <c r="J4544" i="1"/>
  <c r="J4560" i="1"/>
  <c r="J4576" i="1"/>
  <c r="J4592" i="1"/>
  <c r="J4608" i="1"/>
  <c r="J4624" i="1"/>
  <c r="J4640" i="1"/>
  <c r="J4656" i="1"/>
  <c r="J4672" i="1"/>
  <c r="J4688" i="1"/>
  <c r="J4704" i="1"/>
  <c r="J4720" i="1"/>
  <c r="J4736" i="1"/>
  <c r="J4752" i="1"/>
  <c r="J4768" i="1"/>
  <c r="J4784" i="1"/>
  <c r="J4800" i="1"/>
  <c r="J4816" i="1"/>
  <c r="J4832" i="1"/>
  <c r="J4848" i="1"/>
  <c r="J4864" i="1"/>
  <c r="J4880" i="1"/>
  <c r="J4896" i="1"/>
  <c r="J4912" i="1"/>
  <c r="J4928" i="1"/>
  <c r="J4944" i="1"/>
  <c r="J4960" i="1"/>
  <c r="J4976" i="1"/>
  <c r="J4992" i="1"/>
  <c r="J4529" i="1"/>
  <c r="J4545" i="1"/>
  <c r="J4561" i="1"/>
  <c r="J4577" i="1"/>
  <c r="J4593" i="1"/>
  <c r="J4609" i="1"/>
  <c r="J4625" i="1"/>
  <c r="J4641" i="1"/>
  <c r="J4657" i="1"/>
  <c r="J4673" i="1"/>
  <c r="J4689" i="1"/>
  <c r="J4705" i="1"/>
  <c r="J4721" i="1"/>
  <c r="J4737" i="1"/>
  <c r="J4753" i="1"/>
  <c r="J4769" i="1"/>
  <c r="J4785" i="1"/>
  <c r="J4801" i="1"/>
  <c r="J4817" i="1"/>
  <c r="J4833" i="1"/>
  <c r="J4849" i="1"/>
  <c r="J4865" i="1"/>
  <c r="J4881" i="1"/>
  <c r="J4897" i="1"/>
  <c r="J4913" i="1"/>
  <c r="J4929" i="1"/>
  <c r="J4945" i="1"/>
  <c r="J4961" i="1"/>
  <c r="J4977" i="1"/>
  <c r="J4994" i="1"/>
  <c r="J4518" i="1"/>
  <c r="J4534" i="1"/>
  <c r="J4550" i="1"/>
  <c r="J4566" i="1"/>
  <c r="J4582" i="1"/>
  <c r="J4598" i="1"/>
  <c r="J4614" i="1"/>
  <c r="J4630" i="1"/>
  <c r="J4646" i="1"/>
  <c r="J4662" i="1"/>
  <c r="J4678" i="1"/>
  <c r="J4694" i="1"/>
  <c r="J4710" i="1"/>
  <c r="J4726" i="1"/>
  <c r="J4742" i="1"/>
  <c r="J4758" i="1"/>
  <c r="J4774" i="1"/>
  <c r="J4790" i="1"/>
  <c r="J4806" i="1"/>
  <c r="J4822" i="1"/>
  <c r="J4838" i="1"/>
  <c r="J4854" i="1"/>
  <c r="J4870" i="1"/>
  <c r="J4886" i="1"/>
  <c r="J4902" i="1"/>
  <c r="J4918" i="1"/>
  <c r="J4934" i="1"/>
  <c r="J4950" i="1"/>
  <c r="J4966" i="1"/>
  <c r="J4982" i="1"/>
  <c r="J4998" i="1"/>
  <c r="J4437" i="1"/>
  <c r="J4453" i="1"/>
  <c r="J4469" i="1"/>
  <c r="J4485" i="1"/>
  <c r="J4504" i="1"/>
  <c r="J4495" i="1"/>
  <c r="J4511" i="1"/>
  <c r="J4527" i="1"/>
  <c r="J4543" i="1"/>
  <c r="J4559" i="1"/>
  <c r="J4575" i="1"/>
  <c r="J4591" i="1"/>
  <c r="J4607" i="1"/>
  <c r="J4623" i="1"/>
  <c r="J4639" i="1"/>
  <c r="J4655" i="1"/>
  <c r="J4671" i="1"/>
  <c r="J4687" i="1"/>
  <c r="J4703" i="1"/>
  <c r="J4719" i="1"/>
  <c r="J4735" i="1"/>
  <c r="J4751" i="1"/>
  <c r="J4767" i="1"/>
  <c r="J4783" i="1"/>
  <c r="J4799" i="1"/>
  <c r="J4815" i="1"/>
  <c r="J4831" i="1"/>
  <c r="J4847" i="1"/>
  <c r="J4863" i="1"/>
  <c r="J4879" i="1"/>
  <c r="J4895" i="1"/>
  <c r="J4911" i="1"/>
  <c r="J4927" i="1"/>
  <c r="J4943" i="1"/>
  <c r="J4959" i="1"/>
  <c r="J4975" i="1"/>
  <c r="J4991" i="1"/>
  <c r="J4532" i="1"/>
  <c r="J4548" i="1"/>
  <c r="J4564" i="1"/>
  <c r="J4580" i="1"/>
  <c r="J4596" i="1"/>
  <c r="J4612" i="1"/>
  <c r="J4628" i="1"/>
  <c r="J4644" i="1"/>
  <c r="J4660" i="1"/>
  <c r="J4676" i="1"/>
  <c r="J4692" i="1"/>
  <c r="J4708" i="1"/>
  <c r="J4724" i="1"/>
  <c r="J4740" i="1"/>
  <c r="J4756" i="1"/>
  <c r="J4772" i="1"/>
  <c r="J4788" i="1"/>
  <c r="J4804" i="1"/>
  <c r="J4820" i="1"/>
  <c r="J4836" i="1"/>
  <c r="J4852" i="1"/>
  <c r="J4868" i="1"/>
  <c r="J4884" i="1"/>
  <c r="J4900" i="1"/>
  <c r="J4916" i="1"/>
  <c r="J4932" i="1"/>
  <c r="J4948" i="1"/>
  <c r="J4964" i="1"/>
  <c r="J4980" i="1"/>
  <c r="J4996" i="1"/>
  <c r="J4533" i="1"/>
  <c r="J4549" i="1"/>
  <c r="J4565" i="1"/>
  <c r="J4581" i="1"/>
  <c r="J4597" i="1"/>
  <c r="J4613" i="1"/>
  <c r="J4629" i="1"/>
  <c r="J4645" i="1"/>
  <c r="J4661" i="1"/>
  <c r="J4677" i="1"/>
  <c r="J4693" i="1"/>
  <c r="J4709" i="1"/>
  <c r="J4725" i="1"/>
  <c r="J4741" i="1"/>
  <c r="J4757" i="1"/>
  <c r="J4773" i="1"/>
  <c r="J4789" i="1"/>
  <c r="J4805" i="1"/>
  <c r="J4821" i="1"/>
  <c r="J4837" i="1"/>
  <c r="J4853" i="1"/>
  <c r="J4869" i="1"/>
  <c r="J4885" i="1"/>
  <c r="J4901" i="1"/>
  <c r="J4917" i="1"/>
  <c r="J4933" i="1"/>
  <c r="J4949" i="1"/>
  <c r="J4965" i="1"/>
  <c r="J4981" i="1"/>
  <c r="J4997" i="1"/>
  <c r="J4522" i="1"/>
  <c r="J4538" i="1"/>
  <c r="J4554" i="1"/>
  <c r="J4570" i="1"/>
  <c r="J4586" i="1"/>
  <c r="J4602" i="1"/>
  <c r="J4618" i="1"/>
  <c r="J4634" i="1"/>
  <c r="J4650" i="1"/>
  <c r="K667" i="1" s="1"/>
  <c r="J4666" i="1"/>
  <c r="J4682" i="1"/>
  <c r="J4698" i="1"/>
  <c r="J4714" i="1"/>
  <c r="J4730" i="1"/>
  <c r="J4746" i="1"/>
  <c r="J4762" i="1"/>
  <c r="J4778" i="1"/>
  <c r="J4794" i="1"/>
  <c r="J4810" i="1"/>
  <c r="J4826" i="1"/>
  <c r="J4842" i="1"/>
  <c r="J4858" i="1"/>
  <c r="J4874" i="1"/>
  <c r="J4890" i="1"/>
  <c r="J4906" i="1"/>
  <c r="J4922" i="1"/>
  <c r="J4938" i="1"/>
  <c r="J4954" i="1"/>
  <c r="J4970" i="1"/>
  <c r="J4986" i="1"/>
  <c r="K334" i="1"/>
  <c r="K171" i="1"/>
  <c r="K305" i="1"/>
  <c r="K271" i="1"/>
  <c r="K367" i="1"/>
  <c r="K961" i="1"/>
  <c r="K591" i="1"/>
  <c r="K3069" i="1"/>
  <c r="K411" i="1"/>
  <c r="K3858" i="1"/>
  <c r="K841" i="1"/>
  <c r="K2650" i="1"/>
  <c r="K1201" i="1"/>
  <c r="K1159" i="1"/>
  <c r="K2561" i="1"/>
  <c r="K2892" i="1"/>
  <c r="K642" i="1"/>
  <c r="K233" i="1"/>
  <c r="K2416" i="1"/>
  <c r="K3913" i="1"/>
  <c r="K3100" i="1"/>
  <c r="K416" i="1"/>
  <c r="K915" i="1"/>
  <c r="K595" i="1"/>
  <c r="K2144" i="1"/>
  <c r="K34" i="1"/>
  <c r="K2401" i="1"/>
  <c r="K3090" i="1"/>
  <c r="K2312" i="1"/>
  <c r="K1995" i="1"/>
  <c r="K1160" i="1"/>
  <c r="K1200" i="1"/>
  <c r="K1511" i="1"/>
  <c r="K1445" i="1"/>
  <c r="K1513" i="1"/>
  <c r="K976" i="1"/>
  <c r="K1509" i="1"/>
  <c r="K3850" i="1"/>
  <c r="K616" i="1"/>
  <c r="K2304" i="1"/>
  <c r="K1030" i="1"/>
  <c r="K2093" i="1"/>
  <c r="K1947" i="1"/>
  <c r="K1834" i="1"/>
  <c r="K3229" i="1"/>
  <c r="K3952" i="1"/>
  <c r="K3887" i="1"/>
  <c r="K1910" i="1"/>
  <c r="K853" i="1"/>
  <c r="K2218" i="1"/>
  <c r="K3910" i="1"/>
  <c r="K2335" i="1"/>
  <c r="K2124" i="1"/>
  <c r="K3349" i="1"/>
  <c r="K2473" i="1"/>
  <c r="K2949" i="1"/>
  <c r="K766" i="1"/>
  <c r="K3560" i="1"/>
  <c r="K1535" i="1"/>
  <c r="K2901" i="1"/>
  <c r="K2095" i="1"/>
  <c r="K614" i="1"/>
  <c r="K1437" i="1"/>
  <c r="K2973" i="1"/>
  <c r="K631" i="1"/>
  <c r="K815" i="1"/>
  <c r="K3589" i="1"/>
  <c r="K613" i="1"/>
  <c r="K1774" i="1"/>
  <c r="K1208" i="1"/>
  <c r="K1786" i="1"/>
  <c r="K3838" i="1"/>
  <c r="K3623" i="1"/>
  <c r="K2932" i="1"/>
  <c r="K3183" i="1"/>
  <c r="K3825" i="1"/>
  <c r="K1122" i="1"/>
  <c r="K3088" i="1"/>
  <c r="K1231" i="1"/>
  <c r="K2433" i="1"/>
  <c r="K277" i="1"/>
  <c r="K1669" i="1"/>
  <c r="K1271" i="1"/>
  <c r="K3324" i="1"/>
  <c r="K133" i="1"/>
  <c r="K3395" i="1"/>
  <c r="K426" i="1"/>
  <c r="K1771" i="1"/>
  <c r="K3983" i="1"/>
  <c r="K2112" i="1"/>
  <c r="K1044" i="1"/>
  <c r="K2481" i="1"/>
  <c r="K1476" i="1"/>
  <c r="K2964" i="1"/>
  <c r="K1959" i="1"/>
  <c r="K1092" i="1"/>
  <c r="K329" i="1"/>
  <c r="K446" i="1"/>
  <c r="K800" i="1"/>
  <c r="K2763" i="1"/>
  <c r="K1534" i="1"/>
  <c r="K3039" i="1"/>
  <c r="K1976" i="1"/>
  <c r="K1236" i="1"/>
  <c r="K639" i="1"/>
  <c r="K326" i="1"/>
  <c r="K2188" i="1"/>
  <c r="K1948" i="1"/>
  <c r="K3276" i="1"/>
  <c r="K1946" i="1"/>
  <c r="K632" i="1"/>
  <c r="K1392" i="1"/>
  <c r="K3565" i="1"/>
  <c r="K3769" i="1"/>
  <c r="K1300" i="1"/>
  <c r="K817" i="1"/>
  <c r="K1661" i="1"/>
  <c r="K877" i="1"/>
  <c r="K918" i="1"/>
  <c r="K2948" i="1"/>
  <c r="K2306" i="1"/>
  <c r="K680" i="1"/>
  <c r="K1672" i="1"/>
  <c r="K1232" i="1"/>
  <c r="K1287" i="1"/>
  <c r="K1507" i="1"/>
  <c r="K991" i="1"/>
  <c r="K811" i="1"/>
  <c r="K3633" i="1"/>
  <c r="K2937" i="1"/>
  <c r="K1746" i="1"/>
  <c r="K1738" i="1"/>
  <c r="K2411" i="1"/>
  <c r="K2441" i="1"/>
  <c r="K3167" i="1"/>
  <c r="K131" i="1"/>
  <c r="K2727" i="1"/>
  <c r="K597" i="1"/>
  <c r="K2405" i="1"/>
  <c r="K1939" i="1"/>
  <c r="K725" i="1"/>
  <c r="K2050" i="1"/>
  <c r="K1702" i="1"/>
  <c r="K2467" i="1"/>
  <c r="K3604" i="1"/>
  <c r="K3376" i="1"/>
  <c r="K1607" i="1"/>
  <c r="K956" i="1"/>
  <c r="K1993" i="1"/>
  <c r="K3821" i="1"/>
  <c r="K1804" i="1"/>
  <c r="K1301" i="1"/>
  <c r="K3430" i="1"/>
  <c r="K1166" i="1"/>
  <c r="K3693" i="1"/>
  <c r="K3940" i="1"/>
  <c r="K1498" i="1"/>
  <c r="K1217" i="1"/>
  <c r="K401" i="1"/>
  <c r="K3788" i="1"/>
  <c r="K3867" i="1"/>
  <c r="K751" i="1"/>
  <c r="K1196" i="1"/>
  <c r="K682" i="1"/>
  <c r="K288" i="1"/>
  <c r="K3785" i="1"/>
  <c r="K242" i="1"/>
  <c r="K1449" i="1"/>
  <c r="K1829" i="1"/>
  <c r="K2251" i="1"/>
  <c r="K3770" i="1"/>
  <c r="K3256" i="1"/>
  <c r="K881" i="1"/>
  <c r="K2039" i="1"/>
  <c r="K2003" i="1"/>
  <c r="K2935" i="1"/>
  <c r="K2051" i="1"/>
  <c r="K365" i="1"/>
  <c r="K370" i="1"/>
  <c r="K243" i="1"/>
  <c r="K425" i="1"/>
  <c r="K3944" i="1"/>
  <c r="K48" i="1"/>
  <c r="K3232" i="1"/>
  <c r="K1279" i="1"/>
  <c r="K3949" i="1"/>
  <c r="K845" i="1"/>
  <c r="K807" i="1"/>
  <c r="K743" i="1"/>
  <c r="K1865" i="1"/>
  <c r="K604" i="1"/>
  <c r="K3009" i="1"/>
  <c r="K414" i="1"/>
  <c r="K3127" i="1"/>
  <c r="K3911" i="1"/>
  <c r="K1424" i="1"/>
  <c r="K3435" i="1"/>
  <c r="K1918" i="1"/>
  <c r="K1294" i="1"/>
  <c r="K1327" i="1"/>
  <c r="K775" i="1"/>
  <c r="K1012" i="1"/>
  <c r="K1936" i="1"/>
  <c r="K247" i="1"/>
  <c r="K964" i="1"/>
  <c r="K1756" i="1"/>
  <c r="K2677" i="1"/>
  <c r="K1474" i="1"/>
  <c r="K1235" i="1"/>
  <c r="K3562" i="1"/>
  <c r="K3128" i="1"/>
  <c r="K2724" i="1"/>
  <c r="K3640" i="1"/>
  <c r="K2562" i="1"/>
  <c r="K1343" i="1"/>
  <c r="K1549" i="1"/>
  <c r="K629" i="1"/>
  <c r="K3823" i="1"/>
  <c r="K3498" i="1"/>
  <c r="K324" i="1"/>
  <c r="K258" i="1"/>
  <c r="K2044" i="1"/>
  <c r="K255" i="1"/>
  <c r="K1651" i="1"/>
  <c r="K1558" i="1"/>
  <c r="K2779" i="1"/>
  <c r="K3607" i="1"/>
  <c r="K1251" i="1"/>
  <c r="K971" i="1"/>
  <c r="K2322" i="1"/>
  <c r="K3558" i="1"/>
  <c r="K2887" i="1"/>
  <c r="K272" i="1"/>
  <c r="K2180" i="1"/>
  <c r="K545" i="1"/>
  <c r="K3934" i="1"/>
  <c r="K3653" i="1"/>
  <c r="K310" i="1"/>
  <c r="K528" i="1"/>
  <c r="K1633" i="1"/>
  <c r="K3792" i="1"/>
  <c r="K492" i="1"/>
  <c r="K3316" i="1"/>
  <c r="K1267" i="1"/>
  <c r="K3932" i="1"/>
  <c r="K2419" i="1"/>
  <c r="K1681" i="1"/>
  <c r="K3608" i="1"/>
  <c r="K3519" i="1"/>
  <c r="K202" i="1"/>
  <c r="K2743" i="1"/>
  <c r="K2331" i="1"/>
  <c r="K2767" i="1"/>
  <c r="K2990" i="1"/>
  <c r="K945" i="1"/>
  <c r="K3733" i="1"/>
  <c r="K3105" i="1"/>
  <c r="K3483" i="1"/>
  <c r="K1688" i="1"/>
  <c r="K1627" i="1"/>
  <c r="K1519" i="1"/>
  <c r="K1157" i="1"/>
  <c r="K809" i="1"/>
  <c r="K1962" i="1"/>
  <c r="K3109" i="1"/>
  <c r="K292" i="1"/>
  <c r="K832" i="1"/>
  <c r="K2314" i="1"/>
  <c r="K3650" i="1"/>
  <c r="K1697" i="1"/>
  <c r="K1528" i="1"/>
  <c r="K198" i="1"/>
  <c r="K3857" i="1"/>
  <c r="K3405" i="1"/>
  <c r="K159" i="1"/>
  <c r="K792" i="1"/>
  <c r="K747" i="1"/>
  <c r="K2877" i="1"/>
  <c r="K2285" i="1"/>
  <c r="K3091" i="1"/>
  <c r="K3795" i="1"/>
  <c r="K2758" i="1"/>
  <c r="K759" i="1"/>
  <c r="K3922" i="1"/>
  <c r="K3816" i="1"/>
  <c r="K2803" i="1"/>
  <c r="K3687" i="1"/>
  <c r="K2979" i="1"/>
  <c r="K2383" i="1"/>
  <c r="K3052" i="1"/>
  <c r="K1846" i="1"/>
  <c r="K37" i="1"/>
  <c r="K1618" i="1"/>
  <c r="K222" i="1"/>
  <c r="K2125" i="1"/>
  <c r="K96" i="1"/>
  <c r="K3737" i="1"/>
  <c r="K311" i="1"/>
  <c r="K1377" i="1"/>
  <c r="K2811" i="1"/>
  <c r="K851" i="1"/>
  <c r="K2233" i="1"/>
  <c r="K2533" i="1"/>
  <c r="K3765" i="1"/>
  <c r="K796" i="1"/>
  <c r="K1600" i="1"/>
  <c r="K3605" i="1"/>
  <c r="K3581" i="1"/>
  <c r="K1689" i="1"/>
  <c r="K2895" i="1"/>
  <c r="K2471" i="1"/>
  <c r="K3169" i="1"/>
  <c r="K200" i="1"/>
  <c r="K2219" i="1"/>
  <c r="K760" i="1"/>
  <c r="K518" i="1"/>
  <c r="K2166" i="1"/>
  <c r="K2137" i="1"/>
  <c r="K3646" i="1"/>
  <c r="K3271" i="1"/>
  <c r="K276" i="1"/>
  <c r="K2875" i="1"/>
  <c r="K2005" i="1"/>
  <c r="K1674" i="1"/>
  <c r="K1129" i="1"/>
  <c r="K678" i="1"/>
  <c r="K728" i="1"/>
  <c r="K2608" i="1"/>
  <c r="K3960" i="1"/>
  <c r="K3353" i="1"/>
  <c r="K3815" i="1"/>
  <c r="K245" i="1"/>
  <c r="K2197" i="1"/>
  <c r="K3958" i="1"/>
  <c r="K2043" i="1"/>
  <c r="K1979" i="1"/>
  <c r="K731" i="1"/>
  <c r="K3925" i="1"/>
  <c r="K2524" i="1"/>
  <c r="K218" i="1"/>
  <c r="K1869" i="1"/>
  <c r="K2697" i="1"/>
  <c r="K2806" i="1"/>
  <c r="K583" i="1"/>
  <c r="K3510" i="1"/>
  <c r="K3931" i="1"/>
  <c r="K2978" i="1"/>
  <c r="K2817" i="1"/>
  <c r="K1970" i="1"/>
  <c r="K3012" i="1"/>
  <c r="K3660" i="1"/>
  <c r="K2224" i="1"/>
  <c r="K2998" i="1"/>
  <c r="K2505" i="1"/>
  <c r="K390" i="1"/>
  <c r="K1076" i="1"/>
  <c r="K3138" i="1"/>
  <c r="K465" i="1"/>
  <c r="K264" i="1"/>
  <c r="K1621" i="1"/>
  <c r="K1827" i="1"/>
  <c r="K2634" i="1"/>
  <c r="K422" i="1"/>
  <c r="K3655" i="1"/>
  <c r="K793" i="1"/>
  <c r="K3670" i="1"/>
  <c r="K1188" i="1"/>
  <c r="K2733" i="1"/>
  <c r="K3712" i="1"/>
  <c r="K948" i="1"/>
  <c r="K291" i="1"/>
  <c r="K1229" i="1"/>
  <c r="K2294" i="1"/>
  <c r="K28" i="1"/>
  <c r="K2807" i="1"/>
  <c r="K47" i="1"/>
  <c r="K3116" i="1"/>
  <c r="K2659" i="1"/>
  <c r="K3834" i="1"/>
  <c r="K2715" i="1"/>
  <c r="K1305" i="1"/>
  <c r="K2868" i="1"/>
  <c r="K445" i="1"/>
  <c r="K58" i="1"/>
  <c r="K1764" i="1"/>
  <c r="K2468" i="1"/>
  <c r="K1353" i="1"/>
  <c r="K3234" i="1"/>
  <c r="K925" i="1"/>
  <c r="K2422" i="1"/>
  <c r="K3022" i="1"/>
  <c r="K432" i="1"/>
  <c r="K2839" i="1"/>
  <c r="K525" i="1"/>
  <c r="K2204" i="1"/>
  <c r="K263" i="1"/>
  <c r="K359" i="1"/>
  <c r="K2769" i="1"/>
  <c r="K3571" i="1"/>
  <c r="K1605" i="1"/>
  <c r="K2342" i="1"/>
  <c r="K3547" i="1"/>
  <c r="K2776" i="1"/>
  <c r="K2203" i="1"/>
  <c r="K2958" i="1"/>
  <c r="K539" i="1"/>
  <c r="K2790" i="1"/>
  <c r="K3794" i="1"/>
  <c r="K112" i="1"/>
  <c r="K618" i="1"/>
  <c r="K2236" i="1"/>
  <c r="K1567" i="1"/>
  <c r="K3835" i="1"/>
  <c r="K773" i="1"/>
  <c r="K1763" i="1"/>
  <c r="K3188" i="1"/>
  <c r="K3439" i="1"/>
  <c r="K2152" i="1"/>
  <c r="K2454" i="1"/>
  <c r="K3445" i="1"/>
  <c r="K2545" i="1"/>
  <c r="K3347" i="1"/>
  <c r="K2221" i="1"/>
  <c r="K1379" i="1"/>
  <c r="K1082" i="1"/>
  <c r="K3639" i="1"/>
  <c r="K2324" i="1"/>
  <c r="K3048" i="1"/>
  <c r="K2504" i="1"/>
  <c r="K512" i="1"/>
  <c r="K3657" i="1"/>
  <c r="K3072" i="1"/>
  <c r="K2484" i="1"/>
  <c r="K1851" i="1"/>
  <c r="K2035" i="1"/>
  <c r="K1789" i="1"/>
  <c r="K3076" i="1"/>
  <c r="K1601" i="1"/>
  <c r="K3938" i="1"/>
  <c r="K1645" i="1"/>
  <c r="K906" i="1"/>
  <c r="K143" i="1"/>
  <c r="K2822" i="1"/>
  <c r="K455" i="1"/>
  <c r="K1540" i="1"/>
  <c r="K1417" i="1"/>
  <c r="K3722" i="1"/>
  <c r="K3211" i="1"/>
  <c r="K44" i="1"/>
  <c r="K3293" i="1"/>
  <c r="K1430" i="1"/>
  <c r="K308" i="1"/>
  <c r="K1780" i="1"/>
  <c r="K3783" i="1"/>
  <c r="K2595" i="1"/>
  <c r="K2642" i="1"/>
  <c r="K3321" i="1"/>
  <c r="K2802" i="1"/>
  <c r="K68" i="1"/>
  <c r="K2262" i="1"/>
  <c r="K2305" i="1"/>
  <c r="K2620" i="1"/>
  <c r="K1177" i="1"/>
  <c r="K3898" i="1"/>
  <c r="K3618" i="1"/>
  <c r="K3752" i="1"/>
  <c r="K486" i="1"/>
  <c r="K173" i="1"/>
  <c r="K241" i="1"/>
  <c r="K3826" i="1"/>
  <c r="K2157" i="1"/>
  <c r="K1080" i="1"/>
  <c r="K3727" i="1"/>
  <c r="K1635" i="1"/>
  <c r="K668" i="1"/>
  <c r="K1551" i="1"/>
  <c r="K3745" i="1"/>
  <c r="K1781" i="1"/>
  <c r="K489" i="1"/>
  <c r="K3037" i="1"/>
  <c r="K967" i="1"/>
  <c r="K467" i="1"/>
  <c r="K1873" i="1"/>
  <c r="K3111" i="1"/>
  <c r="K3313" i="1"/>
  <c r="K3597" i="1"/>
  <c r="K3331" i="1"/>
  <c r="K1207" i="1"/>
  <c r="K3888" i="1"/>
  <c r="K3696" i="1"/>
  <c r="K3460" i="1"/>
  <c r="K1502" i="1"/>
  <c r="K368" i="1"/>
  <c r="K2056" i="1"/>
  <c r="K2097" i="1"/>
  <c r="K3338" i="1"/>
  <c r="K307" i="1"/>
  <c r="K730" i="1"/>
  <c r="K606" i="1"/>
  <c r="K1563" i="1"/>
  <c r="K570" i="1"/>
  <c r="K3400" i="1"/>
  <c r="K1158" i="1"/>
  <c r="K752" i="1"/>
  <c r="K3780" i="1"/>
  <c r="K2232" i="1"/>
  <c r="K2694" i="1"/>
  <c r="K2121" i="1"/>
  <c r="K2462" i="1"/>
  <c r="K3202" i="1"/>
  <c r="K1826" i="1"/>
  <c r="K3880" i="1"/>
  <c r="K177" i="1"/>
  <c r="K1802" i="1"/>
  <c r="K1465" i="1"/>
  <c r="K1639" i="1"/>
  <c r="K2625" i="1"/>
  <c r="K3575" i="1"/>
  <c r="K1056" i="1"/>
  <c r="K3864" i="1"/>
  <c r="K3817" i="1"/>
  <c r="K1419" i="1"/>
  <c r="K1309" i="1"/>
  <c r="K1276" i="1"/>
  <c r="K2709" i="1"/>
  <c r="K1720" i="1"/>
  <c r="K3866" i="1"/>
  <c r="K2310" i="1"/>
  <c r="K2443" i="1"/>
  <c r="K1754" i="1"/>
  <c r="K2352" i="1"/>
  <c r="K876" i="1"/>
  <c r="K868" i="1"/>
  <c r="K1902" i="1"/>
  <c r="K1466" i="1"/>
  <c r="K2908" i="1"/>
  <c r="K3027" i="1"/>
  <c r="K2395" i="1"/>
  <c r="K3493" i="1"/>
  <c r="K619" i="1"/>
  <c r="K627" i="1"/>
  <c r="K3584" i="1"/>
  <c r="K1871" i="1"/>
  <c r="K2400" i="1"/>
  <c r="K2835" i="1"/>
  <c r="K3419" i="1"/>
  <c r="K3776" i="1"/>
  <c r="K1179" i="1"/>
  <c r="K2348" i="1"/>
  <c r="K1199" i="1"/>
  <c r="K3463" i="1"/>
  <c r="K94" i="1"/>
  <c r="K2596" i="1"/>
  <c r="K1043" i="1"/>
  <c r="K1943" i="1"/>
  <c r="K722" i="1"/>
  <c r="K850" i="1"/>
  <c r="K1468" i="1"/>
  <c r="K1397" i="1"/>
  <c r="K940" i="1"/>
  <c r="K2385" i="1"/>
  <c r="K3166" i="1"/>
  <c r="K3999" i="1"/>
  <c r="K2447" i="1"/>
  <c r="K520" i="1"/>
  <c r="K483" i="1"/>
  <c r="K3966" i="1"/>
  <c r="K1721" i="1"/>
  <c r="K3205" i="1"/>
  <c r="K289" i="1"/>
  <c r="K1120" i="1"/>
  <c r="K274" i="1"/>
  <c r="K25" i="1"/>
  <c r="K433" i="1"/>
  <c r="K2977" i="1"/>
  <c r="K355" i="1"/>
  <c r="K381" i="1"/>
  <c r="K123" i="1"/>
  <c r="K3326" i="1"/>
  <c r="K376" i="1"/>
  <c r="K2081" i="1"/>
  <c r="K1265" i="1"/>
  <c r="K303" i="1"/>
  <c r="K666" i="1"/>
  <c r="K330" i="1"/>
  <c r="K3654" i="1"/>
  <c r="K3602" i="1"/>
  <c r="K977" i="1"/>
  <c r="K3529" i="1"/>
  <c r="K1278" i="1"/>
  <c r="K3980" i="1"/>
  <c r="K2450" i="1"/>
  <c r="K1292" i="1"/>
  <c r="K3432" i="1"/>
  <c r="K986" i="1"/>
  <c r="K3524" i="1"/>
  <c r="K3760" i="1"/>
  <c r="K1381" i="1"/>
  <c r="K2963" i="1"/>
  <c r="K3764" i="1"/>
  <c r="K3796" i="1"/>
  <c r="K3209" i="1"/>
  <c r="K3757" i="1"/>
  <c r="K3836" i="1"/>
  <c r="K675" i="1"/>
  <c r="K3641" i="1"/>
  <c r="K2553" i="1"/>
  <c r="K3267" i="1"/>
  <c r="K1394" i="1"/>
  <c r="K2398" i="1"/>
  <c r="K932" i="1"/>
  <c r="K460" i="1"/>
  <c r="K696" i="1"/>
  <c r="K1135" i="1"/>
  <c r="K3335" i="1"/>
  <c r="K3773" i="1"/>
  <c r="K3122" i="1"/>
  <c r="K1281" i="1"/>
  <c r="K2686" i="1"/>
  <c r="K27" i="1"/>
  <c r="K2195" i="1"/>
  <c r="K1039" i="1"/>
  <c r="K2648" i="1"/>
  <c r="K1662" i="1"/>
  <c r="K908" i="1"/>
  <c r="K1532" i="1"/>
  <c r="K1799" i="1"/>
  <c r="K122" i="1"/>
  <c r="K1102" i="1"/>
  <c r="K2482" i="1"/>
  <c r="K36" i="1"/>
  <c r="K3739" i="1"/>
  <c r="K3032" i="1"/>
  <c r="K909" i="1"/>
  <c r="K2365" i="1"/>
  <c r="K953" i="1"/>
  <c r="K3557" i="1"/>
  <c r="K2673" i="1"/>
  <c r="K3373" i="1"/>
  <c r="K1634" i="1"/>
  <c r="K2332" i="1"/>
  <c r="K1806" i="1"/>
  <c r="K782" i="1"/>
  <c r="K2079" i="1"/>
  <c r="K1169" i="1"/>
  <c r="K1290" i="1"/>
  <c r="K2350" i="1"/>
  <c r="K2507" i="1"/>
  <c r="K283" i="1"/>
  <c r="K3174" i="1"/>
  <c r="K2359" i="1"/>
  <c r="K2319" i="1"/>
  <c r="K1870" i="1"/>
  <c r="K2764" i="1"/>
  <c r="K2268" i="1"/>
  <c r="K3490" i="1"/>
  <c r="K630" i="1"/>
  <c r="K1739" i="1"/>
  <c r="K1982" i="1"/>
  <c r="K1597" i="1"/>
  <c r="K1542" i="1"/>
  <c r="K2337" i="1"/>
  <c r="K928" i="1"/>
  <c r="K3573" i="1"/>
  <c r="K1967" i="1"/>
  <c r="K75" i="1"/>
  <c r="K2812" i="1"/>
  <c r="K1884" i="1"/>
  <c r="K3107" i="1"/>
  <c r="K1045" i="1"/>
  <c r="K2288" i="1"/>
  <c r="K1937" i="1"/>
  <c r="K1924" i="1"/>
  <c r="K1638" i="1"/>
  <c r="K2175" i="1"/>
  <c r="K2271" i="1"/>
  <c r="K1997" i="1"/>
  <c r="K2534" i="1"/>
  <c r="K532" i="1"/>
  <c r="K3244" i="1"/>
  <c r="K884" i="1"/>
  <c r="K43" i="1"/>
  <c r="K2089" i="1"/>
  <c r="K3330" i="1"/>
  <c r="K2626" i="1"/>
  <c r="K137" i="1"/>
  <c r="K253" i="1"/>
  <c r="K1183" i="1"/>
  <c r="K3701" i="1"/>
  <c r="K452" i="1"/>
  <c r="K973" i="1"/>
  <c r="K2759" i="1"/>
  <c r="K2163" i="1"/>
  <c r="K1678" i="1"/>
  <c r="K1068" i="1"/>
  <c r="K3295" i="1"/>
  <c r="K3153" i="1"/>
  <c r="K3945" i="1"/>
  <c r="K88" i="1"/>
  <c r="K2676" i="1"/>
  <c r="K837" i="1"/>
  <c r="K2506" i="1"/>
  <c r="K1752" i="1"/>
  <c r="K812" i="1"/>
  <c r="K259" i="1"/>
  <c r="K1817" i="1"/>
  <c r="K235" i="1"/>
  <c r="K3328" i="1"/>
  <c r="K61" i="1"/>
  <c r="K1957" i="1"/>
  <c r="K2559" i="1"/>
  <c r="K663" i="1"/>
  <c r="K3195" i="1"/>
  <c r="K672" i="1"/>
  <c r="K3921" i="1"/>
  <c r="K1665" i="1"/>
  <c r="K2848" i="1"/>
  <c r="K1367" i="1"/>
  <c r="K1822" i="1"/>
  <c r="K1898" i="1"/>
  <c r="K2353" i="1"/>
  <c r="K3872" i="1"/>
  <c r="K3779" i="1"/>
  <c r="K3781" i="1"/>
  <c r="K82" i="1"/>
  <c r="K2654" i="1"/>
  <c r="K2493" i="1"/>
  <c r="K3610" i="1"/>
  <c r="K1329" i="1"/>
  <c r="K2253" i="1"/>
  <c r="K251" i="1"/>
  <c r="K2987" i="1"/>
  <c r="K215" i="1"/>
  <c r="K206" i="1"/>
  <c r="K1696" i="1"/>
  <c r="K1650" i="1"/>
  <c r="K2966" i="1"/>
  <c r="K1731" i="1"/>
  <c r="K2570" i="1"/>
  <c r="K2139" i="1"/>
  <c r="K1889" i="1"/>
  <c r="K2557" i="1"/>
  <c r="K350" i="1"/>
  <c r="K1480" i="1"/>
  <c r="K1820" i="1"/>
  <c r="K1238" i="1"/>
  <c r="K2573" i="1"/>
  <c r="K191" i="1"/>
  <c r="K2897" i="1"/>
  <c r="K3675" i="1"/>
  <c r="K1404" i="1"/>
  <c r="K1406" i="1"/>
  <c r="K1193" i="1"/>
  <c r="K543" i="1"/>
  <c r="K778" i="1"/>
  <c r="K3615" i="1"/>
  <c r="K2149" i="1"/>
  <c r="K887" i="1"/>
  <c r="K3238" i="1"/>
  <c r="K820" i="1"/>
  <c r="K2392" i="1"/>
  <c r="K1927" i="1"/>
  <c r="K2599" i="1"/>
  <c r="K593" i="1"/>
  <c r="K1695" i="1"/>
  <c r="K3678" i="1"/>
  <c r="K3200" i="1"/>
  <c r="K325" i="1"/>
  <c r="K3505" i="1"/>
  <c r="K3384" i="1"/>
  <c r="K3702" i="1"/>
  <c r="K920" i="1"/>
  <c r="K2297" i="1"/>
  <c r="K3748" i="1"/>
  <c r="K448" i="1"/>
  <c r="K3471" i="1"/>
  <c r="K996" i="1"/>
  <c r="K3743" i="1"/>
  <c r="K1139" i="1"/>
  <c r="K818" i="1"/>
  <c r="K428" i="1"/>
  <c r="K1277" i="1"/>
  <c r="K3125" i="1"/>
  <c r="K3219" i="1"/>
  <c r="K624" i="1"/>
  <c r="K756" i="1"/>
  <c r="K653" i="1"/>
  <c r="K1852" i="1"/>
  <c r="K1584" i="1"/>
  <c r="K657" i="1"/>
  <c r="K3028" i="1"/>
  <c r="K1402" i="1"/>
  <c r="K3703" i="1"/>
  <c r="K3266" i="1"/>
  <c r="K3291" i="1"/>
  <c r="K690" i="1"/>
  <c r="K2984" i="1"/>
  <c r="K473" i="1"/>
  <c r="K1728" i="1"/>
  <c r="K1378" i="1"/>
  <c r="K1384" i="1"/>
  <c r="K968" i="1"/>
  <c r="K1685" i="1"/>
  <c r="K990" i="1"/>
  <c r="K3312" i="1"/>
  <c r="K3137" i="1"/>
  <c r="K1064" i="1"/>
  <c r="K1808" i="1"/>
  <c r="K3053" i="1"/>
  <c r="K3407" i="1"/>
  <c r="K1508" i="1"/>
  <c r="K3503" i="1"/>
  <c r="K3260" i="1"/>
  <c r="K869" i="1"/>
  <c r="K2639" i="1"/>
  <c r="K3667" i="1"/>
  <c r="K3094" i="1"/>
  <c r="K2210" i="1"/>
  <c r="K2414" i="1"/>
  <c r="K2754" i="1"/>
  <c r="K3869" i="1"/>
  <c r="K704" i="1"/>
  <c r="K302" i="1"/>
  <c r="K3018" i="1"/>
  <c r="K1460" i="1"/>
  <c r="K1224" i="1"/>
  <c r="K1463" i="1"/>
  <c r="K1032" i="1"/>
  <c r="K2856" i="1"/>
  <c r="K204" i="1"/>
  <c r="K1240" i="1"/>
  <c r="K364" i="1"/>
  <c r="K2349" i="1"/>
  <c r="K3595" i="1"/>
  <c r="K2961" i="1"/>
  <c r="K781" i="1"/>
  <c r="K2078" i="1"/>
  <c r="K836" i="1"/>
  <c r="K1552" i="1"/>
  <c r="K2902" i="1"/>
  <c r="K1458" i="1"/>
  <c r="K2798" i="1"/>
  <c r="K3514" i="1"/>
  <c r="K3045" i="1"/>
  <c r="K2943" i="1"/>
  <c r="K1471" i="1"/>
  <c r="K892" i="1"/>
  <c r="K715" i="1"/>
  <c r="K2237" i="1"/>
  <c r="K3456" i="1"/>
  <c r="K1339" i="1"/>
  <c r="K500" i="1"/>
  <c r="K2690" i="1"/>
  <c r="K2176" i="1"/>
  <c r="K1949" i="1"/>
  <c r="K3568" i="1"/>
  <c r="K3860" i="1"/>
  <c r="K697" i="1"/>
  <c r="K2861" i="1"/>
  <c r="K506" i="1"/>
  <c r="K52" i="1"/>
  <c r="K318" i="1"/>
  <c r="K3832" i="1"/>
  <c r="K1178" i="1"/>
  <c r="K2730" i="1"/>
  <c r="K3140" i="1"/>
  <c r="K1710" i="1"/>
  <c r="K2107" i="1"/>
  <c r="K1620" i="1"/>
  <c r="K2649" i="1"/>
  <c r="K3865" i="1"/>
  <c r="K1190" i="1"/>
  <c r="K2249" i="1"/>
  <c r="K2716" i="1"/>
  <c r="K1561" i="1"/>
  <c r="K1522" i="1"/>
  <c r="K1779" i="1"/>
  <c r="K3673" i="1"/>
  <c r="K469" i="1"/>
  <c r="K586" i="1"/>
  <c r="K584" i="1"/>
  <c r="K1386" i="1"/>
  <c r="K1354" i="1"/>
  <c r="K1426" i="1"/>
  <c r="K2765" i="1"/>
  <c r="K1777" i="1"/>
  <c r="K2734" i="1"/>
  <c r="K1547" i="1"/>
  <c r="K476" i="1"/>
  <c r="K2438" i="1"/>
  <c r="K1581" i="1"/>
  <c r="K992" i="1"/>
  <c r="K2282" i="1"/>
  <c r="K2205" i="1"/>
  <c r="K2800" i="1"/>
  <c r="K848" i="1"/>
  <c r="K1374" i="1"/>
  <c r="K2594" i="1"/>
  <c r="K3148" i="1"/>
  <c r="K2968" i="1"/>
  <c r="K3946" i="1"/>
  <c r="K2571" i="1"/>
  <c r="K287" i="1"/>
  <c r="K1151" i="1"/>
  <c r="K57" i="1"/>
  <c r="K2027" i="1"/>
  <c r="K3563" i="1"/>
  <c r="K3990" i="1"/>
  <c r="K3201" i="1"/>
  <c r="K1097" i="1"/>
  <c r="K1932" i="1"/>
  <c r="K220" i="1"/>
  <c r="K3273" i="1"/>
  <c r="K2787" i="1"/>
  <c r="K2328" i="1"/>
  <c r="K3319" i="1"/>
  <c r="K1807" i="1"/>
  <c r="K1604" i="1"/>
  <c r="K2502" i="1"/>
  <c r="K3799" i="1"/>
  <c r="K383" i="1"/>
  <c r="K645" i="1"/>
  <c r="K353" i="1"/>
  <c r="K3103" i="1"/>
  <c r="K1758" i="1"/>
  <c r="K24" i="1"/>
  <c r="K2008" i="1"/>
  <c r="K2584" i="1"/>
  <c r="K2757" i="1"/>
  <c r="K2651" i="1"/>
  <c r="K2029" i="1"/>
  <c r="K702" i="1"/>
  <c r="K804" i="1"/>
  <c r="K1131" i="1"/>
  <c r="K2070" i="1"/>
  <c r="K261" i="1"/>
  <c r="K3333" i="1"/>
  <c r="K1270" i="1"/>
  <c r="K2116" i="1"/>
  <c r="K2063" i="1"/>
  <c r="K636" i="1"/>
  <c r="K3619" i="1"/>
  <c r="K3085" i="1"/>
  <c r="K1812" i="1"/>
  <c r="K3936" i="1"/>
  <c r="K1317" i="1"/>
  <c r="K527" i="1"/>
  <c r="K3112" i="1"/>
  <c r="K477" i="1"/>
  <c r="K3957" i="1"/>
  <c r="K286" i="1"/>
  <c r="K3057" i="1"/>
  <c r="K3907" i="1"/>
  <c r="K1847" i="1"/>
  <c r="K95" i="1"/>
  <c r="K1228" i="1"/>
  <c r="K1088" i="1"/>
  <c r="K226" i="1"/>
  <c r="K404" i="1"/>
  <c r="K2867" i="1"/>
  <c r="K2988" i="1"/>
  <c r="K1412" i="1"/>
  <c r="K3724" i="1"/>
  <c r="K684" i="1"/>
  <c r="K3389" i="1"/>
  <c r="K1040" i="1"/>
  <c r="K3286" i="1"/>
  <c r="K3715" i="1"/>
  <c r="K181" i="1"/>
  <c r="K3303" i="1"/>
  <c r="K3241" i="1"/>
  <c r="K1403" i="1"/>
  <c r="K396" i="1"/>
  <c r="K309" i="1"/>
  <c r="K2090" i="1"/>
  <c r="K3537" i="1"/>
  <c r="K2531" i="1"/>
  <c r="K3998" i="1"/>
  <c r="K2264" i="1"/>
  <c r="K2711" i="1"/>
  <c r="K3423" i="1"/>
  <c r="K1920" i="1"/>
  <c r="K3003" i="1"/>
  <c r="K373" i="1"/>
  <c r="K3264" i="1"/>
  <c r="K429" i="1"/>
  <c r="K1896" i="1"/>
  <c r="K2879" i="1"/>
  <c r="K1981" i="1"/>
  <c r="K22" i="1"/>
  <c r="K1170" i="1"/>
  <c r="K3666" i="1"/>
  <c r="K1625" i="1"/>
  <c r="K3941" i="1"/>
  <c r="K819" i="1"/>
  <c r="K511" i="1"/>
  <c r="K410" i="1"/>
  <c r="K332" i="1"/>
  <c r="K2406" i="1"/>
  <c r="K3000" i="1"/>
  <c r="K399" i="1"/>
  <c r="K2117" i="1"/>
  <c r="K1521" i="1"/>
  <c r="K470" i="1"/>
  <c r="K1162" i="1"/>
  <c r="K825" i="1"/>
  <c r="K3255" i="1"/>
  <c r="K2376" i="1"/>
  <c r="K3060" i="1"/>
  <c r="K3775" i="1"/>
  <c r="K2682" i="1"/>
  <c r="K1527" i="1"/>
  <c r="K844" i="1"/>
  <c r="K1751" i="1"/>
  <c r="K298" i="1"/>
  <c r="K1302" i="1"/>
  <c r="K249" i="1"/>
  <c r="K1136" i="1"/>
  <c r="K3099" i="1"/>
  <c r="K1115" i="1"/>
  <c r="K3636" i="1"/>
  <c r="K1923" i="1"/>
  <c r="K922" i="1"/>
  <c r="K2038" i="1"/>
  <c r="K1793" i="1"/>
  <c r="K2513" i="1"/>
  <c r="K3771" i="1"/>
  <c r="K2177" i="1"/>
  <c r="K1337" i="1"/>
  <c r="K1499" i="1"/>
  <c r="K750" i="1"/>
  <c r="K1844" i="1"/>
  <c r="K2929" i="1"/>
  <c r="K3251" i="1"/>
  <c r="K2666" i="1"/>
  <c r="K1284" i="1"/>
  <c r="K1008" i="1"/>
  <c r="K513" i="1"/>
  <c r="K3016" i="1"/>
  <c r="K592" i="1"/>
  <c r="K2490" i="1"/>
  <c r="K1655" i="1"/>
  <c r="K3481" i="1"/>
  <c r="K2920" i="1"/>
  <c r="K3809" i="1"/>
  <c r="K933" i="1"/>
  <c r="K3582" i="1"/>
  <c r="K1020" i="1"/>
  <c r="K970" i="1"/>
  <c r="K1977" i="1"/>
  <c r="K2037" i="1"/>
  <c r="K2816" i="1"/>
  <c r="K2023" i="1"/>
  <c r="K677" i="1"/>
  <c r="K2231" i="1"/>
  <c r="K3480" i="1"/>
  <c r="K441" i="1"/>
  <c r="K3749" i="1"/>
  <c r="K2092" i="1"/>
  <c r="K1813" i="1"/>
  <c r="K1893" i="1"/>
  <c r="K2600" i="1"/>
  <c r="K1602" i="1"/>
  <c r="K2075" i="1"/>
  <c r="K1249" i="1"/>
  <c r="K658" i="1"/>
  <c r="K3643" i="1"/>
  <c r="K3035" i="1"/>
  <c r="K3717" i="1"/>
  <c r="K354" i="1"/>
  <c r="K3847" i="1"/>
  <c r="K799" i="1"/>
  <c r="K830" i="1"/>
  <c r="K1296" i="1"/>
  <c r="K3101" i="1"/>
  <c r="K230" i="1"/>
  <c r="K1741" i="1"/>
  <c r="K1784" i="1"/>
  <c r="K1805" i="1"/>
  <c r="K801" i="1"/>
  <c r="K3741" i="1"/>
  <c r="K1992" i="1"/>
  <c r="K1128" i="1"/>
  <c r="K2289" i="1"/>
  <c r="K2263" i="1"/>
  <c r="K343" i="1"/>
  <c r="K1372" i="1"/>
  <c r="K1821" i="1"/>
  <c r="K1422" i="1"/>
  <c r="K149" i="1"/>
  <c r="K1743" i="1"/>
  <c r="K1941" i="1"/>
  <c r="K1103" i="1"/>
  <c r="K475" i="1"/>
  <c r="K3721" i="1"/>
  <c r="K1256" i="1"/>
  <c r="K828" i="1"/>
  <c r="K898" i="1"/>
  <c r="K3506" i="1"/>
  <c r="K1626" i="1"/>
  <c r="K1176" i="1"/>
  <c r="K1359" i="1"/>
  <c r="K2010" i="1"/>
  <c r="K1060" i="1"/>
  <c r="K349" i="1"/>
  <c r="K436" i="1"/>
  <c r="K138" i="1"/>
  <c r="K549" i="1"/>
  <c r="K1838" i="1"/>
  <c r="K14" i="1"/>
  <c r="K1794" i="1"/>
  <c r="K718" i="1"/>
  <c r="K3155" i="1"/>
  <c r="K1490" i="1"/>
  <c r="K1831" i="1"/>
  <c r="K600" i="1"/>
  <c r="K3450" i="1"/>
  <c r="K924" i="1"/>
  <c r="K737" i="1"/>
  <c r="K2246" i="1"/>
  <c r="K1487" i="1"/>
  <c r="K2972" i="1"/>
  <c r="K2189" i="1"/>
  <c r="K31" i="1"/>
  <c r="K3981" i="1"/>
  <c r="K1892" i="1"/>
  <c r="K1260" i="1"/>
  <c r="K797" i="1"/>
  <c r="K540" i="1"/>
  <c r="K2181" i="1"/>
  <c r="K234" i="1"/>
  <c r="K2363" i="1"/>
  <c r="K1239" i="1"/>
  <c r="K1887" i="1"/>
  <c r="K2873" i="1"/>
  <c r="K1654" i="1"/>
  <c r="K3518" i="1"/>
  <c r="K1903" i="1"/>
  <c r="K611" i="1"/>
  <c r="K1574" i="1"/>
  <c r="K2248" i="1"/>
  <c r="K1520" i="1"/>
  <c r="K3007" i="1"/>
  <c r="K105" i="1"/>
  <c r="K1548" i="1"/>
  <c r="K2819" i="1"/>
  <c r="K1001" i="1"/>
  <c r="K664" i="1"/>
  <c r="K497" i="1"/>
  <c r="K1792" i="1"/>
  <c r="K1589" i="1"/>
  <c r="K1680" i="1"/>
  <c r="K739" i="1"/>
  <c r="K1715" i="1"/>
  <c r="K341" i="1"/>
  <c r="K174" i="1"/>
  <c r="K389" i="1"/>
  <c r="K1090" i="1"/>
  <c r="K182" i="1"/>
  <c r="K1444" i="1"/>
  <c r="K1747" i="1"/>
  <c r="K691" i="1"/>
  <c r="K2528" i="1"/>
  <c r="K1272" i="1"/>
  <c r="K2656" i="1"/>
  <c r="K985" i="1"/>
  <c r="K67" i="1"/>
  <c r="K1571" i="1"/>
  <c r="K1866" i="1"/>
  <c r="K1570" i="1"/>
  <c r="K1916" i="1"/>
  <c r="K2049" i="1"/>
  <c r="K377" i="1"/>
  <c r="K2692" i="1"/>
  <c r="K3789" i="1"/>
  <c r="K406" i="1"/>
  <c r="K420" i="1"/>
  <c r="K408" i="1"/>
  <c r="K786" i="1"/>
  <c r="K1541" i="1"/>
  <c r="K275" i="1"/>
  <c r="K780" i="1"/>
  <c r="K1504" i="1"/>
  <c r="K1461" i="1"/>
  <c r="K1226" i="1"/>
  <c r="K2346" i="1"/>
  <c r="K1081" i="1"/>
  <c r="K700" i="1"/>
  <c r="K644" i="1"/>
  <c r="K1714" i="1"/>
  <c r="K1917" i="1"/>
  <c r="K316" i="1"/>
  <c r="K2435" i="1"/>
  <c r="K3800" i="1"/>
  <c r="K2785" i="1"/>
  <c r="K1823" i="1"/>
  <c r="K323" i="1"/>
  <c r="K3710" i="1"/>
  <c r="K3959" i="1"/>
  <c r="K3878" i="1"/>
  <c r="K2566" i="1"/>
  <c r="K1298" i="1"/>
  <c r="K18" i="1"/>
  <c r="K2939" i="1"/>
  <c r="K1580" i="1"/>
  <c r="K199" i="1"/>
  <c r="K2930" i="1"/>
  <c r="K3786" i="1"/>
  <c r="K937" i="1"/>
  <c r="K3357" i="1"/>
  <c r="K2274" i="1"/>
  <c r="K3118" i="1"/>
  <c r="K505" i="1"/>
  <c r="K2417" i="1"/>
  <c r="K107" i="1"/>
  <c r="K2555" i="1"/>
  <c r="K398" i="1"/>
  <c r="K1899" i="1"/>
  <c r="K858" i="1"/>
  <c r="K1467" i="1"/>
  <c r="K2140" i="1"/>
  <c r="K1736" i="1"/>
  <c r="K3020" i="1"/>
  <c r="K1297" i="1"/>
  <c r="K3567" i="1"/>
  <c r="K2658" i="1"/>
  <c r="K375" i="1"/>
  <c r="K2732" i="1"/>
  <c r="K1797" i="1"/>
  <c r="K2036" i="1"/>
  <c r="K930" i="1"/>
  <c r="K3392" i="1"/>
  <c r="K1996" i="1"/>
  <c r="K1338" i="1"/>
  <c r="K482" i="1"/>
  <c r="K3434" i="1"/>
  <c r="K369" i="1"/>
  <c r="K321" i="1"/>
  <c r="K3525" i="1"/>
  <c r="K320" i="1"/>
  <c r="K170" i="1"/>
  <c r="K1753" i="1"/>
  <c r="K1848" i="1"/>
  <c r="K686" i="1"/>
  <c r="K1516" i="1"/>
  <c r="K1701" i="1"/>
  <c r="K827" i="1"/>
  <c r="K1590" i="1"/>
  <c r="K1244" i="1"/>
  <c r="K384" i="1"/>
  <c r="K1853" i="1"/>
  <c r="K689" i="1"/>
  <c r="K1956" i="1"/>
  <c r="K1332" i="1"/>
  <c r="K3831" i="1"/>
  <c r="K1018" i="1"/>
  <c r="K3399" i="1"/>
  <c r="K1051" i="1"/>
  <c r="K1882" i="1"/>
  <c r="K3235" i="1"/>
  <c r="K735" i="1"/>
  <c r="K649" i="1"/>
  <c r="K1119" i="1"/>
  <c r="K2668" i="1"/>
  <c r="K281" i="1"/>
  <c r="K1693" i="1"/>
  <c r="K1864" i="1"/>
  <c r="K2194" i="1"/>
  <c r="K3965" i="1"/>
  <c r="K997" i="1"/>
  <c r="K167" i="1"/>
  <c r="K1850" i="1"/>
  <c r="K1588" i="1"/>
  <c r="K2323" i="1"/>
  <c r="K1250" i="1"/>
  <c r="K3164" i="1"/>
  <c r="K175" i="1"/>
  <c r="K2851" i="1"/>
  <c r="K3742" i="1"/>
  <c r="K2223" i="1"/>
  <c r="K709" i="1"/>
  <c r="K974" i="1"/>
  <c r="K3782" i="1"/>
  <c r="K203" i="1"/>
  <c r="K1874" i="1"/>
  <c r="K228" i="1"/>
  <c r="K3790" i="1"/>
  <c r="K2667" i="1"/>
  <c r="K63" i="1"/>
  <c r="K186" i="1"/>
  <c r="K2442" i="1"/>
  <c r="K140" i="1"/>
  <c r="K2917" i="1"/>
  <c r="K3023" i="1"/>
  <c r="K3549" i="1"/>
  <c r="K1140" i="1"/>
  <c r="K3279" i="1"/>
  <c r="K987" i="1"/>
  <c r="K1146" i="1"/>
  <c r="K2762" i="1"/>
  <c r="K3196" i="1"/>
  <c r="K1933" i="1"/>
  <c r="K3068" i="1"/>
  <c r="K394" i="1"/>
  <c r="K2183" i="1"/>
  <c r="K2558" i="1"/>
  <c r="K2128" i="1"/>
  <c r="K35" i="1"/>
  <c r="K1683" i="1"/>
  <c r="K2900" i="1"/>
  <c r="K3108" i="1"/>
  <c r="K3613" i="1"/>
  <c r="K3305" i="1"/>
  <c r="K2630" i="1"/>
  <c r="K2999" i="1"/>
  <c r="K2663" i="1"/>
  <c r="K2397" i="1"/>
  <c r="K192" i="1"/>
  <c r="K3694" i="1"/>
  <c r="K125" i="1"/>
  <c r="K3288" i="1"/>
  <c r="K1578" i="1"/>
  <c r="K2751" i="1"/>
  <c r="K673" i="1"/>
  <c r="K1355" i="1"/>
  <c r="K3630" i="1"/>
  <c r="K1148" i="1"/>
  <c r="K1101" i="1"/>
  <c r="K1965" i="1"/>
  <c r="K1094" i="1"/>
  <c r="K516" i="1"/>
  <c r="K1015" i="1"/>
  <c r="K694" i="1"/>
  <c r="K1723" i="1"/>
  <c r="K84" i="1"/>
  <c r="K753" i="1"/>
  <c r="K2618" i="1"/>
  <c r="K439" i="1"/>
  <c r="K1523" i="1"/>
  <c r="K1165" i="1"/>
  <c r="K1191" i="1"/>
  <c r="K3453" i="1"/>
  <c r="K221" i="1"/>
  <c r="K1307" i="1"/>
  <c r="K941" i="1"/>
  <c r="K2841" i="1"/>
  <c r="K2428" i="1"/>
  <c r="K1026" i="1"/>
  <c r="K1675" i="1"/>
  <c r="K1401" i="1"/>
  <c r="K293" i="1"/>
  <c r="K1311" i="1"/>
  <c r="K637" i="1"/>
  <c r="K856" i="1"/>
  <c r="K2372" i="1"/>
  <c r="K558" i="1"/>
  <c r="K3075" i="1"/>
  <c r="K2077" i="1"/>
  <c r="K3569" i="1"/>
  <c r="K3552" i="1"/>
  <c r="K2384" i="1"/>
  <c r="K2536" i="1"/>
  <c r="K2161" i="1"/>
  <c r="K3132" i="1"/>
  <c r="K2498" i="1"/>
  <c r="K2622" i="1"/>
  <c r="K2200" i="1"/>
  <c r="K2523" i="1"/>
  <c r="K2154" i="1"/>
  <c r="K3883" i="1"/>
  <c r="K2708" i="1"/>
  <c r="K2582" i="1"/>
  <c r="K1883" i="1"/>
  <c r="K1861" i="1"/>
  <c r="K3635" i="1"/>
  <c r="K2136" i="1"/>
  <c r="K2011" i="1"/>
  <c r="K2914" i="1"/>
  <c r="K3496" i="1"/>
  <c r="K1052" i="1"/>
  <c r="K1192" i="1"/>
  <c r="K1216" i="1"/>
  <c r="K1346" i="1"/>
  <c r="K720" i="1"/>
  <c r="K1564" i="1"/>
  <c r="K585" i="1"/>
  <c r="K3254" i="1"/>
  <c r="K969" i="1"/>
  <c r="K1585" i="1"/>
  <c r="K1112" i="1"/>
  <c r="K3631" i="1"/>
  <c r="K904" i="1"/>
  <c r="K1382" i="1"/>
  <c r="K2216" i="1"/>
  <c r="K2616" i="1"/>
  <c r="K635" i="1"/>
  <c r="K1470" i="1"/>
  <c r="K647" i="1"/>
  <c r="K1491" i="1"/>
  <c r="K2640" i="1"/>
  <c r="K3298" i="1"/>
  <c r="K727" i="1"/>
  <c r="K2431" i="1"/>
  <c r="K1118" i="1"/>
  <c r="K2358" i="1"/>
  <c r="K1657" i="1"/>
  <c r="K1427" i="1"/>
  <c r="K1328" i="1"/>
  <c r="K2796" i="1"/>
  <c r="K1928" i="1"/>
  <c r="K2240" i="1"/>
  <c r="K3181" i="1"/>
  <c r="K2720" i="1"/>
  <c r="K3600" i="1"/>
  <c r="K3874" i="1"/>
  <c r="K3566" i="1"/>
  <c r="K3087" i="1"/>
  <c r="K2309" i="1"/>
  <c r="K2799" i="1"/>
  <c r="K2903" i="1"/>
  <c r="K3270" i="1"/>
  <c r="K2967" i="1"/>
  <c r="K2971" i="1"/>
  <c r="K2040" i="1"/>
  <c r="K3810" i="1"/>
  <c r="K2209" i="1"/>
  <c r="K3972" i="1"/>
  <c r="K2017" i="1"/>
  <c r="K3620" i="1"/>
  <c r="K2286" i="1"/>
  <c r="K2936" i="1"/>
  <c r="K2590" i="1"/>
  <c r="K3159" i="1"/>
  <c r="K2190" i="1"/>
  <c r="K3937" i="1"/>
  <c r="K3811" i="1"/>
  <c r="K2256" i="1"/>
  <c r="K2087" i="1"/>
  <c r="K2114" i="1"/>
  <c r="K2106" i="1"/>
  <c r="K3755" i="1"/>
  <c r="K3991" i="1"/>
  <c r="K3992" i="1"/>
  <c r="K2423" i="1"/>
  <c r="K2129" i="1"/>
  <c r="K3819" i="1"/>
  <c r="K2453" i="1"/>
  <c r="K2729" i="1"/>
  <c r="K3868" i="1"/>
  <c r="K3877" i="1"/>
  <c r="K3242" i="1"/>
  <c r="K3363" i="1"/>
  <c r="K3916" i="1"/>
  <c r="K3168" i="1"/>
  <c r="K3334" i="1"/>
  <c r="K2344" i="1"/>
  <c r="K3968" i="1"/>
  <c r="K2380" i="1"/>
  <c r="K1816" i="1"/>
  <c r="K2120" i="1"/>
  <c r="K3466" i="1"/>
  <c r="K2469" i="1"/>
  <c r="K3382" i="1"/>
  <c r="K2525" i="1"/>
  <c r="K3440" i="1"/>
  <c r="K3030" i="1"/>
  <c r="K2336" i="1"/>
  <c r="K3215" i="1"/>
  <c r="K2413" i="1"/>
  <c r="K3024" i="1"/>
  <c r="K2014" i="1"/>
  <c r="K3134" i="1"/>
  <c r="K3556" i="1"/>
  <c r="K3843" i="1"/>
  <c r="K3287" i="1"/>
  <c r="K3098" i="1"/>
  <c r="K2261" i="1"/>
  <c r="K2158" i="1"/>
  <c r="K3689" i="1"/>
  <c r="K3804" i="1"/>
  <c r="K3377" i="1"/>
  <c r="K1989" i="1"/>
  <c r="K1974" i="1"/>
  <c r="K1987" i="1"/>
  <c r="K2409" i="1"/>
  <c r="K2535" i="1"/>
  <c r="K2105" i="1"/>
  <c r="K3485" i="1"/>
  <c r="K3881" i="1"/>
  <c r="K3362" i="1"/>
  <c r="K2452" i="1"/>
  <c r="K3339" i="1"/>
  <c r="K2068" i="1"/>
  <c r="K3818" i="1"/>
  <c r="K2791" i="1"/>
  <c r="K2904" i="1"/>
  <c r="K4056" i="1"/>
  <c r="K3750" i="1"/>
  <c r="K3978" i="1"/>
  <c r="K3901" i="1"/>
  <c r="K2633" i="1"/>
  <c r="K2604" i="1"/>
  <c r="K3351" i="1"/>
  <c r="K2636" i="1"/>
  <c r="K3812" i="1"/>
  <c r="K2235" i="1"/>
  <c r="K3391" i="1"/>
  <c r="K2170" i="1"/>
  <c r="K3013" i="1"/>
  <c r="K2628" i="1"/>
  <c r="K3387" i="1"/>
  <c r="K2006" i="1"/>
  <c r="K2891" i="1"/>
  <c r="K2272" i="1"/>
  <c r="K3555" i="1"/>
  <c r="K2940" i="1"/>
  <c r="K3824" i="1"/>
  <c r="K3987" i="1"/>
  <c r="K3948" i="1"/>
  <c r="K3179" i="1"/>
  <c r="K2244" i="1"/>
  <c r="K4927" i="1"/>
  <c r="K4284" i="1"/>
  <c r="K2880" i="1"/>
  <c r="K2517" i="1"/>
  <c r="K217" i="1"/>
  <c r="K3859" i="1"/>
  <c r="K745" i="1"/>
  <c r="K3684" i="1"/>
  <c r="K2810" i="1"/>
  <c r="K300" i="1"/>
  <c r="K1818" i="1"/>
  <c r="K3526" i="1"/>
  <c r="K706" i="1"/>
  <c r="K3612" i="1"/>
  <c r="K3658" i="1"/>
  <c r="K2780" i="1"/>
  <c r="K577" i="1"/>
  <c r="K3204" i="1"/>
  <c r="K3900" i="1"/>
  <c r="K1408" i="1"/>
  <c r="K893" i="1"/>
  <c r="K2919" i="1"/>
  <c r="K3220" i="1"/>
  <c r="K3077" i="1"/>
  <c r="K1210" i="1"/>
  <c r="K2048" i="1"/>
  <c r="K3705" i="1"/>
  <c r="K3322" i="1"/>
  <c r="K2888" i="1"/>
  <c r="K262" i="1"/>
  <c r="K1938" i="1"/>
  <c r="K223" i="1"/>
  <c r="K874" i="1"/>
  <c r="K3277" i="1"/>
  <c r="K2756" i="1"/>
  <c r="K2598" i="1"/>
  <c r="K2296" i="1"/>
  <c r="K590" i="1"/>
  <c r="K1819" i="1"/>
  <c r="K2549" i="1"/>
  <c r="K1984" i="1"/>
  <c r="K1319" i="1"/>
  <c r="K1500" i="1"/>
  <c r="K1767" i="1"/>
  <c r="K3807" i="1"/>
  <c r="K3616" i="1"/>
  <c r="K3467" i="1"/>
  <c r="K2830" i="1"/>
  <c r="K958" i="1"/>
  <c r="K3508" i="1"/>
  <c r="K1945" i="1"/>
  <c r="K563" i="1"/>
  <c r="K1929" i="1"/>
  <c r="K1441" i="1"/>
  <c r="K1283" i="1"/>
  <c r="K1084" i="1"/>
  <c r="K2141" i="1"/>
  <c r="K3730" i="1"/>
  <c r="K1304" i="1"/>
  <c r="K1501" i="1"/>
  <c r="K1687" i="1"/>
  <c r="K3442" i="1"/>
  <c r="K1093" i="1"/>
  <c r="K2222" i="1"/>
  <c r="K757" i="1"/>
  <c r="K3246" i="1"/>
  <c r="K1145" i="1"/>
  <c r="K738" i="1"/>
  <c r="K184" i="1"/>
  <c r="K328" i="1"/>
  <c r="K208" i="1"/>
  <c r="K2909" i="1"/>
  <c r="K1906" i="1"/>
  <c r="K485" i="1"/>
  <c r="K3848" i="1"/>
  <c r="K1106" i="1"/>
  <c r="K3449" i="1"/>
  <c r="K3379" i="1"/>
  <c r="K2361" i="1"/>
  <c r="K2067" i="1"/>
  <c r="K3647" i="1"/>
  <c r="K1862" i="1"/>
  <c r="K2710" i="1"/>
  <c r="K2797" i="1"/>
  <c r="K1708" i="1"/>
  <c r="K8" i="1"/>
  <c r="K3280" i="1"/>
  <c r="K1606" i="1"/>
  <c r="K3621" i="1"/>
  <c r="K421" i="1"/>
  <c r="K3175" i="1"/>
  <c r="K650" i="1"/>
  <c r="K3596" i="1"/>
  <c r="K3637" i="1"/>
  <c r="K2001" i="1"/>
  <c r="K3930" i="1"/>
  <c r="K2367" i="1"/>
  <c r="K2186" i="1"/>
  <c r="K1576" i="1"/>
  <c r="K3711" i="1"/>
  <c r="K2377" i="1"/>
  <c r="K2882" i="1"/>
  <c r="K3006" i="1"/>
  <c r="K1914" i="1"/>
  <c r="K2020" i="1"/>
  <c r="K2013" i="1"/>
  <c r="K3578" i="1"/>
  <c r="K1446" i="1"/>
  <c r="K2927" i="1"/>
  <c r="K2657" i="1"/>
  <c r="K2330" i="1"/>
  <c r="K567" i="1"/>
  <c r="K640" i="1"/>
  <c r="K2652" i="1"/>
  <c r="K1690" i="1"/>
  <c r="K1230" i="1"/>
  <c r="K1065" i="1"/>
  <c r="K1035" i="1"/>
  <c r="K3272" i="1"/>
  <c r="K2338" i="1"/>
  <c r="K3915" i="1"/>
  <c r="K2464" i="1"/>
  <c r="K2108" i="1"/>
  <c r="K912" i="1"/>
  <c r="K615" i="1"/>
  <c r="K3579" i="1"/>
  <c r="K419" i="1"/>
  <c r="K458" i="1"/>
  <c r="K3908" i="1"/>
  <c r="K1181" i="1"/>
  <c r="K617" i="1"/>
  <c r="K3598" i="1"/>
  <c r="K2925" i="1"/>
  <c r="K2047" i="1"/>
  <c r="K2772" i="1"/>
  <c r="K3507" i="1"/>
  <c r="K3989" i="1"/>
  <c r="K2178" i="1"/>
  <c r="K1482" i="1"/>
  <c r="K3902" i="1"/>
  <c r="K1066" i="1"/>
  <c r="K821" i="1"/>
  <c r="K3761" i="1"/>
  <c r="K3662" i="1"/>
  <c r="K3021" i="1"/>
  <c r="K2981" i="1"/>
  <c r="K2583" i="1"/>
  <c r="K1863" i="1"/>
  <c r="K3550" i="1"/>
  <c r="K1036" i="1"/>
  <c r="K1954" i="1"/>
  <c r="K2015" i="1"/>
  <c r="K3975" i="1"/>
  <c r="K101" i="1"/>
  <c r="K740" i="1"/>
  <c r="K3803" i="1"/>
  <c r="K3982" i="1"/>
  <c r="K1677" i="1"/>
  <c r="K2699" i="1"/>
  <c r="K2606" i="1"/>
  <c r="K609" i="1"/>
  <c r="K2018" i="1"/>
  <c r="K1815" i="1"/>
  <c r="K2801" i="1"/>
  <c r="K1017" i="1"/>
  <c r="K3095" i="1"/>
  <c r="K115" i="1"/>
  <c r="K457" i="1"/>
  <c r="K1658" i="1"/>
  <c r="K238" i="1"/>
  <c r="K1075" i="1"/>
  <c r="K656" i="1"/>
  <c r="K2370" i="1"/>
  <c r="K1073" i="1"/>
  <c r="K188" i="1"/>
  <c r="K3176" i="1"/>
  <c r="K3682" i="1"/>
  <c r="K1709" i="1"/>
  <c r="K183" i="1"/>
  <c r="K1566" i="1"/>
  <c r="K1186" i="1"/>
  <c r="K438" i="1"/>
  <c r="K3375" i="1"/>
  <c r="K1289" i="1"/>
  <c r="K11" i="1"/>
  <c r="K7" i="1"/>
  <c r="K1479" i="1"/>
  <c r="K1459" i="1"/>
  <c r="K1646" i="1"/>
  <c r="K1905" i="1"/>
  <c r="K1436" i="1"/>
  <c r="K1371" i="1"/>
  <c r="K1127" i="1"/>
  <c r="K2537" i="1"/>
  <c r="K3591" i="1"/>
  <c r="K3928" i="1"/>
  <c r="K3971" i="1"/>
  <c r="K1411" i="1"/>
  <c r="K862" i="1"/>
  <c r="K2547" i="1"/>
  <c r="K2947" i="1"/>
  <c r="K2992" i="1"/>
  <c r="K1913" i="1"/>
  <c r="K4" i="1"/>
  <c r="K2771" i="1"/>
  <c r="K857" i="1"/>
  <c r="K1481" i="1"/>
  <c r="K3967" i="1"/>
  <c r="K1326" i="1"/>
  <c r="K1699" i="1"/>
  <c r="K2094" i="1"/>
  <c r="K1340" i="1"/>
  <c r="K1154" i="1"/>
  <c r="K2665" i="1"/>
  <c r="K2130" i="1"/>
  <c r="K1079" i="1"/>
  <c r="K2982" i="1"/>
  <c r="K314" i="1"/>
  <c r="K3368" i="1"/>
  <c r="K1755" i="1"/>
  <c r="K2878" i="1"/>
  <c r="K3281" i="1"/>
  <c r="K1034" i="1"/>
  <c r="K244" i="1"/>
  <c r="K285" i="1"/>
  <c r="K784" i="1"/>
  <c r="K3102" i="1"/>
  <c r="K1659" i="1"/>
  <c r="K3961" i="1"/>
  <c r="K612" i="1"/>
  <c r="K806" i="1"/>
  <c r="K942" i="1"/>
  <c r="K2580" i="1"/>
  <c r="K1732" i="1"/>
  <c r="K2684" i="1"/>
  <c r="K544" i="1"/>
  <c r="K3130" i="1"/>
  <c r="K2870" i="1"/>
  <c r="K2745" i="1"/>
  <c r="K1811" i="1"/>
  <c r="K2315" i="1"/>
  <c r="K3735" i="1"/>
  <c r="K2784" i="1"/>
  <c r="K1733" i="1"/>
  <c r="K885" i="1"/>
  <c r="K342" i="1"/>
  <c r="K2071" i="1"/>
  <c r="K3398" i="1"/>
  <c r="K3448" i="1"/>
  <c r="K219" i="1"/>
  <c r="K1836" i="1"/>
  <c r="K1901" i="1"/>
  <c r="K764" i="1"/>
  <c r="K1214" i="1"/>
  <c r="K1762" i="1"/>
  <c r="K957" i="1"/>
  <c r="K1227" i="1"/>
  <c r="K2418" i="1"/>
  <c r="K849" i="1"/>
  <c r="K2521" i="1"/>
  <c r="K776" i="1"/>
  <c r="K2167" i="1"/>
  <c r="K2460" i="1"/>
  <c r="K3047" i="1"/>
  <c r="K3947" i="1"/>
  <c r="K3406" i="1"/>
  <c r="K2956" i="1"/>
  <c r="K3427" i="1"/>
  <c r="K2250" i="1"/>
  <c r="K3308" i="1"/>
  <c r="K1059" i="1"/>
  <c r="K698" i="1"/>
  <c r="K106" i="1"/>
  <c r="K2721" i="1"/>
  <c r="K3084" i="1"/>
  <c r="K1323" i="1"/>
  <c r="K2501" i="1"/>
  <c r="K3294" i="1"/>
  <c r="K2321" i="1"/>
  <c r="K1950" i="1"/>
  <c r="K1023" i="1"/>
  <c r="K2497" i="1"/>
  <c r="K2788" i="1"/>
  <c r="K3950" i="1"/>
  <c r="K2088" i="1"/>
  <c r="K1395" i="1"/>
  <c r="K2774" i="1"/>
  <c r="K3849" i="1"/>
  <c r="K1221" i="1"/>
  <c r="K431" i="1"/>
  <c r="K3993" i="1"/>
  <c r="K541" i="1"/>
  <c r="K794" i="1"/>
  <c r="K703" i="1"/>
  <c r="K2173" i="1"/>
  <c r="K1464" i="1"/>
  <c r="K1180" i="1"/>
  <c r="K273" i="1"/>
  <c r="K3311" i="1"/>
  <c r="K3729" i="1"/>
  <c r="K2753" i="1"/>
  <c r="K1796" i="1"/>
  <c r="K2834" i="1"/>
  <c r="K152" i="1"/>
  <c r="K3073" i="1"/>
  <c r="K1204" i="1"/>
  <c r="K319" i="1"/>
  <c r="K1202" i="1"/>
  <c r="K2470" i="1"/>
  <c r="K3797" i="1"/>
  <c r="K916" i="1"/>
  <c r="K3677" i="1"/>
  <c r="K1308" i="1"/>
  <c r="K3973" i="1"/>
  <c r="K3074" i="1"/>
  <c r="K2847" i="1"/>
  <c r="K1814" i="1"/>
  <c r="K3634" i="1"/>
  <c r="K1998" i="1"/>
  <c r="K3275" i="1"/>
  <c r="K951" i="1"/>
  <c r="K3446" i="1"/>
  <c r="K162" i="1"/>
  <c r="K250" i="1"/>
  <c r="K1027" i="1"/>
  <c r="K447" i="1"/>
  <c r="K1988" i="1"/>
  <c r="K3700" i="1"/>
  <c r="K779" i="1"/>
  <c r="K1342" i="1"/>
  <c r="K1810" i="1"/>
  <c r="K2379" i="1"/>
  <c r="K1711" i="1"/>
  <c r="K3144" i="1"/>
  <c r="K2526" i="1"/>
  <c r="K553" i="1"/>
  <c r="K588" i="1"/>
  <c r="K3884" i="1"/>
  <c r="K2266" i="1"/>
  <c r="K3661" i="1"/>
  <c r="K2518" i="1"/>
  <c r="K1485" i="1"/>
  <c r="K717" i="1"/>
  <c r="K3594" i="1"/>
  <c r="K3659" i="1"/>
  <c r="K1013" i="1"/>
  <c r="K1679" i="1"/>
  <c r="K156" i="1"/>
  <c r="K2394" i="1"/>
  <c r="K3231" i="1"/>
  <c r="K2320" i="1"/>
  <c r="K3738" i="1"/>
  <c r="K602" i="1"/>
  <c r="K3417" i="1"/>
  <c r="K81" i="1"/>
  <c r="K135" i="1"/>
  <c r="K2426" i="1"/>
  <c r="K2156" i="1"/>
  <c r="K481" i="1"/>
  <c r="K3627" i="1"/>
  <c r="K3842" i="1"/>
  <c r="K3669" i="1"/>
  <c r="K596" i="1"/>
  <c r="K1187" i="1"/>
  <c r="K1667" i="1"/>
  <c r="K1322" i="1"/>
  <c r="K1253" i="1"/>
  <c r="K315" i="1"/>
  <c r="K79" i="1"/>
  <c r="K1111" i="1"/>
  <c r="K1632" i="1"/>
  <c r="K542" i="1"/>
  <c r="K736" i="1"/>
  <c r="K692" i="1"/>
  <c r="K3383" i="1"/>
  <c r="K3951" i="1"/>
  <c r="K1986" i="1"/>
  <c r="K652" i="1"/>
  <c r="K1925" i="1"/>
  <c r="K362" i="1"/>
  <c r="K80" i="1"/>
  <c r="K2477" i="1"/>
  <c r="K721" i="1"/>
  <c r="K3429" i="1"/>
  <c r="K1872" i="1"/>
  <c r="K2837" i="1"/>
  <c r="K1369" i="1"/>
  <c r="K91" i="1"/>
  <c r="K468" i="1"/>
  <c r="K1506" i="1"/>
  <c r="K237" i="1"/>
  <c r="K754" i="1"/>
  <c r="K3401" i="1"/>
  <c r="K3290" i="1"/>
  <c r="K3716" i="1"/>
  <c r="K3939" i="1"/>
  <c r="K333" i="1"/>
  <c r="K1833" i="1"/>
  <c r="K2631" i="1"/>
  <c r="K1004" i="1"/>
  <c r="K1156" i="1"/>
  <c r="K1022" i="1"/>
  <c r="K87" i="1"/>
  <c r="K3212" i="1"/>
  <c r="K3656" i="1"/>
  <c r="K3488" i="1"/>
  <c r="K734" i="1"/>
  <c r="K2542" i="1"/>
  <c r="K2669" i="1"/>
  <c r="K1009" i="1"/>
  <c r="K4428" i="1"/>
  <c r="K3679" i="1"/>
  <c r="K2950" i="1"/>
  <c r="K665" i="1"/>
  <c r="K1442" i="1"/>
  <c r="K357" i="1"/>
  <c r="K3638" i="1"/>
  <c r="K2091" i="1"/>
  <c r="K2579" i="1"/>
  <c r="K648" i="1"/>
  <c r="K60" i="1"/>
  <c r="K3301" i="1"/>
  <c r="K132" i="1"/>
  <c r="K998" i="1"/>
  <c r="K1622" i="1"/>
  <c r="K2074" i="1"/>
  <c r="K3473" i="1"/>
  <c r="K2113" i="1"/>
  <c r="K1483" i="1"/>
  <c r="K2696" i="1"/>
  <c r="K1163" i="1"/>
  <c r="K2485" i="1"/>
  <c r="K643" i="1"/>
  <c r="K1085" i="1"/>
  <c r="K211" i="1"/>
  <c r="K2871" i="1"/>
  <c r="K402" i="1"/>
  <c r="K1890" i="1"/>
  <c r="K3906" i="1"/>
  <c r="K1336" i="1"/>
  <c r="K846" i="1"/>
  <c r="K2678" i="1"/>
  <c r="K2355" i="1"/>
  <c r="K2735" i="1"/>
  <c r="K1769" i="1"/>
  <c r="K2556" i="1"/>
  <c r="K339" i="1"/>
  <c r="K711" i="1"/>
  <c r="K982" i="1"/>
  <c r="K1107" i="1"/>
  <c r="K864" i="1"/>
  <c r="K805" i="1"/>
  <c r="K1727" i="1"/>
  <c r="K3083" i="1"/>
  <c r="K2457" i="1"/>
  <c r="K2220" i="1"/>
  <c r="K55" i="1"/>
  <c r="K479" i="1"/>
  <c r="K2215" i="1"/>
  <c r="K2127" i="1"/>
  <c r="K2726" i="1"/>
  <c r="K4000" i="1"/>
  <c r="K2576" i="1"/>
  <c r="K2514" i="1"/>
  <c r="K1568" i="1"/>
  <c r="K1860" i="1"/>
  <c r="K975" i="1"/>
  <c r="K2777" i="1"/>
  <c r="K313" i="1"/>
  <c r="K1915" i="1"/>
  <c r="K71" i="1"/>
  <c r="K3536" i="1"/>
  <c r="K1719" i="1"/>
  <c r="K605" i="1"/>
  <c r="K3969" i="1"/>
  <c r="K366" i="1"/>
  <c r="K1737" i="1"/>
  <c r="K1791" i="1"/>
  <c r="K3873" i="1"/>
  <c r="K769" i="1"/>
  <c r="K1457" i="1"/>
  <c r="K3142" i="1"/>
  <c r="K423" i="1"/>
  <c r="K671" i="1"/>
  <c r="K3227" i="1"/>
  <c r="K1611" i="1"/>
  <c r="K2826" i="1"/>
  <c r="K2664" i="1"/>
  <c r="K1593" i="1"/>
  <c r="K960" i="1"/>
  <c r="K3985" i="1"/>
  <c r="K1248" i="1"/>
  <c r="K1942" i="1"/>
  <c r="K76" i="1"/>
  <c r="K2858" i="1"/>
  <c r="D20" i="3"/>
  <c r="K4347" i="1"/>
  <c r="K4029" i="1"/>
  <c r="K4126" i="1"/>
  <c r="K4638" i="1"/>
  <c r="K4318" i="1"/>
  <c r="K4114" i="1"/>
  <c r="K4468" i="1"/>
  <c r="K4454" i="1"/>
  <c r="K4323" i="1"/>
  <c r="K4679" i="1"/>
  <c r="K2846" i="1"/>
  <c r="K3361" i="1"/>
  <c r="K3808" i="1"/>
  <c r="K2565" i="1"/>
  <c r="K2593" i="1"/>
  <c r="K962" i="1"/>
  <c r="K3746" i="1"/>
  <c r="K2226" i="1"/>
  <c r="K1282" i="1"/>
  <c r="K3150" i="1"/>
  <c r="K2701" i="1"/>
  <c r="K1063" i="1"/>
  <c r="K2975" i="1"/>
  <c r="K2207" i="1"/>
  <c r="K2613" i="1"/>
  <c r="K335" i="1"/>
  <c r="K2970" i="1"/>
  <c r="K227" i="1"/>
  <c r="K2520" i="1"/>
  <c r="K3995" i="1"/>
  <c r="K3554" i="1"/>
  <c r="K1237" i="1"/>
  <c r="K1215" i="1"/>
  <c r="K3482" i="1"/>
  <c r="K2883" i="1"/>
  <c r="K3218" i="1"/>
  <c r="K3592" i="1"/>
  <c r="K3609" i="1"/>
  <c r="K1729" i="1"/>
  <c r="K267" i="1"/>
  <c r="K3026" i="1"/>
  <c r="K1952" i="1"/>
  <c r="K2718" i="1"/>
  <c r="K2434" i="1"/>
  <c r="K3704" i="1"/>
  <c r="K3044" i="1"/>
  <c r="K3317" i="1"/>
  <c r="K1839" i="1"/>
  <c r="K537" i="1"/>
  <c r="K471" i="1"/>
  <c r="K3924" i="1"/>
  <c r="K2227" i="1"/>
  <c r="K3904" i="1"/>
  <c r="K3889" i="1"/>
  <c r="K3257" i="1"/>
  <c r="K1904" i="1"/>
  <c r="K2538" i="1"/>
  <c r="K900" i="1"/>
  <c r="K2391" i="1"/>
  <c r="K1067" i="1"/>
  <c r="K1014" i="1"/>
  <c r="K1788" i="1"/>
  <c r="K3625" i="1"/>
  <c r="K185" i="1"/>
  <c r="K2706" i="1"/>
  <c r="K3364" i="1"/>
  <c r="K716" i="1"/>
  <c r="K3458" i="1"/>
  <c r="K20" i="1"/>
  <c r="K2602" i="1"/>
  <c r="K3713" i="1"/>
  <c r="K3674" i="1"/>
  <c r="K46" i="1"/>
  <c r="K2619" i="1"/>
  <c r="K434" i="1"/>
  <c r="K1171" i="1"/>
  <c r="K2451" i="1"/>
  <c r="K1362" i="1"/>
  <c r="K2408" i="1"/>
  <c r="K65" i="1"/>
  <c r="K2587" i="1"/>
  <c r="K3397" i="1"/>
  <c r="K1264" i="1"/>
  <c r="K2198" i="1"/>
  <c r="K3378" i="1"/>
  <c r="K4223" i="1"/>
  <c r="K4058" i="1"/>
  <c r="K4010" i="1"/>
  <c r="K4404" i="1"/>
  <c r="K4236" i="1"/>
  <c r="K4422" i="1"/>
  <c r="K4551" i="1"/>
  <c r="K4579" i="1"/>
  <c r="K4206" i="1"/>
  <c r="K4654" i="1"/>
  <c r="K651" i="1"/>
  <c r="K3501" i="1"/>
  <c r="K628" i="1"/>
  <c r="K104" i="1"/>
  <c r="K1643" i="1"/>
  <c r="K169" i="1"/>
  <c r="K213" i="1"/>
  <c r="K1167" i="1"/>
  <c r="K2712" i="1"/>
  <c r="K151" i="1"/>
  <c r="K3190" i="1"/>
  <c r="K391" i="1"/>
  <c r="K2110" i="1"/>
  <c r="K40" i="1"/>
  <c r="K561" i="1"/>
  <c r="K1703" i="1"/>
  <c r="K21" i="1"/>
  <c r="K100" i="1"/>
  <c r="K1586" i="1"/>
  <c r="K3158" i="1"/>
  <c r="K148" i="1"/>
  <c r="K1842" i="1"/>
  <c r="K572" i="1"/>
  <c r="K865" i="1"/>
  <c r="K503" i="1"/>
  <c r="K1006" i="1"/>
  <c r="K3772" i="1"/>
  <c r="K1734" i="1"/>
  <c r="K3064" i="1"/>
  <c r="K371" i="1"/>
  <c r="K62" i="1"/>
  <c r="K3830" i="1"/>
  <c r="K3740" i="1"/>
  <c r="K2852" i="1"/>
  <c r="K1975" i="1"/>
  <c r="K2789" i="1"/>
  <c r="K557" i="1"/>
  <c r="K3517" i="1"/>
  <c r="K1684" i="1"/>
  <c r="K2298" i="1"/>
  <c r="K1841" i="1"/>
  <c r="K3829" i="1"/>
  <c r="K1318" i="1"/>
  <c r="K3784" i="1"/>
  <c r="K3996" i="1"/>
  <c r="K2962" i="1"/>
  <c r="K3309" i="1"/>
  <c r="K2860" i="1"/>
  <c r="K2910" i="1"/>
  <c r="K3114" i="1"/>
  <c r="K988" i="1"/>
  <c r="K1003" i="1"/>
  <c r="K2509" i="1"/>
  <c r="K688" i="1"/>
  <c r="K3002" i="1"/>
  <c r="K388" i="1"/>
  <c r="K3892" i="1"/>
  <c r="K2543" i="1"/>
  <c r="K2809" i="1"/>
  <c r="K64" i="1"/>
  <c r="K3628" i="1"/>
  <c r="K2004" i="1"/>
  <c r="K2863" i="1"/>
  <c r="K3917" i="1"/>
  <c r="K3954" i="1"/>
  <c r="K1435" i="1"/>
  <c r="K623" i="1"/>
  <c r="K1019" i="1"/>
  <c r="K1275" i="1"/>
  <c r="K2597" i="1"/>
  <c r="K936" i="1"/>
  <c r="K2515" i="1"/>
  <c r="K2069" i="1"/>
  <c r="K620" i="1"/>
  <c r="K2519" i="1"/>
  <c r="K4746" i="1"/>
  <c r="K4231" i="1"/>
  <c r="K4045" i="1"/>
  <c r="K4301" i="1"/>
  <c r="K4806" i="1"/>
  <c r="K3927" i="1"/>
  <c r="K2280" i="1"/>
  <c r="K1347" i="1"/>
  <c r="K770" i="1"/>
  <c r="K146" i="1"/>
  <c r="K2239" i="1"/>
  <c r="K1258" i="1"/>
  <c r="K1951" i="1"/>
  <c r="K3520" i="1"/>
  <c r="K1930" i="1"/>
  <c r="K2292" i="1"/>
  <c r="K569" i="1"/>
  <c r="K3474" i="1"/>
  <c r="K2862" i="1"/>
  <c r="K2303" i="1"/>
  <c r="K1554" i="1"/>
  <c r="K2843" i="1"/>
  <c r="K3747" i="1"/>
  <c r="K142" i="1"/>
  <c r="K2217" i="1"/>
  <c r="K1555" i="1"/>
  <c r="K3410" i="1"/>
  <c r="K1011" i="1"/>
  <c r="K10" i="1"/>
  <c r="K598" i="1"/>
  <c r="K582" i="1"/>
  <c r="K1331" i="1"/>
  <c r="K1772" i="1"/>
  <c r="K1293" i="1"/>
  <c r="K3282" i="1"/>
  <c r="K2341" i="1"/>
  <c r="K3416" i="1"/>
  <c r="K265" i="1"/>
  <c r="K3165" i="1"/>
  <c r="K1047" i="1"/>
  <c r="K1132" i="1"/>
  <c r="K4405" i="1"/>
  <c r="K4130" i="1"/>
  <c r="K4073" i="1"/>
  <c r="K4174" i="1"/>
  <c r="K4621" i="1"/>
  <c r="K903" i="1"/>
  <c r="K2546" i="1"/>
  <c r="K3208" i="1"/>
  <c r="K417" i="1"/>
  <c r="K3732" i="1"/>
  <c r="K480" i="1"/>
  <c r="K195" i="1"/>
  <c r="K3912" i="1"/>
  <c r="K1922" i="1"/>
  <c r="K2132" i="1"/>
  <c r="K225" i="1"/>
  <c r="K3601" i="1"/>
  <c r="K1785" i="1"/>
  <c r="K3855" i="1"/>
  <c r="K1629" i="1"/>
  <c r="K2283" i="1"/>
  <c r="K1416" i="1"/>
  <c r="K2334" i="1"/>
  <c r="K30" i="1"/>
  <c r="K490" i="1"/>
  <c r="K1195" i="1"/>
  <c r="K2672" i="1"/>
  <c r="K3484" i="1"/>
  <c r="K3561" i="1"/>
  <c r="K2541" i="1"/>
  <c r="K3123" i="1"/>
  <c r="K2853" i="1"/>
  <c r="K3352" i="1"/>
  <c r="K2085" i="1"/>
  <c r="K3929" i="1"/>
  <c r="K2119" i="1"/>
  <c r="K744" i="1"/>
  <c r="K252" i="1"/>
  <c r="K1608" i="1"/>
  <c r="K3296" i="1"/>
  <c r="K2300" i="1"/>
  <c r="K2192" i="1"/>
  <c r="K1396" i="1"/>
  <c r="K3049" i="1"/>
  <c r="K1198" i="1"/>
  <c r="K2293" i="1"/>
  <c r="K3247" i="1"/>
  <c r="K1175" i="1"/>
  <c r="K1617" i="1"/>
  <c r="K344" i="1"/>
  <c r="K1356" i="1"/>
  <c r="K2995" i="1"/>
  <c r="K859" i="1"/>
  <c r="K3707" i="1"/>
  <c r="K232" i="1"/>
  <c r="K2689" i="1"/>
  <c r="K157" i="1"/>
  <c r="K3477" i="1"/>
  <c r="K3895" i="1"/>
  <c r="K2054" i="1"/>
  <c r="K3676" i="1"/>
  <c r="K2026" i="1"/>
  <c r="K2607" i="1"/>
  <c r="K3840" i="1"/>
  <c r="K1037" i="1"/>
  <c r="K13" i="1"/>
  <c r="K3046" i="1"/>
  <c r="K3318" i="1"/>
  <c r="K1647" i="1"/>
  <c r="K3394" i="1"/>
  <c r="K2472" i="1"/>
  <c r="K1770" i="1"/>
  <c r="K3240" i="1"/>
  <c r="K29" i="1"/>
  <c r="K3856" i="1"/>
  <c r="K984" i="1"/>
  <c r="K2030" i="1"/>
  <c r="K1698" i="1"/>
  <c r="K554" i="1"/>
  <c r="K1409" i="1"/>
  <c r="K3350" i="1"/>
  <c r="K3527" i="1"/>
  <c r="K1262" i="1"/>
  <c r="K2066" i="1"/>
  <c r="K3292" i="1"/>
  <c r="K278" i="1"/>
  <c r="K808" i="1"/>
  <c r="K42" i="1"/>
  <c r="K196" i="1"/>
  <c r="K1963" i="1"/>
  <c r="K3806" i="1"/>
  <c r="K147" i="1"/>
  <c r="K2983" i="1"/>
  <c r="K2748" i="1"/>
  <c r="K2761" i="1"/>
  <c r="K1730" i="1"/>
  <c r="K2503" i="1"/>
  <c r="K3683" i="1"/>
  <c r="K74" i="1"/>
  <c r="K2778" i="1"/>
  <c r="K3487" i="1"/>
  <c r="K1268" i="1"/>
  <c r="K994" i="1"/>
  <c r="K3576" i="1"/>
  <c r="K1973" i="1"/>
  <c r="K2530" i="1"/>
  <c r="K2360" i="1"/>
  <c r="K3534" i="1"/>
  <c r="K1213" i="1"/>
  <c r="K2429" i="1"/>
  <c r="K3870" i="1"/>
  <c r="K2432" i="1"/>
  <c r="K3443" i="1"/>
  <c r="K2000" i="1"/>
  <c r="K1393" i="1"/>
  <c r="K190" i="1"/>
  <c r="K1640" i="1"/>
  <c r="K902" i="1"/>
  <c r="K3862" i="1"/>
  <c r="K1931" i="1"/>
  <c r="K3343" i="1"/>
  <c r="K2679" i="1"/>
  <c r="K2436" i="1"/>
  <c r="K3593" i="1"/>
  <c r="K3626" i="1"/>
  <c r="K791" i="1"/>
  <c r="K3492" i="1"/>
  <c r="K2591" i="1"/>
  <c r="K3935" i="1"/>
  <c r="K1517" i="1"/>
  <c r="K1042" i="1"/>
  <c r="K939" i="1"/>
  <c r="K3515" i="1"/>
  <c r="K3767" i="1"/>
  <c r="K1104" i="1"/>
  <c r="K2019" i="1"/>
  <c r="K699" i="1"/>
  <c r="K2840" i="1"/>
  <c r="K2574" i="1"/>
  <c r="K3494" i="1"/>
  <c r="K444" i="1"/>
  <c r="K929" i="1"/>
  <c r="K2680" i="1"/>
  <c r="K1518" i="1"/>
  <c r="K3092" i="1"/>
  <c r="K880" i="1"/>
  <c r="K163" i="1"/>
  <c r="K2407" i="1"/>
  <c r="K246" i="1"/>
  <c r="K2466" i="1"/>
  <c r="K1021" i="1"/>
  <c r="K1908" i="1"/>
  <c r="K772" i="1"/>
  <c r="K1357" i="1"/>
  <c r="K3464" i="1"/>
  <c r="K2770" i="1"/>
  <c r="K3367" i="1"/>
  <c r="K790" i="1"/>
  <c r="K464" i="1"/>
  <c r="K3358" i="1"/>
  <c r="K3300" i="1"/>
  <c r="K3470" i="1"/>
  <c r="K3356" i="1"/>
  <c r="K3177" i="1"/>
  <c r="K3297" i="1"/>
  <c r="K2022" i="1"/>
  <c r="K1717" i="1"/>
  <c r="K843" i="1"/>
  <c r="K1010" i="1"/>
  <c r="K72" i="1"/>
  <c r="K2814" i="1"/>
  <c r="K875" i="1"/>
  <c r="K487" i="1"/>
  <c r="K599" i="1"/>
  <c r="K2476" i="1"/>
  <c r="K3644" i="1"/>
  <c r="K581" i="1"/>
  <c r="K872" i="1"/>
  <c r="K3404" i="1"/>
  <c r="K3586" i="1"/>
  <c r="K1364" i="1"/>
  <c r="K3753" i="1"/>
  <c r="K1856" i="1"/>
  <c r="K2028" i="1"/>
  <c r="K3015" i="1"/>
  <c r="K2813" i="1"/>
  <c r="K2601" i="1"/>
  <c r="K3516" i="1"/>
  <c r="K1413" i="1"/>
  <c r="K1536" i="1"/>
  <c r="K197" i="1"/>
  <c r="K3805" i="1"/>
  <c r="K1768" i="1"/>
  <c r="K1405" i="1"/>
  <c r="K4648" i="1"/>
  <c r="K4057" i="1"/>
  <c r="K3523" i="1"/>
  <c r="K2290" i="1"/>
  <c r="K3422" i="1"/>
  <c r="K1149" i="1"/>
  <c r="K2213" i="1"/>
  <c r="K2707" i="1"/>
  <c r="K3126" i="1"/>
  <c r="K254" i="1"/>
  <c r="K15" i="1"/>
  <c r="K103" i="1"/>
  <c r="K176" i="1"/>
  <c r="K765" i="1"/>
  <c r="K550" i="1"/>
  <c r="K1134" i="1"/>
  <c r="K2516" i="1"/>
  <c r="K2894" i="1"/>
  <c r="K3599" i="1"/>
  <c r="K955" i="1"/>
  <c r="K1694" i="1"/>
  <c r="K2225" i="1"/>
  <c r="K3029" i="1"/>
  <c r="K2445" i="1"/>
  <c r="K1750" i="1"/>
  <c r="K3462" i="1"/>
  <c r="K2825" i="1"/>
  <c r="K1706" i="1"/>
  <c r="K1390" i="1"/>
  <c r="K1266" i="1"/>
  <c r="K2041" i="1"/>
  <c r="K519" i="1"/>
  <c r="K3814" i="1"/>
  <c r="K1596" i="1"/>
  <c r="K2046" i="1"/>
  <c r="K90" i="1"/>
  <c r="K3979" i="1"/>
  <c r="K1046" i="1"/>
  <c r="K3403" i="1"/>
  <c r="K3538" i="1"/>
  <c r="K938" i="1"/>
  <c r="K2102" i="1"/>
  <c r="K3918" i="1"/>
  <c r="K2655" i="1"/>
  <c r="K358" i="1"/>
  <c r="K2996" i="1"/>
  <c r="K978" i="1"/>
  <c r="K878" i="1"/>
  <c r="K3871" i="1"/>
  <c r="K2912" i="1"/>
  <c r="K2698" i="1"/>
  <c r="K1652" i="1"/>
  <c r="K427" i="1"/>
  <c r="K1351" i="1"/>
  <c r="K1438" i="1"/>
  <c r="K917" i="1"/>
  <c r="K1505" i="1"/>
  <c r="K2695" i="1"/>
  <c r="K3754" i="1"/>
  <c r="K768" i="1"/>
  <c r="K2617" i="1"/>
  <c r="K1985" i="1"/>
  <c r="K3622" i="1"/>
  <c r="K2564" i="1"/>
  <c r="K3822" i="1"/>
  <c r="K3216" i="1"/>
  <c r="K870" i="1"/>
  <c r="K2575" i="1"/>
  <c r="K386" i="1"/>
  <c r="K621" i="1"/>
  <c r="K729" i="1"/>
  <c r="K568" i="1"/>
  <c r="K589" i="1"/>
  <c r="K3651" i="1"/>
  <c r="K3603" i="1"/>
  <c r="K2032" i="1"/>
  <c r="K2953" i="1"/>
  <c r="K3396" i="1"/>
  <c r="K1742" i="1"/>
  <c r="K3385" i="1"/>
  <c r="K2723" i="1"/>
  <c r="K97" i="1"/>
  <c r="K3580" i="1"/>
  <c r="K879" i="1"/>
  <c r="K2938" i="1"/>
  <c r="K1025" i="1"/>
  <c r="K499" i="1"/>
  <c r="K1443" i="1"/>
  <c r="K2952" i="1"/>
  <c r="K798" i="1"/>
  <c r="K3413" i="1"/>
  <c r="K638" i="1"/>
  <c r="K2994" i="1"/>
  <c r="K113" i="1"/>
  <c r="K3268" i="1"/>
  <c r="K1433" i="1"/>
  <c r="K331" i="1"/>
  <c r="K3041" i="1"/>
  <c r="K911" i="1"/>
  <c r="K193" i="1"/>
  <c r="K926" i="1"/>
  <c r="K1069" i="1"/>
  <c r="K954" i="1"/>
  <c r="K1624" i="1"/>
  <c r="K3475" i="1"/>
  <c r="K1800" i="1"/>
  <c r="K3472" i="1"/>
  <c r="K803" i="1"/>
  <c r="K2169" i="1"/>
  <c r="K2295" i="1"/>
  <c r="K2080" i="1"/>
  <c r="K999" i="1"/>
  <c r="K2844" i="1"/>
  <c r="K449" i="1"/>
  <c r="K1664" i="1"/>
  <c r="K1361" i="1"/>
  <c r="K1760" i="1"/>
  <c r="K523" i="1"/>
  <c r="K2750" i="1"/>
  <c r="K2989" i="1"/>
  <c r="K3476" i="1"/>
  <c r="K3617" i="1"/>
  <c r="K2670" i="1"/>
  <c r="K2850" i="1"/>
  <c r="K521" i="1"/>
  <c r="K1940" i="1"/>
  <c r="K297" i="1"/>
  <c r="K73" i="1"/>
  <c r="K1921" i="1"/>
  <c r="K1809" i="1"/>
  <c r="K466" i="1"/>
  <c r="K2259" i="1"/>
  <c r="K124" i="1"/>
  <c r="K3844" i="1"/>
  <c r="K2491" i="1"/>
  <c r="K2563" i="1"/>
  <c r="K2410" i="1"/>
  <c r="K2615" i="1"/>
  <c r="K1495" i="1"/>
  <c r="K2159" i="1"/>
  <c r="K3299" i="1"/>
  <c r="K2126" i="1"/>
  <c r="K3097" i="1"/>
  <c r="K2638" i="1"/>
  <c r="K2854" i="1"/>
  <c r="K763" i="1"/>
  <c r="K1676" i="1"/>
  <c r="K279" i="1"/>
  <c r="K2273" i="1"/>
  <c r="K3718" i="1"/>
  <c r="K2444" i="1"/>
  <c r="K4001" i="1"/>
  <c r="K661" i="1"/>
  <c r="K2415" i="1"/>
  <c r="K2307" i="1"/>
  <c r="K2661" i="1"/>
  <c r="K3187" i="1"/>
  <c r="K3121" i="1"/>
  <c r="K3139" i="1"/>
  <c r="K3017" i="1"/>
  <c r="K1420" i="1"/>
  <c r="K2270" i="1"/>
  <c r="K4660" i="1"/>
  <c r="K4309" i="1"/>
  <c r="K4395" i="1"/>
  <c r="K4188" i="1"/>
  <c r="K4026" i="1"/>
  <c r="K4091" i="1"/>
  <c r="K4051" i="1"/>
  <c r="K2755" i="1"/>
  <c r="K4086" i="1"/>
  <c r="K4505" i="1"/>
  <c r="K4840" i="1"/>
  <c r="K4599" i="1"/>
  <c r="K4546" i="1"/>
  <c r="K4268" i="1"/>
  <c r="K4421" i="1"/>
  <c r="K4187" i="1"/>
  <c r="K4252" i="1"/>
  <c r="K4137" i="1"/>
  <c r="K4624" i="1"/>
  <c r="K4790" i="1"/>
  <c r="K4194" i="1"/>
  <c r="K1497" i="1"/>
  <c r="K899" i="1"/>
  <c r="K2366" i="1"/>
  <c r="K1152" i="1"/>
  <c r="K1089" i="1"/>
  <c r="K888" i="1"/>
  <c r="K3402" i="1"/>
  <c r="K3861" i="1"/>
  <c r="K2993" i="1"/>
  <c r="K2142" i="1"/>
  <c r="K2439" i="1"/>
  <c r="K1994" i="1"/>
  <c r="K1876" i="1"/>
  <c r="K2646" i="1"/>
  <c r="K2884" i="1"/>
  <c r="K2208" i="1"/>
  <c r="K3695" i="1"/>
  <c r="K1295" i="1"/>
  <c r="K2045" i="1"/>
  <c r="K1488" i="1"/>
  <c r="K2135" i="1"/>
  <c r="K983" i="1"/>
  <c r="K2375" i="1"/>
  <c r="K3252" i="1"/>
  <c r="K1058" i="1"/>
  <c r="K2187" i="1"/>
  <c r="K531" i="1"/>
  <c r="K1321" i="1"/>
  <c r="K566" i="1"/>
  <c r="K1475" i="1"/>
  <c r="K3115" i="1"/>
  <c r="K154" i="1"/>
  <c r="K2459" i="1"/>
  <c r="K129" i="1"/>
  <c r="K409" i="1"/>
  <c r="K3233" i="1"/>
  <c r="K3025" i="1"/>
  <c r="K873" i="1"/>
  <c r="K5" i="1"/>
  <c r="K2522" i="1"/>
  <c r="K3230" i="1"/>
  <c r="K1028" i="1"/>
  <c r="K2980" i="1"/>
  <c r="K2430" i="1"/>
  <c r="K3882" i="1"/>
  <c r="K2242" i="1"/>
  <c r="K2265" i="1"/>
  <c r="K2369" i="1"/>
  <c r="K3891" i="1"/>
  <c r="K2255" i="1"/>
  <c r="K3189" i="1"/>
  <c r="K3063" i="1"/>
  <c r="K412" i="1"/>
  <c r="K712" i="1"/>
  <c r="K813" i="1"/>
  <c r="K2918" i="1"/>
  <c r="K1370" i="1"/>
  <c r="K1055" i="1"/>
  <c r="K2351" i="1"/>
  <c r="K290" i="1"/>
  <c r="K3837" i="1"/>
  <c r="K1969" i="1"/>
  <c r="K2228" i="1"/>
  <c r="K755" i="1"/>
  <c r="K2339" i="1"/>
  <c r="K2529" i="1"/>
  <c r="K2143" i="1"/>
  <c r="K1155" i="1"/>
  <c r="K3964" i="1"/>
  <c r="K1242" i="1"/>
  <c r="K3863" i="1"/>
  <c r="K594" i="1"/>
  <c r="K834" i="1"/>
  <c r="K3253" i="1"/>
  <c r="K2147" i="1"/>
  <c r="K1725" i="1"/>
  <c r="K2082" i="1"/>
  <c r="K883" i="1"/>
  <c r="K534" i="1"/>
  <c r="K3374" i="1"/>
  <c r="K1560" i="1"/>
  <c r="K1288" i="1"/>
  <c r="K3734" i="1"/>
  <c r="K863" i="1"/>
  <c r="K861" i="1"/>
  <c r="K260" i="1"/>
  <c r="K2773" i="1"/>
  <c r="K1648" i="1"/>
  <c r="K1735" i="1"/>
  <c r="K3893" i="1"/>
  <c r="K1599" i="1"/>
  <c r="K126" i="1"/>
  <c r="K538" i="1"/>
  <c r="K2951" i="1"/>
  <c r="K713" i="1"/>
  <c r="K1492" i="1"/>
  <c r="K564" i="1"/>
  <c r="K3117" i="1"/>
  <c r="K3302" i="1"/>
  <c r="K461" i="1"/>
  <c r="K1705" i="1"/>
  <c r="K1054" i="1"/>
  <c r="K1348" i="1"/>
  <c r="K1496" i="1"/>
  <c r="K3839" i="1"/>
  <c r="K2793" i="1"/>
  <c r="K2277" i="1"/>
  <c r="K1407" i="1"/>
  <c r="K127" i="1"/>
  <c r="K2731" i="1"/>
  <c r="K2845" i="1"/>
  <c r="K726" i="1"/>
  <c r="K1637" i="1"/>
  <c r="K1944" i="1"/>
  <c r="K2115" i="1"/>
  <c r="K2064" i="1"/>
  <c r="K85" i="1"/>
  <c r="K3956" i="1"/>
  <c r="K3408" i="1"/>
  <c r="K495" i="1"/>
  <c r="K2269" i="1"/>
  <c r="K1663" i="1"/>
  <c r="K194" i="1"/>
  <c r="K4770" i="1"/>
  <c r="K4724" i="1"/>
  <c r="K4893" i="1"/>
  <c r="K4376" i="1"/>
  <c r="K4609" i="1"/>
  <c r="K4294" i="1"/>
  <c r="K4415" i="1"/>
  <c r="K4124" i="1"/>
  <c r="K4529" i="1"/>
  <c r="K4008" i="1"/>
  <c r="K4407" i="1"/>
  <c r="K4640" i="1"/>
  <c r="K4146" i="1"/>
  <c r="G20" i="3"/>
  <c r="K2913" i="1"/>
  <c r="K1801" i="1"/>
  <c r="K3509" i="1"/>
  <c r="K3390" i="1"/>
  <c r="K168" i="1"/>
  <c r="K201" i="1"/>
  <c r="K2581" i="1"/>
  <c r="K710" i="1"/>
  <c r="K1110" i="1"/>
  <c r="K2340" i="1"/>
  <c r="K533" i="1"/>
  <c r="K3239" i="1"/>
  <c r="K1858" i="1"/>
  <c r="K493" i="1"/>
  <c r="K2480" i="1"/>
  <c r="E20" i="3"/>
  <c r="F20" i="3"/>
  <c r="K4253" i="1"/>
  <c r="K914" i="1"/>
  <c r="K2440" i="1"/>
  <c r="K2002" i="1"/>
  <c r="K1447" i="1"/>
  <c r="K2804" i="1"/>
  <c r="K3663" i="1"/>
  <c r="K3894" i="1"/>
  <c r="K1174" i="1"/>
  <c r="K1565" i="1"/>
  <c r="K443" i="1"/>
  <c r="K1545" i="1"/>
  <c r="K1116" i="1"/>
  <c r="K571" i="1"/>
  <c r="K578" i="1"/>
  <c r="K919" i="1"/>
  <c r="K400" i="1"/>
  <c r="K1454" i="1"/>
  <c r="K2805" i="1"/>
  <c r="K3315" i="1"/>
  <c r="K3120" i="1"/>
  <c r="K2076" i="1"/>
  <c r="K1385" i="1"/>
  <c r="K2768" i="1"/>
  <c r="K3777" i="1"/>
  <c r="K12" i="1"/>
  <c r="K405" i="1"/>
  <c r="K3974" i="1"/>
  <c r="K2024" i="1"/>
  <c r="K2478" i="1"/>
  <c r="K2675" i="1"/>
  <c r="K1616" i="1"/>
  <c r="K1748" i="1"/>
  <c r="K45" i="1"/>
  <c r="K1261" i="1"/>
  <c r="K3465" i="1"/>
  <c r="K3198" i="1"/>
  <c r="K3553" i="1"/>
  <c r="K3899" i="1"/>
  <c r="K1666" i="1"/>
  <c r="K3304" i="1"/>
  <c r="K214" i="1"/>
  <c r="K2199" i="1"/>
  <c r="K683" i="1"/>
  <c r="K3645" i="1"/>
  <c r="K3289" i="1"/>
  <c r="K2540" i="1"/>
  <c r="K4425" i="1"/>
  <c r="K4707" i="1"/>
  <c r="K4686" i="1"/>
  <c r="K4718" i="1"/>
  <c r="K4212" i="1"/>
  <c r="K4068" i="1"/>
  <c r="K4490" i="1"/>
  <c r="K4397" i="1"/>
  <c r="K4373" i="1"/>
  <c r="K4581" i="1"/>
  <c r="K4663" i="1"/>
  <c r="K4150" i="1"/>
  <c r="K4669" i="1"/>
  <c r="K4241" i="1"/>
  <c r="K4162" i="1"/>
  <c r="K4690" i="1"/>
  <c r="K4016" i="1"/>
  <c r="K4106" i="1"/>
  <c r="K4048" i="1"/>
  <c r="K4215" i="1"/>
  <c r="K4289" i="1"/>
  <c r="K4687" i="1"/>
  <c r="H20" i="3"/>
  <c r="K4244" i="1"/>
  <c r="K4296" i="1"/>
  <c r="K4308" i="1"/>
  <c r="K4486" i="1"/>
  <c r="K4171" i="1"/>
  <c r="K4149" i="1"/>
  <c r="K4168" i="1"/>
  <c r="K4359" i="1"/>
  <c r="K4006" i="1"/>
  <c r="K4758" i="1"/>
  <c r="K4726" i="1"/>
  <c r="K4492" i="1"/>
  <c r="K4003" i="1"/>
  <c r="K4794" i="1"/>
  <c r="K4510" i="1"/>
  <c r="K4457" i="1"/>
  <c r="K4576" i="1"/>
  <c r="K4322" i="1"/>
  <c r="K4266" i="1"/>
  <c r="K4898" i="1"/>
  <c r="K4088" i="1"/>
  <c r="K4156" i="1"/>
  <c r="K4458" i="1"/>
  <c r="K4341" i="1"/>
  <c r="K4670" i="1"/>
  <c r="K4757" i="1"/>
  <c r="K4475" i="1"/>
  <c r="K4509" i="1"/>
  <c r="K4455" i="1"/>
  <c r="K4370" i="1"/>
  <c r="K4496" i="1"/>
  <c r="K4410" i="1"/>
  <c r="K4798" i="1"/>
  <c r="K4017" i="1"/>
  <c r="K4095" i="1"/>
  <c r="K4865" i="1"/>
  <c r="K4992" i="1"/>
  <c r="K4692" i="1"/>
  <c r="K4776" i="1"/>
  <c r="K4847" i="1"/>
  <c r="K4618" i="1"/>
  <c r="K3577" i="1"/>
  <c r="K2009" i="1"/>
  <c r="K762" i="1"/>
  <c r="K1704" i="1"/>
  <c r="K3513" i="1"/>
  <c r="K1211" i="1"/>
  <c r="K2486" i="1"/>
  <c r="K1603" i="1"/>
  <c r="K3614" i="1"/>
  <c r="K1562" i="1"/>
  <c r="K2230" i="1"/>
  <c r="K1399" i="1"/>
  <c r="K1077" i="1"/>
  <c r="K397" i="1"/>
  <c r="K1642" i="1"/>
  <c r="K2635" i="1"/>
  <c r="K510" i="1"/>
  <c r="K2427" i="1"/>
  <c r="K3" i="1"/>
  <c r="K111" i="1"/>
  <c r="K3265" i="1"/>
  <c r="K1961" i="1"/>
  <c r="K2034" i="1"/>
  <c r="K337" i="1"/>
  <c r="K3008" i="1"/>
  <c r="K418" i="1"/>
  <c r="K3170" i="1"/>
  <c r="K1972" i="1"/>
  <c r="K49" i="1"/>
  <c r="K403" i="1"/>
  <c r="K1455" i="1"/>
  <c r="K1050" i="1"/>
  <c r="K3994" i="1"/>
  <c r="K2997" i="1"/>
  <c r="K121" i="1"/>
  <c r="K2859" i="1"/>
  <c r="K3461" i="1"/>
  <c r="K3903" i="1"/>
  <c r="K108" i="1"/>
  <c r="K2424" i="1"/>
  <c r="K1531" i="1"/>
  <c r="K3409" i="1"/>
  <c r="K565" i="1"/>
  <c r="K4283" i="1"/>
  <c r="K1421" i="1"/>
  <c r="K2643" i="1"/>
  <c r="K2906" i="1"/>
  <c r="K3681" i="1"/>
  <c r="K1990" i="1"/>
  <c r="K1368" i="1"/>
  <c r="K3624" i="1"/>
  <c r="K1083" i="1"/>
  <c r="K1061" i="1"/>
  <c r="K257" i="1"/>
  <c r="K952" i="1"/>
  <c r="K1423" i="1"/>
  <c r="K3813" i="1"/>
  <c r="K1233" i="1"/>
  <c r="K3133" i="1"/>
  <c r="K910" i="1"/>
  <c r="K3774" i="1"/>
  <c r="K3504" i="1"/>
  <c r="K1493" i="1"/>
  <c r="K3559" i="1"/>
  <c r="K1775" i="1"/>
  <c r="K2872" i="1"/>
  <c r="K2931" i="1"/>
  <c r="K547" i="1"/>
  <c r="K312" i="1"/>
  <c r="K1911" i="1"/>
  <c r="K3332" i="1"/>
  <c r="K1074" i="1"/>
  <c r="K2527" i="1"/>
  <c r="K3744" i="1"/>
  <c r="K3942" i="1"/>
  <c r="K59" i="1"/>
  <c r="K155" i="1"/>
  <c r="K1726" i="1"/>
  <c r="K2327" i="1"/>
  <c r="K701" i="1"/>
  <c r="K3762" i="1"/>
  <c r="K1615" i="1"/>
  <c r="K530" i="1"/>
  <c r="K1691" i="1"/>
  <c r="K3371" i="1"/>
  <c r="K150" i="1"/>
  <c r="K2165" i="1"/>
  <c r="K3564" i="1"/>
  <c r="K2084" i="1"/>
  <c r="K2393" i="1"/>
  <c r="K1363" i="1"/>
  <c r="K1306" i="1"/>
  <c r="K212" i="1"/>
  <c r="K1219" i="1"/>
  <c r="K3359" i="1"/>
  <c r="K829" i="1"/>
  <c r="K2632" i="1"/>
  <c r="K1164" i="1"/>
  <c r="K2412" i="1"/>
  <c r="K3040" i="1"/>
  <c r="K2786" i="1"/>
  <c r="K3544" i="1"/>
  <c r="K4572" i="1"/>
  <c r="K4838" i="1"/>
  <c r="K4655" i="1"/>
  <c r="K4793" i="1"/>
  <c r="K4180" i="1"/>
  <c r="K4152" i="1"/>
  <c r="K4739" i="1"/>
  <c r="K4588" i="1"/>
  <c r="K4751" i="1"/>
  <c r="K4141" i="1"/>
  <c r="K4218" i="1"/>
  <c r="K4593" i="1"/>
  <c r="K4676" i="1"/>
  <c r="K4524" i="1"/>
  <c r="K4607" i="1"/>
  <c r="K4067" i="1"/>
  <c r="K4084" i="1"/>
  <c r="K4125" i="1"/>
  <c r="K4080" i="1"/>
  <c r="K4522" i="1"/>
  <c r="K4465" i="1"/>
  <c r="K4186" i="1"/>
  <c r="K4856" i="1"/>
  <c r="K4094" i="1"/>
  <c r="K4034" i="1"/>
  <c r="K4584" i="1"/>
  <c r="K4020" i="1"/>
  <c r="K4135" i="1"/>
  <c r="K4402" i="1"/>
  <c r="K4451" i="1"/>
  <c r="K4063" i="1"/>
  <c r="K4120" i="1"/>
  <c r="K4336" i="1"/>
  <c r="K4437" i="1"/>
  <c r="K4849" i="1"/>
  <c r="K4564" i="1"/>
  <c r="K4910" i="1"/>
  <c r="K4901" i="1"/>
  <c r="K4507" i="1"/>
  <c r="K4851" i="1"/>
  <c r="K4979" i="1"/>
  <c r="K4961" i="1"/>
  <c r="K4923" i="1"/>
  <c r="K4928" i="1"/>
  <c r="K4982" i="1"/>
  <c r="K4782" i="1"/>
  <c r="K4748" i="1"/>
  <c r="K4792" i="1"/>
  <c r="K4742" i="1"/>
  <c r="K4859" i="1"/>
  <c r="K4814" i="1"/>
  <c r="K4845" i="1"/>
  <c r="K4973" i="1"/>
  <c r="K4911" i="1"/>
  <c r="K4733" i="1"/>
  <c r="K4708" i="1"/>
  <c r="K4752" i="1"/>
  <c r="K4887" i="1"/>
  <c r="K4885" i="1"/>
  <c r="K4986" i="1"/>
  <c r="K4716" i="1"/>
  <c r="K4831" i="1"/>
  <c r="K4850" i="1"/>
  <c r="K4915" i="1"/>
  <c r="K4990" i="1"/>
  <c r="K4868" i="1"/>
  <c r="K4933" i="1"/>
  <c r="K4912" i="1"/>
  <c r="K4734" i="1"/>
  <c r="K4737" i="1"/>
  <c r="K4608" i="1"/>
  <c r="K4804" i="1"/>
  <c r="K4903" i="1"/>
  <c r="K4942" i="1"/>
  <c r="K4857" i="1"/>
  <c r="K4957" i="1"/>
  <c r="K4842" i="1"/>
  <c r="K4816" i="1"/>
  <c r="K4566" i="1"/>
  <c r="K4710" i="1"/>
  <c r="K4989" i="1"/>
  <c r="K4620" i="1"/>
  <c r="K4981" i="1"/>
  <c r="K4596" i="1"/>
  <c r="K4916" i="1"/>
  <c r="K4959" i="1"/>
  <c r="K4820" i="1"/>
  <c r="K4694" i="1"/>
  <c r="K4526" i="1"/>
  <c r="K4674" i="1"/>
  <c r="K4884" i="1"/>
  <c r="K4771" i="1"/>
  <c r="K4962" i="1"/>
  <c r="K4705" i="1"/>
  <c r="K4644" i="1"/>
  <c r="K4855" i="1"/>
  <c r="K4969" i="1"/>
  <c r="K4713" i="1"/>
  <c r="K4732" i="1"/>
  <c r="K4664" i="1"/>
  <c r="K4683" i="1"/>
  <c r="K4778" i="1"/>
  <c r="K4571" i="1"/>
  <c r="K4516" i="1"/>
  <c r="K4952" i="1"/>
  <c r="K4657" i="1"/>
  <c r="K4099" i="1"/>
  <c r="K4537" i="1"/>
  <c r="K4684" i="1"/>
  <c r="K4319" i="1"/>
  <c r="K4539" i="1"/>
  <c r="K4024" i="1"/>
  <c r="K4340" i="1"/>
  <c r="K4535" i="1"/>
  <c r="K4185" i="1"/>
  <c r="K4521" i="1"/>
  <c r="K4295" i="1"/>
  <c r="K4332" i="1"/>
  <c r="K4906" i="1"/>
  <c r="K4321" i="1"/>
  <c r="K4432" i="1"/>
  <c r="K4104" i="1"/>
  <c r="K4261" i="1"/>
  <c r="K4298" i="1"/>
  <c r="K4267" i="1"/>
  <c r="K4390" i="1"/>
  <c r="K4230" i="1"/>
  <c r="K4328" i="1"/>
  <c r="K4316" i="1"/>
  <c r="K4821" i="1"/>
  <c r="K4333" i="1"/>
  <c r="K4302" i="1"/>
  <c r="K4873" i="1"/>
  <c r="K4384" i="1"/>
  <c r="K4072" i="1"/>
  <c r="K4881" i="1"/>
  <c r="K4366" i="1"/>
  <c r="K4380" i="1"/>
  <c r="K4256" i="1"/>
  <c r="K4966" i="1"/>
  <c r="K4532" i="1"/>
  <c r="K4487" i="1"/>
  <c r="K4055" i="1"/>
  <c r="K4371" i="1"/>
  <c r="K4635" i="1"/>
  <c r="K4221" i="1"/>
  <c r="K4036" i="1"/>
  <c r="K4132" i="1"/>
  <c r="K4722" i="1"/>
  <c r="K4013" i="1"/>
  <c r="K4922" i="1"/>
  <c r="K4632" i="1"/>
  <c r="K4563" i="1"/>
  <c r="K4921" i="1"/>
  <c r="K4949" i="1"/>
  <c r="K4614" i="1"/>
  <c r="K4166" i="1"/>
  <c r="K4190" i="1"/>
  <c r="K4896" i="1"/>
  <c r="K4602" i="1"/>
  <c r="K4677" i="1"/>
  <c r="K4538" i="1"/>
  <c r="K4895" i="1"/>
  <c r="K4589" i="1"/>
  <c r="K4342" i="1"/>
  <c r="K4234" i="1"/>
  <c r="K4041" i="1"/>
  <c r="K4042" i="1"/>
  <c r="K4165" i="1"/>
  <c r="K4239" i="1"/>
  <c r="K4151" i="1"/>
  <c r="K4866" i="1"/>
  <c r="K4844" i="1"/>
  <c r="K4645" i="1"/>
  <c r="K4022" i="1"/>
  <c r="K4179" i="1"/>
  <c r="K4701" i="1"/>
  <c r="K4344" i="1"/>
  <c r="K4464" i="1"/>
  <c r="K4601" i="1"/>
  <c r="K4222" i="1"/>
  <c r="K4634" i="1"/>
  <c r="K4706" i="1"/>
  <c r="K4661" i="1"/>
  <c r="K4711" i="1"/>
  <c r="K4270" i="1"/>
  <c r="K4391" i="1"/>
  <c r="K4273" i="1"/>
  <c r="K4138" i="1"/>
  <c r="K4625" i="1"/>
  <c r="K4348" i="1"/>
  <c r="K4985" i="1"/>
  <c r="K4062" i="1"/>
  <c r="K4991" i="1"/>
  <c r="K4822" i="1"/>
  <c r="K4011" i="1"/>
  <c r="K4131" i="1"/>
  <c r="K4178" i="1"/>
  <c r="K4929" i="1"/>
  <c r="K4826" i="1"/>
  <c r="K4834" i="1"/>
  <c r="K4650" i="1"/>
  <c r="K4555" i="1"/>
  <c r="K4765" i="1"/>
  <c r="K4763" i="1"/>
  <c r="K4549" i="1"/>
  <c r="K2387" i="1"/>
  <c r="K4325" i="1"/>
  <c r="K4467" i="1"/>
  <c r="K4232" i="1"/>
  <c r="K4335" i="1"/>
  <c r="K4958" i="1"/>
  <c r="K4324" i="1"/>
  <c r="K4299" i="1"/>
  <c r="K4471" i="1"/>
  <c r="K4363" i="1"/>
  <c r="K4240" i="1"/>
  <c r="K4195" i="1"/>
  <c r="K4155" i="1"/>
  <c r="K4181" i="1"/>
  <c r="K4310" i="1"/>
  <c r="K4642" i="1"/>
  <c r="K4018" i="1"/>
  <c r="K4173" i="1"/>
  <c r="K1087" i="1"/>
  <c r="K4052" i="1"/>
  <c r="K4032" i="1"/>
  <c r="K4975" i="1"/>
  <c r="K4338" i="1"/>
  <c r="K4493" i="1"/>
  <c r="K4365" i="1"/>
  <c r="K4170" i="1"/>
  <c r="K4211" i="1"/>
  <c r="K4075" i="1"/>
  <c r="K4251" i="1"/>
  <c r="K4533" i="1"/>
  <c r="K4286" i="1"/>
  <c r="K4413" i="1"/>
  <c r="K4263" i="1"/>
  <c r="K4399" i="1"/>
  <c r="K4096" i="1"/>
  <c r="K4426" i="1"/>
  <c r="K4641" i="1"/>
  <c r="K4245" i="1"/>
  <c r="K4291" i="1"/>
  <c r="K4105" i="1"/>
  <c r="K4204" i="1"/>
  <c r="K4591" i="1"/>
  <c r="K4691" i="1"/>
  <c r="K4544" i="1"/>
  <c r="K4128" i="1"/>
  <c r="K4815" i="1"/>
  <c r="K4378" i="1"/>
  <c r="K4938" i="1"/>
  <c r="K4012" i="1"/>
  <c r="K4779" i="1"/>
  <c r="K4408" i="1"/>
  <c r="K4541" i="1"/>
  <c r="K4703" i="1"/>
  <c r="K4271" i="1"/>
  <c r="K4832" i="1"/>
  <c r="K4740" i="1"/>
  <c r="K4176" i="1"/>
  <c r="K4213" i="1"/>
  <c r="K4097" i="1"/>
  <c r="K4941" i="1"/>
  <c r="K4536" i="1"/>
  <c r="K4401" i="1"/>
  <c r="K4264" i="1"/>
  <c r="K4015" i="1"/>
  <c r="K4983" i="1"/>
  <c r="K4074" i="1"/>
  <c r="K4764" i="1"/>
  <c r="K4977" i="1"/>
  <c r="K4100" i="1"/>
  <c r="K4971" i="1"/>
  <c r="K4784" i="1"/>
  <c r="K4209" i="1"/>
  <c r="K4250" i="1"/>
  <c r="K4972" i="1"/>
  <c r="K4920" i="1"/>
  <c r="K4984" i="1"/>
  <c r="K4709" i="1"/>
  <c r="K4172" i="1"/>
  <c r="K4009" i="1"/>
  <c r="K4092" i="1"/>
  <c r="K4777" i="1"/>
  <c r="K4517" i="1"/>
  <c r="K4616" i="1"/>
  <c r="K4436" i="1"/>
  <c r="K4947" i="1"/>
  <c r="K2461" i="1"/>
  <c r="K4574" i="1"/>
  <c r="K4481" i="1"/>
  <c r="K4548" i="1"/>
  <c r="K4235" i="1"/>
  <c r="K4035" i="1"/>
  <c r="K4118" i="1"/>
  <c r="K4848" i="1"/>
  <c r="K4313" i="1"/>
  <c r="K4224" i="1"/>
  <c r="K4199" i="1"/>
  <c r="K4078" i="1"/>
  <c r="K4872" i="1"/>
  <c r="K4935" i="1"/>
  <c r="K4807" i="1"/>
  <c r="K4550" i="1"/>
  <c r="K4208" i="1"/>
  <c r="K4031" i="1"/>
  <c r="K4169" i="1"/>
  <c r="K4049" i="1"/>
  <c r="K4043" i="1"/>
  <c r="K4260" i="1"/>
  <c r="K4123" i="1"/>
  <c r="K4527" i="1"/>
  <c r="K4167" i="1"/>
  <c r="K4119" i="1"/>
  <c r="K4161" i="1"/>
  <c r="K4326" i="1"/>
  <c r="K4175" i="1"/>
  <c r="K4448" i="1"/>
  <c r="K4154" i="1"/>
  <c r="K4647" i="1"/>
  <c r="K4238" i="1"/>
  <c r="K4491" i="1"/>
  <c r="K4304" i="1"/>
  <c r="K4610" i="1"/>
  <c r="K4039" i="1"/>
  <c r="K4905" i="1"/>
  <c r="K4431" i="1"/>
  <c r="K4246" i="1"/>
  <c r="K4282" i="1"/>
  <c r="K4197" i="1"/>
  <c r="K4184" i="1"/>
  <c r="K4385" i="1"/>
  <c r="K4780" i="1"/>
  <c r="K4846" i="1"/>
  <c r="K4081" i="1"/>
  <c r="K4255" i="1"/>
  <c r="K4021" i="1"/>
  <c r="K4061" i="1"/>
  <c r="K4314" i="1"/>
  <c r="K4182" i="1"/>
  <c r="K4163" i="1"/>
  <c r="K4262" i="1"/>
  <c r="K4315" i="1"/>
  <c r="K4626" i="1"/>
  <c r="K4201" i="1"/>
  <c r="K4409" i="1"/>
  <c r="K4177" i="1"/>
  <c r="K4228" i="1"/>
  <c r="K4871" i="1"/>
  <c r="K4065" i="1"/>
  <c r="K4463" i="1"/>
  <c r="K4103" i="1"/>
  <c r="K4275" i="1"/>
  <c r="K4504" i="1"/>
  <c r="K4469" i="1"/>
  <c r="K4047" i="1"/>
  <c r="K4367" i="1"/>
  <c r="K4127" i="1"/>
  <c r="K4007" i="1"/>
  <c r="K4050" i="1"/>
  <c r="K4087" i="1"/>
  <c r="K4429" i="1"/>
  <c r="K4046" i="1"/>
  <c r="K4254" i="1"/>
  <c r="K4249" i="1"/>
  <c r="K4014" i="1"/>
  <c r="K4225" i="1"/>
  <c r="K4444" i="1"/>
  <c r="K4066" i="1"/>
  <c r="K4129" i="1"/>
  <c r="K4277" i="1"/>
  <c r="K4357" i="1"/>
  <c r="K4488" i="1"/>
  <c r="K4082" i="1"/>
  <c r="K4145" i="1"/>
  <c r="K4497" i="1"/>
  <c r="K4258" i="1"/>
  <c r="K4446" i="1"/>
  <c r="K4637" i="1"/>
  <c r="K4005" i="1"/>
  <c r="K4801" i="1"/>
  <c r="K4117" i="1"/>
  <c r="K4144" i="1"/>
  <c r="K4824" i="1"/>
  <c r="K4025" i="1"/>
  <c r="K4019" i="1"/>
  <c r="K4453" i="1"/>
  <c r="K4352" i="1"/>
  <c r="K4392" i="1"/>
  <c r="K4466" i="1"/>
  <c r="K4375" i="1"/>
  <c r="K4334" i="1"/>
  <c r="K4354" i="1"/>
  <c r="K4368" i="1"/>
  <c r="K4511" i="1"/>
  <c r="K4110" i="1"/>
  <c r="K4387" i="1"/>
  <c r="K4482" i="1"/>
  <c r="K4210" i="1"/>
  <c r="K4587" i="1"/>
  <c r="K4136" i="1"/>
  <c r="K4108" i="1"/>
  <c r="K4442" i="1"/>
  <c r="K4023" i="1"/>
  <c r="K4306" i="1"/>
  <c r="K4064" i="1"/>
  <c r="K4028" i="1"/>
  <c r="K4441" i="1"/>
  <c r="K4383" i="1"/>
  <c r="K4054" i="1"/>
  <c r="K4586" i="1"/>
  <c r="K4351" i="1"/>
  <c r="K4102" i="1"/>
  <c r="K2437" i="1"/>
  <c r="K4424" i="1"/>
  <c r="K4346" i="1"/>
  <c r="K4027" i="1"/>
  <c r="K4214" i="1"/>
  <c r="K4220" i="1"/>
  <c r="K4382" i="1"/>
  <c r="K4462" i="1"/>
  <c r="K4269" i="1"/>
  <c r="K4386" i="1"/>
  <c r="K4030" i="1"/>
  <c r="K4248" i="1"/>
  <c r="K4434" i="1"/>
  <c r="K4337" i="1"/>
  <c r="K4329" i="1"/>
  <c r="K4189" i="1"/>
  <c r="K4330" i="1"/>
  <c r="K4237" i="1"/>
  <c r="K4143" i="1"/>
  <c r="K4192" i="1"/>
  <c r="K4183" i="1"/>
  <c r="K4116" i="1"/>
  <c r="K4288" i="1"/>
  <c r="K4494" i="1"/>
  <c r="K4364" i="1"/>
  <c r="K4076" i="1"/>
  <c r="K4418" i="1"/>
  <c r="K4498" i="1"/>
  <c r="K4287" i="1"/>
  <c r="K4417" i="1"/>
  <c r="K4800" i="1"/>
  <c r="K4445" i="1"/>
  <c r="K4472" i="1"/>
  <c r="K4053" i="1"/>
  <c r="K4233" i="1"/>
  <c r="K4552" i="1"/>
  <c r="K4460" i="1"/>
  <c r="K4140" i="1"/>
  <c r="K4754" i="1"/>
  <c r="K4272" i="1"/>
  <c r="K4317" i="1"/>
  <c r="K4656" i="1"/>
  <c r="K4107" i="1"/>
  <c r="K4148" i="1"/>
  <c r="K4685" i="1"/>
  <c r="K4659" i="1"/>
  <c r="K4470" i="1"/>
  <c r="K4954" i="1"/>
  <c r="K4761" i="1"/>
  <c r="K4894" i="1"/>
  <c r="K4880" i="1"/>
  <c r="K4693" i="1"/>
  <c r="K4908" i="1"/>
  <c r="K4159" i="1"/>
  <c r="K4578" i="1"/>
  <c r="K4307" i="1"/>
  <c r="K4477" i="1"/>
  <c r="K4109" i="1"/>
  <c r="K4513" i="1"/>
  <c r="K4393" i="1"/>
  <c r="K4741" i="1"/>
  <c r="K4060" i="1"/>
  <c r="K4098" i="1"/>
  <c r="K4950" i="1"/>
  <c r="K4937" i="1"/>
  <c r="K4932" i="1"/>
  <c r="K4863" i="1"/>
  <c r="K4861" i="1"/>
  <c r="K4786" i="1"/>
  <c r="K4755" i="1"/>
  <c r="K4931" i="1"/>
  <c r="K4760" i="1"/>
  <c r="K4809" i="1"/>
  <c r="K4943" i="1"/>
  <c r="K4965" i="1"/>
  <c r="K4652" i="1"/>
  <c r="K4888" i="1"/>
  <c r="K4617" i="1"/>
  <c r="K4623" i="1"/>
  <c r="K4948" i="1"/>
  <c r="K4697" i="1"/>
  <c r="K4483" i="1"/>
  <c r="K4219" i="1"/>
  <c r="K4040" i="1"/>
  <c r="K4590" i="1"/>
  <c r="K4285" i="1"/>
  <c r="K4279" i="1"/>
  <c r="K4101" i="1"/>
  <c r="K4362" i="1"/>
  <c r="K4416" i="1"/>
  <c r="K4200" i="1"/>
  <c r="K4193" i="1"/>
  <c r="K4433" i="1"/>
  <c r="K4226" i="1"/>
  <c r="K4600" i="1"/>
  <c r="K4122" i="1"/>
  <c r="K4396" i="1"/>
  <c r="K4499" i="1"/>
  <c r="K4274" i="1"/>
  <c r="K4257" i="1"/>
  <c r="K4394" i="1"/>
  <c r="K4862" i="1"/>
  <c r="K4290" i="1"/>
  <c r="K4744" i="1"/>
  <c r="K4198" i="1"/>
  <c r="K4292" i="1"/>
  <c r="K4217" i="1"/>
  <c r="K4508" i="1"/>
  <c r="K4044" i="1"/>
  <c r="K4612" i="1"/>
  <c r="K4797" i="1"/>
  <c r="K4925" i="1"/>
  <c r="K4878" i="1"/>
  <c r="K4919" i="1"/>
  <c r="K4560" i="1"/>
  <c r="K4534" i="1"/>
  <c r="K4603" i="1"/>
  <c r="K4766" i="1"/>
  <c r="K4704" i="1"/>
  <c r="K4867" i="1"/>
  <c r="K4604" i="1"/>
  <c r="K4562" i="1"/>
  <c r="K4802" i="1"/>
  <c r="K4819" i="1"/>
  <c r="K4721" i="1"/>
  <c r="K4519" i="1"/>
  <c r="K4914" i="1"/>
  <c r="K4940" i="1"/>
  <c r="K4518" i="1"/>
  <c r="K4681" i="1"/>
  <c r="K4545" i="1"/>
  <c r="K4665" i="1"/>
  <c r="K4839" i="1"/>
  <c r="K4813" i="1"/>
  <c r="K4745" i="1"/>
  <c r="K4774" i="1"/>
  <c r="K4643" i="1"/>
  <c r="K4595" i="1"/>
  <c r="K4970" i="1"/>
  <c r="K4830" i="1"/>
  <c r="K4870" i="1"/>
  <c r="K4678" i="1"/>
  <c r="K4900" i="1"/>
  <c r="K4963" i="1"/>
  <c r="K4668" i="1"/>
  <c r="K4613" i="1"/>
  <c r="K4543" i="1"/>
  <c r="K4767" i="1"/>
  <c r="K4577" i="1"/>
  <c r="K4672" i="1"/>
  <c r="K4864" i="1"/>
  <c r="K4795" i="1"/>
  <c r="K4818" i="1"/>
  <c r="K4803" i="1"/>
  <c r="K4619" i="1"/>
  <c r="K4728" i="1"/>
  <c r="K4756" i="1"/>
  <c r="K4559" i="1"/>
  <c r="K4649" i="1"/>
  <c r="K4892" i="1"/>
  <c r="K4671" i="1"/>
  <c r="K4580" i="1"/>
  <c r="K4561" i="1"/>
  <c r="K4583" i="1"/>
  <c r="K4629" i="1"/>
  <c r="K4876" i="1"/>
  <c r="K4759" i="1"/>
  <c r="K4622" i="1"/>
  <c r="K4666" i="1"/>
  <c r="K4799" i="1"/>
  <c r="K4575" i="1"/>
  <c r="K4775" i="1"/>
  <c r="K4720" i="1"/>
  <c r="K4837" i="1"/>
  <c r="K4827" i="1"/>
  <c r="K4853" i="1"/>
  <c r="K4688" i="1"/>
  <c r="K4646" i="1"/>
  <c r="K4882" i="1"/>
  <c r="K4597" i="1"/>
  <c r="K4829" i="1"/>
  <c r="K4967" i="1"/>
  <c r="K4852" i="1"/>
  <c r="K4953" i="1"/>
  <c r="K4573" i="1"/>
  <c r="K4926" i="1"/>
  <c r="K4662" i="1"/>
  <c r="K4719" i="1"/>
  <c r="K4772" i="1"/>
  <c r="K4858" i="1"/>
  <c r="K4909" i="1"/>
  <c r="K4796" i="1"/>
  <c r="K4951" i="1"/>
  <c r="K4789" i="1"/>
  <c r="K4696" i="1"/>
  <c r="K4568" i="1"/>
  <c r="K4698" i="1"/>
  <c r="K4825" i="1"/>
  <c r="K4750" i="1"/>
  <c r="K4689" i="1"/>
  <c r="K4769" i="1"/>
  <c r="K4860" i="1"/>
  <c r="K4904" i="1"/>
  <c r="K4651" i="1"/>
  <c r="K4567" i="1"/>
  <c r="K4592" i="1"/>
  <c r="K4725" i="1"/>
  <c r="K4924" i="1"/>
  <c r="K4585" i="1"/>
  <c r="K4680" i="1"/>
  <c r="K4841" i="1"/>
  <c r="K4523" i="1"/>
  <c r="K4811" i="1"/>
  <c r="K4773" i="1"/>
  <c r="K4823" i="1"/>
  <c r="K4353" i="1"/>
  <c r="K4147" i="1"/>
  <c r="K4974" i="1"/>
  <c r="K4944" i="1"/>
  <c r="K4886" i="1"/>
  <c r="K4449" i="1"/>
  <c r="K4033" i="1"/>
  <c r="K4113" i="1"/>
  <c r="K4699" i="1"/>
  <c r="K4202" i="1"/>
  <c r="K4259" i="1"/>
  <c r="K4093" i="1"/>
  <c r="K4207" i="1"/>
  <c r="K4787" i="1"/>
  <c r="K4565" i="1"/>
  <c r="K4420" i="1"/>
  <c r="K4069" i="1"/>
  <c r="K4611" i="1"/>
  <c r="K4530" i="1"/>
  <c r="K4443" i="1"/>
  <c r="K4374" i="1"/>
  <c r="K4196" i="1"/>
  <c r="K2550" i="1"/>
  <c r="K4406" i="1"/>
  <c r="K4730" i="1"/>
  <c r="K4960" i="1"/>
  <c r="K4843" i="1"/>
  <c r="K4936" i="1"/>
  <c r="K4059" i="1"/>
  <c r="K4297" i="1"/>
  <c r="K4139" i="1"/>
  <c r="K4879" i="1"/>
  <c r="K4090" i="1"/>
  <c r="K4205" i="1"/>
  <c r="K4070" i="1"/>
  <c r="K4874" i="1"/>
  <c r="K4476" i="1"/>
  <c r="K4356" i="1"/>
  <c r="K4276" i="1"/>
  <c r="K4503" i="1"/>
  <c r="K4627" i="1"/>
  <c r="K4479" i="1"/>
  <c r="K4639" i="1"/>
  <c r="K4682" i="1"/>
  <c r="K4891" i="1"/>
  <c r="K4714" i="1"/>
  <c r="K4312" i="1"/>
  <c r="K4350" i="1"/>
  <c r="K4582" i="1"/>
  <c r="K4430" i="1"/>
  <c r="K4037" i="1"/>
  <c r="K4955" i="1"/>
  <c r="K4675" i="1"/>
  <c r="K4300" i="1"/>
  <c r="K4345" i="1"/>
  <c r="K4946" i="1"/>
  <c r="K4085" i="1"/>
  <c r="K4071" i="1"/>
  <c r="K4320" i="1"/>
  <c r="K4412" i="1"/>
  <c r="K4398" i="1"/>
  <c r="K4083" i="1"/>
  <c r="K4411" i="1"/>
  <c r="K4355" i="1"/>
  <c r="K4327" i="1"/>
  <c r="K4265" i="1"/>
  <c r="K4594" i="1"/>
  <c r="K4729" i="1"/>
  <c r="K4379" i="1"/>
  <c r="K4358" i="1"/>
  <c r="K4547" i="1"/>
  <c r="K4788" i="1"/>
  <c r="K4987" i="1"/>
  <c r="K4988" i="1"/>
  <c r="K4500" i="1"/>
  <c r="K4738" i="1"/>
  <c r="K4723" i="1"/>
  <c r="K4280" i="1"/>
  <c r="K4293" i="1"/>
  <c r="K4934" i="1"/>
  <c r="K4227" i="1"/>
  <c r="K4134" i="1"/>
  <c r="K4419" i="1"/>
  <c r="K4615" i="1"/>
  <c r="K4667" i="1"/>
  <c r="K4191" i="1"/>
  <c r="K4229" i="1"/>
  <c r="K4968" i="1"/>
  <c r="K4414" i="1"/>
  <c r="K4700" i="1"/>
  <c r="K4164" i="1"/>
  <c r="K4828" i="1"/>
  <c r="K4439" i="1"/>
  <c r="K4242" i="1"/>
  <c r="K4343" i="1"/>
  <c r="K4360" i="1"/>
  <c r="K4605" i="1"/>
  <c r="K4440" i="1"/>
  <c r="K4089" i="1"/>
  <c r="K4501" i="1"/>
  <c r="K4570" i="1"/>
  <c r="K4520" i="1"/>
  <c r="K4142" i="1"/>
  <c r="K4495" i="1"/>
  <c r="K4369" i="1"/>
  <c r="K4702" i="1"/>
  <c r="K4569" i="1"/>
  <c r="K4381" i="1"/>
  <c r="K4554" i="1"/>
  <c r="K4400" i="1"/>
  <c r="K4556" i="1"/>
  <c r="K4749" i="1"/>
  <c r="K4978" i="1"/>
  <c r="K4930" i="1"/>
  <c r="K4899" i="1"/>
  <c r="K4808" i="1"/>
  <c r="K4628" i="1"/>
  <c r="K4785" i="1"/>
  <c r="K4747" i="1"/>
  <c r="K4281" i="1"/>
  <c r="K4423" i="1"/>
  <c r="K4278" i="1"/>
  <c r="K4835" i="1"/>
  <c r="K4727" i="1"/>
  <c r="K4004" i="1"/>
  <c r="K4133" i="1"/>
  <c r="K4311" i="1"/>
  <c r="K4489" i="1"/>
  <c r="K4331" i="1"/>
  <c r="K4243" i="1"/>
  <c r="K4077" i="1"/>
  <c r="K4303" i="1"/>
  <c r="K4502" i="1"/>
  <c r="K4939" i="1"/>
  <c r="K4631" i="1"/>
  <c r="K4388" i="1"/>
  <c r="K4917" i="1"/>
  <c r="K4918" i="1"/>
  <c r="K4783" i="1"/>
  <c r="K4768" i="1"/>
  <c r="K4121" i="1"/>
  <c r="K4474" i="1"/>
  <c r="K5001" i="1"/>
  <c r="K4993" i="1"/>
  <c r="K5000" i="1"/>
  <c r="K4994" i="1"/>
  <c r="K4999" i="1"/>
  <c r="K4998" i="1"/>
  <c r="K4997" i="1"/>
  <c r="K4996" i="1"/>
  <c r="K4995" i="1"/>
  <c r="K4339" i="1"/>
  <c r="K4435" i="1"/>
  <c r="K4956" i="1"/>
  <c r="K4514" i="1"/>
  <c r="K4673" i="1"/>
  <c r="K4531" i="1"/>
  <c r="K4890" i="1"/>
  <c r="K3278" i="1"/>
  <c r="K4349" i="1"/>
  <c r="K4157" i="1"/>
  <c r="K4712" i="1"/>
  <c r="K4875" i="1"/>
  <c r="K4964" i="1"/>
  <c r="K4869" i="1"/>
  <c r="K4427" i="1"/>
  <c r="K4456" i="1"/>
  <c r="K4636" i="1"/>
  <c r="K4557" i="1"/>
  <c r="K4897" i="1"/>
  <c r="K2592" i="1"/>
  <c r="K4158" i="1"/>
  <c r="K4038" i="1"/>
  <c r="K4512" i="1"/>
  <c r="K4976" i="1"/>
  <c r="K4913" i="1"/>
  <c r="K4889" i="1"/>
  <c r="K4558" i="1"/>
  <c r="K4115" i="1"/>
  <c r="K4743" i="1"/>
  <c r="K4810" i="1"/>
  <c r="K4606" i="1"/>
  <c r="K4247" i="1"/>
  <c r="K4361" i="1"/>
  <c r="K4485" i="1"/>
  <c r="K4735" i="1"/>
  <c r="K4731" i="1"/>
  <c r="K4805" i="1"/>
  <c r="K4736" i="1"/>
  <c r="K4447" i="1"/>
  <c r="K4372" i="1"/>
  <c r="K4653" i="1"/>
  <c r="K4452" i="1"/>
  <c r="K2500" i="1"/>
  <c r="K4216" i="1"/>
  <c r="K4305" i="1"/>
  <c r="K4902" i="1"/>
  <c r="K4817" i="1"/>
  <c r="K4945" i="1"/>
  <c r="K4403" i="1"/>
  <c r="K4450" i="1"/>
  <c r="K4630" i="1"/>
  <c r="K4542" i="1"/>
  <c r="K4812" i="1"/>
  <c r="K2589" i="1"/>
  <c r="K4112" i="1"/>
  <c r="K4160" i="1"/>
  <c r="K4506" i="1"/>
  <c r="K4883" i="1"/>
  <c r="K4907" i="1"/>
  <c r="K4877" i="1"/>
  <c r="K4203" i="1"/>
  <c r="K4389" i="1"/>
  <c r="K4528" i="1"/>
  <c r="K4484" i="1"/>
  <c r="K4111" i="1"/>
  <c r="K4695" i="1"/>
  <c r="K4633" i="1"/>
  <c r="K4781" i="1"/>
  <c r="K4438" i="1"/>
  <c r="K4762" i="1"/>
  <c r="K4854" i="1"/>
  <c r="K4791" i="1"/>
  <c r="K4515" i="1"/>
  <c r="K4478" i="1"/>
  <c r="K4658" i="1"/>
  <c r="K4598" i="1"/>
  <c r="K2421" i="1"/>
  <c r="K4079" i="1"/>
  <c r="K4461" i="1"/>
  <c r="K4553" i="1"/>
  <c r="K4753" i="1"/>
  <c r="K4153" i="1"/>
  <c r="K4459" i="1"/>
  <c r="K4540" i="1"/>
  <c r="K4473" i="1"/>
  <c r="K4480" i="1"/>
  <c r="K4836" i="1"/>
  <c r="K4980" i="1"/>
  <c r="K4833" i="1"/>
  <c r="K4377" i="1"/>
  <c r="K4525" i="1"/>
  <c r="K4715" i="1"/>
  <c r="K4717" i="1"/>
  <c r="K2" i="1"/>
  <c r="K2827" i="1" l="1"/>
  <c r="K2855" i="1"/>
  <c r="K1598" i="1"/>
  <c r="K1591" i="1"/>
  <c r="K1041" i="1"/>
  <c r="K989" i="1"/>
  <c r="K546" i="1"/>
  <c r="K1153" i="1"/>
  <c r="K3984" i="1"/>
  <c r="K1439" i="1"/>
  <c r="K2202" i="1"/>
  <c r="K2184" i="1"/>
  <c r="K1184" i="1"/>
  <c r="K2705" i="1"/>
  <c r="K3104" i="1"/>
  <c r="K814" i="1"/>
  <c r="K3336" i="1"/>
  <c r="K3236" i="1"/>
  <c r="K2474" i="1"/>
  <c r="K2744" i="1"/>
  <c r="K3926" i="1"/>
  <c r="K1912" i="1"/>
  <c r="K959" i="1"/>
  <c r="K1225" i="1"/>
  <c r="K1182" i="1"/>
  <c r="K2954" i="1"/>
  <c r="K2704" i="1"/>
  <c r="K1375" i="1"/>
  <c r="K1609" i="1"/>
  <c r="K160" i="1"/>
  <c r="K2479" i="1"/>
  <c r="K3541" i="1"/>
  <c r="K2714" i="1"/>
  <c r="K50" i="1"/>
  <c r="K1194" i="1"/>
  <c r="K860" i="1"/>
  <c r="K1469" i="1"/>
  <c r="K1649" i="1"/>
  <c r="K1919" i="1"/>
  <c r="K3447" i="1"/>
  <c r="K2483" i="1"/>
  <c r="K161" i="1"/>
  <c r="K3421" i="1"/>
  <c r="K435" i="1"/>
  <c r="K1109" i="1"/>
  <c r="K3078" i="1"/>
  <c r="K1243" i="1"/>
  <c r="K1452" i="1"/>
  <c r="K3061" i="1"/>
  <c r="K3535" i="1"/>
  <c r="K2388" i="1"/>
  <c r="K3011" i="1"/>
  <c r="K2821" i="1"/>
  <c r="K3036" i="1"/>
  <c r="K2402" i="1"/>
  <c r="K741" i="1"/>
  <c r="K1544" i="1"/>
  <c r="K3340" i="1"/>
  <c r="K363" i="1"/>
  <c r="K3919" i="1"/>
  <c r="K3499" i="1"/>
  <c r="K2627" i="1"/>
  <c r="K3228" i="1"/>
  <c r="K1740" i="1"/>
  <c r="K3355" i="1"/>
  <c r="K3162" i="1"/>
  <c r="K1880" i="1"/>
  <c r="K2458" i="1"/>
  <c r="K1113" i="1"/>
  <c r="K788" i="1"/>
  <c r="K3214" i="1"/>
  <c r="K2700" i="1"/>
  <c r="K2653" i="1"/>
  <c r="K2881" i="1"/>
  <c r="K1360" i="1"/>
  <c r="K1126" i="1"/>
  <c r="K2849" i="1"/>
  <c r="K1556" i="1"/>
  <c r="K1891" i="1"/>
  <c r="K1828" i="1"/>
  <c r="K1671" i="1"/>
  <c r="K761" i="1"/>
  <c r="K1900" i="1"/>
  <c r="K2179" i="1"/>
  <c r="K1630" i="1"/>
  <c r="K1477" i="1"/>
  <c r="K496" i="1"/>
  <c r="K3759" i="1"/>
  <c r="K1757" i="1"/>
  <c r="K1133" i="1"/>
  <c r="K1486" i="1"/>
  <c r="K3119" i="1"/>
  <c r="K3365" i="1"/>
  <c r="K2974" i="1"/>
  <c r="K705" i="1"/>
  <c r="K322" i="1"/>
  <c r="K3124" i="1"/>
  <c r="K1286" i="1"/>
  <c r="K3879" i="1"/>
  <c r="K3173" i="1"/>
  <c r="K1398" i="1"/>
  <c r="K3171" i="1"/>
  <c r="K282" i="1"/>
  <c r="K379" i="1"/>
  <c r="K1197" i="1"/>
  <c r="K3261" i="1"/>
  <c r="K3425" i="1"/>
  <c r="K2275" i="1"/>
  <c r="K1218" i="1"/>
  <c r="K231" i="1"/>
  <c r="K488" i="1"/>
  <c r="K551" i="1"/>
  <c r="K2889" i="1"/>
  <c r="K1333" i="1"/>
  <c r="K626" i="1"/>
  <c r="K164" i="1"/>
  <c r="K2624" i="1"/>
  <c r="K284" i="1"/>
  <c r="K38" i="1"/>
  <c r="K3731" i="1"/>
  <c r="K3522" i="1"/>
  <c r="K3038" i="1"/>
  <c r="K3224" i="1"/>
  <c r="K3226" i="1"/>
  <c r="K1700" i="1"/>
  <c r="K1117" i="1"/>
  <c r="K559" i="1"/>
  <c r="K867" i="1"/>
  <c r="K607" i="1"/>
  <c r="K3787" i="1"/>
  <c r="K2042" i="1"/>
  <c r="K2055" i="1"/>
  <c r="K681" i="1"/>
  <c r="K562" i="1"/>
  <c r="K178" i="1"/>
  <c r="K822" i="1"/>
  <c r="K573" i="1"/>
  <c r="K456" i="1"/>
  <c r="K1053" i="1"/>
  <c r="K749" i="1"/>
  <c r="K514" i="1"/>
  <c r="K2820" i="1"/>
  <c r="K732" i="1"/>
  <c r="K1783" i="1"/>
  <c r="K1456" i="1"/>
  <c r="K2795" i="1"/>
  <c r="K2928" i="1"/>
  <c r="K3728" i="1"/>
  <c r="K3342" i="1"/>
  <c r="K3262" i="1"/>
  <c r="K3180" i="1"/>
  <c r="K1722" i="1"/>
  <c r="K1334" i="1"/>
  <c r="K1033" i="1"/>
  <c r="K3306" i="1"/>
  <c r="K1579" i="1"/>
  <c r="K1299" i="1"/>
  <c r="K625" i="1"/>
  <c r="K2703" i="1"/>
  <c r="K2396" i="1"/>
  <c r="K895" i="1"/>
  <c r="K39" i="1"/>
  <c r="K3574" i="1"/>
  <c r="K1341" i="1"/>
  <c r="K1489" i="1"/>
  <c r="K1503" i="1"/>
  <c r="K1512" i="1"/>
  <c r="K3079" i="1"/>
  <c r="K1418" i="1"/>
  <c r="K2059" i="1"/>
  <c r="K1935" i="1"/>
  <c r="K748" i="1"/>
  <c r="K1125" i="1"/>
  <c r="K2511" i="1"/>
  <c r="K117" i="1"/>
  <c r="K3143" i="1"/>
  <c r="K491" i="1"/>
  <c r="K2605" i="1"/>
  <c r="K685" i="1"/>
  <c r="K3059" i="1"/>
  <c r="K839" i="1"/>
  <c r="K2206" i="1"/>
  <c r="K2145" i="1"/>
  <c r="K2823" i="1"/>
  <c r="K1907" i="1"/>
  <c r="K3178" i="1"/>
  <c r="K3149" i="1"/>
  <c r="K1016" i="1"/>
  <c r="K2781" i="1"/>
  <c r="K2551" i="1"/>
  <c r="K3135" i="1"/>
  <c r="K352" i="1"/>
  <c r="K3914" i="1"/>
  <c r="K826" i="1"/>
  <c r="K1448" i="1"/>
  <c r="K3066" i="1"/>
  <c r="K3791" i="1"/>
  <c r="K3129" i="1"/>
  <c r="K1761" i="1"/>
  <c r="K2586" i="1"/>
  <c r="K2150" i="1"/>
  <c r="K2162" i="1"/>
  <c r="K2926" i="1"/>
  <c r="K1031" i="1"/>
  <c r="K2905" i="1"/>
  <c r="K145" i="1"/>
  <c r="K450" i="1"/>
  <c r="K3058" i="1"/>
  <c r="K3093" i="1"/>
  <c r="K374" i="1"/>
  <c r="K130" i="1"/>
  <c r="K3237" i="1"/>
  <c r="K509" i="1"/>
  <c r="K993" i="1"/>
  <c r="K2329" i="1"/>
  <c r="K579" i="1"/>
  <c r="K548" i="1"/>
  <c r="K2083" i="1"/>
  <c r="K216" i="1"/>
  <c r="K395" i="1"/>
  <c r="K268" i="1"/>
  <c r="K1141" i="1"/>
  <c r="K2276" i="1"/>
  <c r="K1660" i="1"/>
  <c r="K2234" i="1"/>
  <c r="K2164" i="1"/>
  <c r="K2612" i="1"/>
  <c r="K3827" i="1"/>
  <c r="K659" i="1"/>
  <c r="K1057" i="1"/>
  <c r="K3411" i="1"/>
  <c r="K1868" i="1"/>
  <c r="K3206" i="1"/>
  <c r="K1000" i="1"/>
  <c r="K1524" i="1"/>
  <c r="K3854" i="1"/>
  <c r="K3248" i="1"/>
  <c r="K380" i="1"/>
  <c r="K92" i="1"/>
  <c r="K270" i="1"/>
  <c r="K1150" i="1"/>
  <c r="K2148" i="1"/>
  <c r="K2357" i="1"/>
  <c r="K3444" i="1"/>
  <c r="K1559" i="1"/>
  <c r="K1926" i="1"/>
  <c r="K478" i="1"/>
  <c r="K3489" i="1"/>
  <c r="K3081" i="1"/>
  <c r="K2381" i="1"/>
  <c r="K1966" i="1"/>
  <c r="K2893" i="1"/>
  <c r="K340" i="1"/>
  <c r="K2060" i="1"/>
  <c r="K2257" i="1"/>
  <c r="K2609" i="1"/>
  <c r="K3412" i="1"/>
  <c r="K2151" i="1"/>
  <c r="K1612" i="1"/>
  <c r="K99" i="1"/>
  <c r="K453" i="1"/>
  <c r="K2508" i="1"/>
  <c r="K3685" i="1"/>
  <c r="K296" i="1"/>
  <c r="K3802" i="1"/>
  <c r="K3089" i="1"/>
  <c r="K1824" i="1"/>
  <c r="K886" i="1"/>
  <c r="K3970" i="1"/>
  <c r="K32" i="1"/>
  <c r="K1494" i="1"/>
  <c r="K209" i="1"/>
  <c r="K3698" i="1"/>
  <c r="K1431" i="1"/>
  <c r="K2382" i="1"/>
  <c r="K1389" i="1"/>
  <c r="K498" i="1"/>
  <c r="K93" i="1"/>
  <c r="K1330" i="1"/>
  <c r="K3327" i="1"/>
  <c r="K1095" i="1"/>
  <c r="K2449" i="1"/>
  <c r="K2333" i="1"/>
  <c r="K2258" i="1"/>
  <c r="K2832" i="1"/>
  <c r="K2544" i="1"/>
  <c r="K440" i="1"/>
  <c r="K3345" i="1"/>
  <c r="K889" i="1"/>
  <c r="K2052" i="1"/>
  <c r="K633" i="1"/>
  <c r="K966" i="1"/>
  <c r="K1105" i="1"/>
  <c r="K2824" i="1"/>
  <c r="K1653" i="1"/>
  <c r="K2138" i="1"/>
  <c r="K3147" i="1"/>
  <c r="K3050" i="1"/>
  <c r="K1577" i="1"/>
  <c r="K1234" i="1"/>
  <c r="K1636" i="1"/>
  <c r="K1274" i="1"/>
  <c r="K1473" i="1"/>
  <c r="K336" i="1"/>
  <c r="K2645" i="1"/>
  <c r="K574" i="1"/>
  <c r="K180" i="1"/>
  <c r="K2086" i="1"/>
  <c r="K2548" i="1"/>
  <c r="K3274" i="1"/>
  <c r="K1849" i="1"/>
  <c r="K2316" i="1"/>
  <c r="K3629" i="1"/>
  <c r="K459" i="1"/>
  <c r="K306" i="1"/>
  <c r="K981" i="1"/>
  <c r="K965" i="1"/>
  <c r="K3587" i="1"/>
  <c r="K2487" i="1"/>
  <c r="K3151" i="1"/>
  <c r="K3055" i="1"/>
  <c r="K3521" i="1"/>
  <c r="K1553" i="1"/>
  <c r="K3284" i="1"/>
  <c r="K1539" i="1"/>
  <c r="K3086" i="1"/>
  <c r="K269" i="1"/>
  <c r="K882" i="1"/>
  <c r="K587" i="1"/>
  <c r="K1716" i="1"/>
  <c r="K3366" i="1"/>
  <c r="K522" i="1"/>
  <c r="K1325" i="1"/>
  <c r="K1595" i="1"/>
  <c r="K3096" i="1"/>
  <c r="K2496" i="1"/>
  <c r="K1350" i="1"/>
  <c r="K385" i="1"/>
  <c r="K2746" i="1"/>
  <c r="K1529" i="1"/>
  <c r="K2278" i="1"/>
  <c r="K2512" i="1"/>
  <c r="K2637" i="1"/>
  <c r="K166" i="1"/>
  <c r="K3672" i="1"/>
  <c r="K771" i="1"/>
  <c r="K3348" i="1"/>
  <c r="K2681" i="1"/>
  <c r="K9" i="1"/>
  <c r="K662" i="1"/>
  <c r="K3207" i="1"/>
  <c r="K3199" i="1"/>
  <c r="K1557" i="1"/>
  <c r="K2572" i="1"/>
  <c r="K78" i="1"/>
  <c r="K2539" i="1"/>
  <c r="K1859" i="1"/>
  <c r="K646" i="1"/>
  <c r="K1358" i="1"/>
  <c r="K299" i="1"/>
  <c r="K2174" i="1"/>
  <c r="K1897" i="1"/>
  <c r="K17" i="1"/>
  <c r="K603" i="1"/>
  <c r="K1587" i="1"/>
  <c r="K608" i="1"/>
  <c r="K2688" i="1"/>
  <c r="K430" i="1"/>
  <c r="K3325" i="1"/>
  <c r="K317" i="1"/>
  <c r="K947" i="1"/>
  <c r="K304" i="1"/>
  <c r="K894" i="1"/>
  <c r="K575" i="1"/>
  <c r="K1123" i="1"/>
  <c r="K1049" i="1"/>
  <c r="K802" i="1"/>
  <c r="K66" i="1"/>
  <c r="K552" i="1"/>
  <c r="K1002" i="1"/>
  <c r="K3468" i="1"/>
  <c r="K3876" i="1"/>
  <c r="K634" i="1"/>
  <c r="K2836" i="1"/>
  <c r="K1029" i="1"/>
  <c r="K229" i="1"/>
  <c r="K674" i="1"/>
  <c r="K723" i="1"/>
  <c r="K2554" i="1"/>
  <c r="K1953" i="1"/>
  <c r="K2374" i="1"/>
  <c r="K1855" i="1"/>
  <c r="K2172" i="1"/>
  <c r="K1432" i="1"/>
  <c r="K695" i="1"/>
  <c r="K3001" i="1"/>
  <c r="K392" i="1"/>
  <c r="K2168" i="1"/>
  <c r="K3497" i="1"/>
  <c r="K1514" i="1"/>
  <c r="K1078" i="1"/>
  <c r="K1383" i="1"/>
  <c r="K3469" i="1"/>
  <c r="K3320" i="1"/>
  <c r="K526" i="1"/>
  <c r="K70" i="1"/>
  <c r="K3714" i="1"/>
  <c r="K935" i="1"/>
  <c r="K2279" i="1"/>
  <c r="K2326" i="1"/>
  <c r="K2614" i="1"/>
  <c r="K3203" i="1"/>
  <c r="K2196" i="1"/>
  <c r="K1124" i="1"/>
  <c r="K1583" i="1"/>
  <c r="K2722" i="1"/>
  <c r="K2671" i="1"/>
  <c r="K210" i="1"/>
  <c r="K424" i="1"/>
  <c r="K946" i="1"/>
  <c r="K2644" i="1"/>
  <c r="K3668" i="1"/>
  <c r="K3546" i="1"/>
  <c r="K789" i="1"/>
  <c r="K3852" i="1"/>
  <c r="K1324" i="1"/>
  <c r="K3034" i="1"/>
  <c r="K2390" i="1"/>
  <c r="K3225" i="1"/>
  <c r="K1147" i="1"/>
  <c r="K2916" i="1"/>
  <c r="K189" i="1"/>
  <c r="K53" i="1"/>
  <c r="K1138" i="1"/>
  <c r="K3042" i="1"/>
  <c r="K795" i="1"/>
  <c r="K1400" i="1"/>
  <c r="K3344" i="1"/>
  <c r="K2569" i="1"/>
  <c r="K3820" i="1"/>
  <c r="K758" i="1"/>
  <c r="K3014" i="1"/>
  <c r="K3249" i="1"/>
  <c r="K3067" i="1"/>
  <c r="K669" i="1"/>
  <c r="K3692" i="1"/>
  <c r="K3031" i="1"/>
  <c r="K69" i="1"/>
  <c r="K1881" i="1"/>
  <c r="K2829" i="1"/>
  <c r="K102" i="1"/>
  <c r="K1143" i="1"/>
  <c r="K1137" i="1"/>
  <c r="K714" i="1"/>
  <c r="K348" i="1"/>
  <c r="K934" i="1"/>
  <c r="K187" i="1"/>
  <c r="K462" i="1"/>
  <c r="K852" i="1"/>
  <c r="K1121" i="1"/>
  <c r="K280" i="1"/>
  <c r="K897" i="1"/>
  <c r="K785" i="1"/>
  <c r="K472" i="1"/>
  <c r="K923" i="1"/>
  <c r="K1185" i="1"/>
  <c r="K2886" i="1"/>
  <c r="K2869" i="1"/>
  <c r="K2833" i="1"/>
  <c r="K2317" i="1"/>
  <c r="K2101" i="1"/>
  <c r="K2922" i="1"/>
  <c r="K2495" i="1"/>
  <c r="K3071" i="1"/>
  <c r="K1144" i="1"/>
  <c r="K474" i="1"/>
  <c r="K913" i="1"/>
  <c r="K1096" i="1"/>
  <c r="K179" i="1"/>
  <c r="K3502" i="1"/>
  <c r="K2016" i="1"/>
  <c r="K3976" i="1"/>
  <c r="K1257" i="1"/>
  <c r="K1209" i="1"/>
  <c r="K3194" i="1"/>
  <c r="K3583" i="1"/>
  <c r="K2488" i="1"/>
  <c r="K1983" i="1"/>
  <c r="K3156" i="1"/>
  <c r="K2898" i="1"/>
  <c r="K4002" i="1"/>
  <c r="K1980" i="1"/>
  <c r="K3896" i="1"/>
  <c r="K2568" i="1"/>
  <c r="K2991" i="1"/>
  <c r="K1189" i="1"/>
  <c r="K2532" i="1"/>
  <c r="K3354" i="1"/>
  <c r="K3070" i="1"/>
  <c r="K1252" i="1"/>
  <c r="K1572" i="1"/>
  <c r="K2118" i="1"/>
  <c r="K3542" i="1"/>
  <c r="K1410" i="1"/>
  <c r="K1971" i="1"/>
  <c r="K1533" i="1"/>
  <c r="K2146" i="1"/>
  <c r="K3479" i="1"/>
  <c r="K3652" i="1"/>
  <c r="K2103" i="1"/>
  <c r="K3530" i="1"/>
  <c r="K2053" i="1"/>
  <c r="K2301" i="1"/>
  <c r="K2578" i="1"/>
  <c r="K3323" i="1"/>
  <c r="K1614" i="1"/>
  <c r="K1550" i="1"/>
  <c r="K1472" i="1"/>
  <c r="K3163" i="1"/>
  <c r="K3841" i="1"/>
  <c r="K3943" i="1"/>
  <c r="K2201" i="1"/>
  <c r="K2985" i="1"/>
  <c r="K2693" i="1"/>
  <c r="K2404" i="1"/>
  <c r="K1538" i="1"/>
  <c r="K2313" i="1"/>
  <c r="K3004" i="1"/>
  <c r="K2685" i="1"/>
  <c r="K3415" i="1"/>
  <c r="K2420" i="1"/>
  <c r="K2899" i="1"/>
  <c r="K2874" i="1"/>
  <c r="K2007" i="1"/>
  <c r="K1631" i="1"/>
  <c r="K3245" i="1"/>
  <c r="K2238" i="1"/>
  <c r="K3172" i="1"/>
  <c r="K1352" i="1"/>
  <c r="K2252" i="1"/>
  <c r="K3424" i="1"/>
  <c r="K2012" i="1"/>
  <c r="K3426" i="1"/>
  <c r="K2794" i="1"/>
  <c r="K1388" i="1"/>
  <c r="K3192" i="1"/>
  <c r="K3962" i="1"/>
  <c r="K1575" i="1"/>
  <c r="K3418" i="1"/>
  <c r="K2942" i="1"/>
  <c r="K1315" i="1"/>
  <c r="K3372" i="1"/>
  <c r="K1879" i="1"/>
  <c r="K2738" i="1"/>
  <c r="K3897" i="1"/>
  <c r="K1594" i="1"/>
  <c r="K2749" i="1"/>
  <c r="K1345" i="1"/>
  <c r="K1285" i="1"/>
  <c r="K3851" i="1"/>
  <c r="K3691" i="1"/>
  <c r="K3438" i="1"/>
  <c r="K2941" i="1"/>
  <c r="K3136" i="1"/>
  <c r="K2641" i="1"/>
  <c r="K3080" i="1"/>
  <c r="K1273" i="1"/>
  <c r="K2924" i="1"/>
  <c r="K3632" i="1"/>
  <c r="K3648" i="1"/>
  <c r="K3307" i="1"/>
  <c r="K1934" i="1"/>
  <c r="K3259" i="1"/>
  <c r="K3433" i="1"/>
  <c r="K1349" i="1"/>
  <c r="K3997" i="1"/>
  <c r="K1173" i="1"/>
  <c r="K1835" i="1"/>
  <c r="K3853" i="1"/>
  <c r="K3019" i="1"/>
  <c r="K1212" i="1"/>
  <c r="K3875" i="1"/>
  <c r="K2494" i="1"/>
  <c r="K1745" i="1"/>
  <c r="K2933" i="1"/>
  <c r="K3953" i="1"/>
  <c r="K2783" i="1"/>
  <c r="K1790" i="1"/>
  <c r="K3191" i="1"/>
  <c r="K3250" i="1"/>
  <c r="K2662" i="1"/>
  <c r="K3113" i="1"/>
  <c r="K1765" i="1"/>
  <c r="K3606" i="1"/>
  <c r="K2373" i="1"/>
  <c r="K1878" i="1"/>
  <c r="K1619" i="1"/>
  <c r="K1656" i="1"/>
  <c r="K1259" i="1"/>
  <c r="K3758" i="1"/>
  <c r="K2492" i="1"/>
  <c r="K1425" i="1"/>
  <c r="K2647" i="1"/>
  <c r="K1787" i="1"/>
  <c r="K2915" i="1"/>
  <c r="K2552" i="1"/>
  <c r="K1744" i="1"/>
  <c r="K2828" i="1"/>
  <c r="K3699" i="1"/>
  <c r="K1854" i="1"/>
  <c r="K1707" i="1"/>
  <c r="K1958" i="1"/>
  <c r="K3186" i="1"/>
  <c r="K1440" i="1"/>
  <c r="K1569" i="1"/>
  <c r="K1543" i="1"/>
  <c r="K3082" i="1"/>
  <c r="K1592" i="1"/>
  <c r="K3642" i="1"/>
  <c r="K3706" i="1"/>
  <c r="K2122" i="1"/>
  <c r="K2866" i="1"/>
  <c r="K2957" i="1"/>
  <c r="K3543" i="1"/>
  <c r="K2214" i="1"/>
  <c r="K1246" i="1"/>
  <c r="K1964" i="1"/>
  <c r="K3051" i="1"/>
  <c r="K3110" i="1"/>
  <c r="K2959" i="1"/>
  <c r="K1644" i="1"/>
  <c r="K3454" i="1"/>
  <c r="K1335" i="1"/>
  <c r="K1316" i="1"/>
  <c r="K2182" i="1"/>
  <c r="K3062" i="1"/>
  <c r="K3532" i="1"/>
  <c r="K1773" i="1"/>
  <c r="K2057" i="1"/>
  <c r="K3154" i="1"/>
  <c r="K2717" i="1"/>
  <c r="K2247" i="1"/>
  <c r="K2211" i="1"/>
  <c r="K1692" i="1"/>
  <c r="K3455" i="1"/>
  <c r="K1451" i="1"/>
  <c r="K1313" i="1"/>
  <c r="K2621" i="1"/>
  <c r="K26" i="1"/>
  <c r="K1320" i="1"/>
  <c r="K891" i="1"/>
  <c r="K372" i="1"/>
  <c r="K3920" i="1"/>
  <c r="K3283" i="1"/>
  <c r="K3033" i="1"/>
  <c r="K1254" i="1"/>
  <c r="K2808" i="1"/>
  <c r="K3217" i="1"/>
  <c r="K3161" i="1"/>
  <c r="K2603" i="1"/>
  <c r="K2062" i="1"/>
  <c r="K451" i="1"/>
  <c r="K2241" i="1"/>
  <c r="K2725" i="1"/>
  <c r="K118" i="1"/>
  <c r="K2775" i="1"/>
  <c r="K1837" i="1"/>
  <c r="K2425" i="1"/>
  <c r="K3570" i="1"/>
  <c r="K3341" i="1"/>
  <c r="K2356" i="1"/>
  <c r="K1280" i="1"/>
  <c r="K2585" i="1"/>
  <c r="K980" i="1"/>
  <c r="K1686" i="1"/>
  <c r="K240" i="1"/>
  <c r="K2792" i="1"/>
  <c r="K1314" i="1"/>
  <c r="K2446" i="1"/>
  <c r="K693" i="1"/>
  <c r="K1130" i="1"/>
  <c r="K2389" i="1"/>
  <c r="K2455" i="1"/>
  <c r="K351" i="1"/>
  <c r="K943" i="1"/>
  <c r="K2456" i="1"/>
  <c r="K1429" i="1"/>
  <c r="K3459" i="1"/>
  <c r="K2260" i="1"/>
  <c r="K3828" i="1"/>
  <c r="K2073" i="1"/>
  <c r="K679" i="1"/>
  <c r="K3665" i="1"/>
  <c r="K622" i="1"/>
  <c r="K1803" i="1"/>
  <c r="K1776" i="1"/>
  <c r="K1168" i="1"/>
  <c r="K3285" i="1"/>
  <c r="K2945" i="1"/>
  <c r="K1682" i="1"/>
  <c r="K3540" i="1"/>
  <c r="K3923" i="1"/>
  <c r="K1670" i="1"/>
  <c r="K2134" i="1"/>
  <c r="K136" i="1"/>
  <c r="K3845" i="1"/>
  <c r="K3441" i="1"/>
  <c r="K2058" i="1"/>
  <c r="K2287" i="1"/>
  <c r="K128" i="1"/>
  <c r="K3184" i="1"/>
  <c r="K1960" i="1"/>
  <c r="K2245" i="1"/>
  <c r="K1223" i="1"/>
  <c r="K1877" i="1"/>
  <c r="K2099" i="1"/>
  <c r="K774" i="1"/>
  <c r="K415" i="1"/>
  <c r="K205" i="1"/>
  <c r="K54" i="1"/>
  <c r="K2096" i="1"/>
  <c r="K854" i="1"/>
  <c r="K855" i="1"/>
  <c r="K165" i="1"/>
  <c r="K890" i="1"/>
  <c r="K3890" i="1"/>
  <c r="K823" i="1"/>
  <c r="K1376" i="1"/>
  <c r="K995" i="1"/>
  <c r="K1526" i="1"/>
  <c r="K2378" i="1"/>
  <c r="K3886" i="1"/>
  <c r="K2766" i="1"/>
  <c r="K847" i="1"/>
  <c r="K6" i="1"/>
  <c r="K787" i="1"/>
  <c r="K507" i="1"/>
  <c r="K707" i="1"/>
  <c r="K3145" i="1"/>
  <c r="K2691" i="1"/>
  <c r="K494" i="1"/>
  <c r="K3370" i="1"/>
  <c r="K463" i="1"/>
  <c r="K1005" i="1"/>
  <c r="K1857" i="1"/>
  <c r="K3414" i="1"/>
  <c r="K1782" i="1"/>
  <c r="K1573" i="1"/>
  <c r="K2193" i="1"/>
  <c r="K2302" i="1"/>
  <c r="K2475" i="1"/>
  <c r="K2403" i="1"/>
  <c r="K3686" i="1"/>
  <c r="K33" i="1"/>
  <c r="K2864" i="1"/>
  <c r="K2923" i="1"/>
  <c r="K2311" i="1"/>
  <c r="K1007" i="1"/>
  <c r="K2499" i="1"/>
  <c r="K2345" i="1"/>
  <c r="K2284" i="1"/>
  <c r="K831" i="1"/>
  <c r="K2123" i="1"/>
  <c r="K1623" i="1"/>
  <c r="K840" i="1"/>
  <c r="K3157" i="1"/>
  <c r="K224" i="1"/>
  <c r="K2944" i="1"/>
  <c r="K2760" i="1"/>
  <c r="K2567" i="1"/>
  <c r="K931" i="1"/>
  <c r="K3751" i="1"/>
  <c r="K515" i="1"/>
  <c r="K517" i="1"/>
  <c r="K3766" i="1"/>
  <c r="K2876" i="1"/>
  <c r="K172" i="1"/>
  <c r="K2737" i="1"/>
  <c r="K3690" i="1"/>
  <c r="K3905" i="1"/>
  <c r="K3329" i="1"/>
  <c r="K2736" i="1"/>
  <c r="K1478" i="1"/>
  <c r="K1024" i="1"/>
  <c r="K3381" i="1"/>
  <c r="K3243" i="1"/>
  <c r="K3197" i="1"/>
  <c r="K3431" i="1"/>
  <c r="K3833" i="1"/>
  <c r="K1241" i="1"/>
  <c r="K3511" i="1"/>
  <c r="K944" i="1"/>
  <c r="K2741" i="1"/>
  <c r="K2362" i="1"/>
  <c r="K2318" i="1"/>
  <c r="K83" i="1"/>
  <c r="K2347" i="1"/>
  <c r="K3495" i="1"/>
  <c r="K3736" i="1"/>
  <c r="K114" i="1"/>
  <c r="K144" i="1"/>
  <c r="K2133" i="1"/>
  <c r="K1312" i="1"/>
  <c r="K1380" i="1"/>
  <c r="K393" i="1"/>
  <c r="K2842" i="1"/>
  <c r="K2610" i="1"/>
  <c r="K382" i="1"/>
  <c r="K89" i="1"/>
  <c r="K1909" i="1"/>
  <c r="K3680" i="1"/>
  <c r="K901" i="1"/>
  <c r="K555" i="1"/>
  <c r="K556" i="1"/>
  <c r="K3955" i="1"/>
  <c r="K3346" i="1"/>
  <c r="K524" i="1"/>
  <c r="K655" i="1"/>
  <c r="K2719" i="1"/>
  <c r="K921" i="1"/>
  <c r="K2838" i="1"/>
  <c r="K1978" i="1"/>
  <c r="K3185" i="1"/>
  <c r="K2560" i="1"/>
  <c r="K3452" i="1"/>
  <c r="K1255" i="1"/>
  <c r="K3486" i="1"/>
  <c r="K905" i="1"/>
  <c r="K3193" i="1"/>
  <c r="K1546" i="1"/>
  <c r="K2033" i="1"/>
  <c r="K2969" i="1"/>
  <c r="K2857" i="1"/>
  <c r="K86" i="1"/>
  <c r="K3436" i="1"/>
  <c r="K3258" i="1"/>
  <c r="K1269" i="1"/>
  <c r="K2934" i="1"/>
  <c r="K1840" i="1"/>
  <c r="K2465" i="1"/>
  <c r="K950" i="1"/>
  <c r="K327" i="1"/>
  <c r="K2308" i="1"/>
  <c r="K2742" i="1"/>
  <c r="K1203" i="1"/>
  <c r="K2131" i="1"/>
  <c r="K1247" i="1"/>
  <c r="K1613" i="1"/>
  <c r="K120" i="1"/>
  <c r="K2713" i="1"/>
  <c r="K783" i="1"/>
  <c r="K2281" i="1"/>
  <c r="K2577" i="1"/>
  <c r="K3182" i="1"/>
  <c r="K1845" i="1"/>
  <c r="K98" i="1"/>
  <c r="K529" i="1"/>
  <c r="K361" i="1"/>
  <c r="K3585" i="1"/>
  <c r="K2629" i="1"/>
  <c r="K256" i="1"/>
  <c r="K3963" i="1"/>
  <c r="K1895" i="1"/>
  <c r="K1450" i="1"/>
  <c r="K134" i="1"/>
  <c r="K51" i="1"/>
  <c r="K2109" i="1"/>
  <c r="K2463" i="1"/>
  <c r="K3528" i="1"/>
  <c r="K1582" i="1"/>
  <c r="K535" i="1"/>
  <c r="K1220" i="1"/>
  <c r="K601" i="1"/>
  <c r="K2153" i="1"/>
  <c r="K777" i="1"/>
  <c r="K3763" i="1"/>
  <c r="K3437" i="1"/>
  <c r="K1484" i="1"/>
  <c r="K3768" i="1"/>
  <c r="K2955" i="1"/>
  <c r="K2061" i="1"/>
  <c r="K3671" i="1"/>
  <c r="K139" i="1"/>
  <c r="K871" i="1"/>
  <c r="K1070" i="1"/>
  <c r="K2986" i="1"/>
  <c r="K2065" i="1"/>
  <c r="K2299" i="1"/>
  <c r="K3708" i="1"/>
  <c r="K2325" i="1"/>
  <c r="K560" i="1"/>
  <c r="K1718" i="1"/>
  <c r="K3451" i="1"/>
  <c r="K3221" i="1"/>
  <c r="K141" i="1"/>
  <c r="K676" i="1"/>
  <c r="K2885" i="1"/>
  <c r="K1778" i="1"/>
  <c r="K3263" i="1"/>
  <c r="K3131" i="1"/>
  <c r="K2687" i="1"/>
  <c r="K119" i="1"/>
  <c r="K1048" i="1"/>
  <c r="K1071" i="1"/>
  <c r="K454" i="1"/>
  <c r="K3798" i="1"/>
  <c r="K3388" i="1"/>
  <c r="K2155" i="1"/>
  <c r="K1886" i="1"/>
  <c r="K3572" i="1"/>
  <c r="K508" i="1"/>
  <c r="K1795" i="1"/>
  <c r="K2100" i="1"/>
  <c r="K1222" i="1"/>
  <c r="K248" i="1"/>
  <c r="K1759" i="1"/>
  <c r="K3539" i="1"/>
  <c r="K3106" i="1"/>
  <c r="K3310" i="1"/>
  <c r="K2740" i="1"/>
  <c r="K2946" i="1"/>
  <c r="K110" i="1"/>
  <c r="K687" i="1"/>
  <c r="K1668" i="1"/>
  <c r="K2921" i="1"/>
  <c r="K2171" i="1"/>
  <c r="K1245" i="1"/>
  <c r="K1766" i="1"/>
  <c r="K1888" i="1"/>
  <c r="K2191" i="1"/>
  <c r="K3986" i="1"/>
  <c r="K1885" i="1"/>
  <c r="K3380" i="1"/>
  <c r="K2291" i="1"/>
  <c r="K19" i="1"/>
  <c r="K3611" i="1"/>
  <c r="K1991" i="1"/>
  <c r="K116" i="1"/>
  <c r="K1303" i="1"/>
  <c r="K2368" i="1"/>
  <c r="K56" i="1"/>
  <c r="K77" i="1"/>
  <c r="K1530" i="1"/>
  <c r="K295" i="1"/>
  <c r="K2185" i="1"/>
  <c r="K3533" i="1"/>
  <c r="K2896" i="1"/>
  <c r="K239" i="1"/>
  <c r="K654" i="1"/>
  <c r="K1414" i="1"/>
  <c r="K301" i="1"/>
  <c r="K866" i="1"/>
  <c r="K2212" i="1"/>
  <c r="K2267" i="1"/>
  <c r="K816" i="1"/>
  <c r="K3664" i="1"/>
  <c r="K3314" i="1"/>
  <c r="K3719" i="1"/>
  <c r="K1712" i="1"/>
  <c r="K3010" i="1"/>
  <c r="K2728" i="1"/>
  <c r="K294" i="1"/>
  <c r="K1365" i="1"/>
  <c r="K1415" i="1"/>
  <c r="K3531" i="1"/>
  <c r="K1434" i="1"/>
  <c r="K2104" i="1"/>
  <c r="K1161" i="1"/>
  <c r="K2098" i="1"/>
  <c r="K3512" i="1"/>
  <c r="K3054" i="1"/>
  <c r="K2243" i="1"/>
  <c r="K2674" i="1"/>
  <c r="K1310" i="1"/>
  <c r="K3146" i="1"/>
  <c r="K3160" i="1"/>
  <c r="K356" i="1"/>
  <c r="K641" i="1"/>
  <c r="K360" i="1"/>
  <c r="K437" i="1"/>
  <c r="K1072" i="1"/>
  <c r="K907" i="1"/>
  <c r="K2752" i="1"/>
  <c r="K1999" i="1"/>
  <c r="K2364" i="1"/>
  <c r="K3337" i="1"/>
  <c r="K3141" i="1"/>
  <c r="K3223" i="1"/>
  <c r="K3649" i="1"/>
  <c r="K580" i="1"/>
  <c r="K742" i="1"/>
  <c r="K345" i="1"/>
  <c r="K3720" i="1"/>
  <c r="K347" i="1"/>
  <c r="K1038" i="1"/>
  <c r="K3778" i="1"/>
  <c r="K1610" i="1"/>
  <c r="K3210" i="1"/>
  <c r="K3909" i="1"/>
  <c r="K2739" i="1"/>
  <c r="K1825" i="1"/>
  <c r="K3846" i="1"/>
  <c r="K266" i="1"/>
  <c r="K153" i="1"/>
  <c r="K1206" i="1"/>
  <c r="K3269" i="1"/>
  <c r="K708" i="1"/>
  <c r="K502" i="1"/>
  <c r="K346" i="1"/>
  <c r="K1205" i="1"/>
  <c r="K2683" i="1"/>
  <c r="K1100" i="1"/>
  <c r="K670" i="1"/>
  <c r="K3420" i="1"/>
  <c r="K1968" i="1"/>
  <c r="K1172" i="1"/>
  <c r="K3551" i="1"/>
  <c r="K2229" i="1"/>
  <c r="K3213" i="1"/>
  <c r="K2702" i="1"/>
  <c r="K1832" i="1"/>
  <c r="K2371" i="1"/>
  <c r="K3491" i="1"/>
  <c r="K1713" i="1"/>
  <c r="K1142" i="1"/>
  <c r="K1098" i="1"/>
  <c r="K501" i="1"/>
  <c r="K3386" i="1"/>
  <c r="K842" i="1"/>
  <c r="K3697" i="1"/>
  <c r="K2354" i="1"/>
  <c r="K1515" i="1"/>
  <c r="K610" i="1"/>
  <c r="K1955" i="1"/>
  <c r="K2448" i="1"/>
  <c r="K1798" i="1"/>
  <c r="K1525" i="1"/>
  <c r="K2747" i="1"/>
  <c r="K1114" i="1"/>
  <c r="K2399" i="1"/>
  <c r="K407" i="1"/>
  <c r="K2072" i="1"/>
  <c r="K1830" i="1"/>
  <c r="K3065" i="1"/>
  <c r="K927" i="1"/>
  <c r="K378" i="1"/>
  <c r="K1091" i="1"/>
  <c r="K484" i="1"/>
  <c r="K835" i="1"/>
  <c r="K1749" i="1"/>
  <c r="K3977" i="1"/>
  <c r="K3709" i="1"/>
  <c r="K2865" i="1"/>
  <c r="K1062" i="1"/>
  <c r="K2111" i="1"/>
  <c r="K1462" i="1"/>
  <c r="K158" i="1"/>
  <c r="K3548" i="1"/>
  <c r="K109" i="1"/>
  <c r="K3933" i="1"/>
  <c r="K963" i="1"/>
  <c r="K746" i="1"/>
  <c r="K2660" i="1"/>
  <c r="K1453" i="1"/>
  <c r="K733" i="1"/>
  <c r="K1875" i="1"/>
  <c r="K3988" i="1"/>
  <c r="K3005" i="1"/>
  <c r="K1628" i="1"/>
  <c r="K236" i="1"/>
  <c r="K3369" i="1"/>
  <c r="K1673" i="1"/>
  <c r="K3478" i="1"/>
  <c r="K2254" i="1"/>
  <c r="K833" i="1"/>
  <c r="K536" i="1"/>
  <c r="K576" i="1"/>
  <c r="K3793" i="1"/>
  <c r="K3801" i="1"/>
  <c r="K3590" i="1"/>
  <c r="K2160" i="1"/>
  <c r="K2818" i="1"/>
  <c r="K1086" i="1"/>
  <c r="K3428" i="1"/>
  <c r="K3726" i="1"/>
  <c r="K2623" i="1"/>
  <c r="K338" i="1"/>
  <c r="K660" i="1"/>
  <c r="K2510" i="1"/>
  <c r="K2890" i="1"/>
  <c r="K1291" i="1"/>
  <c r="K1428" i="1"/>
  <c r="K1373" i="1"/>
  <c r="K2960" i="1"/>
  <c r="K767" i="1"/>
  <c r="K3756" i="1"/>
  <c r="K3725" i="1"/>
  <c r="K2831" i="1"/>
  <c r="K2782" i="1"/>
  <c r="K2815" i="1"/>
  <c r="K3152" i="1"/>
  <c r="K3500" i="1"/>
  <c r="K1894" i="1"/>
  <c r="K2025" i="1"/>
  <c r="K1724" i="1"/>
  <c r="K1391" i="1"/>
  <c r="K1537" i="1"/>
  <c r="K3588" i="1"/>
  <c r="K896" i="1"/>
  <c r="K2386" i="1"/>
  <c r="K41" i="1"/>
  <c r="K2965" i="1"/>
  <c r="K2611" i="1"/>
  <c r="K2031" i="1"/>
  <c r="K949" i="1"/>
  <c r="K724" i="1"/>
  <c r="K1843" i="1"/>
  <c r="K1108" i="1"/>
  <c r="K3043" i="1"/>
  <c r="K2588" i="1"/>
  <c r="K3723" i="1"/>
  <c r="K387" i="1"/>
  <c r="K3545" i="1"/>
  <c r="K2911" i="1"/>
  <c r="K2976" i="1"/>
  <c r="K1867" i="1"/>
  <c r="K1344" i="1"/>
  <c r="K1510" i="1"/>
  <c r="K972" i="1"/>
  <c r="K442" i="1"/>
  <c r="K23" i="1"/>
  <c r="K810" i="1"/>
  <c r="K2907" i="1"/>
  <c r="K3885" i="1"/>
  <c r="K2489" i="1"/>
  <c r="K1099" i="1"/>
  <c r="K1641" i="1"/>
  <c r="K1263" i="1"/>
  <c r="K1366" i="1"/>
  <c r="K1387" i="1"/>
  <c r="K3393" i="1"/>
  <c r="K3056" i="1"/>
  <c r="K207" i="1"/>
  <c r="K2343" i="1"/>
  <c r="K838" i="1"/>
  <c r="K3222" i="1"/>
  <c r="K3688" i="1"/>
  <c r="K3457" i="1"/>
  <c r="K2021" i="1"/>
  <c r="K16" i="1"/>
  <c r="K504" i="1"/>
  <c r="K413" i="1"/>
  <c r="K979" i="1"/>
  <c r="K824" i="1"/>
  <c r="K3360" i="1"/>
</calcChain>
</file>

<file path=xl/sharedStrings.xml><?xml version="1.0" encoding="utf-8"?>
<sst xmlns="http://schemas.openxmlformats.org/spreadsheetml/2006/main" count="496" uniqueCount="52">
  <si>
    <t>Search</t>
  </si>
  <si>
    <t>Frequency</t>
  </si>
  <si>
    <t>Final List</t>
  </si>
  <si>
    <t>Lebensmittel</t>
  </si>
  <si>
    <t>Frühstück</t>
  </si>
  <si>
    <t>Menge</t>
  </si>
  <si>
    <t>Kcal</t>
  </si>
  <si>
    <t>Fett</t>
  </si>
  <si>
    <t>KH</t>
  </si>
  <si>
    <t>EW</t>
  </si>
  <si>
    <t>Kilokalorien</t>
  </si>
  <si>
    <t>Kohlenhydrate</t>
  </si>
  <si>
    <t>Eiweiß</t>
  </si>
  <si>
    <t>Rechnung</t>
  </si>
  <si>
    <t>ID</t>
  </si>
  <si>
    <t>Brot</t>
  </si>
  <si>
    <t>Käse Edamer</t>
  </si>
  <si>
    <t>Nudeln</t>
  </si>
  <si>
    <t>Eis</t>
  </si>
  <si>
    <t>Brause</t>
  </si>
  <si>
    <t>Gemüse</t>
  </si>
  <si>
    <t>Obst</t>
  </si>
  <si>
    <t>Wurst</t>
  </si>
  <si>
    <t>Käse Sauermilch</t>
  </si>
  <si>
    <t>Milch</t>
  </si>
  <si>
    <t>Laugenbrezel</t>
  </si>
  <si>
    <t>Schokolade</t>
  </si>
  <si>
    <t>Gummibärchen</t>
  </si>
  <si>
    <t>Lebkuchen</t>
  </si>
  <si>
    <t>Reis</t>
  </si>
  <si>
    <t>Chilisauce</t>
  </si>
  <si>
    <t>Süße Milch</t>
  </si>
  <si>
    <t>Ei</t>
  </si>
  <si>
    <t>Fleisch</t>
  </si>
  <si>
    <t>Käse Feta</t>
  </si>
  <si>
    <t>Sonntag</t>
  </si>
  <si>
    <t>Insgesamt</t>
  </si>
  <si>
    <t>Wie viel davon habe ich gegessen</t>
  </si>
  <si>
    <t>Gesamt Frühstück</t>
  </si>
  <si>
    <t>Mittag</t>
  </si>
  <si>
    <t>Gesamt Mittag</t>
  </si>
  <si>
    <t>Kaffee</t>
  </si>
  <si>
    <t>Gesamt Kaffee</t>
  </si>
  <si>
    <t>Abendbrot</t>
  </si>
  <si>
    <t>Gesamt Abendbrot</t>
  </si>
  <si>
    <t>Sonstige</t>
  </si>
  <si>
    <t>Gesamt Sonstige</t>
  </si>
  <si>
    <t>Sonnabend</t>
  </si>
  <si>
    <t>Datum</t>
  </si>
  <si>
    <t>Tag</t>
  </si>
  <si>
    <t xml:space="preserve">Mittag </t>
  </si>
  <si>
    <t>Summe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</si>
</sst>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&quot; kcal&quot;"/>
    <numFmt numFmtId="165" formatCode="0&quot; g&quot;"/>
  </numFmts>
  <fonts count="10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b/>
      <sz val="14"/>
      <color indexed="8"/>
      <name val="Arial"/>
      <family val="2"/>
    </font>
    <font>
      <sz val="14"/>
      <color indexed="8"/>
      <name val="Arial"/>
      <family val="2"/>
    </font>
    <font>
      <sz val="12"/>
      <color indexed="8"/>
      <name val="Arial"/>
      <family val="2"/>
    </font>
    <font>
      <sz val="11"/>
      <color theme="1"/>
      <name val="Arial"/>
      <family val="2"/>
    </font>
    <font>
      <b/>
      <sz val="16"/>
      <color indexed="8"/>
      <name val="Arial"/>
      <family val="2"/>
    </font>
    <font>
      <sz val="16"/>
      <color indexed="8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43"/>
        <bgColor indexed="43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" fontId="3" fillId="2" borderId="0" xfId="0" applyNumberFormat="1" applyFont="1" applyFill="1"/>
    <xf numFmtId="164" fontId="3" fillId="2" borderId="0" xfId="0" applyNumberFormat="1" applyFont="1" applyFill="1"/>
    <xf numFmtId="165" fontId="3" fillId="2" borderId="0" xfId="0" applyNumberFormat="1" applyFont="1" applyFill="1"/>
    <xf numFmtId="0" fontId="3" fillId="0" borderId="0" xfId="0" applyFont="1"/>
    <xf numFmtId="0" fontId="4" fillId="0" borderId="0" xfId="0" applyFont="1"/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164" fontId="1" fillId="3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0" fontId="5" fillId="0" borderId="0" xfId="0" applyFont="1"/>
    <xf numFmtId="164" fontId="5" fillId="0" borderId="0" xfId="0" applyNumberFormat="1" applyFont="1"/>
    <xf numFmtId="165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 applyBorder="1" applyAlignment="1">
      <alignment horizontal="center"/>
    </xf>
    <xf numFmtId="165" fontId="0" fillId="0" borderId="0" xfId="0" applyNumberFormat="1" applyAlignment="1">
      <alignment wrapText="1"/>
    </xf>
    <xf numFmtId="0" fontId="6" fillId="0" borderId="0" xfId="0" applyFont="1"/>
    <xf numFmtId="1" fontId="7" fillId="0" borderId="0" xfId="0" applyNumberFormat="1" applyFont="1"/>
    <xf numFmtId="1" fontId="1" fillId="4" borderId="0" xfId="0" applyNumberFormat="1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5" fontId="1" fillId="4" borderId="0" xfId="0" applyNumberFormat="1" applyFont="1" applyFill="1" applyAlignment="1">
      <alignment horizontal="center"/>
    </xf>
    <xf numFmtId="1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1" fontId="0" fillId="0" borderId="0" xfId="0" applyNumberFormat="1"/>
    <xf numFmtId="0" fontId="8" fillId="0" borderId="0" xfId="0" applyFont="1"/>
    <xf numFmtId="1" fontId="8" fillId="0" borderId="0" xfId="0" applyNumberFormat="1" applyFont="1"/>
    <xf numFmtId="164" fontId="8" fillId="0" borderId="0" xfId="0" applyNumberFormat="1" applyFont="1"/>
    <xf numFmtId="165" fontId="8" fillId="0" borderId="0" xfId="0" applyNumberFormat="1" applyFont="1"/>
    <xf numFmtId="0" fontId="5" fillId="0" borderId="1" xfId="0" applyFont="1" applyFill="1" applyBorder="1"/>
    <xf numFmtId="0" fontId="5" fillId="0" borderId="1" xfId="0" applyFont="1" applyBorder="1"/>
    <xf numFmtId="0" fontId="2" fillId="2" borderId="0" xfId="0" applyFont="1" applyFill="1"/>
    <xf numFmtId="0" fontId="6" fillId="0" borderId="0" xfId="0" applyFont="1" applyAlignment="1">
      <alignment vertical="center"/>
    </xf>
    <xf numFmtId="0" fontId="6" fillId="4" borderId="0" xfId="0" applyFont="1" applyFill="1"/>
    <xf numFmtId="0" fontId="0" fillId="4" borderId="0" xfId="0" applyFill="1"/>
    <xf numFmtId="164" fontId="0" fillId="0" borderId="0" xfId="0" applyNumberFormat="1" applyAlignment="1">
      <alignment vertical="center"/>
    </xf>
    <xf numFmtId="14" fontId="0" fillId="0" borderId="0" xfId="0" applyNumberFormat="1"/>
    <xf numFmtId="164" fontId="9" fillId="0" borderId="0" xfId="0" applyNumberFormat="1" applyFont="1"/>
    <xf numFmtId="14" fontId="5" fillId="0" borderId="0" xfId="0" applyNumberFormat="1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2</xdr:col>
      <xdr:colOff>904875</xdr:colOff>
      <xdr:row>7</xdr:row>
      <xdr:rowOff>9525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2</xdr:col>
      <xdr:colOff>904875</xdr:colOff>
      <xdr:row>7</xdr:row>
      <xdr:rowOff>9525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2</xdr:col>
      <xdr:colOff>904875</xdr:colOff>
      <xdr:row>7</xdr:row>
      <xdr:rowOff>9525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2</xdr:col>
      <xdr:colOff>904875</xdr:colOff>
      <xdr:row>7</xdr:row>
      <xdr:rowOff>9525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2</xdr:col>
      <xdr:colOff>904875</xdr:colOff>
      <xdr:row>7</xdr:row>
      <xdr:rowOff>9525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2</xdr:col>
      <xdr:colOff>904875</xdr:colOff>
      <xdr:row>7</xdr:row>
      <xdr:rowOff>9525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4729163" y="1300162"/>
          <a:ext cx="381000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5</xdr:row>
      <xdr:rowOff>76200</xdr:rowOff>
    </xdr:from>
    <xdr:to>
      <xdr:col>2</xdr:col>
      <xdr:colOff>904875</xdr:colOff>
      <xdr:row>7</xdr:row>
      <xdr:rowOff>9525</xdr:rowOff>
    </xdr:to>
    <xdr:sp macro="" textlink="">
      <xdr:nvSpPr>
        <xdr:cNvPr id="2" name="Freihandform: Form 1"/>
        <xdr:cNvSpPr>
          <a:spLocks noMove="1" noResize="1"/>
        </xdr:cNvSpPr>
      </xdr:nvSpPr>
      <xdr:spPr bwMode="auto">
        <a:xfrm rot="5400000">
          <a:off x="2838450" y="1266825"/>
          <a:ext cx="314325" cy="352425"/>
        </a:xfrm>
        <a:custGeom>
          <a:avLst/>
          <a:gdLst>
            <a:gd name="T0" fmla="*/ 59740438 w 841"/>
            <a:gd name="T1" fmla="*/ 0 h 854"/>
            <a:gd name="T2" fmla="*/ 119480875 w 841"/>
            <a:gd name="T3" fmla="*/ 72276012 h 854"/>
            <a:gd name="T4" fmla="*/ 59740438 w 841"/>
            <a:gd name="T5" fmla="*/ 144551612 h 854"/>
            <a:gd name="T6" fmla="*/ 0 w 841"/>
            <a:gd name="T7" fmla="*/ 72276012 h 854"/>
            <a:gd name="T8" fmla="*/ 17694720 60000 65536"/>
            <a:gd name="T9" fmla="*/ 0 60000 65536"/>
            <a:gd name="T10" fmla="*/ 5898240 60000 65536"/>
            <a:gd name="T11" fmla="*/ 1179648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841" h="854">
              <a:moveTo>
                <a:pt x="517" y="247"/>
              </a:moveTo>
              <a:lnTo>
                <a:pt x="517" y="415"/>
              </a:lnTo>
              <a:lnTo>
                <a:pt x="264" y="415"/>
              </a:lnTo>
              <a:lnTo>
                <a:pt x="264" y="0"/>
              </a:lnTo>
              <a:lnTo>
                <a:pt x="0" y="0"/>
              </a:lnTo>
              <a:lnTo>
                <a:pt x="0" y="680"/>
              </a:lnTo>
              <a:lnTo>
                <a:pt x="517" y="680"/>
              </a:lnTo>
              <a:lnTo>
                <a:pt x="517" y="854"/>
              </a:lnTo>
              <a:lnTo>
                <a:pt x="841" y="547"/>
              </a:lnTo>
              <a:lnTo>
                <a:pt x="517" y="247"/>
              </a:lnTo>
              <a:close/>
            </a:path>
          </a:pathLst>
        </a:custGeom>
        <a:solidFill>
          <a:srgbClr val="CFE7F5"/>
        </a:solidFill>
        <a:ln w="25400">
          <a:solidFill>
            <a:srgbClr val="808080"/>
          </a:solidFill>
          <a:prstDash val="solid"/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tabSelected="1" zoomScale="130" zoomScaleNormal="130" workbookViewId="0">
      <selection activeCell="A10" sqref="A10"/>
    </sheetView>
  </sheetViews>
  <sheetFormatPr baseColWidth="10" defaultRowHeight="15" x14ac:dyDescent="0.25"/>
  <cols>
    <col min="1" max="1" width="13.140625" customWidth="1"/>
    <col min="2" max="2" width="11.85546875" customWidth="1"/>
    <col min="259" max="259" width="11.85546875" customWidth="1"/>
    <col min="515" max="515" width="11.85546875" customWidth="1"/>
    <col min="771" max="771" width="11.85546875" customWidth="1"/>
    <col min="1027" max="1027" width="11.85546875" customWidth="1"/>
    <col min="1283" max="1283" width="11.85546875" customWidth="1"/>
    <col min="1539" max="1539" width="11.85546875" customWidth="1"/>
    <col min="1795" max="1795" width="11.85546875" customWidth="1"/>
    <col min="2051" max="2051" width="11.85546875" customWidth="1"/>
    <col min="2307" max="2307" width="11.85546875" customWidth="1"/>
    <col min="2563" max="2563" width="11.85546875" customWidth="1"/>
    <col min="2819" max="2819" width="11.85546875" customWidth="1"/>
    <col min="3075" max="3075" width="11.85546875" customWidth="1"/>
    <col min="3331" max="3331" width="11.85546875" customWidth="1"/>
    <col min="3587" max="3587" width="11.85546875" customWidth="1"/>
    <col min="3843" max="3843" width="11.85546875" customWidth="1"/>
    <col min="4099" max="4099" width="11.85546875" customWidth="1"/>
    <col min="4355" max="4355" width="11.85546875" customWidth="1"/>
    <col min="4611" max="4611" width="11.85546875" customWidth="1"/>
    <col min="4867" max="4867" width="11.85546875" customWidth="1"/>
    <col min="5123" max="5123" width="11.85546875" customWidth="1"/>
    <col min="5379" max="5379" width="11.85546875" customWidth="1"/>
    <col min="5635" max="5635" width="11.85546875" customWidth="1"/>
    <col min="5891" max="5891" width="11.85546875" customWidth="1"/>
    <col min="6147" max="6147" width="11.85546875" customWidth="1"/>
    <col min="6403" max="6403" width="11.85546875" customWidth="1"/>
    <col min="6659" max="6659" width="11.85546875" customWidth="1"/>
    <col min="6915" max="6915" width="11.85546875" customWidth="1"/>
    <col min="7171" max="7171" width="11.85546875" customWidth="1"/>
    <col min="7427" max="7427" width="11.85546875" customWidth="1"/>
    <col min="7683" max="7683" width="11.85546875" customWidth="1"/>
    <col min="7939" max="7939" width="11.85546875" customWidth="1"/>
    <col min="8195" max="8195" width="11.85546875" customWidth="1"/>
    <col min="8451" max="8451" width="11.85546875" customWidth="1"/>
    <col min="8707" max="8707" width="11.85546875" customWidth="1"/>
    <col min="8963" max="8963" width="11.85546875" customWidth="1"/>
    <col min="9219" max="9219" width="11.85546875" customWidth="1"/>
    <col min="9475" max="9475" width="11.85546875" customWidth="1"/>
    <col min="9731" max="9731" width="11.85546875" customWidth="1"/>
    <col min="9987" max="9987" width="11.85546875" customWidth="1"/>
    <col min="10243" max="10243" width="11.85546875" customWidth="1"/>
    <col min="10499" max="10499" width="11.85546875" customWidth="1"/>
    <col min="10755" max="10755" width="11.85546875" customWidth="1"/>
    <col min="11011" max="11011" width="11.85546875" customWidth="1"/>
    <col min="11267" max="11267" width="11.85546875" customWidth="1"/>
    <col min="11523" max="11523" width="11.85546875" customWidth="1"/>
    <col min="11779" max="11779" width="11.85546875" customWidth="1"/>
    <col min="12035" max="12035" width="11.85546875" customWidth="1"/>
    <col min="12291" max="12291" width="11.85546875" customWidth="1"/>
    <col min="12547" max="12547" width="11.85546875" customWidth="1"/>
    <col min="12803" max="12803" width="11.85546875" customWidth="1"/>
    <col min="13059" max="13059" width="11.85546875" customWidth="1"/>
    <col min="13315" max="13315" width="11.85546875" customWidth="1"/>
    <col min="13571" max="13571" width="11.85546875" customWidth="1"/>
    <col min="13827" max="13827" width="11.85546875" customWidth="1"/>
    <col min="14083" max="14083" width="11.85546875" customWidth="1"/>
    <col min="14339" max="14339" width="11.85546875" customWidth="1"/>
    <col min="14595" max="14595" width="11.85546875" customWidth="1"/>
    <col min="14851" max="14851" width="11.85546875" customWidth="1"/>
    <col min="15107" max="15107" width="11.85546875" customWidth="1"/>
    <col min="15363" max="15363" width="11.85546875" customWidth="1"/>
    <col min="15619" max="15619" width="11.85546875" customWidth="1"/>
    <col min="15875" max="15875" width="11.85546875" customWidth="1"/>
    <col min="16131" max="16131" width="11.85546875" customWidth="1"/>
  </cols>
  <sheetData>
    <row r="1" spans="1:8" x14ac:dyDescent="0.25">
      <c r="A1" s="18" t="s">
        <v>48</v>
      </c>
      <c r="B1" s="18" t="s">
        <v>49</v>
      </c>
      <c r="C1" s="18" t="s">
        <v>4</v>
      </c>
      <c r="D1" s="18" t="s">
        <v>50</v>
      </c>
      <c r="E1" s="18" t="s">
        <v>41</v>
      </c>
      <c r="F1" s="18" t="s">
        <v>43</v>
      </c>
      <c r="G1" s="18" t="s">
        <v>45</v>
      </c>
      <c r="H1" s="18" t="s">
        <v>51</v>
      </c>
    </row>
    <row r="2" spans="1:8" x14ac:dyDescent="0.25">
      <c r="A2" s="46">
        <v>43374</v>
      </c>
      <c r="B2" s="18" t="str">
        <f>TEXT(A2,"tttt")</f>
        <v>Montag</v>
      </c>
      <c r="C2" s="45">
        <f>Montag!E$20</f>
        <v>524.25</v>
      </c>
      <c r="D2" s="45">
        <f>Montag!E$34</f>
        <v>682.55</v>
      </c>
      <c r="E2" s="45">
        <f>Montag!E$48</f>
        <v>333.6</v>
      </c>
      <c r="F2" s="45">
        <f>Montag!E$62</f>
        <v>489.54999999999995</v>
      </c>
      <c r="G2" s="45">
        <f>Montag!E$76</f>
        <v>0</v>
      </c>
      <c r="H2" s="45">
        <f t="shared" ref="H2:H7" si="0">SUM(C2:G2)</f>
        <v>2029.95</v>
      </c>
    </row>
    <row r="3" spans="1:8" x14ac:dyDescent="0.25">
      <c r="A3" s="46">
        <f t="shared" ref="A3:A8" si="1">A2+1</f>
        <v>43375</v>
      </c>
      <c r="B3" s="18" t="str">
        <f t="shared" ref="B3:B8" si="2">TEXT(A3,"tttt")</f>
        <v>Dienstag</v>
      </c>
      <c r="C3" s="45">
        <f>Dienstag!E$20</f>
        <v>524.25</v>
      </c>
      <c r="D3" s="45">
        <f>Dienstag!E$34</f>
        <v>584.29999999999995</v>
      </c>
      <c r="E3" s="45">
        <f>Dienstag!E$48</f>
        <v>333.6</v>
      </c>
      <c r="F3" s="45">
        <f>Dienstag!E$62</f>
        <v>489.54999999999995</v>
      </c>
      <c r="G3" s="45">
        <f>Dienstag!E$76</f>
        <v>0</v>
      </c>
      <c r="H3" s="45">
        <f t="shared" si="0"/>
        <v>1931.7</v>
      </c>
    </row>
    <row r="4" spans="1:8" x14ac:dyDescent="0.25">
      <c r="A4" s="46">
        <f t="shared" si="1"/>
        <v>43376</v>
      </c>
      <c r="B4" s="18" t="str">
        <f t="shared" si="2"/>
        <v>Mittwoch</v>
      </c>
      <c r="C4" s="45">
        <f>Mittwoch!E$20</f>
        <v>521.54499999999996</v>
      </c>
      <c r="D4" s="45">
        <f>Mittwoch!E$34</f>
        <v>682.55</v>
      </c>
      <c r="E4" s="45">
        <f>Mittwoch!E$48</f>
        <v>333.6</v>
      </c>
      <c r="F4" s="45">
        <f>Mittwoch!E$62</f>
        <v>489.54999999999995</v>
      </c>
      <c r="G4" s="45">
        <f>Mittwoch!E$76</f>
        <v>0</v>
      </c>
      <c r="H4" s="45">
        <f t="shared" si="0"/>
        <v>2027.2449999999997</v>
      </c>
    </row>
    <row r="5" spans="1:8" x14ac:dyDescent="0.25">
      <c r="A5" s="46">
        <f t="shared" si="1"/>
        <v>43377</v>
      </c>
      <c r="B5" s="18" t="str">
        <f t="shared" si="2"/>
        <v>Donnerstag</v>
      </c>
      <c r="C5" s="45">
        <f>Donnerstag!E$20</f>
        <v>518.84</v>
      </c>
      <c r="D5" s="45">
        <f>Donnerstag!E$34</f>
        <v>682.55</v>
      </c>
      <c r="E5" s="45">
        <f>Donnerstag!E$48</f>
        <v>333.6</v>
      </c>
      <c r="F5" s="45">
        <f>Donnerstag!E$62</f>
        <v>489.54999999999995</v>
      </c>
      <c r="G5" s="45">
        <f>Donnerstag!E$76</f>
        <v>0</v>
      </c>
      <c r="H5" s="45">
        <f t="shared" si="0"/>
        <v>2024.5399999999997</v>
      </c>
    </row>
    <row r="6" spans="1:8" x14ac:dyDescent="0.25">
      <c r="A6" s="46">
        <f t="shared" si="1"/>
        <v>43378</v>
      </c>
      <c r="B6" s="18" t="str">
        <f t="shared" si="2"/>
        <v>Freitag</v>
      </c>
      <c r="C6" s="45">
        <f>Freitag!E$20</f>
        <v>516.13499999999999</v>
      </c>
      <c r="D6" s="45">
        <f>Freitag!E$34</f>
        <v>682.55</v>
      </c>
      <c r="E6" s="45">
        <f>Freitag!E$48</f>
        <v>333.6</v>
      </c>
      <c r="F6" s="45">
        <f>Freitag!E$62</f>
        <v>489.54999999999995</v>
      </c>
      <c r="G6" s="45">
        <f>Freitag!E$76</f>
        <v>0</v>
      </c>
      <c r="H6" s="45">
        <f t="shared" si="0"/>
        <v>2021.8349999999998</v>
      </c>
    </row>
    <row r="7" spans="1:8" x14ac:dyDescent="0.25">
      <c r="A7" s="46">
        <f t="shared" si="1"/>
        <v>43379</v>
      </c>
      <c r="B7" s="18" t="str">
        <f t="shared" si="2"/>
        <v>Samstag</v>
      </c>
      <c r="C7" s="45">
        <f>Sonnabend!E$20</f>
        <v>575.64499999999998</v>
      </c>
      <c r="D7" s="45">
        <f>Sonnabend!E$34</f>
        <v>682.55</v>
      </c>
      <c r="E7" s="45">
        <f>Sonnabend!E$48</f>
        <v>333.6</v>
      </c>
      <c r="F7" s="45">
        <f>Sonnabend!E$62</f>
        <v>489.54999999999995</v>
      </c>
      <c r="G7" s="45">
        <f>Sonnabend!E$76</f>
        <v>0</v>
      </c>
      <c r="H7" s="45">
        <f t="shared" si="0"/>
        <v>2081.3450000000003</v>
      </c>
    </row>
    <row r="8" spans="1:8" x14ac:dyDescent="0.25">
      <c r="A8" s="46">
        <f t="shared" si="1"/>
        <v>43380</v>
      </c>
      <c r="B8" s="18" t="str">
        <f t="shared" si="2"/>
        <v>Sonntag</v>
      </c>
      <c r="C8" s="45">
        <f>Sonntag!E$20</f>
        <v>928.9</v>
      </c>
      <c r="D8" s="45">
        <f>Sonntag!E$34</f>
        <v>672.8</v>
      </c>
      <c r="E8" s="45">
        <f>Sonntag!E$48</f>
        <v>404.1</v>
      </c>
      <c r="F8" s="45">
        <f>Sonntag!E$62</f>
        <v>489.54999999999995</v>
      </c>
      <c r="G8" s="45">
        <f>Sonntag!E$76</f>
        <v>102.49999999999999</v>
      </c>
      <c r="H8" s="45">
        <f>SUM(C8:G8)</f>
        <v>2597.8499999999995</v>
      </c>
    </row>
    <row r="9" spans="1:8" x14ac:dyDescent="0.25">
      <c r="A9" s="44"/>
    </row>
  </sheetData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76"/>
  <sheetViews>
    <sheetView zoomScale="130" zoomScaleNormal="130" workbookViewId="0">
      <selection activeCell="B6" sqref="B6"/>
    </sheetView>
  </sheetViews>
  <sheetFormatPr baseColWidth="10" defaultRowHeight="15" x14ac:dyDescent="0.25"/>
  <cols>
    <col min="1" max="1" width="5.7109375" customWidth="1"/>
    <col min="2" max="2" width="57.140625" customWidth="1"/>
    <col min="3" max="6" width="14.28515625" customWidth="1"/>
    <col min="7" max="7" width="17.140625" customWidth="1"/>
    <col min="8" max="8" width="14.28515625" customWidth="1"/>
  </cols>
  <sheetData>
    <row r="1" spans="1:256" ht="38.25" customHeight="1" x14ac:dyDescent="0.25">
      <c r="A1" s="40" t="s">
        <v>47</v>
      </c>
      <c r="B1" s="40"/>
      <c r="C1" s="40"/>
      <c r="D1" s="12"/>
      <c r="E1" s="12"/>
      <c r="F1" s="13"/>
      <c r="G1" s="13"/>
      <c r="H1" s="23"/>
    </row>
    <row r="2" spans="1:256" ht="9.9499999999999993" customHeight="1" x14ac:dyDescent="0.3">
      <c r="A2" s="24"/>
      <c r="B2" s="24"/>
      <c r="C2" s="25"/>
      <c r="D2" s="12"/>
      <c r="E2" s="12"/>
      <c r="F2" s="13"/>
      <c r="G2" s="13"/>
      <c r="H2" s="13"/>
    </row>
    <row r="3" spans="1:256" ht="20.25" x14ac:dyDescent="0.3">
      <c r="A3" s="41" t="s">
        <v>36</v>
      </c>
      <c r="B3" s="41"/>
      <c r="C3" s="26" t="s">
        <v>5</v>
      </c>
      <c r="D3" s="27" t="s">
        <v>6</v>
      </c>
      <c r="E3" s="27" t="s">
        <v>13</v>
      </c>
      <c r="F3" s="28" t="s">
        <v>7</v>
      </c>
      <c r="G3" s="28" t="s">
        <v>11</v>
      </c>
      <c r="H3" s="28" t="s">
        <v>12</v>
      </c>
    </row>
    <row r="4" spans="1:256" ht="18" x14ac:dyDescent="0.25">
      <c r="A4" s="42"/>
      <c r="B4" s="42"/>
      <c r="C4" s="29">
        <f t="shared" ref="C4" si="0">C20+C34+C48+C62</f>
        <v>610</v>
      </c>
      <c r="D4" s="30">
        <f>D20+D34+D48+D62+D76</f>
        <v>2029.95</v>
      </c>
      <c r="E4" s="30">
        <f t="shared" ref="E4:H4" si="1">E20+E34+E48+E62+E76</f>
        <v>2029.95</v>
      </c>
      <c r="F4" s="31">
        <f t="shared" si="1"/>
        <v>90.25</v>
      </c>
      <c r="G4" s="31">
        <f t="shared" si="1"/>
        <v>241.5</v>
      </c>
      <c r="H4" s="31">
        <f t="shared" si="1"/>
        <v>55.5</v>
      </c>
    </row>
    <row r="5" spans="1:256" ht="9" customHeight="1" x14ac:dyDescent="0.25">
      <c r="C5" s="32"/>
      <c r="D5" s="12"/>
      <c r="E5" s="12"/>
      <c r="F5" s="13"/>
      <c r="G5" s="13"/>
      <c r="H5" s="13"/>
    </row>
    <row r="6" spans="1:256" ht="20.65" customHeight="1" x14ac:dyDescent="0.3">
      <c r="A6" s="24"/>
      <c r="B6" s="24"/>
      <c r="C6" s="25"/>
      <c r="D6" s="43" t="s">
        <v>37</v>
      </c>
      <c r="E6" s="43"/>
      <c r="F6" s="43"/>
      <c r="G6" s="43"/>
      <c r="H6" s="43"/>
    </row>
    <row r="7" spans="1:256" ht="15.2" customHeight="1" x14ac:dyDescent="0.3">
      <c r="A7" s="24"/>
      <c r="B7" s="24"/>
      <c r="C7" s="25"/>
      <c r="D7" s="12"/>
      <c r="E7" s="12"/>
      <c r="F7" s="13"/>
      <c r="G7" s="13"/>
      <c r="H7" s="13"/>
    </row>
    <row r="8" spans="1:256" ht="18" x14ac:dyDescent="0.25">
      <c r="A8" s="39" t="s">
        <v>4</v>
      </c>
      <c r="B8" s="39"/>
      <c r="C8" s="3"/>
      <c r="D8" s="4"/>
      <c r="E8" s="4"/>
      <c r="F8" s="5"/>
      <c r="G8" s="5"/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</row>
    <row r="9" spans="1:256" s="7" customFormat="1" ht="15.75" x14ac:dyDescent="0.25">
      <c r="B9" s="2" t="s">
        <v>3</v>
      </c>
      <c r="C9" s="8" t="s">
        <v>5</v>
      </c>
      <c r="D9" s="9" t="s">
        <v>6</v>
      </c>
      <c r="E9" s="9" t="s">
        <v>6</v>
      </c>
      <c r="F9" s="10" t="s">
        <v>7</v>
      </c>
      <c r="G9" s="10" t="s">
        <v>8</v>
      </c>
      <c r="H9" s="10" t="s">
        <v>9</v>
      </c>
    </row>
    <row r="10" spans="1:256" x14ac:dyDescent="0.25">
      <c r="B10" s="37" t="s">
        <v>15</v>
      </c>
      <c r="C10" s="38">
        <v>80</v>
      </c>
      <c r="D10" s="19">
        <f>IF(ISBLANK(B10),"",$C10*VLOOKUP($B10,Lebensmittel!$A$2:$G$14500,3,0)/VLOOKUP($B10,Lebensmittel!$A$2:$G$14500,2,0))</f>
        <v>216.4</v>
      </c>
      <c r="E10" s="19">
        <f>IF(ISBLANK(B10),"",$C10*VLOOKUP($B10,Lebensmittel!$A$2:$G$14500,7,0)/VLOOKUP($B10,Lebensmittel!$A$2:$G$14500,2,0))</f>
        <v>216.4</v>
      </c>
      <c r="F10" s="20">
        <f>IF(ISBLANK(B10),"",$C10*VLOOKUP($B10,Lebensmittel!$A$2:$G$14500,4,0)/VLOOKUP($B10,Lebensmittel!$A$2:$G$14500,2,0))</f>
        <v>4</v>
      </c>
      <c r="G10" s="20">
        <f>IF(ISBLANK(B10),"",$C10*VLOOKUP($B10,Lebensmittel!$A$2:$G$14500,5,0)/VLOOKUP($B10,Lebensmittel!$A$2:$G$14500,2,0))</f>
        <v>40</v>
      </c>
      <c r="H10" s="20">
        <f>IF(ISBLANK(B10),"",$C10*VLOOKUP($B10,Lebensmittel!$A$2:$G$14500,6,0)/VLOOKUP($B10,Lebensmittel!$A$2:$G$14500,2,0))</f>
        <v>4</v>
      </c>
    </row>
    <row r="11" spans="1:256" x14ac:dyDescent="0.25">
      <c r="B11" s="37" t="s">
        <v>16</v>
      </c>
      <c r="C11" s="38">
        <v>70</v>
      </c>
      <c r="D11" s="19">
        <f>IF(ISBLANK(B11),"",$C11*VLOOKUP($B11,Lebensmittel!$A$2:$G$14500,3,0)/VLOOKUP($B11,Lebensmittel!$A$2:$G$14500,2,0))</f>
        <v>229.25</v>
      </c>
      <c r="E11" s="19">
        <f>IF(ISBLANK(B11),"",$C11*VLOOKUP($B11,Lebensmittel!$A$2:$G$14500,7,0)/VLOOKUP($B11,Lebensmittel!$A$2:$G$14500,2,0))</f>
        <v>229.25</v>
      </c>
      <c r="F11" s="20">
        <f>IF(ISBLANK(B11),"",$C11*VLOOKUP($B11,Lebensmittel!$A$2:$G$14500,4,0)/VLOOKUP($B11,Lebensmittel!$A$2:$G$14500,2,0))</f>
        <v>17.5</v>
      </c>
      <c r="G11" s="20">
        <f>IF(ISBLANK(B11),"",$C11*VLOOKUP($B11,Lebensmittel!$A$2:$G$14500,5,0)/VLOOKUP($B11,Lebensmittel!$A$2:$G$14500,2,0))</f>
        <v>0</v>
      </c>
      <c r="H11" s="20">
        <f>IF(ISBLANK(B11),"",$C11*VLOOKUP($B11,Lebensmittel!$A$2:$G$14500,6,0)/VLOOKUP($B11,Lebensmittel!$A$2:$G$14500,2,0))</f>
        <v>17.5</v>
      </c>
    </row>
    <row r="12" spans="1:256" x14ac:dyDescent="0.25">
      <c r="B12" s="37" t="s">
        <v>31</v>
      </c>
      <c r="C12" s="38">
        <v>15</v>
      </c>
      <c r="D12" s="19">
        <f>IF(ISBLANK(B12),"",$C12*VLOOKUP($B12,Lebensmittel!$A$2:$G$14500,3,0)/VLOOKUP($B12,Lebensmittel!$A$2:$G$14500,2,0))</f>
        <v>78.599999999999994</v>
      </c>
      <c r="E12" s="19">
        <f>IF(ISBLANK(B12),"",$C12*VLOOKUP($B12,Lebensmittel!$A$2:$G$14500,7,0)/VLOOKUP($B12,Lebensmittel!$A$2:$G$14500,2,0))</f>
        <v>78.599999999999994</v>
      </c>
      <c r="F12" s="20">
        <f>IF(ISBLANK(B12),"",$C12*VLOOKUP($B12,Lebensmittel!$A$2:$G$14500,4,0)/VLOOKUP($B12,Lebensmittel!$A$2:$G$14500,2,0))</f>
        <v>6</v>
      </c>
      <c r="G12" s="20">
        <f>IF(ISBLANK(B12),"",$C12*VLOOKUP($B12,Lebensmittel!$A$2:$G$14500,5,0)/VLOOKUP($B12,Lebensmittel!$A$2:$G$14500,2,0))</f>
        <v>6</v>
      </c>
      <c r="H12" s="20">
        <f>IF(ISBLANK(B12),"",$C12*VLOOKUP($B12,Lebensmittel!$A$2:$G$14500,6,0)/VLOOKUP($B12,Lebensmittel!$A$2:$G$14500,2,0))</f>
        <v>0</v>
      </c>
    </row>
    <row r="13" spans="1:256" x14ac:dyDescent="0.25">
      <c r="B13" s="37"/>
      <c r="C13" s="38"/>
      <c r="D13" s="19" t="str">
        <f>IF(ISBLANK(B13),"",$C13*VLOOKUP($B13,Lebensmittel!$A$2:$G$14500,3,0)/VLOOKUP($B13,Lebensmittel!$A$2:$G$14500,2,0))</f>
        <v/>
      </c>
      <c r="E13" s="19" t="str">
        <f>IF(ISBLANK(B13),"",$C13*VLOOKUP($B13,Lebensmittel!$A$2:$G$14500,7,0)/VLOOKUP($B13,Lebensmittel!$A$2:$G$14500,2,0))</f>
        <v/>
      </c>
      <c r="F13" s="20" t="str">
        <f>IF(ISBLANK(B13),"",$C13*VLOOKUP($B13,Lebensmittel!$A$2:$G$14500,4,0)/VLOOKUP($B13,Lebensmittel!$A$2:$G$14500,2,0))</f>
        <v/>
      </c>
      <c r="G13" s="20" t="str">
        <f>IF(ISBLANK(B13),"",$C13*VLOOKUP($B13,Lebensmittel!$A$2:$G$14500,5,0)/VLOOKUP($B13,Lebensmittel!$A$2:$G$14500,2,0))</f>
        <v/>
      </c>
      <c r="H13" s="20" t="str">
        <f>IF(ISBLANK(B13),"",$C13*VLOOKUP($B13,Lebensmittel!$A$2:$G$14500,6,0)/VLOOKUP($B13,Lebensmittel!$A$2:$G$14500,2,0))</f>
        <v/>
      </c>
    </row>
    <row r="14" spans="1:256" x14ac:dyDescent="0.25">
      <c r="B14" s="37"/>
      <c r="C14" s="38"/>
      <c r="D14" s="19" t="str">
        <f>IF(ISBLANK(B14),"",$C14*VLOOKUP($B14,Lebensmittel!$A$2:$G$14500,3,0)/VLOOKUP($B14,Lebensmittel!$A$2:$G$14500,2,0))</f>
        <v/>
      </c>
      <c r="E14" s="19" t="str">
        <f>IF(ISBLANK(B14),"",$C14*VLOOKUP($B14,Lebensmittel!$A$2:$G$14500,7,0)/VLOOKUP($B14,Lebensmittel!$A$2:$G$14500,2,0))</f>
        <v/>
      </c>
      <c r="F14" s="20" t="str">
        <f>IF(ISBLANK(B14),"",$C14*VLOOKUP($B14,Lebensmittel!$A$2:$G$14500,4,0)/VLOOKUP($B14,Lebensmittel!$A$2:$G$14500,2,0))</f>
        <v/>
      </c>
      <c r="G14" s="20" t="str">
        <f>IF(ISBLANK(B14),"",$C14*VLOOKUP($B14,Lebensmittel!$A$2:$G$14500,5,0)/VLOOKUP($B14,Lebensmittel!$A$2:$G$14500,2,0))</f>
        <v/>
      </c>
      <c r="H14" s="20" t="str">
        <f>IF(ISBLANK(B14),"",$C14*VLOOKUP($B14,Lebensmittel!$A$2:$G$14500,6,0)/VLOOKUP($B14,Lebensmittel!$A$2:$G$14500,2,0))</f>
        <v/>
      </c>
    </row>
    <row r="15" spans="1:256" x14ac:dyDescent="0.25">
      <c r="B15" s="37"/>
      <c r="C15" s="38"/>
      <c r="D15" s="19" t="str">
        <f>IF(ISBLANK(B15),"",$C15*VLOOKUP($B15,Lebensmittel!$A$2:$G$14500,3,0)/VLOOKUP($B15,Lebensmittel!$A$2:$G$14500,2,0))</f>
        <v/>
      </c>
      <c r="E15" s="19" t="str">
        <f>IF(ISBLANK(B15),"",$C15*VLOOKUP($B15,Lebensmittel!$A$2:$G$14500,7,0)/VLOOKUP($B15,Lebensmittel!$A$2:$G$14500,2,0))</f>
        <v/>
      </c>
      <c r="F15" s="20" t="str">
        <f>IF(ISBLANK(B15),"",$C15*VLOOKUP($B15,Lebensmittel!$A$2:$G$14500,4,0)/VLOOKUP($B15,Lebensmittel!$A$2:$G$14500,2,0))</f>
        <v/>
      </c>
      <c r="G15" s="20" t="str">
        <f>IF(ISBLANK(B15),"",$C15*VLOOKUP($B15,Lebensmittel!$A$2:$G$14500,5,0)/VLOOKUP($B15,Lebensmittel!$A$2:$G$14500,2,0))</f>
        <v/>
      </c>
      <c r="H15" s="20" t="str">
        <f>IF(ISBLANK(B15),"",$C15*VLOOKUP($B15,Lebensmittel!$A$2:$G$14500,6,0)/VLOOKUP($B15,Lebensmittel!$A$2:$G$14500,2,0))</f>
        <v/>
      </c>
    </row>
    <row r="16" spans="1:256" x14ac:dyDescent="0.25">
      <c r="B16" s="37"/>
      <c r="C16" s="38"/>
      <c r="D16" s="19" t="str">
        <f>IF(ISBLANK(B16),"",$C16*VLOOKUP($B16,Lebensmittel!$A$2:$G$14500,3,0)/VLOOKUP($B16,Lebensmittel!$A$2:$G$14500,2,0))</f>
        <v/>
      </c>
      <c r="E16" s="19" t="str">
        <f>IF(ISBLANK(B16),"",$C16*VLOOKUP($B16,Lebensmittel!$A$2:$G$14500,7,0)/VLOOKUP($B16,Lebensmittel!$A$2:$G$14500,2,0))</f>
        <v/>
      </c>
      <c r="F16" s="20" t="str">
        <f>IF(ISBLANK(B16),"",$C16*VLOOKUP($B16,Lebensmittel!$A$2:$G$14500,4,0)/VLOOKUP($B16,Lebensmittel!$A$2:$G$14500,2,0))</f>
        <v/>
      </c>
      <c r="G16" s="20" t="str">
        <f>IF(ISBLANK(B16),"",$C16*VLOOKUP($B16,Lebensmittel!$A$2:$G$14500,5,0)/VLOOKUP($B16,Lebensmittel!$A$2:$G$14500,2,0))</f>
        <v/>
      </c>
      <c r="H16" s="20" t="str">
        <f>IF(ISBLANK(B16),"",$C16*VLOOKUP($B16,Lebensmittel!$A$2:$G$14500,6,0)/VLOOKUP($B16,Lebensmittel!$A$2:$G$14500,2,0))</f>
        <v/>
      </c>
    </row>
    <row r="17" spans="1:256" x14ac:dyDescent="0.25">
      <c r="B17" s="37"/>
      <c r="C17" s="38"/>
      <c r="D17" s="19" t="str">
        <f>IF(ISBLANK(B17),"",$C17*VLOOKUP($B17,Lebensmittel!$A$2:$G$14500,3,0)/VLOOKUP($B17,Lebensmittel!$A$2:$G$14500,2,0))</f>
        <v/>
      </c>
      <c r="E17" s="19" t="str">
        <f>IF(ISBLANK(B17),"",$C17*VLOOKUP($B17,Lebensmittel!$A$2:$G$14500,7,0)/VLOOKUP($B17,Lebensmittel!$A$2:$G$14500,2,0))</f>
        <v/>
      </c>
      <c r="F17" s="20" t="str">
        <f>IF(ISBLANK(B17),"",$C17*VLOOKUP($B17,Lebensmittel!$A$2:$G$14500,4,0)/VLOOKUP($B17,Lebensmittel!$A$2:$G$14500,2,0))</f>
        <v/>
      </c>
      <c r="G17" s="20" t="str">
        <f>IF(ISBLANK(B17),"",$C17*VLOOKUP($B17,Lebensmittel!$A$2:$G$14500,5,0)/VLOOKUP($B17,Lebensmittel!$A$2:$G$14500,2,0))</f>
        <v/>
      </c>
      <c r="H17" s="20" t="str">
        <f>IF(ISBLANK(B17),"",$C17*VLOOKUP($B17,Lebensmittel!$A$2:$G$14500,6,0)/VLOOKUP($B17,Lebensmittel!$A$2:$G$14500,2,0))</f>
        <v/>
      </c>
    </row>
    <row r="18" spans="1:256" x14ac:dyDescent="0.25">
      <c r="B18" s="37"/>
      <c r="C18" s="38"/>
      <c r="D18" s="19" t="str">
        <f>IF(ISBLANK(B18),"",$C18*VLOOKUP($B18,Lebensmittel!$A$2:$G$14500,3,0)/VLOOKUP($B18,Lebensmittel!$A$2:$G$14500,2,0))</f>
        <v/>
      </c>
      <c r="E18" s="19" t="str">
        <f>IF(ISBLANK(B18),"",$C18*VLOOKUP($B18,Lebensmittel!$A$2:$G$14500,7,0)/VLOOKUP($B18,Lebensmittel!$A$2:$G$14500,2,0))</f>
        <v/>
      </c>
      <c r="F18" s="20" t="str">
        <f>IF(ISBLANK(B18),"",$C18*VLOOKUP($B18,Lebensmittel!$A$2:$G$14500,4,0)/VLOOKUP($B18,Lebensmittel!$A$2:$G$14500,2,0))</f>
        <v/>
      </c>
      <c r="G18" s="20" t="str">
        <f>IF(ISBLANK(B18),"",$C18*VLOOKUP($B18,Lebensmittel!$A$2:$G$14500,5,0)/VLOOKUP($B18,Lebensmittel!$A$2:$G$14500,2,0))</f>
        <v/>
      </c>
      <c r="H18" s="20" t="str">
        <f>IF(ISBLANK(B18),"",$C18*VLOOKUP($B18,Lebensmittel!$A$2:$G$14500,6,0)/VLOOKUP($B18,Lebensmittel!$A$2:$G$14500,2,0))</f>
        <v/>
      </c>
    </row>
    <row r="19" spans="1:256" x14ac:dyDescent="0.25">
      <c r="B19" s="37"/>
      <c r="C19" s="38"/>
      <c r="D19" s="19" t="str">
        <f>IF(ISBLANK(B19),"",$C19*VLOOKUP($B19,Lebensmittel!$A$2:$G$14500,3,0)/VLOOKUP($B19,Lebensmittel!$A$2:$G$14500,2,0))</f>
        <v/>
      </c>
      <c r="E19" s="19" t="str">
        <f>IF(ISBLANK(B19),"",$C19*VLOOKUP($B19,Lebensmittel!$A$2:$G$14500,7,0)/VLOOKUP($B19,Lebensmittel!$A$2:$G$14500,2,0))</f>
        <v/>
      </c>
      <c r="F19" s="20" t="str">
        <f>IF(ISBLANK(B19),"",$C19*VLOOKUP($B19,Lebensmittel!$A$2:$G$14500,4,0)/VLOOKUP($B19,Lebensmittel!$A$2:$G$14500,2,0))</f>
        <v/>
      </c>
      <c r="G19" s="20" t="str">
        <f>IF(ISBLANK(B19),"",$C19*VLOOKUP($B19,Lebensmittel!$A$2:$G$14500,5,0)/VLOOKUP($B19,Lebensmittel!$A$2:$G$14500,2,0))</f>
        <v/>
      </c>
      <c r="H19" s="20" t="str">
        <f>IF(ISBLANK(B19),"",$C19*VLOOKUP($B19,Lebensmittel!$A$2:$G$14500,6,0)/VLOOKUP($B19,Lebensmittel!$A$2:$G$14500,2,0))</f>
        <v/>
      </c>
    </row>
    <row r="20" spans="1:256" x14ac:dyDescent="0.25">
      <c r="B20" s="33" t="s">
        <v>38</v>
      </c>
      <c r="C20" s="34">
        <f t="shared" ref="C20:H20" si="2">SUM(C10:C19)</f>
        <v>165</v>
      </c>
      <c r="D20" s="35">
        <f t="shared" si="2"/>
        <v>524.25</v>
      </c>
      <c r="E20" s="35">
        <f t="shared" si="2"/>
        <v>524.25</v>
      </c>
      <c r="F20" s="36">
        <f t="shared" si="2"/>
        <v>27.5</v>
      </c>
      <c r="G20" s="36">
        <f t="shared" si="2"/>
        <v>46</v>
      </c>
      <c r="H20" s="36">
        <f t="shared" si="2"/>
        <v>21.5</v>
      </c>
    </row>
    <row r="22" spans="1:256" ht="18" x14ac:dyDescent="0.25">
      <c r="A22" s="39" t="s">
        <v>39</v>
      </c>
      <c r="B22" s="39"/>
      <c r="C22" s="3"/>
      <c r="D22" s="4"/>
      <c r="E22" s="4"/>
      <c r="F22" s="5"/>
      <c r="G22" s="5"/>
      <c r="H22" s="5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</row>
    <row r="23" spans="1:256" s="7" customFormat="1" ht="15.75" x14ac:dyDescent="0.25">
      <c r="B23" s="2" t="s">
        <v>3</v>
      </c>
      <c r="C23" s="8" t="s">
        <v>5</v>
      </c>
      <c r="D23" s="9" t="s">
        <v>6</v>
      </c>
      <c r="E23" s="9" t="s">
        <v>6</v>
      </c>
      <c r="F23" s="10" t="s">
        <v>7</v>
      </c>
      <c r="G23" s="10" t="s">
        <v>8</v>
      </c>
      <c r="H23" s="10" t="s">
        <v>9</v>
      </c>
    </row>
    <row r="24" spans="1:256" x14ac:dyDescent="0.25">
      <c r="B24" s="37" t="s">
        <v>29</v>
      </c>
      <c r="C24" s="38">
        <v>100</v>
      </c>
      <c r="D24" s="19">
        <f>IF(ISBLANK(B24),"",$C24*VLOOKUP($B24,Lebensmittel!$A$2:$G$14500,3,0)/VLOOKUP($B24,Lebensmittel!$A$2:$G$14500,2,0))</f>
        <v>328</v>
      </c>
      <c r="E24" s="19">
        <f>IF(ISBLANK(B24),"",$C24*VLOOKUP($B24,Lebensmittel!$A$2:$G$14500,7,0)/VLOOKUP($B24,Lebensmittel!$A$2:$G$14500,2,0))</f>
        <v>328</v>
      </c>
      <c r="F24" s="20">
        <f>IF(ISBLANK(B24),"",$C24*VLOOKUP($B24,Lebensmittel!$A$2:$G$14500,4,0)/VLOOKUP($B24,Lebensmittel!$A$2:$G$14500,2,0))</f>
        <v>0</v>
      </c>
      <c r="G24" s="20">
        <f>IF(ISBLANK(B24),"",$C24*VLOOKUP($B24,Lebensmittel!$A$2:$G$14500,5,0)/VLOOKUP($B24,Lebensmittel!$A$2:$G$14500,2,0))</f>
        <v>80</v>
      </c>
      <c r="H24" s="20">
        <f>IF(ISBLANK(B24),"",$C24*VLOOKUP($B24,Lebensmittel!$A$2:$G$14500,6,0)/VLOOKUP($B24,Lebensmittel!$A$2:$G$14500,2,0))</f>
        <v>0</v>
      </c>
    </row>
    <row r="25" spans="1:256" x14ac:dyDescent="0.25">
      <c r="B25" s="37" t="s">
        <v>33</v>
      </c>
      <c r="C25" s="38">
        <v>75</v>
      </c>
      <c r="D25" s="19">
        <f>IF(ISBLANK(B25),"",$C25*VLOOKUP($B25,Lebensmittel!$A$2:$G$14500,3,0)/VLOOKUP($B25,Lebensmittel!$A$2:$G$14500,2,0))</f>
        <v>294.75</v>
      </c>
      <c r="E25" s="19">
        <f>IF(ISBLANK(B25),"",$C25*VLOOKUP($B25,Lebensmittel!$A$2:$G$14500,7,0)/VLOOKUP($B25,Lebensmittel!$A$2:$G$14500,2,0))</f>
        <v>294.75</v>
      </c>
      <c r="F25" s="20">
        <f>IF(ISBLANK(B25),"",$C25*VLOOKUP($B25,Lebensmittel!$A$2:$G$14500,4,0)/VLOOKUP($B25,Lebensmittel!$A$2:$G$14500,2,0))</f>
        <v>22.5</v>
      </c>
      <c r="G25" s="20">
        <f>IF(ISBLANK(B25),"",$C25*VLOOKUP($B25,Lebensmittel!$A$2:$G$14500,5,0)/VLOOKUP($B25,Lebensmittel!$A$2:$G$14500,2,0))</f>
        <v>0</v>
      </c>
      <c r="H25" s="20">
        <f>IF(ISBLANK(B25),"",$C25*VLOOKUP($B25,Lebensmittel!$A$2:$G$14500,6,0)/VLOOKUP($B25,Lebensmittel!$A$2:$G$14500,2,0))</f>
        <v>22.5</v>
      </c>
    </row>
    <row r="26" spans="1:256" x14ac:dyDescent="0.25">
      <c r="B26" s="37" t="s">
        <v>30</v>
      </c>
      <c r="C26" s="38">
        <v>20</v>
      </c>
      <c r="D26" s="19">
        <f>IF(ISBLANK(B26),"",$C26*VLOOKUP($B26,Lebensmittel!$A$2:$G$14500,3,0)/VLOOKUP($B26,Lebensmittel!$A$2:$G$14500,2,0))</f>
        <v>59.8</v>
      </c>
      <c r="E26" s="19">
        <f>IF(ISBLANK(B26),"",$C26*VLOOKUP($B26,Lebensmittel!$A$2:$G$14500,7,0)/VLOOKUP($B26,Lebensmittel!$A$2:$G$14500,2,0))</f>
        <v>59.8</v>
      </c>
      <c r="F26" s="20">
        <f>IF(ISBLANK(B26),"",$C26*VLOOKUP($B26,Lebensmittel!$A$2:$G$14500,4,0)/VLOOKUP($B26,Lebensmittel!$A$2:$G$14500,2,0))</f>
        <v>3</v>
      </c>
      <c r="G26" s="20">
        <f>IF(ISBLANK(B26),"",$C26*VLOOKUP($B26,Lebensmittel!$A$2:$G$14500,5,0)/VLOOKUP($B26,Lebensmittel!$A$2:$G$14500,2,0))</f>
        <v>8</v>
      </c>
      <c r="H26" s="20">
        <f>IF(ISBLANK(B26),"",$C26*VLOOKUP($B26,Lebensmittel!$A$2:$G$14500,6,0)/VLOOKUP($B26,Lebensmittel!$A$2:$G$14500,2,0))</f>
        <v>0</v>
      </c>
    </row>
    <row r="27" spans="1:256" x14ac:dyDescent="0.25">
      <c r="B27" s="37"/>
      <c r="C27" s="38"/>
      <c r="D27" s="19" t="str">
        <f>IF(ISBLANK(B27),"",$C27*VLOOKUP($B27,Lebensmittel!$A$2:$G$14500,3,0)/VLOOKUP($B27,Lebensmittel!$A$2:$G$14500,2,0))</f>
        <v/>
      </c>
      <c r="E27" s="19" t="str">
        <f>IF(ISBLANK(B27),"",$C27*VLOOKUP($B27,Lebensmittel!$A$2:$G$14500,7,0)/VLOOKUP($B27,Lebensmittel!$A$2:$G$14500,2,0))</f>
        <v/>
      </c>
      <c r="F27" s="20" t="str">
        <f>IF(ISBLANK(B27),"",$C27*VLOOKUP($B27,Lebensmittel!$A$2:$G$14500,4,0)/VLOOKUP($B27,Lebensmittel!$A$2:$G$14500,2,0))</f>
        <v/>
      </c>
      <c r="G27" s="20" t="str">
        <f>IF(ISBLANK(B27),"",$C27*VLOOKUP($B27,Lebensmittel!$A$2:$G$14500,5,0)/VLOOKUP($B27,Lebensmittel!$A$2:$G$14500,2,0))</f>
        <v/>
      </c>
      <c r="H27" s="20" t="str">
        <f>IF(ISBLANK(B27),"",$C27*VLOOKUP($B27,Lebensmittel!$A$2:$G$14500,6,0)/VLOOKUP($B27,Lebensmittel!$A$2:$G$14500,2,0))</f>
        <v/>
      </c>
    </row>
    <row r="28" spans="1:256" x14ac:dyDescent="0.25">
      <c r="B28" s="37"/>
      <c r="C28" s="38"/>
      <c r="D28" s="19" t="str">
        <f>IF(ISBLANK(B28),"",$C28*VLOOKUP($B28,Lebensmittel!$A$2:$G$14500,3,0)/VLOOKUP($B28,Lebensmittel!$A$2:$G$14500,2,0))</f>
        <v/>
      </c>
      <c r="E28" s="19" t="str">
        <f>IF(ISBLANK(B28),"",$C28*VLOOKUP($B28,Lebensmittel!$A$2:$G$14500,7,0)/VLOOKUP($B28,Lebensmittel!$A$2:$G$14500,2,0))</f>
        <v/>
      </c>
      <c r="F28" s="20" t="str">
        <f>IF(ISBLANK(B28),"",$C28*VLOOKUP($B28,Lebensmittel!$A$2:$G$14500,4,0)/VLOOKUP($B28,Lebensmittel!$A$2:$G$14500,2,0))</f>
        <v/>
      </c>
      <c r="G28" s="20" t="str">
        <f>IF(ISBLANK(B28),"",$C28*VLOOKUP($B28,Lebensmittel!$A$2:$G$14500,5,0)/VLOOKUP($B28,Lebensmittel!$A$2:$G$14500,2,0))</f>
        <v/>
      </c>
      <c r="H28" s="20" t="str">
        <f>IF(ISBLANK(B28),"",$C28*VLOOKUP($B28,Lebensmittel!$A$2:$G$14500,6,0)/VLOOKUP($B28,Lebensmittel!$A$2:$G$14500,2,0))</f>
        <v/>
      </c>
    </row>
    <row r="29" spans="1:256" x14ac:dyDescent="0.25">
      <c r="B29" s="37"/>
      <c r="C29" s="38"/>
      <c r="D29" s="19" t="str">
        <f>IF(ISBLANK(B29),"",$C29*VLOOKUP($B29,Lebensmittel!$A$2:$G$14500,3,0)/VLOOKUP($B29,Lebensmittel!$A$2:$G$14500,2,0))</f>
        <v/>
      </c>
      <c r="E29" s="19" t="str">
        <f>IF(ISBLANK(B29),"",$C29*VLOOKUP($B29,Lebensmittel!$A$2:$G$14500,7,0)/VLOOKUP($B29,Lebensmittel!$A$2:$G$14500,2,0))</f>
        <v/>
      </c>
      <c r="F29" s="20" t="str">
        <f>IF(ISBLANK(B29),"",$C29*VLOOKUP($B29,Lebensmittel!$A$2:$G$14500,4,0)/VLOOKUP($B29,Lebensmittel!$A$2:$G$14500,2,0))</f>
        <v/>
      </c>
      <c r="G29" s="20" t="str">
        <f>IF(ISBLANK(B29),"",$C29*VLOOKUP($B29,Lebensmittel!$A$2:$G$14500,5,0)/VLOOKUP($B29,Lebensmittel!$A$2:$G$14500,2,0))</f>
        <v/>
      </c>
      <c r="H29" s="20" t="str">
        <f>IF(ISBLANK(B29),"",$C29*VLOOKUP($B29,Lebensmittel!$A$2:$G$14500,6,0)/VLOOKUP($B29,Lebensmittel!$A$2:$G$14500,2,0))</f>
        <v/>
      </c>
    </row>
    <row r="30" spans="1:256" x14ac:dyDescent="0.25">
      <c r="B30" s="37"/>
      <c r="C30" s="38"/>
      <c r="D30" s="19" t="str">
        <f>IF(ISBLANK(B30),"",$C30*VLOOKUP($B30,Lebensmittel!$A$2:$G$14500,3,0)/VLOOKUP($B30,Lebensmittel!$A$2:$G$14500,2,0))</f>
        <v/>
      </c>
      <c r="E30" s="19" t="str">
        <f>IF(ISBLANK(B30),"",$C30*VLOOKUP($B30,Lebensmittel!$A$2:$G$14500,7,0)/VLOOKUP($B30,Lebensmittel!$A$2:$G$14500,2,0))</f>
        <v/>
      </c>
      <c r="F30" s="20" t="str">
        <f>IF(ISBLANK(B30),"",$C30*VLOOKUP($B30,Lebensmittel!$A$2:$G$14500,4,0)/VLOOKUP($B30,Lebensmittel!$A$2:$G$14500,2,0))</f>
        <v/>
      </c>
      <c r="G30" s="20" t="str">
        <f>IF(ISBLANK(B30),"",$C30*VLOOKUP($B30,Lebensmittel!$A$2:$G$14500,5,0)/VLOOKUP($B30,Lebensmittel!$A$2:$G$14500,2,0))</f>
        <v/>
      </c>
      <c r="H30" s="20" t="str">
        <f>IF(ISBLANK(B30),"",$C30*VLOOKUP($B30,Lebensmittel!$A$2:$G$14500,6,0)/VLOOKUP($B30,Lebensmittel!$A$2:$G$14500,2,0))</f>
        <v/>
      </c>
    </row>
    <row r="31" spans="1:256" x14ac:dyDescent="0.25">
      <c r="B31" s="37"/>
      <c r="C31" s="38"/>
      <c r="D31" s="19" t="str">
        <f>IF(ISBLANK(B31),"",$C31*VLOOKUP($B31,Lebensmittel!$A$2:$G$14500,3,0)/VLOOKUP($B31,Lebensmittel!$A$2:$G$14500,2,0))</f>
        <v/>
      </c>
      <c r="E31" s="19" t="str">
        <f>IF(ISBLANK(B31),"",$C31*VLOOKUP($B31,Lebensmittel!$A$2:$G$14500,7,0)/VLOOKUP($B31,Lebensmittel!$A$2:$G$14500,2,0))</f>
        <v/>
      </c>
      <c r="F31" s="20" t="str">
        <f>IF(ISBLANK(B31),"",$C31*VLOOKUP($B31,Lebensmittel!$A$2:$G$14500,4,0)/VLOOKUP($B31,Lebensmittel!$A$2:$G$14500,2,0))</f>
        <v/>
      </c>
      <c r="G31" s="20" t="str">
        <f>IF(ISBLANK(B31),"",$C31*VLOOKUP($B31,Lebensmittel!$A$2:$G$14500,5,0)/VLOOKUP($B31,Lebensmittel!$A$2:$G$14500,2,0))</f>
        <v/>
      </c>
      <c r="H31" s="20" t="str">
        <f>IF(ISBLANK(B31),"",$C31*VLOOKUP($B31,Lebensmittel!$A$2:$G$14500,6,0)/VLOOKUP($B31,Lebensmittel!$A$2:$G$14500,2,0))</f>
        <v/>
      </c>
    </row>
    <row r="32" spans="1:256" x14ac:dyDescent="0.25">
      <c r="B32" s="37"/>
      <c r="C32" s="38"/>
      <c r="D32" s="19" t="str">
        <f>IF(ISBLANK(B32),"",$C32*VLOOKUP($B32,Lebensmittel!$A$2:$G$14500,3,0)/VLOOKUP($B32,Lebensmittel!$A$2:$G$14500,2,0))</f>
        <v/>
      </c>
      <c r="E32" s="19" t="str">
        <f>IF(ISBLANK(B32),"",$C32*VLOOKUP($B32,Lebensmittel!$A$2:$G$14500,7,0)/VLOOKUP($B32,Lebensmittel!$A$2:$G$14500,2,0))</f>
        <v/>
      </c>
      <c r="F32" s="20" t="str">
        <f>IF(ISBLANK(B32),"",$C32*VLOOKUP($B32,Lebensmittel!$A$2:$G$14500,4,0)/VLOOKUP($B32,Lebensmittel!$A$2:$G$14500,2,0))</f>
        <v/>
      </c>
      <c r="G32" s="20" t="str">
        <f>IF(ISBLANK(B32),"",$C32*VLOOKUP($B32,Lebensmittel!$A$2:$G$14500,5,0)/VLOOKUP($B32,Lebensmittel!$A$2:$G$14500,2,0))</f>
        <v/>
      </c>
      <c r="H32" s="20" t="str">
        <f>IF(ISBLANK(B32),"",$C32*VLOOKUP($B32,Lebensmittel!$A$2:$G$14500,6,0)/VLOOKUP($B32,Lebensmittel!$A$2:$G$14500,2,0))</f>
        <v/>
      </c>
    </row>
    <row r="33" spans="1:256" x14ac:dyDescent="0.25">
      <c r="B33" s="37"/>
      <c r="C33" s="38"/>
      <c r="D33" s="19" t="str">
        <f>IF(ISBLANK(B33),"",$C33*VLOOKUP($B33,Lebensmittel!$A$2:$G$14500,3,0)/VLOOKUP($B33,Lebensmittel!$A$2:$G$14500,2,0))</f>
        <v/>
      </c>
      <c r="E33" s="19" t="str">
        <f>IF(ISBLANK(B33),"",$C33*VLOOKUP($B33,Lebensmittel!$A$2:$G$14500,7,0)/VLOOKUP($B33,Lebensmittel!$A$2:$G$14500,2,0))</f>
        <v/>
      </c>
      <c r="F33" s="20" t="str">
        <f>IF(ISBLANK(B33),"",$C33*VLOOKUP($B33,Lebensmittel!$A$2:$G$14500,4,0)/VLOOKUP($B33,Lebensmittel!$A$2:$G$14500,2,0))</f>
        <v/>
      </c>
      <c r="G33" s="20" t="str">
        <f>IF(ISBLANK(B33),"",$C33*VLOOKUP($B33,Lebensmittel!$A$2:$G$14500,5,0)/VLOOKUP($B33,Lebensmittel!$A$2:$G$14500,2,0))</f>
        <v/>
      </c>
      <c r="H33" s="20" t="str">
        <f>IF(ISBLANK(B33),"",$C33*VLOOKUP($B33,Lebensmittel!$A$2:$G$14500,6,0)/VLOOKUP($B33,Lebensmittel!$A$2:$G$14500,2,0))</f>
        <v/>
      </c>
    </row>
    <row r="34" spans="1:256" x14ac:dyDescent="0.25">
      <c r="B34" s="33" t="s">
        <v>40</v>
      </c>
      <c r="C34" s="34">
        <f t="shared" ref="C34:H34" si="3">SUM(C24:C33)</f>
        <v>195</v>
      </c>
      <c r="D34" s="35">
        <f t="shared" si="3"/>
        <v>682.55</v>
      </c>
      <c r="E34" s="35">
        <f t="shared" si="3"/>
        <v>682.55</v>
      </c>
      <c r="F34" s="36">
        <f t="shared" si="3"/>
        <v>25.5</v>
      </c>
      <c r="G34" s="36">
        <f t="shared" si="3"/>
        <v>88</v>
      </c>
      <c r="H34" s="36">
        <f t="shared" si="3"/>
        <v>22.5</v>
      </c>
    </row>
    <row r="36" spans="1:256" ht="18" x14ac:dyDescent="0.25">
      <c r="A36" s="39" t="s">
        <v>41</v>
      </c>
      <c r="B36" s="39"/>
      <c r="C36" s="3"/>
      <c r="D36" s="4"/>
      <c r="E36" s="4"/>
      <c r="F36" s="5"/>
      <c r="G36" s="5"/>
      <c r="H36" s="5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</row>
    <row r="37" spans="1:256" s="7" customFormat="1" ht="15.75" x14ac:dyDescent="0.25">
      <c r="B37" s="2" t="s">
        <v>3</v>
      </c>
      <c r="C37" s="8" t="s">
        <v>5</v>
      </c>
      <c r="D37" s="9" t="s">
        <v>6</v>
      </c>
      <c r="E37" s="9" t="s">
        <v>6</v>
      </c>
      <c r="F37" s="10" t="s">
        <v>7</v>
      </c>
      <c r="G37" s="10" t="s">
        <v>8</v>
      </c>
      <c r="H37" s="10" t="s">
        <v>9</v>
      </c>
    </row>
    <row r="38" spans="1:256" x14ac:dyDescent="0.25">
      <c r="B38" s="37" t="s">
        <v>28</v>
      </c>
      <c r="C38" s="38">
        <v>75</v>
      </c>
      <c r="D38" s="19">
        <f>IF(ISBLANK(B38),"",$C38*VLOOKUP($B38,Lebensmittel!$A$2:$G$14500,3,0)/VLOOKUP($B38,Lebensmittel!$A$2:$G$14500,2,0))</f>
        <v>255</v>
      </c>
      <c r="E38" s="19">
        <f>IF(ISBLANK(B38),"",$C38*VLOOKUP($B38,Lebensmittel!$A$2:$G$14500,7,0)/VLOOKUP($B38,Lebensmittel!$A$2:$G$14500,2,0))</f>
        <v>255</v>
      </c>
      <c r="F38" s="20">
        <f>IF(ISBLANK(B38),"",$C38*VLOOKUP($B38,Lebensmittel!$A$2:$G$14500,4,0)/VLOOKUP($B38,Lebensmittel!$A$2:$G$14500,2,0))</f>
        <v>11.25</v>
      </c>
      <c r="G38" s="20">
        <f>IF(ISBLANK(B38),"",$C38*VLOOKUP($B38,Lebensmittel!$A$2:$G$14500,5,0)/VLOOKUP($B38,Lebensmittel!$A$2:$G$14500,2,0))</f>
        <v>37.5</v>
      </c>
      <c r="H38" s="20">
        <f>IF(ISBLANK(B38),"",$C38*VLOOKUP($B38,Lebensmittel!$A$2:$G$14500,6,0)/VLOOKUP($B38,Lebensmittel!$A$2:$G$14500,2,0))</f>
        <v>0</v>
      </c>
    </row>
    <row r="39" spans="1:256" x14ac:dyDescent="0.25">
      <c r="B39" s="37" t="s">
        <v>31</v>
      </c>
      <c r="C39" s="38">
        <v>15</v>
      </c>
      <c r="D39" s="19">
        <f>IF(ISBLANK(B39),"",$C39*VLOOKUP($B39,Lebensmittel!$A$2:$G$14500,3,0)/VLOOKUP($B39,Lebensmittel!$A$2:$G$14500,2,0))</f>
        <v>78.599999999999994</v>
      </c>
      <c r="E39" s="19">
        <f>IF(ISBLANK(B39),"",$C39*VLOOKUP($B39,Lebensmittel!$A$2:$G$14500,7,0)/VLOOKUP($B39,Lebensmittel!$A$2:$G$14500,2,0))</f>
        <v>78.599999999999994</v>
      </c>
      <c r="F39" s="20">
        <f>IF(ISBLANK(B39),"",$C39*VLOOKUP($B39,Lebensmittel!$A$2:$G$14500,4,0)/VLOOKUP($B39,Lebensmittel!$A$2:$G$14500,2,0))</f>
        <v>6</v>
      </c>
      <c r="G39" s="20">
        <f>IF(ISBLANK(B39),"",$C39*VLOOKUP($B39,Lebensmittel!$A$2:$G$14500,5,0)/VLOOKUP($B39,Lebensmittel!$A$2:$G$14500,2,0))</f>
        <v>6</v>
      </c>
      <c r="H39" s="20">
        <f>IF(ISBLANK(B39),"",$C39*VLOOKUP($B39,Lebensmittel!$A$2:$G$14500,6,0)/VLOOKUP($B39,Lebensmittel!$A$2:$G$14500,2,0))</f>
        <v>0</v>
      </c>
    </row>
    <row r="40" spans="1:256" x14ac:dyDescent="0.25">
      <c r="B40" s="37"/>
      <c r="C40" s="38"/>
      <c r="D40" s="19" t="str">
        <f>IF(ISBLANK(B40),"",$C40*VLOOKUP($B40,Lebensmittel!$A$2:$G$14500,3,0)/VLOOKUP($B40,Lebensmittel!$A$2:$G$14500,2,0))</f>
        <v/>
      </c>
      <c r="E40" s="19" t="str">
        <f>IF(ISBLANK(B40),"",$C40*VLOOKUP($B40,Lebensmittel!$A$2:$G$14500,7,0)/VLOOKUP($B40,Lebensmittel!$A$2:$G$14500,2,0))</f>
        <v/>
      </c>
      <c r="F40" s="20" t="str">
        <f>IF(ISBLANK(B40),"",$C40*VLOOKUP($B40,Lebensmittel!$A$2:$G$14500,4,0)/VLOOKUP($B40,Lebensmittel!$A$2:$G$14500,2,0))</f>
        <v/>
      </c>
      <c r="G40" s="20" t="str">
        <f>IF(ISBLANK(B40),"",$C40*VLOOKUP($B40,Lebensmittel!$A$2:$G$14500,5,0)/VLOOKUP($B40,Lebensmittel!$A$2:$G$14500,2,0))</f>
        <v/>
      </c>
      <c r="H40" s="20" t="str">
        <f>IF(ISBLANK(B40),"",$C40*VLOOKUP($B40,Lebensmittel!$A$2:$G$14500,6,0)/VLOOKUP($B40,Lebensmittel!$A$2:$G$14500,2,0))</f>
        <v/>
      </c>
    </row>
    <row r="41" spans="1:256" x14ac:dyDescent="0.25">
      <c r="B41" s="37"/>
      <c r="C41" s="38"/>
      <c r="D41" s="19" t="str">
        <f>IF(ISBLANK(B41),"",$C41*VLOOKUP($B41,Lebensmittel!$A$2:$G$14500,3,0)/VLOOKUP($B41,Lebensmittel!$A$2:$G$14500,2,0))</f>
        <v/>
      </c>
      <c r="E41" s="19" t="str">
        <f>IF(ISBLANK(B41),"",$C41*VLOOKUP($B41,Lebensmittel!$A$2:$G$14500,7,0)/VLOOKUP($B41,Lebensmittel!$A$2:$G$14500,2,0))</f>
        <v/>
      </c>
      <c r="F41" s="20" t="str">
        <f>IF(ISBLANK(B41),"",$C41*VLOOKUP($B41,Lebensmittel!$A$2:$G$14500,4,0)/VLOOKUP($B41,Lebensmittel!$A$2:$G$14500,2,0))</f>
        <v/>
      </c>
      <c r="G41" s="20" t="str">
        <f>IF(ISBLANK(B41),"",$C41*VLOOKUP($B41,Lebensmittel!$A$2:$G$14500,5,0)/VLOOKUP($B41,Lebensmittel!$A$2:$G$14500,2,0))</f>
        <v/>
      </c>
      <c r="H41" s="20" t="str">
        <f>IF(ISBLANK(B41),"",$C41*VLOOKUP($B41,Lebensmittel!$A$2:$G$14500,6,0)/VLOOKUP($B41,Lebensmittel!$A$2:$G$14500,2,0))</f>
        <v/>
      </c>
    </row>
    <row r="42" spans="1:256" x14ac:dyDescent="0.25">
      <c r="B42" s="37"/>
      <c r="C42" s="38"/>
      <c r="D42" s="19" t="str">
        <f>IF(ISBLANK(B42),"",$C42*VLOOKUP($B42,Lebensmittel!$A$2:$G$14500,3,0)/VLOOKUP($B42,Lebensmittel!$A$2:$G$14500,2,0))</f>
        <v/>
      </c>
      <c r="E42" s="19" t="str">
        <f>IF(ISBLANK(B42),"",$C42*VLOOKUP($B42,Lebensmittel!$A$2:$G$14500,7,0)/VLOOKUP($B42,Lebensmittel!$A$2:$G$14500,2,0))</f>
        <v/>
      </c>
      <c r="F42" s="20" t="str">
        <f>IF(ISBLANK(B42),"",$C42*VLOOKUP($B42,Lebensmittel!$A$2:$G$14500,4,0)/VLOOKUP($B42,Lebensmittel!$A$2:$G$14500,2,0))</f>
        <v/>
      </c>
      <c r="G42" s="20" t="str">
        <f>IF(ISBLANK(B42),"",$C42*VLOOKUP($B42,Lebensmittel!$A$2:$G$14500,5,0)/VLOOKUP($B42,Lebensmittel!$A$2:$G$14500,2,0))</f>
        <v/>
      </c>
      <c r="H42" s="20" t="str">
        <f>IF(ISBLANK(B42),"",$C42*VLOOKUP($B42,Lebensmittel!$A$2:$G$14500,6,0)/VLOOKUP($B42,Lebensmittel!$A$2:$G$14500,2,0))</f>
        <v/>
      </c>
    </row>
    <row r="43" spans="1:256" x14ac:dyDescent="0.25">
      <c r="B43" s="37"/>
      <c r="C43" s="38"/>
      <c r="D43" s="19" t="str">
        <f>IF(ISBLANK(B43),"",$C43*VLOOKUP($B43,Lebensmittel!$A$2:$G$14500,3,0)/VLOOKUP($B43,Lebensmittel!$A$2:$G$14500,2,0))</f>
        <v/>
      </c>
      <c r="E43" s="19" t="str">
        <f>IF(ISBLANK(B43),"",$C43*VLOOKUP($B43,Lebensmittel!$A$2:$G$14500,7,0)/VLOOKUP($B43,Lebensmittel!$A$2:$G$14500,2,0))</f>
        <v/>
      </c>
      <c r="F43" s="20" t="str">
        <f>IF(ISBLANK(B43),"",$C43*VLOOKUP($B43,Lebensmittel!$A$2:$G$14500,4,0)/VLOOKUP($B43,Lebensmittel!$A$2:$G$14500,2,0))</f>
        <v/>
      </c>
      <c r="G43" s="20" t="str">
        <f>IF(ISBLANK(B43),"",$C43*VLOOKUP($B43,Lebensmittel!$A$2:$G$14500,5,0)/VLOOKUP($B43,Lebensmittel!$A$2:$G$14500,2,0))</f>
        <v/>
      </c>
      <c r="H43" s="20" t="str">
        <f>IF(ISBLANK(B43),"",$C43*VLOOKUP($B43,Lebensmittel!$A$2:$G$14500,6,0)/VLOOKUP($B43,Lebensmittel!$A$2:$G$14500,2,0))</f>
        <v/>
      </c>
    </row>
    <row r="44" spans="1:256" x14ac:dyDescent="0.25">
      <c r="B44" s="37"/>
      <c r="C44" s="38"/>
      <c r="D44" s="19" t="str">
        <f>IF(ISBLANK(B44),"",$C44*VLOOKUP($B44,Lebensmittel!$A$2:$G$14500,3,0)/VLOOKUP($B44,Lebensmittel!$A$2:$G$14500,2,0))</f>
        <v/>
      </c>
      <c r="E44" s="19" t="str">
        <f>IF(ISBLANK(B44),"",$C44*VLOOKUP($B44,Lebensmittel!$A$2:$G$14500,7,0)/VLOOKUP($B44,Lebensmittel!$A$2:$G$14500,2,0))</f>
        <v/>
      </c>
      <c r="F44" s="20" t="str">
        <f>IF(ISBLANK(B44),"",$C44*VLOOKUP($B44,Lebensmittel!$A$2:$G$14500,4,0)/VLOOKUP($B44,Lebensmittel!$A$2:$G$14500,2,0))</f>
        <v/>
      </c>
      <c r="G44" s="20" t="str">
        <f>IF(ISBLANK(B44),"",$C44*VLOOKUP($B44,Lebensmittel!$A$2:$G$14500,5,0)/VLOOKUP($B44,Lebensmittel!$A$2:$G$14500,2,0))</f>
        <v/>
      </c>
      <c r="H44" s="20" t="str">
        <f>IF(ISBLANK(B44),"",$C44*VLOOKUP($B44,Lebensmittel!$A$2:$G$14500,6,0)/VLOOKUP($B44,Lebensmittel!$A$2:$G$14500,2,0))</f>
        <v/>
      </c>
    </row>
    <row r="45" spans="1:256" x14ac:dyDescent="0.25">
      <c r="B45" s="37"/>
      <c r="C45" s="38"/>
      <c r="D45" s="19" t="str">
        <f>IF(ISBLANK(B45),"",$C45*VLOOKUP($B45,Lebensmittel!$A$2:$G$14500,3,0)/VLOOKUP($B45,Lebensmittel!$A$2:$G$14500,2,0))</f>
        <v/>
      </c>
      <c r="E45" s="19" t="str">
        <f>IF(ISBLANK(B45),"",$C45*VLOOKUP($B45,Lebensmittel!$A$2:$G$14500,7,0)/VLOOKUP($B45,Lebensmittel!$A$2:$G$14500,2,0))</f>
        <v/>
      </c>
      <c r="F45" s="20" t="str">
        <f>IF(ISBLANK(B45),"",$C45*VLOOKUP($B45,Lebensmittel!$A$2:$G$14500,4,0)/VLOOKUP($B45,Lebensmittel!$A$2:$G$14500,2,0))</f>
        <v/>
      </c>
      <c r="G45" s="20" t="str">
        <f>IF(ISBLANK(B45),"",$C45*VLOOKUP($B45,Lebensmittel!$A$2:$G$14500,5,0)/VLOOKUP($B45,Lebensmittel!$A$2:$G$14500,2,0))</f>
        <v/>
      </c>
      <c r="H45" s="20" t="str">
        <f>IF(ISBLANK(B45),"",$C45*VLOOKUP($B45,Lebensmittel!$A$2:$G$14500,6,0)/VLOOKUP($B45,Lebensmittel!$A$2:$G$14500,2,0))</f>
        <v/>
      </c>
    </row>
    <row r="46" spans="1:256" x14ac:dyDescent="0.25">
      <c r="B46" s="37"/>
      <c r="C46" s="38"/>
      <c r="D46" s="19" t="str">
        <f>IF(ISBLANK(B46),"",$C46*VLOOKUP($B46,Lebensmittel!$A$2:$G$14500,3,0)/VLOOKUP($B46,Lebensmittel!$A$2:$G$14500,2,0))</f>
        <v/>
      </c>
      <c r="E46" s="19" t="str">
        <f>IF(ISBLANK(B46),"",$C46*VLOOKUP($B46,Lebensmittel!$A$2:$G$14500,7,0)/VLOOKUP($B46,Lebensmittel!$A$2:$G$14500,2,0))</f>
        <v/>
      </c>
      <c r="F46" s="20" t="str">
        <f>IF(ISBLANK(B46),"",$C46*VLOOKUP($B46,Lebensmittel!$A$2:$G$14500,4,0)/VLOOKUP($B46,Lebensmittel!$A$2:$G$14500,2,0))</f>
        <v/>
      </c>
      <c r="G46" s="20" t="str">
        <f>IF(ISBLANK(B46),"",$C46*VLOOKUP($B46,Lebensmittel!$A$2:$G$14500,5,0)/VLOOKUP($B46,Lebensmittel!$A$2:$G$14500,2,0))</f>
        <v/>
      </c>
      <c r="H46" s="20" t="str">
        <f>IF(ISBLANK(B46),"",$C46*VLOOKUP($B46,Lebensmittel!$A$2:$G$14500,6,0)/VLOOKUP($B46,Lebensmittel!$A$2:$G$14500,2,0))</f>
        <v/>
      </c>
    </row>
    <row r="47" spans="1:256" x14ac:dyDescent="0.25">
      <c r="B47" s="37"/>
      <c r="C47" s="38"/>
      <c r="D47" s="19" t="str">
        <f>IF(ISBLANK(B47),"",$C47*VLOOKUP($B47,Lebensmittel!$A$2:$G$14500,3,0)/VLOOKUP($B47,Lebensmittel!$A$2:$G$14500,2,0))</f>
        <v/>
      </c>
      <c r="E47" s="19" t="str">
        <f>IF(ISBLANK(B47),"",$C47*VLOOKUP($B47,Lebensmittel!$A$2:$G$14500,7,0)/VLOOKUP($B47,Lebensmittel!$A$2:$G$14500,2,0))</f>
        <v/>
      </c>
      <c r="F47" s="20" t="str">
        <f>IF(ISBLANK(B47),"",$C47*VLOOKUP($B47,Lebensmittel!$A$2:$G$14500,4,0)/VLOOKUP($B47,Lebensmittel!$A$2:$G$14500,2,0))</f>
        <v/>
      </c>
      <c r="G47" s="20" t="str">
        <f>IF(ISBLANK(B47),"",$C47*VLOOKUP($B47,Lebensmittel!$A$2:$G$14500,5,0)/VLOOKUP($B47,Lebensmittel!$A$2:$G$14500,2,0))</f>
        <v/>
      </c>
      <c r="H47" s="20" t="str">
        <f>IF(ISBLANK(B47),"",$C47*VLOOKUP($B47,Lebensmittel!$A$2:$G$14500,6,0)/VLOOKUP($B47,Lebensmittel!$A$2:$G$14500,2,0))</f>
        <v/>
      </c>
    </row>
    <row r="48" spans="1:256" x14ac:dyDescent="0.25">
      <c r="B48" s="33" t="s">
        <v>42</v>
      </c>
      <c r="C48" s="34">
        <f t="shared" ref="C48:H48" si="4">SUM(C38:C47)</f>
        <v>90</v>
      </c>
      <c r="D48" s="35">
        <f t="shared" si="4"/>
        <v>333.6</v>
      </c>
      <c r="E48" s="35">
        <f t="shared" si="4"/>
        <v>333.6</v>
      </c>
      <c r="F48" s="36">
        <f t="shared" si="4"/>
        <v>17.25</v>
      </c>
      <c r="G48" s="36">
        <f t="shared" si="4"/>
        <v>43.5</v>
      </c>
      <c r="H48" s="36">
        <f t="shared" si="4"/>
        <v>0</v>
      </c>
    </row>
    <row r="50" spans="1:256" ht="18" x14ac:dyDescent="0.25">
      <c r="A50" s="39" t="s">
        <v>43</v>
      </c>
      <c r="B50" s="39"/>
      <c r="C50" s="3"/>
      <c r="D50" s="4"/>
      <c r="E50" s="4"/>
      <c r="F50" s="5"/>
      <c r="G50" s="5"/>
      <c r="H50" s="5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</row>
    <row r="51" spans="1:256" s="7" customFormat="1" ht="15.75" x14ac:dyDescent="0.25">
      <c r="B51" s="2" t="s">
        <v>3</v>
      </c>
      <c r="C51" s="8" t="s">
        <v>5</v>
      </c>
      <c r="D51" s="9" t="s">
        <v>6</v>
      </c>
      <c r="E51" s="9" t="s">
        <v>6</v>
      </c>
      <c r="F51" s="10" t="s">
        <v>7</v>
      </c>
      <c r="G51" s="10" t="s">
        <v>8</v>
      </c>
      <c r="H51" s="10" t="s">
        <v>9</v>
      </c>
    </row>
    <row r="52" spans="1:256" x14ac:dyDescent="0.25">
      <c r="B52" s="37" t="s">
        <v>15</v>
      </c>
      <c r="C52" s="38">
        <v>80</v>
      </c>
      <c r="D52" s="19">
        <f>IF(ISBLANK(B52),"",$C52*VLOOKUP($B52,Lebensmittel!$A$2:$G$14500,3,0)/VLOOKUP($B52,Lebensmittel!$A$2:$G$14500,2,0))</f>
        <v>216.4</v>
      </c>
      <c r="E52" s="19">
        <f>IF(ISBLANK(B52),"",$C52*VLOOKUP($B52,Lebensmittel!$A$2:$G$14500,7,0)/VLOOKUP($B52,Lebensmittel!$A$2:$G$14500,2,0))</f>
        <v>216.4</v>
      </c>
      <c r="F52" s="20">
        <f>IF(ISBLANK(B52),"",$C52*VLOOKUP($B52,Lebensmittel!$A$2:$G$14500,4,0)/VLOOKUP($B52,Lebensmittel!$A$2:$G$14500,2,0))</f>
        <v>4</v>
      </c>
      <c r="G52" s="20">
        <f>IF(ISBLANK(B52),"",$C52*VLOOKUP($B52,Lebensmittel!$A$2:$G$14500,5,0)/VLOOKUP($B52,Lebensmittel!$A$2:$G$14500,2,0))</f>
        <v>40</v>
      </c>
      <c r="H52" s="20">
        <f>IF(ISBLANK(B52),"",$C52*VLOOKUP($B52,Lebensmittel!$A$2:$G$14500,6,0)/VLOOKUP($B52,Lebensmittel!$A$2:$G$14500,2,0))</f>
        <v>4</v>
      </c>
    </row>
    <row r="53" spans="1:256" x14ac:dyDescent="0.25">
      <c r="B53" s="37" t="s">
        <v>22</v>
      </c>
      <c r="C53" s="38">
        <v>50</v>
      </c>
      <c r="D53" s="19">
        <f>IF(ISBLANK(B53),"",$C53*VLOOKUP($B53,Lebensmittel!$A$2:$G$14500,3,0)/VLOOKUP($B53,Lebensmittel!$A$2:$G$14500,2,0))</f>
        <v>120.75</v>
      </c>
      <c r="E53" s="19">
        <f>IF(ISBLANK(B53),"",$C53*VLOOKUP($B53,Lebensmittel!$A$2:$G$14500,7,0)/VLOOKUP($B53,Lebensmittel!$A$2:$G$14500,2,0))</f>
        <v>120.75</v>
      </c>
      <c r="F53" s="20">
        <f>IF(ISBLANK(B53),"",$C53*VLOOKUP($B53,Lebensmittel!$A$2:$G$14500,4,0)/VLOOKUP($B53,Lebensmittel!$A$2:$G$14500,2,0))</f>
        <v>10</v>
      </c>
      <c r="G53" s="20">
        <f>IF(ISBLANK(B53),"",$C53*VLOOKUP($B53,Lebensmittel!$A$2:$G$14500,5,0)/VLOOKUP($B53,Lebensmittel!$A$2:$G$14500,2,0))</f>
        <v>0</v>
      </c>
      <c r="H53" s="20">
        <f>IF(ISBLANK(B53),"",$C53*VLOOKUP($B53,Lebensmittel!$A$2:$G$14500,6,0)/VLOOKUP($B53,Lebensmittel!$A$2:$G$14500,2,0))</f>
        <v>7.5</v>
      </c>
    </row>
    <row r="54" spans="1:256" x14ac:dyDescent="0.25">
      <c r="B54" s="37" t="s">
        <v>26</v>
      </c>
      <c r="C54" s="38">
        <v>30</v>
      </c>
      <c r="D54" s="19">
        <f>IF(ISBLANK(B54),"",$C54*VLOOKUP($B54,Lebensmittel!$A$2:$G$14500,3,0)/VLOOKUP($B54,Lebensmittel!$A$2:$G$14500,2,0))</f>
        <v>152.4</v>
      </c>
      <c r="E54" s="19">
        <f>IF(ISBLANK(B54),"",$C54*VLOOKUP($B54,Lebensmittel!$A$2:$G$14500,7,0)/VLOOKUP($B54,Lebensmittel!$A$2:$G$14500,2,0))</f>
        <v>152.4</v>
      </c>
      <c r="F54" s="20">
        <f>IF(ISBLANK(B54),"",$C54*VLOOKUP($B54,Lebensmittel!$A$2:$G$14500,4,0)/VLOOKUP($B54,Lebensmittel!$A$2:$G$14500,2,0))</f>
        <v>6</v>
      </c>
      <c r="G54" s="20">
        <f>IF(ISBLANK(B54),"",$C54*VLOOKUP($B54,Lebensmittel!$A$2:$G$14500,5,0)/VLOOKUP($B54,Lebensmittel!$A$2:$G$14500,2,0))</f>
        <v>24</v>
      </c>
      <c r="H54" s="20">
        <f>IF(ISBLANK(B54),"",$C54*VLOOKUP($B54,Lebensmittel!$A$2:$G$14500,6,0)/VLOOKUP($B54,Lebensmittel!$A$2:$G$14500,2,0))</f>
        <v>0</v>
      </c>
    </row>
    <row r="55" spans="1:256" x14ac:dyDescent="0.25">
      <c r="B55" s="37"/>
      <c r="C55" s="38"/>
      <c r="D55" s="19" t="str">
        <f>IF(ISBLANK(B55),"",$C55*VLOOKUP($B55,Lebensmittel!$A$2:$G$14500,3,0)/VLOOKUP($B55,Lebensmittel!$A$2:$G$14500,2,0))</f>
        <v/>
      </c>
      <c r="E55" s="19" t="str">
        <f>IF(ISBLANK(B55),"",$C55*VLOOKUP($B55,Lebensmittel!$A$2:$G$14500,7,0)/VLOOKUP($B55,Lebensmittel!$A$2:$G$14500,2,0))</f>
        <v/>
      </c>
      <c r="F55" s="20" t="str">
        <f>IF(ISBLANK(B55),"",$C55*VLOOKUP($B55,Lebensmittel!$A$2:$G$14500,4,0)/VLOOKUP($B55,Lebensmittel!$A$2:$G$14500,2,0))</f>
        <v/>
      </c>
      <c r="G55" s="20" t="str">
        <f>IF(ISBLANK(B55),"",$C55*VLOOKUP($B55,Lebensmittel!$A$2:$G$14500,5,0)/VLOOKUP($B55,Lebensmittel!$A$2:$G$14500,2,0))</f>
        <v/>
      </c>
      <c r="H55" s="20" t="str">
        <f>IF(ISBLANK(B55),"",$C55*VLOOKUP($B55,Lebensmittel!$A$2:$G$14500,6,0)/VLOOKUP($B55,Lebensmittel!$A$2:$G$14500,2,0))</f>
        <v/>
      </c>
    </row>
    <row r="56" spans="1:256" x14ac:dyDescent="0.25">
      <c r="B56" s="37"/>
      <c r="C56" s="38"/>
      <c r="D56" s="19" t="str">
        <f>IF(ISBLANK(B56),"",$C56*VLOOKUP($B56,Lebensmittel!$A$2:$G$14500,3,0)/VLOOKUP($B56,Lebensmittel!$A$2:$G$14500,2,0))</f>
        <v/>
      </c>
      <c r="E56" s="19" t="str">
        <f>IF(ISBLANK(B56),"",$C56*VLOOKUP($B56,Lebensmittel!$A$2:$G$14500,7,0)/VLOOKUP($B56,Lebensmittel!$A$2:$G$14500,2,0))</f>
        <v/>
      </c>
      <c r="F56" s="20" t="str">
        <f>IF(ISBLANK(B56),"",$C56*VLOOKUP($B56,Lebensmittel!$A$2:$G$14500,4,0)/VLOOKUP($B56,Lebensmittel!$A$2:$G$14500,2,0))</f>
        <v/>
      </c>
      <c r="G56" s="20" t="str">
        <f>IF(ISBLANK(B56),"",$C56*VLOOKUP($B56,Lebensmittel!$A$2:$G$14500,5,0)/VLOOKUP($B56,Lebensmittel!$A$2:$G$14500,2,0))</f>
        <v/>
      </c>
      <c r="H56" s="20" t="str">
        <f>IF(ISBLANK(B56),"",$C56*VLOOKUP($B56,Lebensmittel!$A$2:$G$14500,6,0)/VLOOKUP($B56,Lebensmittel!$A$2:$G$14500,2,0))</f>
        <v/>
      </c>
    </row>
    <row r="57" spans="1:256" x14ac:dyDescent="0.25">
      <c r="B57" s="37"/>
      <c r="C57" s="38"/>
      <c r="D57" s="19" t="str">
        <f>IF(ISBLANK(B57),"",$C57*VLOOKUP($B57,Lebensmittel!$A$2:$G$14500,3,0)/VLOOKUP($B57,Lebensmittel!$A$2:$G$14500,2,0))</f>
        <v/>
      </c>
      <c r="E57" s="19" t="str">
        <f>IF(ISBLANK(B57),"",$C57*VLOOKUP($B57,Lebensmittel!$A$2:$G$14500,7,0)/VLOOKUP($B57,Lebensmittel!$A$2:$G$14500,2,0))</f>
        <v/>
      </c>
      <c r="F57" s="20" t="str">
        <f>IF(ISBLANK(B57),"",$C57*VLOOKUP($B57,Lebensmittel!$A$2:$G$14500,4,0)/VLOOKUP($B57,Lebensmittel!$A$2:$G$14500,2,0))</f>
        <v/>
      </c>
      <c r="G57" s="20" t="str">
        <f>IF(ISBLANK(B57),"",$C57*VLOOKUP($B57,Lebensmittel!$A$2:$G$14500,5,0)/VLOOKUP($B57,Lebensmittel!$A$2:$G$14500,2,0))</f>
        <v/>
      </c>
      <c r="H57" s="20" t="str">
        <f>IF(ISBLANK(B57),"",$C57*VLOOKUP($B57,Lebensmittel!$A$2:$G$14500,6,0)/VLOOKUP($B57,Lebensmittel!$A$2:$G$14500,2,0))</f>
        <v/>
      </c>
    </row>
    <row r="58" spans="1:256" x14ac:dyDescent="0.25">
      <c r="B58" s="37"/>
      <c r="C58" s="38"/>
      <c r="D58" s="19" t="str">
        <f>IF(ISBLANK(B58),"",$C58*VLOOKUP($B58,Lebensmittel!$A$2:$G$14500,3,0)/VLOOKUP($B58,Lebensmittel!$A$2:$G$14500,2,0))</f>
        <v/>
      </c>
      <c r="E58" s="19" t="str">
        <f>IF(ISBLANK(B58),"",$C58*VLOOKUP($B58,Lebensmittel!$A$2:$G$14500,7,0)/VLOOKUP($B58,Lebensmittel!$A$2:$G$14500,2,0))</f>
        <v/>
      </c>
      <c r="F58" s="20" t="str">
        <f>IF(ISBLANK(B58),"",$C58*VLOOKUP($B58,Lebensmittel!$A$2:$G$14500,4,0)/VLOOKUP($B58,Lebensmittel!$A$2:$G$14500,2,0))</f>
        <v/>
      </c>
      <c r="G58" s="20" t="str">
        <f>IF(ISBLANK(B58),"",$C58*VLOOKUP($B58,Lebensmittel!$A$2:$G$14500,5,0)/VLOOKUP($B58,Lebensmittel!$A$2:$G$14500,2,0))</f>
        <v/>
      </c>
      <c r="H58" s="20" t="str">
        <f>IF(ISBLANK(B58),"",$C58*VLOOKUP($B58,Lebensmittel!$A$2:$G$14500,6,0)/VLOOKUP($B58,Lebensmittel!$A$2:$G$14500,2,0))</f>
        <v/>
      </c>
    </row>
    <row r="59" spans="1:256" x14ac:dyDescent="0.25">
      <c r="B59" s="37"/>
      <c r="C59" s="38"/>
      <c r="D59" s="19" t="str">
        <f>IF(ISBLANK(B59),"",$C59*VLOOKUP($B59,Lebensmittel!$A$2:$G$14500,3,0)/VLOOKUP($B59,Lebensmittel!$A$2:$G$14500,2,0))</f>
        <v/>
      </c>
      <c r="E59" s="19" t="str">
        <f>IF(ISBLANK(B59),"",$C59*VLOOKUP($B59,Lebensmittel!$A$2:$G$14500,7,0)/VLOOKUP($B59,Lebensmittel!$A$2:$G$14500,2,0))</f>
        <v/>
      </c>
      <c r="F59" s="20" t="str">
        <f>IF(ISBLANK(B59),"",$C59*VLOOKUP($B59,Lebensmittel!$A$2:$G$14500,4,0)/VLOOKUP($B59,Lebensmittel!$A$2:$G$14500,2,0))</f>
        <v/>
      </c>
      <c r="G59" s="20" t="str">
        <f>IF(ISBLANK(B59),"",$C59*VLOOKUP($B59,Lebensmittel!$A$2:$G$14500,5,0)/VLOOKUP($B59,Lebensmittel!$A$2:$G$14500,2,0))</f>
        <v/>
      </c>
      <c r="H59" s="20" t="str">
        <f>IF(ISBLANK(B59),"",$C59*VLOOKUP($B59,Lebensmittel!$A$2:$G$14500,6,0)/VLOOKUP($B59,Lebensmittel!$A$2:$G$14500,2,0))</f>
        <v/>
      </c>
    </row>
    <row r="60" spans="1:256" x14ac:dyDescent="0.25">
      <c r="B60" s="37"/>
      <c r="C60" s="38"/>
      <c r="D60" s="19" t="str">
        <f>IF(ISBLANK(B60),"",$C60*VLOOKUP($B60,Lebensmittel!$A$2:$G$14500,3,0)/VLOOKUP($B60,Lebensmittel!$A$2:$G$14500,2,0))</f>
        <v/>
      </c>
      <c r="E60" s="19" t="str">
        <f>IF(ISBLANK(B60),"",$C60*VLOOKUP($B60,Lebensmittel!$A$2:$G$14500,7,0)/VLOOKUP($B60,Lebensmittel!$A$2:$G$14500,2,0))</f>
        <v/>
      </c>
      <c r="F60" s="20" t="str">
        <f>IF(ISBLANK(B60),"",$C60*VLOOKUP($B60,Lebensmittel!$A$2:$G$14500,4,0)/VLOOKUP($B60,Lebensmittel!$A$2:$G$14500,2,0))</f>
        <v/>
      </c>
      <c r="G60" s="20" t="str">
        <f>IF(ISBLANK(B60),"",$C60*VLOOKUP($B60,Lebensmittel!$A$2:$G$14500,5,0)/VLOOKUP($B60,Lebensmittel!$A$2:$G$14500,2,0))</f>
        <v/>
      </c>
      <c r="H60" s="20" t="str">
        <f>IF(ISBLANK(B60),"",$C60*VLOOKUP($B60,Lebensmittel!$A$2:$G$14500,6,0)/VLOOKUP($B60,Lebensmittel!$A$2:$G$14500,2,0))</f>
        <v/>
      </c>
    </row>
    <row r="61" spans="1:256" x14ac:dyDescent="0.25">
      <c r="B61" s="37"/>
      <c r="C61" s="38"/>
      <c r="D61" s="19" t="str">
        <f>IF(ISBLANK(B61),"",$C61*VLOOKUP($B61,Lebensmittel!$A$2:$G$14500,3,0)/VLOOKUP($B61,Lebensmittel!$A$2:$G$14500,2,0))</f>
        <v/>
      </c>
      <c r="E61" s="19" t="str">
        <f>IF(ISBLANK(B61),"",$C61*VLOOKUP($B61,Lebensmittel!$A$2:$G$14500,7,0)/VLOOKUP($B61,Lebensmittel!$A$2:$G$14500,2,0))</f>
        <v/>
      </c>
      <c r="F61" s="20" t="str">
        <f>IF(ISBLANK(B61),"",$C61*VLOOKUP($B61,Lebensmittel!$A$2:$G$14500,4,0)/VLOOKUP($B61,Lebensmittel!$A$2:$G$14500,2,0))</f>
        <v/>
      </c>
      <c r="G61" s="20" t="str">
        <f>IF(ISBLANK(B61),"",$C61*VLOOKUP($B61,Lebensmittel!$A$2:$G$14500,5,0)/VLOOKUP($B61,Lebensmittel!$A$2:$G$14500,2,0))</f>
        <v/>
      </c>
      <c r="H61" s="20" t="str">
        <f>IF(ISBLANK(B61),"",$C61*VLOOKUP($B61,Lebensmittel!$A$2:$G$14500,6,0)/VLOOKUP($B61,Lebensmittel!$A$2:$G$14500,2,0))</f>
        <v/>
      </c>
    </row>
    <row r="62" spans="1:256" x14ac:dyDescent="0.25">
      <c r="B62" s="33" t="s">
        <v>44</v>
      </c>
      <c r="C62" s="34">
        <f t="shared" ref="C62:H62" si="5">SUM(C52:C61)</f>
        <v>160</v>
      </c>
      <c r="D62" s="35">
        <f t="shared" si="5"/>
        <v>489.54999999999995</v>
      </c>
      <c r="E62" s="35">
        <f t="shared" si="5"/>
        <v>489.54999999999995</v>
      </c>
      <c r="F62" s="36">
        <f t="shared" si="5"/>
        <v>20</v>
      </c>
      <c r="G62" s="36">
        <f t="shared" si="5"/>
        <v>64</v>
      </c>
      <c r="H62" s="36">
        <f t="shared" si="5"/>
        <v>11.5</v>
      </c>
    </row>
    <row r="64" spans="1:256" ht="18" x14ac:dyDescent="0.25">
      <c r="A64" s="39" t="s">
        <v>45</v>
      </c>
      <c r="B64" s="39"/>
      <c r="C64" s="3"/>
      <c r="D64" s="4"/>
      <c r="E64" s="4"/>
      <c r="F64" s="5"/>
      <c r="G64" s="5"/>
      <c r="H64" s="5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</row>
    <row r="65" spans="2:8" s="7" customFormat="1" ht="15.75" x14ac:dyDescent="0.25">
      <c r="B65" s="2" t="s">
        <v>3</v>
      </c>
      <c r="C65" s="8" t="s">
        <v>5</v>
      </c>
      <c r="D65" s="9" t="s">
        <v>6</v>
      </c>
      <c r="E65" s="9" t="s">
        <v>6</v>
      </c>
      <c r="F65" s="10" t="s">
        <v>7</v>
      </c>
      <c r="G65" s="10" t="s">
        <v>8</v>
      </c>
      <c r="H65" s="10" t="s">
        <v>9</v>
      </c>
    </row>
    <row r="66" spans="2:8" x14ac:dyDescent="0.25">
      <c r="B66" s="37"/>
      <c r="C66" s="38"/>
      <c r="D66" s="19" t="str">
        <f>IF(ISBLANK(B66),"",$C66*VLOOKUP($B66,Lebensmittel!$A$2:$G$14500,3,0)/VLOOKUP($B66,Lebensmittel!$A$2:$G$14500,2,0))</f>
        <v/>
      </c>
      <c r="E66" s="19" t="str">
        <f>IF(ISBLANK(B66),"",$C66*VLOOKUP($B66,Lebensmittel!$A$2:$G$14500,7,0)/VLOOKUP($B66,Lebensmittel!$A$2:$G$14500,2,0))</f>
        <v/>
      </c>
      <c r="F66" s="20" t="str">
        <f>IF(ISBLANK(B66),"",$C66*VLOOKUP($B66,Lebensmittel!$A$2:$G$14500,4,0)/VLOOKUP($B66,Lebensmittel!$A$2:$G$14500,2,0))</f>
        <v/>
      </c>
      <c r="G66" s="20" t="str">
        <f>IF(ISBLANK(B66),"",$C66*VLOOKUP($B66,Lebensmittel!$A$2:$G$14500,5,0)/VLOOKUP($B66,Lebensmittel!$A$2:$G$14500,2,0))</f>
        <v/>
      </c>
      <c r="H66" s="20" t="str">
        <f>IF(ISBLANK(B66),"",$C66*VLOOKUP($B66,Lebensmittel!$A$2:$G$14500,6,0)/VLOOKUP($B66,Lebensmittel!$A$2:$G$14500,2,0))</f>
        <v/>
      </c>
    </row>
    <row r="67" spans="2:8" x14ac:dyDescent="0.25">
      <c r="B67" s="37"/>
      <c r="C67" s="38"/>
      <c r="D67" s="19" t="str">
        <f>IF(ISBLANK(B67),"",$C67*VLOOKUP($B67,Lebensmittel!$A$2:$G$14500,3,0)/VLOOKUP($B67,Lebensmittel!$A$2:$G$14500,2,0))</f>
        <v/>
      </c>
      <c r="E67" s="19" t="str">
        <f>IF(ISBLANK(B67),"",$C67*VLOOKUP($B67,Lebensmittel!$A$2:$G$14500,7,0)/VLOOKUP($B67,Lebensmittel!$A$2:$G$14500,2,0))</f>
        <v/>
      </c>
      <c r="F67" s="20" t="str">
        <f>IF(ISBLANK(B67),"",$C67*VLOOKUP($B67,Lebensmittel!$A$2:$G$14500,4,0)/VLOOKUP($B67,Lebensmittel!$A$2:$G$14500,2,0))</f>
        <v/>
      </c>
      <c r="G67" s="20" t="str">
        <f>IF(ISBLANK(B67),"",$C67*VLOOKUP($B67,Lebensmittel!$A$2:$G$14500,5,0)/VLOOKUP($B67,Lebensmittel!$A$2:$G$14500,2,0))</f>
        <v/>
      </c>
      <c r="H67" s="20" t="str">
        <f>IF(ISBLANK(B67),"",$C67*VLOOKUP($B67,Lebensmittel!$A$2:$G$14500,6,0)/VLOOKUP($B67,Lebensmittel!$A$2:$G$14500,2,0))</f>
        <v/>
      </c>
    </row>
    <row r="68" spans="2:8" x14ac:dyDescent="0.25">
      <c r="B68" s="37"/>
      <c r="C68" s="38"/>
      <c r="D68" s="19" t="str">
        <f>IF(ISBLANK(B68),"",$C68*VLOOKUP($B68,Lebensmittel!$A$2:$G$14500,3,0)/VLOOKUP($B68,Lebensmittel!$A$2:$G$14500,2,0))</f>
        <v/>
      </c>
      <c r="E68" s="19" t="str">
        <f>IF(ISBLANK(B68),"",$C68*VLOOKUP($B68,Lebensmittel!$A$2:$G$14500,7,0)/VLOOKUP($B68,Lebensmittel!$A$2:$G$14500,2,0))</f>
        <v/>
      </c>
      <c r="F68" s="20" t="str">
        <f>IF(ISBLANK(B68),"",$C68*VLOOKUP($B68,Lebensmittel!$A$2:$G$14500,4,0)/VLOOKUP($B68,Lebensmittel!$A$2:$G$14500,2,0))</f>
        <v/>
      </c>
      <c r="G68" s="20" t="str">
        <f>IF(ISBLANK(B68),"",$C68*VLOOKUP($B68,Lebensmittel!$A$2:$G$14500,5,0)/VLOOKUP($B68,Lebensmittel!$A$2:$G$14500,2,0))</f>
        <v/>
      </c>
      <c r="H68" s="20" t="str">
        <f>IF(ISBLANK(B68),"",$C68*VLOOKUP($B68,Lebensmittel!$A$2:$G$14500,6,0)/VLOOKUP($B68,Lebensmittel!$A$2:$G$14500,2,0))</f>
        <v/>
      </c>
    </row>
    <row r="69" spans="2:8" x14ac:dyDescent="0.25">
      <c r="B69" s="37"/>
      <c r="C69" s="38"/>
      <c r="D69" s="19" t="str">
        <f>IF(ISBLANK(B69),"",$C69*VLOOKUP($B69,Lebensmittel!$A$2:$G$14500,3,0)/VLOOKUP($B69,Lebensmittel!$A$2:$G$14500,2,0))</f>
        <v/>
      </c>
      <c r="E69" s="19" t="str">
        <f>IF(ISBLANK(B69),"",$C69*VLOOKUP($B69,Lebensmittel!$A$2:$G$14500,7,0)/VLOOKUP($B69,Lebensmittel!$A$2:$G$14500,2,0))</f>
        <v/>
      </c>
      <c r="F69" s="20" t="str">
        <f>IF(ISBLANK(B69),"",$C69*VLOOKUP($B69,Lebensmittel!$A$2:$G$14500,4,0)/VLOOKUP($B69,Lebensmittel!$A$2:$G$14500,2,0))</f>
        <v/>
      </c>
      <c r="G69" s="20" t="str">
        <f>IF(ISBLANK(B69),"",$C69*VLOOKUP($B69,Lebensmittel!$A$2:$G$14500,5,0)/VLOOKUP($B69,Lebensmittel!$A$2:$G$14500,2,0))</f>
        <v/>
      </c>
      <c r="H69" s="20" t="str">
        <f>IF(ISBLANK(B69),"",$C69*VLOOKUP($B69,Lebensmittel!$A$2:$G$14500,6,0)/VLOOKUP($B69,Lebensmittel!$A$2:$G$14500,2,0))</f>
        <v/>
      </c>
    </row>
    <row r="70" spans="2:8" x14ac:dyDescent="0.25">
      <c r="B70" s="37"/>
      <c r="C70" s="38"/>
      <c r="D70" s="19" t="str">
        <f>IF(ISBLANK(B70),"",$C70*VLOOKUP($B70,Lebensmittel!$A$2:$G$14500,3,0)/VLOOKUP($B70,Lebensmittel!$A$2:$G$14500,2,0))</f>
        <v/>
      </c>
      <c r="E70" s="19" t="str">
        <f>IF(ISBLANK(B70),"",$C70*VLOOKUP($B70,Lebensmittel!$A$2:$G$14500,7,0)/VLOOKUP($B70,Lebensmittel!$A$2:$G$14500,2,0))</f>
        <v/>
      </c>
      <c r="F70" s="20" t="str">
        <f>IF(ISBLANK(B70),"",$C70*VLOOKUP($B70,Lebensmittel!$A$2:$G$14500,4,0)/VLOOKUP($B70,Lebensmittel!$A$2:$G$14500,2,0))</f>
        <v/>
      </c>
      <c r="G70" s="20" t="str">
        <f>IF(ISBLANK(B70),"",$C70*VLOOKUP($B70,Lebensmittel!$A$2:$G$14500,5,0)/VLOOKUP($B70,Lebensmittel!$A$2:$G$14500,2,0))</f>
        <v/>
      </c>
      <c r="H70" s="20" t="str">
        <f>IF(ISBLANK(B70),"",$C70*VLOOKUP($B70,Lebensmittel!$A$2:$G$14500,6,0)/VLOOKUP($B70,Lebensmittel!$A$2:$G$14500,2,0))</f>
        <v/>
      </c>
    </row>
    <row r="71" spans="2:8" x14ac:dyDescent="0.25">
      <c r="B71" s="37"/>
      <c r="C71" s="38"/>
      <c r="D71" s="19" t="str">
        <f>IF(ISBLANK(B71),"",$C71*VLOOKUP($B71,Lebensmittel!$A$2:$G$14500,3,0)/VLOOKUP($B71,Lebensmittel!$A$2:$G$14500,2,0))</f>
        <v/>
      </c>
      <c r="E71" s="19" t="str">
        <f>IF(ISBLANK(B71),"",$C71*VLOOKUP($B71,Lebensmittel!$A$2:$G$14500,7,0)/VLOOKUP($B71,Lebensmittel!$A$2:$G$14500,2,0))</f>
        <v/>
      </c>
      <c r="F71" s="20" t="str">
        <f>IF(ISBLANK(B71),"",$C71*VLOOKUP($B71,Lebensmittel!$A$2:$G$14500,4,0)/VLOOKUP($B71,Lebensmittel!$A$2:$G$14500,2,0))</f>
        <v/>
      </c>
      <c r="G71" s="20" t="str">
        <f>IF(ISBLANK(B71),"",$C71*VLOOKUP($B71,Lebensmittel!$A$2:$G$14500,5,0)/VLOOKUP($B71,Lebensmittel!$A$2:$G$14500,2,0))</f>
        <v/>
      </c>
      <c r="H71" s="20" t="str">
        <f>IF(ISBLANK(B71),"",$C71*VLOOKUP($B71,Lebensmittel!$A$2:$G$14500,6,0)/VLOOKUP($B71,Lebensmittel!$A$2:$G$14500,2,0))</f>
        <v/>
      </c>
    </row>
    <row r="72" spans="2:8" x14ac:dyDescent="0.25">
      <c r="B72" s="37"/>
      <c r="C72" s="38"/>
      <c r="D72" s="19" t="str">
        <f>IF(ISBLANK(B72),"",$C72*VLOOKUP($B72,Lebensmittel!$A$2:$G$14500,3,0)/VLOOKUP($B72,Lebensmittel!$A$2:$G$14500,2,0))</f>
        <v/>
      </c>
      <c r="E72" s="19" t="str">
        <f>IF(ISBLANK(B72),"",$C72*VLOOKUP($B72,Lebensmittel!$A$2:$G$14500,7,0)/VLOOKUP($B72,Lebensmittel!$A$2:$G$14500,2,0))</f>
        <v/>
      </c>
      <c r="F72" s="20" t="str">
        <f>IF(ISBLANK(B72),"",$C72*VLOOKUP($B72,Lebensmittel!$A$2:$G$14500,4,0)/VLOOKUP($B72,Lebensmittel!$A$2:$G$14500,2,0))</f>
        <v/>
      </c>
      <c r="G72" s="20" t="str">
        <f>IF(ISBLANK(B72),"",$C72*VLOOKUP($B72,Lebensmittel!$A$2:$G$14500,5,0)/VLOOKUP($B72,Lebensmittel!$A$2:$G$14500,2,0))</f>
        <v/>
      </c>
      <c r="H72" s="20" t="str">
        <f>IF(ISBLANK(B72),"",$C72*VLOOKUP($B72,Lebensmittel!$A$2:$G$14500,6,0)/VLOOKUP($B72,Lebensmittel!$A$2:$G$14500,2,0))</f>
        <v/>
      </c>
    </row>
    <row r="73" spans="2:8" x14ac:dyDescent="0.25">
      <c r="B73" s="37"/>
      <c r="C73" s="38"/>
      <c r="D73" s="19" t="str">
        <f>IF(ISBLANK(B73),"",$C73*VLOOKUP($B73,Lebensmittel!$A$2:$G$14500,3,0)/VLOOKUP($B73,Lebensmittel!$A$2:$G$14500,2,0))</f>
        <v/>
      </c>
      <c r="E73" s="19" t="str">
        <f>IF(ISBLANK(B73),"",$C73*VLOOKUP($B73,Lebensmittel!$A$2:$G$14500,7,0)/VLOOKUP($B73,Lebensmittel!$A$2:$G$14500,2,0))</f>
        <v/>
      </c>
      <c r="F73" s="20" t="str">
        <f>IF(ISBLANK(B73),"",$C73*VLOOKUP($B73,Lebensmittel!$A$2:$G$14500,4,0)/VLOOKUP($B73,Lebensmittel!$A$2:$G$14500,2,0))</f>
        <v/>
      </c>
      <c r="G73" s="20" t="str">
        <f>IF(ISBLANK(B73),"",$C73*VLOOKUP($B73,Lebensmittel!$A$2:$G$14500,5,0)/VLOOKUP($B73,Lebensmittel!$A$2:$G$14500,2,0))</f>
        <v/>
      </c>
      <c r="H73" s="20" t="str">
        <f>IF(ISBLANK(B73),"",$C73*VLOOKUP($B73,Lebensmittel!$A$2:$G$14500,6,0)/VLOOKUP($B73,Lebensmittel!$A$2:$G$14500,2,0))</f>
        <v/>
      </c>
    </row>
    <row r="74" spans="2:8" x14ac:dyDescent="0.25">
      <c r="B74" s="37"/>
      <c r="C74" s="38"/>
      <c r="D74" s="19" t="str">
        <f>IF(ISBLANK(B74),"",$C74*VLOOKUP($B74,Lebensmittel!$A$2:$G$14500,3,0)/VLOOKUP($B74,Lebensmittel!$A$2:$G$14500,2,0))</f>
        <v/>
      </c>
      <c r="E74" s="19" t="str">
        <f>IF(ISBLANK(B74),"",$C74*VLOOKUP($B74,Lebensmittel!$A$2:$G$14500,7,0)/VLOOKUP($B74,Lebensmittel!$A$2:$G$14500,2,0))</f>
        <v/>
      </c>
      <c r="F74" s="20" t="str">
        <f>IF(ISBLANK(B74),"",$C74*VLOOKUP($B74,Lebensmittel!$A$2:$G$14500,4,0)/VLOOKUP($B74,Lebensmittel!$A$2:$G$14500,2,0))</f>
        <v/>
      </c>
      <c r="G74" s="20" t="str">
        <f>IF(ISBLANK(B74),"",$C74*VLOOKUP($B74,Lebensmittel!$A$2:$G$14500,5,0)/VLOOKUP($B74,Lebensmittel!$A$2:$G$14500,2,0))</f>
        <v/>
      </c>
      <c r="H74" s="20" t="str">
        <f>IF(ISBLANK(B74),"",$C74*VLOOKUP($B74,Lebensmittel!$A$2:$G$14500,6,0)/VLOOKUP($B74,Lebensmittel!$A$2:$G$14500,2,0))</f>
        <v/>
      </c>
    </row>
    <row r="75" spans="2:8" x14ac:dyDescent="0.25">
      <c r="B75" s="37"/>
      <c r="C75" s="38"/>
      <c r="D75" s="19" t="str">
        <f>IF(ISBLANK(B75),"",$C75*VLOOKUP($B75,Lebensmittel!$A$2:$G$14500,3,0)/VLOOKUP($B75,Lebensmittel!$A$2:$G$14500,2,0))</f>
        <v/>
      </c>
      <c r="E75" s="19" t="str">
        <f>IF(ISBLANK(B75),"",$C75*VLOOKUP($B75,Lebensmittel!$A$2:$G$14500,7,0)/VLOOKUP($B75,Lebensmittel!$A$2:$G$14500,2,0))</f>
        <v/>
      </c>
      <c r="F75" s="20" t="str">
        <f>IF(ISBLANK(B75),"",$C75*VLOOKUP($B75,Lebensmittel!$A$2:$G$14500,4,0)/VLOOKUP($B75,Lebensmittel!$A$2:$G$14500,2,0))</f>
        <v/>
      </c>
      <c r="G75" s="20" t="str">
        <f>IF(ISBLANK(B75),"",$C75*VLOOKUP($B75,Lebensmittel!$A$2:$G$14500,5,0)/VLOOKUP($B75,Lebensmittel!$A$2:$G$14500,2,0))</f>
        <v/>
      </c>
      <c r="H75" s="20" t="str">
        <f>IF(ISBLANK(B75),"",$C75*VLOOKUP($B75,Lebensmittel!$A$2:$G$14500,6,0)/VLOOKUP($B75,Lebensmittel!$A$2:$G$14500,2,0))</f>
        <v/>
      </c>
    </row>
    <row r="76" spans="2:8" x14ac:dyDescent="0.25">
      <c r="B76" s="33" t="s">
        <v>46</v>
      </c>
      <c r="C76" s="34">
        <f t="shared" ref="C76:H76" si="6">SUM(C66:C75)</f>
        <v>0</v>
      </c>
      <c r="D76" s="35">
        <f t="shared" si="6"/>
        <v>0</v>
      </c>
      <c r="E76" s="35">
        <f t="shared" si="6"/>
        <v>0</v>
      </c>
      <c r="F76" s="36">
        <f t="shared" si="6"/>
        <v>0</v>
      </c>
      <c r="G76" s="36">
        <f t="shared" si="6"/>
        <v>0</v>
      </c>
      <c r="H76" s="36">
        <f t="shared" si="6"/>
        <v>0</v>
      </c>
    </row>
  </sheetData>
  <mergeCells count="9">
    <mergeCell ref="D6:H6"/>
    <mergeCell ref="A8:B8"/>
    <mergeCell ref="A22:B22"/>
    <mergeCell ref="A36:B36"/>
    <mergeCell ref="A50:B50"/>
    <mergeCell ref="A64:B64"/>
    <mergeCell ref="A1:C1"/>
    <mergeCell ref="A3:B3"/>
    <mergeCell ref="A4:B4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76"/>
  <sheetViews>
    <sheetView zoomScale="130" zoomScaleNormal="130" workbookViewId="0">
      <selection activeCell="B6" sqref="B6"/>
    </sheetView>
  </sheetViews>
  <sheetFormatPr baseColWidth="10" defaultRowHeight="15" x14ac:dyDescent="0.25"/>
  <cols>
    <col min="1" max="1" width="5.7109375" customWidth="1"/>
    <col min="2" max="2" width="57.140625" customWidth="1"/>
    <col min="3" max="6" width="14.28515625" customWidth="1"/>
    <col min="7" max="7" width="17.140625" customWidth="1"/>
    <col min="8" max="8" width="14.28515625" customWidth="1"/>
  </cols>
  <sheetData>
    <row r="1" spans="1:256" ht="38.25" customHeight="1" x14ac:dyDescent="0.25">
      <c r="A1" s="40" t="s">
        <v>47</v>
      </c>
      <c r="B1" s="40"/>
      <c r="C1" s="40"/>
      <c r="D1" s="12"/>
      <c r="E1" s="12"/>
      <c r="F1" s="13"/>
      <c r="G1" s="13"/>
      <c r="H1" s="23"/>
    </row>
    <row r="2" spans="1:256" ht="9.9499999999999993" customHeight="1" x14ac:dyDescent="0.3">
      <c r="A2" s="24"/>
      <c r="B2" s="24"/>
      <c r="C2" s="25"/>
      <c r="D2" s="12"/>
      <c r="E2" s="12"/>
      <c r="F2" s="13"/>
      <c r="G2" s="13"/>
      <c r="H2" s="13"/>
    </row>
    <row r="3" spans="1:256" ht="20.25" x14ac:dyDescent="0.3">
      <c r="A3" s="41" t="s">
        <v>36</v>
      </c>
      <c r="B3" s="41"/>
      <c r="C3" s="26" t="s">
        <v>5</v>
      </c>
      <c r="D3" s="27" t="s">
        <v>6</v>
      </c>
      <c r="E3" s="27" t="s">
        <v>13</v>
      </c>
      <c r="F3" s="28" t="s">
        <v>7</v>
      </c>
      <c r="G3" s="28" t="s">
        <v>11</v>
      </c>
      <c r="H3" s="28" t="s">
        <v>12</v>
      </c>
    </row>
    <row r="4" spans="1:256" ht="18" x14ac:dyDescent="0.25">
      <c r="A4" s="42"/>
      <c r="B4" s="42"/>
      <c r="C4" s="29">
        <f t="shared" ref="C4" si="0">C20+C34+C48+C62</f>
        <v>585</v>
      </c>
      <c r="D4" s="30">
        <f>D20+D34+D48+D62+D76</f>
        <v>1931.7</v>
      </c>
      <c r="E4" s="30">
        <f t="shared" ref="E4:H4" si="1">E20+E34+E48+E62+E76</f>
        <v>1931.7</v>
      </c>
      <c r="F4" s="31">
        <f t="shared" si="1"/>
        <v>82.75</v>
      </c>
      <c r="G4" s="31">
        <f t="shared" si="1"/>
        <v>241.5</v>
      </c>
      <c r="H4" s="31">
        <f t="shared" si="1"/>
        <v>48</v>
      </c>
    </row>
    <row r="5" spans="1:256" ht="9" customHeight="1" x14ac:dyDescent="0.25">
      <c r="C5" s="32"/>
      <c r="D5" s="12"/>
      <c r="E5" s="12"/>
      <c r="F5" s="13"/>
      <c r="G5" s="13"/>
      <c r="H5" s="13"/>
    </row>
    <row r="6" spans="1:256" ht="20.65" customHeight="1" x14ac:dyDescent="0.3">
      <c r="A6" s="24"/>
      <c r="B6" s="24"/>
      <c r="C6" s="25"/>
      <c r="D6" s="43" t="s">
        <v>37</v>
      </c>
      <c r="E6" s="43"/>
      <c r="F6" s="43"/>
      <c r="G6" s="43"/>
      <c r="H6" s="43"/>
    </row>
    <row r="7" spans="1:256" ht="15.2" customHeight="1" x14ac:dyDescent="0.3">
      <c r="A7" s="24"/>
      <c r="B7" s="24"/>
      <c r="C7" s="25"/>
      <c r="D7" s="12"/>
      <c r="E7" s="12"/>
      <c r="F7" s="13"/>
      <c r="G7" s="13"/>
      <c r="H7" s="13"/>
    </row>
    <row r="8" spans="1:256" ht="18" x14ac:dyDescent="0.25">
      <c r="A8" s="39" t="s">
        <v>4</v>
      </c>
      <c r="B8" s="39"/>
      <c r="C8" s="3"/>
      <c r="D8" s="4"/>
      <c r="E8" s="4"/>
      <c r="F8" s="5"/>
      <c r="G8" s="5"/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</row>
    <row r="9" spans="1:256" s="7" customFormat="1" ht="15.75" x14ac:dyDescent="0.25">
      <c r="B9" s="2" t="s">
        <v>3</v>
      </c>
      <c r="C9" s="8" t="s">
        <v>5</v>
      </c>
      <c r="D9" s="9" t="s">
        <v>6</v>
      </c>
      <c r="E9" s="9" t="s">
        <v>6</v>
      </c>
      <c r="F9" s="10" t="s">
        <v>7</v>
      </c>
      <c r="G9" s="10" t="s">
        <v>8</v>
      </c>
      <c r="H9" s="10" t="s">
        <v>9</v>
      </c>
    </row>
    <row r="10" spans="1:256" x14ac:dyDescent="0.25">
      <c r="B10" s="37" t="s">
        <v>15</v>
      </c>
      <c r="C10" s="38">
        <v>80</v>
      </c>
      <c r="D10" s="19">
        <f>IF(ISBLANK(B10),"",$C10*VLOOKUP($B10,Lebensmittel!$A$2:$G$14500,3,0)/VLOOKUP($B10,Lebensmittel!$A$2:$G$14500,2,0))</f>
        <v>216.4</v>
      </c>
      <c r="E10" s="19">
        <f>IF(ISBLANK(B10),"",$C10*VLOOKUP($B10,Lebensmittel!$A$2:$G$14500,7,0)/VLOOKUP($B10,Lebensmittel!$A$2:$G$14500,2,0))</f>
        <v>216.4</v>
      </c>
      <c r="F10" s="20">
        <f>IF(ISBLANK(B10),"",$C10*VLOOKUP($B10,Lebensmittel!$A$2:$G$14500,4,0)/VLOOKUP($B10,Lebensmittel!$A$2:$G$14500,2,0))</f>
        <v>4</v>
      </c>
      <c r="G10" s="20">
        <f>IF(ISBLANK(B10),"",$C10*VLOOKUP($B10,Lebensmittel!$A$2:$G$14500,5,0)/VLOOKUP($B10,Lebensmittel!$A$2:$G$14500,2,0))</f>
        <v>40</v>
      </c>
      <c r="H10" s="20">
        <f>IF(ISBLANK(B10),"",$C10*VLOOKUP($B10,Lebensmittel!$A$2:$G$14500,6,0)/VLOOKUP($B10,Lebensmittel!$A$2:$G$14500,2,0))</f>
        <v>4</v>
      </c>
    </row>
    <row r="11" spans="1:256" x14ac:dyDescent="0.25">
      <c r="B11" s="37" t="s">
        <v>16</v>
      </c>
      <c r="C11" s="38">
        <v>70</v>
      </c>
      <c r="D11" s="19">
        <f>IF(ISBLANK(B11),"",$C11*VLOOKUP($B11,Lebensmittel!$A$2:$G$14500,3,0)/VLOOKUP($B11,Lebensmittel!$A$2:$G$14500,2,0))</f>
        <v>229.25</v>
      </c>
      <c r="E11" s="19">
        <f>IF(ISBLANK(B11),"",$C11*VLOOKUP($B11,Lebensmittel!$A$2:$G$14500,7,0)/VLOOKUP($B11,Lebensmittel!$A$2:$G$14500,2,0))</f>
        <v>229.25</v>
      </c>
      <c r="F11" s="20">
        <f>IF(ISBLANK(B11),"",$C11*VLOOKUP($B11,Lebensmittel!$A$2:$G$14500,4,0)/VLOOKUP($B11,Lebensmittel!$A$2:$G$14500,2,0))</f>
        <v>17.5</v>
      </c>
      <c r="G11" s="20">
        <f>IF(ISBLANK(B11),"",$C11*VLOOKUP($B11,Lebensmittel!$A$2:$G$14500,5,0)/VLOOKUP($B11,Lebensmittel!$A$2:$G$14500,2,0))</f>
        <v>0</v>
      </c>
      <c r="H11" s="20">
        <f>IF(ISBLANK(B11),"",$C11*VLOOKUP($B11,Lebensmittel!$A$2:$G$14500,6,0)/VLOOKUP($B11,Lebensmittel!$A$2:$G$14500,2,0))</f>
        <v>17.5</v>
      </c>
    </row>
    <row r="12" spans="1:256" x14ac:dyDescent="0.25">
      <c r="B12" s="37" t="s">
        <v>31</v>
      </c>
      <c r="C12" s="38">
        <v>15</v>
      </c>
      <c r="D12" s="19">
        <f>IF(ISBLANK(B12),"",$C12*VLOOKUP($B12,Lebensmittel!$A$2:$G$14500,3,0)/VLOOKUP($B12,Lebensmittel!$A$2:$G$14500,2,0))</f>
        <v>78.599999999999994</v>
      </c>
      <c r="E12" s="19">
        <f>IF(ISBLANK(B12),"",$C12*VLOOKUP($B12,Lebensmittel!$A$2:$G$14500,7,0)/VLOOKUP($B12,Lebensmittel!$A$2:$G$14500,2,0))</f>
        <v>78.599999999999994</v>
      </c>
      <c r="F12" s="20">
        <f>IF(ISBLANK(B12),"",$C12*VLOOKUP($B12,Lebensmittel!$A$2:$G$14500,4,0)/VLOOKUP($B12,Lebensmittel!$A$2:$G$14500,2,0))</f>
        <v>6</v>
      </c>
      <c r="G12" s="20">
        <f>IF(ISBLANK(B12),"",$C12*VLOOKUP($B12,Lebensmittel!$A$2:$G$14500,5,0)/VLOOKUP($B12,Lebensmittel!$A$2:$G$14500,2,0))</f>
        <v>6</v>
      </c>
      <c r="H12" s="20">
        <f>IF(ISBLANK(B12),"",$C12*VLOOKUP($B12,Lebensmittel!$A$2:$G$14500,6,0)/VLOOKUP($B12,Lebensmittel!$A$2:$G$14500,2,0))</f>
        <v>0</v>
      </c>
    </row>
    <row r="13" spans="1:256" x14ac:dyDescent="0.25">
      <c r="B13" s="37"/>
      <c r="C13" s="38"/>
      <c r="D13" s="19" t="str">
        <f>IF(ISBLANK(B13),"",$C13*VLOOKUP($B13,Lebensmittel!$A$2:$G$14500,3,0)/VLOOKUP($B13,Lebensmittel!$A$2:$G$14500,2,0))</f>
        <v/>
      </c>
      <c r="E13" s="19" t="str">
        <f>IF(ISBLANK(B13),"",$C13*VLOOKUP($B13,Lebensmittel!$A$2:$G$14500,7,0)/VLOOKUP($B13,Lebensmittel!$A$2:$G$14500,2,0))</f>
        <v/>
      </c>
      <c r="F13" s="20" t="str">
        <f>IF(ISBLANK(B13),"",$C13*VLOOKUP($B13,Lebensmittel!$A$2:$G$14500,4,0)/VLOOKUP($B13,Lebensmittel!$A$2:$G$14500,2,0))</f>
        <v/>
      </c>
      <c r="G13" s="20" t="str">
        <f>IF(ISBLANK(B13),"",$C13*VLOOKUP($B13,Lebensmittel!$A$2:$G$14500,5,0)/VLOOKUP($B13,Lebensmittel!$A$2:$G$14500,2,0))</f>
        <v/>
      </c>
      <c r="H13" s="20" t="str">
        <f>IF(ISBLANK(B13),"",$C13*VLOOKUP($B13,Lebensmittel!$A$2:$G$14500,6,0)/VLOOKUP($B13,Lebensmittel!$A$2:$G$14500,2,0))</f>
        <v/>
      </c>
    </row>
    <row r="14" spans="1:256" x14ac:dyDescent="0.25">
      <c r="B14" s="37"/>
      <c r="C14" s="38"/>
      <c r="D14" s="19" t="str">
        <f>IF(ISBLANK(B14),"",$C14*VLOOKUP($B14,Lebensmittel!$A$2:$G$14500,3,0)/VLOOKUP($B14,Lebensmittel!$A$2:$G$14500,2,0))</f>
        <v/>
      </c>
      <c r="E14" s="19" t="str">
        <f>IF(ISBLANK(B14),"",$C14*VLOOKUP($B14,Lebensmittel!$A$2:$G$14500,7,0)/VLOOKUP($B14,Lebensmittel!$A$2:$G$14500,2,0))</f>
        <v/>
      </c>
      <c r="F14" s="20" t="str">
        <f>IF(ISBLANK(B14),"",$C14*VLOOKUP($B14,Lebensmittel!$A$2:$G$14500,4,0)/VLOOKUP($B14,Lebensmittel!$A$2:$G$14500,2,0))</f>
        <v/>
      </c>
      <c r="G14" s="20" t="str">
        <f>IF(ISBLANK(B14),"",$C14*VLOOKUP($B14,Lebensmittel!$A$2:$G$14500,5,0)/VLOOKUP($B14,Lebensmittel!$A$2:$G$14500,2,0))</f>
        <v/>
      </c>
      <c r="H14" s="20" t="str">
        <f>IF(ISBLANK(B14),"",$C14*VLOOKUP($B14,Lebensmittel!$A$2:$G$14500,6,0)/VLOOKUP($B14,Lebensmittel!$A$2:$G$14500,2,0))</f>
        <v/>
      </c>
    </row>
    <row r="15" spans="1:256" x14ac:dyDescent="0.25">
      <c r="B15" s="37"/>
      <c r="C15" s="38"/>
      <c r="D15" s="19" t="str">
        <f>IF(ISBLANK(B15),"",$C15*VLOOKUP($B15,Lebensmittel!$A$2:$G$14500,3,0)/VLOOKUP($B15,Lebensmittel!$A$2:$G$14500,2,0))</f>
        <v/>
      </c>
      <c r="E15" s="19" t="str">
        <f>IF(ISBLANK(B15),"",$C15*VLOOKUP($B15,Lebensmittel!$A$2:$G$14500,7,0)/VLOOKUP($B15,Lebensmittel!$A$2:$G$14500,2,0))</f>
        <v/>
      </c>
      <c r="F15" s="20" t="str">
        <f>IF(ISBLANK(B15),"",$C15*VLOOKUP($B15,Lebensmittel!$A$2:$G$14500,4,0)/VLOOKUP($B15,Lebensmittel!$A$2:$G$14500,2,0))</f>
        <v/>
      </c>
      <c r="G15" s="20" t="str">
        <f>IF(ISBLANK(B15),"",$C15*VLOOKUP($B15,Lebensmittel!$A$2:$G$14500,5,0)/VLOOKUP($B15,Lebensmittel!$A$2:$G$14500,2,0))</f>
        <v/>
      </c>
      <c r="H15" s="20" t="str">
        <f>IF(ISBLANK(B15),"",$C15*VLOOKUP($B15,Lebensmittel!$A$2:$G$14500,6,0)/VLOOKUP($B15,Lebensmittel!$A$2:$G$14500,2,0))</f>
        <v/>
      </c>
    </row>
    <row r="16" spans="1:256" x14ac:dyDescent="0.25">
      <c r="B16" s="37"/>
      <c r="C16" s="38"/>
      <c r="D16" s="19" t="str">
        <f>IF(ISBLANK(B16),"",$C16*VLOOKUP($B16,Lebensmittel!$A$2:$G$14500,3,0)/VLOOKUP($B16,Lebensmittel!$A$2:$G$14500,2,0))</f>
        <v/>
      </c>
      <c r="E16" s="19" t="str">
        <f>IF(ISBLANK(B16),"",$C16*VLOOKUP($B16,Lebensmittel!$A$2:$G$14500,7,0)/VLOOKUP($B16,Lebensmittel!$A$2:$G$14500,2,0))</f>
        <v/>
      </c>
      <c r="F16" s="20" t="str">
        <f>IF(ISBLANK(B16),"",$C16*VLOOKUP($B16,Lebensmittel!$A$2:$G$14500,4,0)/VLOOKUP($B16,Lebensmittel!$A$2:$G$14500,2,0))</f>
        <v/>
      </c>
      <c r="G16" s="20" t="str">
        <f>IF(ISBLANK(B16),"",$C16*VLOOKUP($B16,Lebensmittel!$A$2:$G$14500,5,0)/VLOOKUP($B16,Lebensmittel!$A$2:$G$14500,2,0))</f>
        <v/>
      </c>
      <c r="H16" s="20" t="str">
        <f>IF(ISBLANK(B16),"",$C16*VLOOKUP($B16,Lebensmittel!$A$2:$G$14500,6,0)/VLOOKUP($B16,Lebensmittel!$A$2:$G$14500,2,0))</f>
        <v/>
      </c>
    </row>
    <row r="17" spans="1:256" x14ac:dyDescent="0.25">
      <c r="B17" s="37"/>
      <c r="C17" s="38"/>
      <c r="D17" s="19" t="str">
        <f>IF(ISBLANK(B17),"",$C17*VLOOKUP($B17,Lebensmittel!$A$2:$G$14500,3,0)/VLOOKUP($B17,Lebensmittel!$A$2:$G$14500,2,0))</f>
        <v/>
      </c>
      <c r="E17" s="19" t="str">
        <f>IF(ISBLANK(B17),"",$C17*VLOOKUP($B17,Lebensmittel!$A$2:$G$14500,7,0)/VLOOKUP($B17,Lebensmittel!$A$2:$G$14500,2,0))</f>
        <v/>
      </c>
      <c r="F17" s="20" t="str">
        <f>IF(ISBLANK(B17),"",$C17*VLOOKUP($B17,Lebensmittel!$A$2:$G$14500,4,0)/VLOOKUP($B17,Lebensmittel!$A$2:$G$14500,2,0))</f>
        <v/>
      </c>
      <c r="G17" s="20" t="str">
        <f>IF(ISBLANK(B17),"",$C17*VLOOKUP($B17,Lebensmittel!$A$2:$G$14500,5,0)/VLOOKUP($B17,Lebensmittel!$A$2:$G$14500,2,0))</f>
        <v/>
      </c>
      <c r="H17" s="20" t="str">
        <f>IF(ISBLANK(B17),"",$C17*VLOOKUP($B17,Lebensmittel!$A$2:$G$14500,6,0)/VLOOKUP($B17,Lebensmittel!$A$2:$G$14500,2,0))</f>
        <v/>
      </c>
    </row>
    <row r="18" spans="1:256" x14ac:dyDescent="0.25">
      <c r="B18" s="37"/>
      <c r="C18" s="38"/>
      <c r="D18" s="19" t="str">
        <f>IF(ISBLANK(B18),"",$C18*VLOOKUP($B18,Lebensmittel!$A$2:$G$14500,3,0)/VLOOKUP($B18,Lebensmittel!$A$2:$G$14500,2,0))</f>
        <v/>
      </c>
      <c r="E18" s="19" t="str">
        <f>IF(ISBLANK(B18),"",$C18*VLOOKUP($B18,Lebensmittel!$A$2:$G$14500,7,0)/VLOOKUP($B18,Lebensmittel!$A$2:$G$14500,2,0))</f>
        <v/>
      </c>
      <c r="F18" s="20" t="str">
        <f>IF(ISBLANK(B18),"",$C18*VLOOKUP($B18,Lebensmittel!$A$2:$G$14500,4,0)/VLOOKUP($B18,Lebensmittel!$A$2:$G$14500,2,0))</f>
        <v/>
      </c>
      <c r="G18" s="20" t="str">
        <f>IF(ISBLANK(B18),"",$C18*VLOOKUP($B18,Lebensmittel!$A$2:$G$14500,5,0)/VLOOKUP($B18,Lebensmittel!$A$2:$G$14500,2,0))</f>
        <v/>
      </c>
      <c r="H18" s="20" t="str">
        <f>IF(ISBLANK(B18),"",$C18*VLOOKUP($B18,Lebensmittel!$A$2:$G$14500,6,0)/VLOOKUP($B18,Lebensmittel!$A$2:$G$14500,2,0))</f>
        <v/>
      </c>
    </row>
    <row r="19" spans="1:256" x14ac:dyDescent="0.25">
      <c r="B19" s="37"/>
      <c r="C19" s="38"/>
      <c r="D19" s="19" t="str">
        <f>IF(ISBLANK(B19),"",$C19*VLOOKUP($B19,Lebensmittel!$A$2:$G$14500,3,0)/VLOOKUP($B19,Lebensmittel!$A$2:$G$14500,2,0))</f>
        <v/>
      </c>
      <c r="E19" s="19" t="str">
        <f>IF(ISBLANK(B19),"",$C19*VLOOKUP($B19,Lebensmittel!$A$2:$G$14500,7,0)/VLOOKUP($B19,Lebensmittel!$A$2:$G$14500,2,0))</f>
        <v/>
      </c>
      <c r="F19" s="20" t="str">
        <f>IF(ISBLANK(B19),"",$C19*VLOOKUP($B19,Lebensmittel!$A$2:$G$14500,4,0)/VLOOKUP($B19,Lebensmittel!$A$2:$G$14500,2,0))</f>
        <v/>
      </c>
      <c r="G19" s="20" t="str">
        <f>IF(ISBLANK(B19),"",$C19*VLOOKUP($B19,Lebensmittel!$A$2:$G$14500,5,0)/VLOOKUP($B19,Lebensmittel!$A$2:$G$14500,2,0))</f>
        <v/>
      </c>
      <c r="H19" s="20" t="str">
        <f>IF(ISBLANK(B19),"",$C19*VLOOKUP($B19,Lebensmittel!$A$2:$G$14500,6,0)/VLOOKUP($B19,Lebensmittel!$A$2:$G$14500,2,0))</f>
        <v/>
      </c>
    </row>
    <row r="20" spans="1:256" x14ac:dyDescent="0.25">
      <c r="B20" s="33" t="s">
        <v>38</v>
      </c>
      <c r="C20" s="34">
        <f t="shared" ref="C20:H20" si="2">SUM(C10:C19)</f>
        <v>165</v>
      </c>
      <c r="D20" s="35">
        <f t="shared" si="2"/>
        <v>524.25</v>
      </c>
      <c r="E20" s="35">
        <f t="shared" si="2"/>
        <v>524.25</v>
      </c>
      <c r="F20" s="36">
        <f t="shared" si="2"/>
        <v>27.5</v>
      </c>
      <c r="G20" s="36">
        <f t="shared" si="2"/>
        <v>46</v>
      </c>
      <c r="H20" s="36">
        <f t="shared" si="2"/>
        <v>21.5</v>
      </c>
    </row>
    <row r="22" spans="1:256" ht="18" x14ac:dyDescent="0.25">
      <c r="A22" s="39" t="s">
        <v>39</v>
      </c>
      <c r="B22" s="39"/>
      <c r="C22" s="3"/>
      <c r="D22" s="4"/>
      <c r="E22" s="4"/>
      <c r="F22" s="5"/>
      <c r="G22" s="5"/>
      <c r="H22" s="5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</row>
    <row r="23" spans="1:256" s="7" customFormat="1" ht="15.75" x14ac:dyDescent="0.25">
      <c r="B23" s="2" t="s">
        <v>3</v>
      </c>
      <c r="C23" s="8" t="s">
        <v>5</v>
      </c>
      <c r="D23" s="9" t="s">
        <v>6</v>
      </c>
      <c r="E23" s="9" t="s">
        <v>6</v>
      </c>
      <c r="F23" s="10" t="s">
        <v>7</v>
      </c>
      <c r="G23" s="10" t="s">
        <v>8</v>
      </c>
      <c r="H23" s="10" t="s">
        <v>9</v>
      </c>
    </row>
    <row r="24" spans="1:256" x14ac:dyDescent="0.25">
      <c r="B24" s="37" t="s">
        <v>29</v>
      </c>
      <c r="C24" s="38">
        <v>100</v>
      </c>
      <c r="D24" s="19">
        <f>IF(ISBLANK(B24),"",$C24*VLOOKUP($B24,Lebensmittel!$A$2:$G$14500,3,0)/VLOOKUP($B24,Lebensmittel!$A$2:$G$14500,2,0))</f>
        <v>328</v>
      </c>
      <c r="E24" s="19">
        <f>IF(ISBLANK(B24),"",$C24*VLOOKUP($B24,Lebensmittel!$A$2:$G$14500,7,0)/VLOOKUP($B24,Lebensmittel!$A$2:$G$14500,2,0))</f>
        <v>328</v>
      </c>
      <c r="F24" s="20">
        <f>IF(ISBLANK(B24),"",$C24*VLOOKUP($B24,Lebensmittel!$A$2:$G$14500,4,0)/VLOOKUP($B24,Lebensmittel!$A$2:$G$14500,2,0))</f>
        <v>0</v>
      </c>
      <c r="G24" s="20">
        <f>IF(ISBLANK(B24),"",$C24*VLOOKUP($B24,Lebensmittel!$A$2:$G$14500,5,0)/VLOOKUP($B24,Lebensmittel!$A$2:$G$14500,2,0))</f>
        <v>80</v>
      </c>
      <c r="H24" s="20">
        <f>IF(ISBLANK(B24),"",$C24*VLOOKUP($B24,Lebensmittel!$A$2:$G$14500,6,0)/VLOOKUP($B24,Lebensmittel!$A$2:$G$14500,2,0))</f>
        <v>0</v>
      </c>
    </row>
    <row r="25" spans="1:256" x14ac:dyDescent="0.25">
      <c r="B25" s="37" t="s">
        <v>33</v>
      </c>
      <c r="C25" s="38">
        <v>50</v>
      </c>
      <c r="D25" s="19">
        <f>IF(ISBLANK(B25),"",$C25*VLOOKUP($B25,Lebensmittel!$A$2:$G$14500,3,0)/VLOOKUP($B25,Lebensmittel!$A$2:$G$14500,2,0))</f>
        <v>196.5</v>
      </c>
      <c r="E25" s="19">
        <f>IF(ISBLANK(B25),"",$C25*VLOOKUP($B25,Lebensmittel!$A$2:$G$14500,7,0)/VLOOKUP($B25,Lebensmittel!$A$2:$G$14500,2,0))</f>
        <v>196.5</v>
      </c>
      <c r="F25" s="20">
        <f>IF(ISBLANK(B25),"",$C25*VLOOKUP($B25,Lebensmittel!$A$2:$G$14500,4,0)/VLOOKUP($B25,Lebensmittel!$A$2:$G$14500,2,0))</f>
        <v>15</v>
      </c>
      <c r="G25" s="20">
        <f>IF(ISBLANK(B25),"",$C25*VLOOKUP($B25,Lebensmittel!$A$2:$G$14500,5,0)/VLOOKUP($B25,Lebensmittel!$A$2:$G$14500,2,0))</f>
        <v>0</v>
      </c>
      <c r="H25" s="20">
        <f>IF(ISBLANK(B25),"",$C25*VLOOKUP($B25,Lebensmittel!$A$2:$G$14500,6,0)/VLOOKUP($B25,Lebensmittel!$A$2:$G$14500,2,0))</f>
        <v>15</v>
      </c>
    </row>
    <row r="26" spans="1:256" x14ac:dyDescent="0.25">
      <c r="B26" s="37" t="s">
        <v>30</v>
      </c>
      <c r="C26" s="38">
        <v>20</v>
      </c>
      <c r="D26" s="19">
        <f>IF(ISBLANK(B26),"",$C26*VLOOKUP($B26,Lebensmittel!$A$2:$G$14500,3,0)/VLOOKUP($B26,Lebensmittel!$A$2:$G$14500,2,0))</f>
        <v>59.8</v>
      </c>
      <c r="E26" s="19">
        <f>IF(ISBLANK(B26),"",$C26*VLOOKUP($B26,Lebensmittel!$A$2:$G$14500,7,0)/VLOOKUP($B26,Lebensmittel!$A$2:$G$14500,2,0))</f>
        <v>59.8</v>
      </c>
      <c r="F26" s="20">
        <f>IF(ISBLANK(B26),"",$C26*VLOOKUP($B26,Lebensmittel!$A$2:$G$14500,4,0)/VLOOKUP($B26,Lebensmittel!$A$2:$G$14500,2,0))</f>
        <v>3</v>
      </c>
      <c r="G26" s="20">
        <f>IF(ISBLANK(B26),"",$C26*VLOOKUP($B26,Lebensmittel!$A$2:$G$14500,5,0)/VLOOKUP($B26,Lebensmittel!$A$2:$G$14500,2,0))</f>
        <v>8</v>
      </c>
      <c r="H26" s="20">
        <f>IF(ISBLANK(B26),"",$C26*VLOOKUP($B26,Lebensmittel!$A$2:$G$14500,6,0)/VLOOKUP($B26,Lebensmittel!$A$2:$G$14500,2,0))</f>
        <v>0</v>
      </c>
    </row>
    <row r="27" spans="1:256" x14ac:dyDescent="0.25">
      <c r="B27" s="37"/>
      <c r="C27" s="38"/>
      <c r="D27" s="19" t="str">
        <f>IF(ISBLANK(B27),"",$C27*VLOOKUP($B27,Lebensmittel!$A$2:$G$14500,3,0)/VLOOKUP($B27,Lebensmittel!$A$2:$G$14500,2,0))</f>
        <v/>
      </c>
      <c r="E27" s="19" t="str">
        <f>IF(ISBLANK(B27),"",$C27*VLOOKUP($B27,Lebensmittel!$A$2:$G$14500,7,0)/VLOOKUP($B27,Lebensmittel!$A$2:$G$14500,2,0))</f>
        <v/>
      </c>
      <c r="F27" s="20" t="str">
        <f>IF(ISBLANK(B27),"",$C27*VLOOKUP($B27,Lebensmittel!$A$2:$G$14500,4,0)/VLOOKUP($B27,Lebensmittel!$A$2:$G$14500,2,0))</f>
        <v/>
      </c>
      <c r="G27" s="20" t="str">
        <f>IF(ISBLANK(B27),"",$C27*VLOOKUP($B27,Lebensmittel!$A$2:$G$14500,5,0)/VLOOKUP($B27,Lebensmittel!$A$2:$G$14500,2,0))</f>
        <v/>
      </c>
      <c r="H27" s="20" t="str">
        <f>IF(ISBLANK(B27),"",$C27*VLOOKUP($B27,Lebensmittel!$A$2:$G$14500,6,0)/VLOOKUP($B27,Lebensmittel!$A$2:$G$14500,2,0))</f>
        <v/>
      </c>
    </row>
    <row r="28" spans="1:256" x14ac:dyDescent="0.25">
      <c r="B28" s="37"/>
      <c r="C28" s="38"/>
      <c r="D28" s="19" t="str">
        <f>IF(ISBLANK(B28),"",$C28*VLOOKUP($B28,Lebensmittel!$A$2:$G$14500,3,0)/VLOOKUP($B28,Lebensmittel!$A$2:$G$14500,2,0))</f>
        <v/>
      </c>
      <c r="E28" s="19" t="str">
        <f>IF(ISBLANK(B28),"",$C28*VLOOKUP($B28,Lebensmittel!$A$2:$G$14500,7,0)/VLOOKUP($B28,Lebensmittel!$A$2:$G$14500,2,0))</f>
        <v/>
      </c>
      <c r="F28" s="20" t="str">
        <f>IF(ISBLANK(B28),"",$C28*VLOOKUP($B28,Lebensmittel!$A$2:$G$14500,4,0)/VLOOKUP($B28,Lebensmittel!$A$2:$G$14500,2,0))</f>
        <v/>
      </c>
      <c r="G28" s="20" t="str">
        <f>IF(ISBLANK(B28),"",$C28*VLOOKUP($B28,Lebensmittel!$A$2:$G$14500,5,0)/VLOOKUP($B28,Lebensmittel!$A$2:$G$14500,2,0))</f>
        <v/>
      </c>
      <c r="H28" s="20" t="str">
        <f>IF(ISBLANK(B28),"",$C28*VLOOKUP($B28,Lebensmittel!$A$2:$G$14500,6,0)/VLOOKUP($B28,Lebensmittel!$A$2:$G$14500,2,0))</f>
        <v/>
      </c>
    </row>
    <row r="29" spans="1:256" x14ac:dyDescent="0.25">
      <c r="B29" s="37"/>
      <c r="C29" s="38"/>
      <c r="D29" s="19" t="str">
        <f>IF(ISBLANK(B29),"",$C29*VLOOKUP($B29,Lebensmittel!$A$2:$G$14500,3,0)/VLOOKUP($B29,Lebensmittel!$A$2:$G$14500,2,0))</f>
        <v/>
      </c>
      <c r="E29" s="19" t="str">
        <f>IF(ISBLANK(B29),"",$C29*VLOOKUP($B29,Lebensmittel!$A$2:$G$14500,7,0)/VLOOKUP($B29,Lebensmittel!$A$2:$G$14500,2,0))</f>
        <v/>
      </c>
      <c r="F29" s="20" t="str">
        <f>IF(ISBLANK(B29),"",$C29*VLOOKUP($B29,Lebensmittel!$A$2:$G$14500,4,0)/VLOOKUP($B29,Lebensmittel!$A$2:$G$14500,2,0))</f>
        <v/>
      </c>
      <c r="G29" s="20" t="str">
        <f>IF(ISBLANK(B29),"",$C29*VLOOKUP($B29,Lebensmittel!$A$2:$G$14500,5,0)/VLOOKUP($B29,Lebensmittel!$A$2:$G$14500,2,0))</f>
        <v/>
      </c>
      <c r="H29" s="20" t="str">
        <f>IF(ISBLANK(B29),"",$C29*VLOOKUP($B29,Lebensmittel!$A$2:$G$14500,6,0)/VLOOKUP($B29,Lebensmittel!$A$2:$G$14500,2,0))</f>
        <v/>
      </c>
    </row>
    <row r="30" spans="1:256" x14ac:dyDescent="0.25">
      <c r="B30" s="37"/>
      <c r="C30" s="38"/>
      <c r="D30" s="19" t="str">
        <f>IF(ISBLANK(B30),"",$C30*VLOOKUP($B30,Lebensmittel!$A$2:$G$14500,3,0)/VLOOKUP($B30,Lebensmittel!$A$2:$G$14500,2,0))</f>
        <v/>
      </c>
      <c r="E30" s="19" t="str">
        <f>IF(ISBLANK(B30),"",$C30*VLOOKUP($B30,Lebensmittel!$A$2:$G$14500,7,0)/VLOOKUP($B30,Lebensmittel!$A$2:$G$14500,2,0))</f>
        <v/>
      </c>
      <c r="F30" s="20" t="str">
        <f>IF(ISBLANK(B30),"",$C30*VLOOKUP($B30,Lebensmittel!$A$2:$G$14500,4,0)/VLOOKUP($B30,Lebensmittel!$A$2:$G$14500,2,0))</f>
        <v/>
      </c>
      <c r="G30" s="20" t="str">
        <f>IF(ISBLANK(B30),"",$C30*VLOOKUP($B30,Lebensmittel!$A$2:$G$14500,5,0)/VLOOKUP($B30,Lebensmittel!$A$2:$G$14500,2,0))</f>
        <v/>
      </c>
      <c r="H30" s="20" t="str">
        <f>IF(ISBLANK(B30),"",$C30*VLOOKUP($B30,Lebensmittel!$A$2:$G$14500,6,0)/VLOOKUP($B30,Lebensmittel!$A$2:$G$14500,2,0))</f>
        <v/>
      </c>
    </row>
    <row r="31" spans="1:256" x14ac:dyDescent="0.25">
      <c r="B31" s="37"/>
      <c r="C31" s="38"/>
      <c r="D31" s="19" t="str">
        <f>IF(ISBLANK(B31),"",$C31*VLOOKUP($B31,Lebensmittel!$A$2:$G$14500,3,0)/VLOOKUP($B31,Lebensmittel!$A$2:$G$14500,2,0))</f>
        <v/>
      </c>
      <c r="E31" s="19" t="str">
        <f>IF(ISBLANK(B31),"",$C31*VLOOKUP($B31,Lebensmittel!$A$2:$G$14500,7,0)/VLOOKUP($B31,Lebensmittel!$A$2:$G$14500,2,0))</f>
        <v/>
      </c>
      <c r="F31" s="20" t="str">
        <f>IF(ISBLANK(B31),"",$C31*VLOOKUP($B31,Lebensmittel!$A$2:$G$14500,4,0)/VLOOKUP($B31,Lebensmittel!$A$2:$G$14500,2,0))</f>
        <v/>
      </c>
      <c r="G31" s="20" t="str">
        <f>IF(ISBLANK(B31),"",$C31*VLOOKUP($B31,Lebensmittel!$A$2:$G$14500,5,0)/VLOOKUP($B31,Lebensmittel!$A$2:$G$14500,2,0))</f>
        <v/>
      </c>
      <c r="H31" s="20" t="str">
        <f>IF(ISBLANK(B31),"",$C31*VLOOKUP($B31,Lebensmittel!$A$2:$G$14500,6,0)/VLOOKUP($B31,Lebensmittel!$A$2:$G$14500,2,0))</f>
        <v/>
      </c>
    </row>
    <row r="32" spans="1:256" x14ac:dyDescent="0.25">
      <c r="B32" s="37"/>
      <c r="C32" s="38"/>
      <c r="D32" s="19" t="str">
        <f>IF(ISBLANK(B32),"",$C32*VLOOKUP($B32,Lebensmittel!$A$2:$G$14500,3,0)/VLOOKUP($B32,Lebensmittel!$A$2:$G$14500,2,0))</f>
        <v/>
      </c>
      <c r="E32" s="19" t="str">
        <f>IF(ISBLANK(B32),"",$C32*VLOOKUP($B32,Lebensmittel!$A$2:$G$14500,7,0)/VLOOKUP($B32,Lebensmittel!$A$2:$G$14500,2,0))</f>
        <v/>
      </c>
      <c r="F32" s="20" t="str">
        <f>IF(ISBLANK(B32),"",$C32*VLOOKUP($B32,Lebensmittel!$A$2:$G$14500,4,0)/VLOOKUP($B32,Lebensmittel!$A$2:$G$14500,2,0))</f>
        <v/>
      </c>
      <c r="G32" s="20" t="str">
        <f>IF(ISBLANK(B32),"",$C32*VLOOKUP($B32,Lebensmittel!$A$2:$G$14500,5,0)/VLOOKUP($B32,Lebensmittel!$A$2:$G$14500,2,0))</f>
        <v/>
      </c>
      <c r="H32" s="20" t="str">
        <f>IF(ISBLANK(B32),"",$C32*VLOOKUP($B32,Lebensmittel!$A$2:$G$14500,6,0)/VLOOKUP($B32,Lebensmittel!$A$2:$G$14500,2,0))</f>
        <v/>
      </c>
    </row>
    <row r="33" spans="1:256" x14ac:dyDescent="0.25">
      <c r="B33" s="37"/>
      <c r="C33" s="38"/>
      <c r="D33" s="19" t="str">
        <f>IF(ISBLANK(B33),"",$C33*VLOOKUP($B33,Lebensmittel!$A$2:$G$14500,3,0)/VLOOKUP($B33,Lebensmittel!$A$2:$G$14500,2,0))</f>
        <v/>
      </c>
      <c r="E33" s="19" t="str">
        <f>IF(ISBLANK(B33),"",$C33*VLOOKUP($B33,Lebensmittel!$A$2:$G$14500,7,0)/VLOOKUP($B33,Lebensmittel!$A$2:$G$14500,2,0))</f>
        <v/>
      </c>
      <c r="F33" s="20" t="str">
        <f>IF(ISBLANK(B33),"",$C33*VLOOKUP($B33,Lebensmittel!$A$2:$G$14500,4,0)/VLOOKUP($B33,Lebensmittel!$A$2:$G$14500,2,0))</f>
        <v/>
      </c>
      <c r="G33" s="20" t="str">
        <f>IF(ISBLANK(B33),"",$C33*VLOOKUP($B33,Lebensmittel!$A$2:$G$14500,5,0)/VLOOKUP($B33,Lebensmittel!$A$2:$G$14500,2,0))</f>
        <v/>
      </c>
      <c r="H33" s="20" t="str">
        <f>IF(ISBLANK(B33),"",$C33*VLOOKUP($B33,Lebensmittel!$A$2:$G$14500,6,0)/VLOOKUP($B33,Lebensmittel!$A$2:$G$14500,2,0))</f>
        <v/>
      </c>
    </row>
    <row r="34" spans="1:256" x14ac:dyDescent="0.25">
      <c r="B34" s="33" t="s">
        <v>40</v>
      </c>
      <c r="C34" s="34">
        <f t="shared" ref="C34:H34" si="3">SUM(C24:C33)</f>
        <v>170</v>
      </c>
      <c r="D34" s="35">
        <f t="shared" si="3"/>
        <v>584.29999999999995</v>
      </c>
      <c r="E34" s="35">
        <f t="shared" si="3"/>
        <v>584.29999999999995</v>
      </c>
      <c r="F34" s="36">
        <f t="shared" si="3"/>
        <v>18</v>
      </c>
      <c r="G34" s="36">
        <f t="shared" si="3"/>
        <v>88</v>
      </c>
      <c r="H34" s="36">
        <f t="shared" si="3"/>
        <v>15</v>
      </c>
    </row>
    <row r="36" spans="1:256" ht="18" x14ac:dyDescent="0.25">
      <c r="A36" s="39" t="s">
        <v>41</v>
      </c>
      <c r="B36" s="39"/>
      <c r="C36" s="3"/>
      <c r="D36" s="4"/>
      <c r="E36" s="4"/>
      <c r="F36" s="5"/>
      <c r="G36" s="5"/>
      <c r="H36" s="5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</row>
    <row r="37" spans="1:256" s="7" customFormat="1" ht="15.75" x14ac:dyDescent="0.25">
      <c r="B37" s="2" t="s">
        <v>3</v>
      </c>
      <c r="C37" s="8" t="s">
        <v>5</v>
      </c>
      <c r="D37" s="9" t="s">
        <v>6</v>
      </c>
      <c r="E37" s="9" t="s">
        <v>6</v>
      </c>
      <c r="F37" s="10" t="s">
        <v>7</v>
      </c>
      <c r="G37" s="10" t="s">
        <v>8</v>
      </c>
      <c r="H37" s="10" t="s">
        <v>9</v>
      </c>
    </row>
    <row r="38" spans="1:256" x14ac:dyDescent="0.25">
      <c r="B38" s="37" t="s">
        <v>28</v>
      </c>
      <c r="C38" s="38">
        <v>75</v>
      </c>
      <c r="D38" s="19">
        <f>IF(ISBLANK(B38),"",$C38*VLOOKUP($B38,Lebensmittel!$A$2:$G$14500,3,0)/VLOOKUP($B38,Lebensmittel!$A$2:$G$14500,2,0))</f>
        <v>255</v>
      </c>
      <c r="E38" s="19">
        <f>IF(ISBLANK(B38),"",$C38*VLOOKUP($B38,Lebensmittel!$A$2:$G$14500,7,0)/VLOOKUP($B38,Lebensmittel!$A$2:$G$14500,2,0))</f>
        <v>255</v>
      </c>
      <c r="F38" s="20">
        <f>IF(ISBLANK(B38),"",$C38*VLOOKUP($B38,Lebensmittel!$A$2:$G$14500,4,0)/VLOOKUP($B38,Lebensmittel!$A$2:$G$14500,2,0))</f>
        <v>11.25</v>
      </c>
      <c r="G38" s="20">
        <f>IF(ISBLANK(B38),"",$C38*VLOOKUP($B38,Lebensmittel!$A$2:$G$14500,5,0)/VLOOKUP($B38,Lebensmittel!$A$2:$G$14500,2,0))</f>
        <v>37.5</v>
      </c>
      <c r="H38" s="20">
        <f>IF(ISBLANK(B38),"",$C38*VLOOKUP($B38,Lebensmittel!$A$2:$G$14500,6,0)/VLOOKUP($B38,Lebensmittel!$A$2:$G$14500,2,0))</f>
        <v>0</v>
      </c>
    </row>
    <row r="39" spans="1:256" x14ac:dyDescent="0.25">
      <c r="B39" s="37" t="s">
        <v>31</v>
      </c>
      <c r="C39" s="38">
        <v>15</v>
      </c>
      <c r="D39" s="19">
        <f>IF(ISBLANK(B39),"",$C39*VLOOKUP($B39,Lebensmittel!$A$2:$G$14500,3,0)/VLOOKUP($B39,Lebensmittel!$A$2:$G$14500,2,0))</f>
        <v>78.599999999999994</v>
      </c>
      <c r="E39" s="19">
        <f>IF(ISBLANK(B39),"",$C39*VLOOKUP($B39,Lebensmittel!$A$2:$G$14500,7,0)/VLOOKUP($B39,Lebensmittel!$A$2:$G$14500,2,0))</f>
        <v>78.599999999999994</v>
      </c>
      <c r="F39" s="20">
        <f>IF(ISBLANK(B39),"",$C39*VLOOKUP($B39,Lebensmittel!$A$2:$G$14500,4,0)/VLOOKUP($B39,Lebensmittel!$A$2:$G$14500,2,0))</f>
        <v>6</v>
      </c>
      <c r="G39" s="20">
        <f>IF(ISBLANK(B39),"",$C39*VLOOKUP($B39,Lebensmittel!$A$2:$G$14500,5,0)/VLOOKUP($B39,Lebensmittel!$A$2:$G$14500,2,0))</f>
        <v>6</v>
      </c>
      <c r="H39" s="20">
        <f>IF(ISBLANK(B39),"",$C39*VLOOKUP($B39,Lebensmittel!$A$2:$G$14500,6,0)/VLOOKUP($B39,Lebensmittel!$A$2:$G$14500,2,0))</f>
        <v>0</v>
      </c>
    </row>
    <row r="40" spans="1:256" x14ac:dyDescent="0.25">
      <c r="B40" s="37"/>
      <c r="C40" s="38"/>
      <c r="D40" s="19" t="str">
        <f>IF(ISBLANK(B40),"",$C40*VLOOKUP($B40,Lebensmittel!$A$2:$G$14500,3,0)/VLOOKUP($B40,Lebensmittel!$A$2:$G$14500,2,0))</f>
        <v/>
      </c>
      <c r="E40" s="19" t="str">
        <f>IF(ISBLANK(B40),"",$C40*VLOOKUP($B40,Lebensmittel!$A$2:$G$14500,7,0)/VLOOKUP($B40,Lebensmittel!$A$2:$G$14500,2,0))</f>
        <v/>
      </c>
      <c r="F40" s="20" t="str">
        <f>IF(ISBLANK(B40),"",$C40*VLOOKUP($B40,Lebensmittel!$A$2:$G$14500,4,0)/VLOOKUP($B40,Lebensmittel!$A$2:$G$14500,2,0))</f>
        <v/>
      </c>
      <c r="G40" s="20" t="str">
        <f>IF(ISBLANK(B40),"",$C40*VLOOKUP($B40,Lebensmittel!$A$2:$G$14500,5,0)/VLOOKUP($B40,Lebensmittel!$A$2:$G$14500,2,0))</f>
        <v/>
      </c>
      <c r="H40" s="20" t="str">
        <f>IF(ISBLANK(B40),"",$C40*VLOOKUP($B40,Lebensmittel!$A$2:$G$14500,6,0)/VLOOKUP($B40,Lebensmittel!$A$2:$G$14500,2,0))</f>
        <v/>
      </c>
    </row>
    <row r="41" spans="1:256" x14ac:dyDescent="0.25">
      <c r="B41" s="37"/>
      <c r="C41" s="38"/>
      <c r="D41" s="19" t="str">
        <f>IF(ISBLANK(B41),"",$C41*VLOOKUP($B41,Lebensmittel!$A$2:$G$14500,3,0)/VLOOKUP($B41,Lebensmittel!$A$2:$G$14500,2,0))</f>
        <v/>
      </c>
      <c r="E41" s="19" t="str">
        <f>IF(ISBLANK(B41),"",$C41*VLOOKUP($B41,Lebensmittel!$A$2:$G$14500,7,0)/VLOOKUP($B41,Lebensmittel!$A$2:$G$14500,2,0))</f>
        <v/>
      </c>
      <c r="F41" s="20" t="str">
        <f>IF(ISBLANK(B41),"",$C41*VLOOKUP($B41,Lebensmittel!$A$2:$G$14500,4,0)/VLOOKUP($B41,Lebensmittel!$A$2:$G$14500,2,0))</f>
        <v/>
      </c>
      <c r="G41" s="20" t="str">
        <f>IF(ISBLANK(B41),"",$C41*VLOOKUP($B41,Lebensmittel!$A$2:$G$14500,5,0)/VLOOKUP($B41,Lebensmittel!$A$2:$G$14500,2,0))</f>
        <v/>
      </c>
      <c r="H41" s="20" t="str">
        <f>IF(ISBLANK(B41),"",$C41*VLOOKUP($B41,Lebensmittel!$A$2:$G$14500,6,0)/VLOOKUP($B41,Lebensmittel!$A$2:$G$14500,2,0))</f>
        <v/>
      </c>
    </row>
    <row r="42" spans="1:256" x14ac:dyDescent="0.25">
      <c r="B42" s="37"/>
      <c r="C42" s="38"/>
      <c r="D42" s="19" t="str">
        <f>IF(ISBLANK(B42),"",$C42*VLOOKUP($B42,Lebensmittel!$A$2:$G$14500,3,0)/VLOOKUP($B42,Lebensmittel!$A$2:$G$14500,2,0))</f>
        <v/>
      </c>
      <c r="E42" s="19" t="str">
        <f>IF(ISBLANK(B42),"",$C42*VLOOKUP($B42,Lebensmittel!$A$2:$G$14500,7,0)/VLOOKUP($B42,Lebensmittel!$A$2:$G$14500,2,0))</f>
        <v/>
      </c>
      <c r="F42" s="20" t="str">
        <f>IF(ISBLANK(B42),"",$C42*VLOOKUP($B42,Lebensmittel!$A$2:$G$14500,4,0)/VLOOKUP($B42,Lebensmittel!$A$2:$G$14500,2,0))</f>
        <v/>
      </c>
      <c r="G42" s="20" t="str">
        <f>IF(ISBLANK(B42),"",$C42*VLOOKUP($B42,Lebensmittel!$A$2:$G$14500,5,0)/VLOOKUP($B42,Lebensmittel!$A$2:$G$14500,2,0))</f>
        <v/>
      </c>
      <c r="H42" s="20" t="str">
        <f>IF(ISBLANK(B42),"",$C42*VLOOKUP($B42,Lebensmittel!$A$2:$G$14500,6,0)/VLOOKUP($B42,Lebensmittel!$A$2:$G$14500,2,0))</f>
        <v/>
      </c>
    </row>
    <row r="43" spans="1:256" x14ac:dyDescent="0.25">
      <c r="B43" s="37"/>
      <c r="C43" s="38"/>
      <c r="D43" s="19" t="str">
        <f>IF(ISBLANK(B43),"",$C43*VLOOKUP($B43,Lebensmittel!$A$2:$G$14500,3,0)/VLOOKUP($B43,Lebensmittel!$A$2:$G$14500,2,0))</f>
        <v/>
      </c>
      <c r="E43" s="19" t="str">
        <f>IF(ISBLANK(B43),"",$C43*VLOOKUP($B43,Lebensmittel!$A$2:$G$14500,7,0)/VLOOKUP($B43,Lebensmittel!$A$2:$G$14500,2,0))</f>
        <v/>
      </c>
      <c r="F43" s="20" t="str">
        <f>IF(ISBLANK(B43),"",$C43*VLOOKUP($B43,Lebensmittel!$A$2:$G$14500,4,0)/VLOOKUP($B43,Lebensmittel!$A$2:$G$14500,2,0))</f>
        <v/>
      </c>
      <c r="G43" s="20" t="str">
        <f>IF(ISBLANK(B43),"",$C43*VLOOKUP($B43,Lebensmittel!$A$2:$G$14500,5,0)/VLOOKUP($B43,Lebensmittel!$A$2:$G$14500,2,0))</f>
        <v/>
      </c>
      <c r="H43" s="20" t="str">
        <f>IF(ISBLANK(B43),"",$C43*VLOOKUP($B43,Lebensmittel!$A$2:$G$14500,6,0)/VLOOKUP($B43,Lebensmittel!$A$2:$G$14500,2,0))</f>
        <v/>
      </c>
    </row>
    <row r="44" spans="1:256" x14ac:dyDescent="0.25">
      <c r="B44" s="37"/>
      <c r="C44" s="38"/>
      <c r="D44" s="19" t="str">
        <f>IF(ISBLANK(B44),"",$C44*VLOOKUP($B44,Lebensmittel!$A$2:$G$14500,3,0)/VLOOKUP($B44,Lebensmittel!$A$2:$G$14500,2,0))</f>
        <v/>
      </c>
      <c r="E44" s="19" t="str">
        <f>IF(ISBLANK(B44),"",$C44*VLOOKUP($B44,Lebensmittel!$A$2:$G$14500,7,0)/VLOOKUP($B44,Lebensmittel!$A$2:$G$14500,2,0))</f>
        <v/>
      </c>
      <c r="F44" s="20" t="str">
        <f>IF(ISBLANK(B44),"",$C44*VLOOKUP($B44,Lebensmittel!$A$2:$G$14500,4,0)/VLOOKUP($B44,Lebensmittel!$A$2:$G$14500,2,0))</f>
        <v/>
      </c>
      <c r="G44" s="20" t="str">
        <f>IF(ISBLANK(B44),"",$C44*VLOOKUP($B44,Lebensmittel!$A$2:$G$14500,5,0)/VLOOKUP($B44,Lebensmittel!$A$2:$G$14500,2,0))</f>
        <v/>
      </c>
      <c r="H44" s="20" t="str">
        <f>IF(ISBLANK(B44),"",$C44*VLOOKUP($B44,Lebensmittel!$A$2:$G$14500,6,0)/VLOOKUP($B44,Lebensmittel!$A$2:$G$14500,2,0))</f>
        <v/>
      </c>
    </row>
    <row r="45" spans="1:256" x14ac:dyDescent="0.25">
      <c r="B45" s="37"/>
      <c r="C45" s="38"/>
      <c r="D45" s="19" t="str">
        <f>IF(ISBLANK(B45),"",$C45*VLOOKUP($B45,Lebensmittel!$A$2:$G$14500,3,0)/VLOOKUP($B45,Lebensmittel!$A$2:$G$14500,2,0))</f>
        <v/>
      </c>
      <c r="E45" s="19" t="str">
        <f>IF(ISBLANK(B45),"",$C45*VLOOKUP($B45,Lebensmittel!$A$2:$G$14500,7,0)/VLOOKUP($B45,Lebensmittel!$A$2:$G$14500,2,0))</f>
        <v/>
      </c>
      <c r="F45" s="20" t="str">
        <f>IF(ISBLANK(B45),"",$C45*VLOOKUP($B45,Lebensmittel!$A$2:$G$14500,4,0)/VLOOKUP($B45,Lebensmittel!$A$2:$G$14500,2,0))</f>
        <v/>
      </c>
      <c r="G45" s="20" t="str">
        <f>IF(ISBLANK(B45),"",$C45*VLOOKUP($B45,Lebensmittel!$A$2:$G$14500,5,0)/VLOOKUP($B45,Lebensmittel!$A$2:$G$14500,2,0))</f>
        <v/>
      </c>
      <c r="H45" s="20" t="str">
        <f>IF(ISBLANK(B45),"",$C45*VLOOKUP($B45,Lebensmittel!$A$2:$G$14500,6,0)/VLOOKUP($B45,Lebensmittel!$A$2:$G$14500,2,0))</f>
        <v/>
      </c>
    </row>
    <row r="46" spans="1:256" x14ac:dyDescent="0.25">
      <c r="B46" s="37"/>
      <c r="C46" s="38"/>
      <c r="D46" s="19" t="str">
        <f>IF(ISBLANK(B46),"",$C46*VLOOKUP($B46,Lebensmittel!$A$2:$G$14500,3,0)/VLOOKUP($B46,Lebensmittel!$A$2:$G$14500,2,0))</f>
        <v/>
      </c>
      <c r="E46" s="19" t="str">
        <f>IF(ISBLANK(B46),"",$C46*VLOOKUP($B46,Lebensmittel!$A$2:$G$14500,7,0)/VLOOKUP($B46,Lebensmittel!$A$2:$G$14500,2,0))</f>
        <v/>
      </c>
      <c r="F46" s="20" t="str">
        <f>IF(ISBLANK(B46),"",$C46*VLOOKUP($B46,Lebensmittel!$A$2:$G$14500,4,0)/VLOOKUP($B46,Lebensmittel!$A$2:$G$14500,2,0))</f>
        <v/>
      </c>
      <c r="G46" s="20" t="str">
        <f>IF(ISBLANK(B46),"",$C46*VLOOKUP($B46,Lebensmittel!$A$2:$G$14500,5,0)/VLOOKUP($B46,Lebensmittel!$A$2:$G$14500,2,0))</f>
        <v/>
      </c>
      <c r="H46" s="20" t="str">
        <f>IF(ISBLANK(B46),"",$C46*VLOOKUP($B46,Lebensmittel!$A$2:$G$14500,6,0)/VLOOKUP($B46,Lebensmittel!$A$2:$G$14500,2,0))</f>
        <v/>
      </c>
    </row>
    <row r="47" spans="1:256" x14ac:dyDescent="0.25">
      <c r="B47" s="37"/>
      <c r="C47" s="38"/>
      <c r="D47" s="19" t="str">
        <f>IF(ISBLANK(B47),"",$C47*VLOOKUP($B47,Lebensmittel!$A$2:$G$14500,3,0)/VLOOKUP($B47,Lebensmittel!$A$2:$G$14500,2,0))</f>
        <v/>
      </c>
      <c r="E47" s="19" t="str">
        <f>IF(ISBLANK(B47),"",$C47*VLOOKUP($B47,Lebensmittel!$A$2:$G$14500,7,0)/VLOOKUP($B47,Lebensmittel!$A$2:$G$14500,2,0))</f>
        <v/>
      </c>
      <c r="F47" s="20" t="str">
        <f>IF(ISBLANK(B47),"",$C47*VLOOKUP($B47,Lebensmittel!$A$2:$G$14500,4,0)/VLOOKUP($B47,Lebensmittel!$A$2:$G$14500,2,0))</f>
        <v/>
      </c>
      <c r="G47" s="20" t="str">
        <f>IF(ISBLANK(B47),"",$C47*VLOOKUP($B47,Lebensmittel!$A$2:$G$14500,5,0)/VLOOKUP($B47,Lebensmittel!$A$2:$G$14500,2,0))</f>
        <v/>
      </c>
      <c r="H47" s="20" t="str">
        <f>IF(ISBLANK(B47),"",$C47*VLOOKUP($B47,Lebensmittel!$A$2:$G$14500,6,0)/VLOOKUP($B47,Lebensmittel!$A$2:$G$14500,2,0))</f>
        <v/>
      </c>
    </row>
    <row r="48" spans="1:256" x14ac:dyDescent="0.25">
      <c r="B48" s="33" t="s">
        <v>42</v>
      </c>
      <c r="C48" s="34">
        <f t="shared" ref="C48:H48" si="4">SUM(C38:C47)</f>
        <v>90</v>
      </c>
      <c r="D48" s="35">
        <f t="shared" si="4"/>
        <v>333.6</v>
      </c>
      <c r="E48" s="35">
        <f t="shared" si="4"/>
        <v>333.6</v>
      </c>
      <c r="F48" s="36">
        <f t="shared" si="4"/>
        <v>17.25</v>
      </c>
      <c r="G48" s="36">
        <f t="shared" si="4"/>
        <v>43.5</v>
      </c>
      <c r="H48" s="36">
        <f t="shared" si="4"/>
        <v>0</v>
      </c>
    </row>
    <row r="50" spans="1:256" ht="18" x14ac:dyDescent="0.25">
      <c r="A50" s="39" t="s">
        <v>43</v>
      </c>
      <c r="B50" s="39"/>
      <c r="C50" s="3"/>
      <c r="D50" s="4"/>
      <c r="E50" s="4"/>
      <c r="F50" s="5"/>
      <c r="G50" s="5"/>
      <c r="H50" s="5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</row>
    <row r="51" spans="1:256" s="7" customFormat="1" ht="15.75" x14ac:dyDescent="0.25">
      <c r="B51" s="2" t="s">
        <v>3</v>
      </c>
      <c r="C51" s="8" t="s">
        <v>5</v>
      </c>
      <c r="D51" s="9" t="s">
        <v>6</v>
      </c>
      <c r="E51" s="9" t="s">
        <v>6</v>
      </c>
      <c r="F51" s="10" t="s">
        <v>7</v>
      </c>
      <c r="G51" s="10" t="s">
        <v>8</v>
      </c>
      <c r="H51" s="10" t="s">
        <v>9</v>
      </c>
    </row>
    <row r="52" spans="1:256" x14ac:dyDescent="0.25">
      <c r="B52" s="37" t="s">
        <v>15</v>
      </c>
      <c r="C52" s="38">
        <v>80</v>
      </c>
      <c r="D52" s="19">
        <f>IF(ISBLANK(B52),"",$C52*VLOOKUP($B52,Lebensmittel!$A$2:$G$14500,3,0)/VLOOKUP($B52,Lebensmittel!$A$2:$G$14500,2,0))</f>
        <v>216.4</v>
      </c>
      <c r="E52" s="19">
        <f>IF(ISBLANK(B52),"",$C52*VLOOKUP($B52,Lebensmittel!$A$2:$G$14500,7,0)/VLOOKUP($B52,Lebensmittel!$A$2:$G$14500,2,0))</f>
        <v>216.4</v>
      </c>
      <c r="F52" s="20">
        <f>IF(ISBLANK(B52),"",$C52*VLOOKUP($B52,Lebensmittel!$A$2:$G$14500,4,0)/VLOOKUP($B52,Lebensmittel!$A$2:$G$14500,2,0))</f>
        <v>4</v>
      </c>
      <c r="G52" s="20">
        <f>IF(ISBLANK(B52),"",$C52*VLOOKUP($B52,Lebensmittel!$A$2:$G$14500,5,0)/VLOOKUP($B52,Lebensmittel!$A$2:$G$14500,2,0))</f>
        <v>40</v>
      </c>
      <c r="H52" s="20">
        <f>IF(ISBLANK(B52),"",$C52*VLOOKUP($B52,Lebensmittel!$A$2:$G$14500,6,0)/VLOOKUP($B52,Lebensmittel!$A$2:$G$14500,2,0))</f>
        <v>4</v>
      </c>
    </row>
    <row r="53" spans="1:256" x14ac:dyDescent="0.25">
      <c r="B53" s="37" t="s">
        <v>22</v>
      </c>
      <c r="C53" s="38">
        <v>50</v>
      </c>
      <c r="D53" s="19">
        <f>IF(ISBLANK(B53),"",$C53*VLOOKUP($B53,Lebensmittel!$A$2:$G$14500,3,0)/VLOOKUP($B53,Lebensmittel!$A$2:$G$14500,2,0))</f>
        <v>120.75</v>
      </c>
      <c r="E53" s="19">
        <f>IF(ISBLANK(B53),"",$C53*VLOOKUP($B53,Lebensmittel!$A$2:$G$14500,7,0)/VLOOKUP($B53,Lebensmittel!$A$2:$G$14500,2,0))</f>
        <v>120.75</v>
      </c>
      <c r="F53" s="20">
        <f>IF(ISBLANK(B53),"",$C53*VLOOKUP($B53,Lebensmittel!$A$2:$G$14500,4,0)/VLOOKUP($B53,Lebensmittel!$A$2:$G$14500,2,0))</f>
        <v>10</v>
      </c>
      <c r="G53" s="20">
        <f>IF(ISBLANK(B53),"",$C53*VLOOKUP($B53,Lebensmittel!$A$2:$G$14500,5,0)/VLOOKUP($B53,Lebensmittel!$A$2:$G$14500,2,0))</f>
        <v>0</v>
      </c>
      <c r="H53" s="20">
        <f>IF(ISBLANK(B53),"",$C53*VLOOKUP($B53,Lebensmittel!$A$2:$G$14500,6,0)/VLOOKUP($B53,Lebensmittel!$A$2:$G$14500,2,0))</f>
        <v>7.5</v>
      </c>
    </row>
    <row r="54" spans="1:256" x14ac:dyDescent="0.25">
      <c r="B54" s="37" t="s">
        <v>26</v>
      </c>
      <c r="C54" s="38">
        <v>30</v>
      </c>
      <c r="D54" s="19">
        <f>IF(ISBLANK(B54),"",$C54*VLOOKUP($B54,Lebensmittel!$A$2:$G$14500,3,0)/VLOOKUP($B54,Lebensmittel!$A$2:$G$14500,2,0))</f>
        <v>152.4</v>
      </c>
      <c r="E54" s="19">
        <f>IF(ISBLANK(B54),"",$C54*VLOOKUP($B54,Lebensmittel!$A$2:$G$14500,7,0)/VLOOKUP($B54,Lebensmittel!$A$2:$G$14500,2,0))</f>
        <v>152.4</v>
      </c>
      <c r="F54" s="20">
        <f>IF(ISBLANK(B54),"",$C54*VLOOKUP($B54,Lebensmittel!$A$2:$G$14500,4,0)/VLOOKUP($B54,Lebensmittel!$A$2:$G$14500,2,0))</f>
        <v>6</v>
      </c>
      <c r="G54" s="20">
        <f>IF(ISBLANK(B54),"",$C54*VLOOKUP($B54,Lebensmittel!$A$2:$G$14500,5,0)/VLOOKUP($B54,Lebensmittel!$A$2:$G$14500,2,0))</f>
        <v>24</v>
      </c>
      <c r="H54" s="20">
        <f>IF(ISBLANK(B54),"",$C54*VLOOKUP($B54,Lebensmittel!$A$2:$G$14500,6,0)/VLOOKUP($B54,Lebensmittel!$A$2:$G$14500,2,0))</f>
        <v>0</v>
      </c>
    </row>
    <row r="55" spans="1:256" x14ac:dyDescent="0.25">
      <c r="B55" s="37"/>
      <c r="C55" s="38"/>
      <c r="D55" s="19" t="str">
        <f>IF(ISBLANK(B55),"",$C55*VLOOKUP($B55,Lebensmittel!$A$2:$G$14500,3,0)/VLOOKUP($B55,Lebensmittel!$A$2:$G$14500,2,0))</f>
        <v/>
      </c>
      <c r="E55" s="19" t="str">
        <f>IF(ISBLANK(B55),"",$C55*VLOOKUP($B55,Lebensmittel!$A$2:$G$14500,7,0)/VLOOKUP($B55,Lebensmittel!$A$2:$G$14500,2,0))</f>
        <v/>
      </c>
      <c r="F55" s="20" t="str">
        <f>IF(ISBLANK(B55),"",$C55*VLOOKUP($B55,Lebensmittel!$A$2:$G$14500,4,0)/VLOOKUP($B55,Lebensmittel!$A$2:$G$14500,2,0))</f>
        <v/>
      </c>
      <c r="G55" s="20" t="str">
        <f>IF(ISBLANK(B55),"",$C55*VLOOKUP($B55,Lebensmittel!$A$2:$G$14500,5,0)/VLOOKUP($B55,Lebensmittel!$A$2:$G$14500,2,0))</f>
        <v/>
      </c>
      <c r="H55" s="20" t="str">
        <f>IF(ISBLANK(B55),"",$C55*VLOOKUP($B55,Lebensmittel!$A$2:$G$14500,6,0)/VLOOKUP($B55,Lebensmittel!$A$2:$G$14500,2,0))</f>
        <v/>
      </c>
    </row>
    <row r="56" spans="1:256" x14ac:dyDescent="0.25">
      <c r="B56" s="37"/>
      <c r="C56" s="38"/>
      <c r="D56" s="19" t="str">
        <f>IF(ISBLANK(B56),"",$C56*VLOOKUP($B56,Lebensmittel!$A$2:$G$14500,3,0)/VLOOKUP($B56,Lebensmittel!$A$2:$G$14500,2,0))</f>
        <v/>
      </c>
      <c r="E56" s="19" t="str">
        <f>IF(ISBLANK(B56),"",$C56*VLOOKUP($B56,Lebensmittel!$A$2:$G$14500,7,0)/VLOOKUP($B56,Lebensmittel!$A$2:$G$14500,2,0))</f>
        <v/>
      </c>
      <c r="F56" s="20" t="str">
        <f>IF(ISBLANK(B56),"",$C56*VLOOKUP($B56,Lebensmittel!$A$2:$G$14500,4,0)/VLOOKUP($B56,Lebensmittel!$A$2:$G$14500,2,0))</f>
        <v/>
      </c>
      <c r="G56" s="20" t="str">
        <f>IF(ISBLANK(B56),"",$C56*VLOOKUP($B56,Lebensmittel!$A$2:$G$14500,5,0)/VLOOKUP($B56,Lebensmittel!$A$2:$G$14500,2,0))</f>
        <v/>
      </c>
      <c r="H56" s="20" t="str">
        <f>IF(ISBLANK(B56),"",$C56*VLOOKUP($B56,Lebensmittel!$A$2:$G$14500,6,0)/VLOOKUP($B56,Lebensmittel!$A$2:$G$14500,2,0))</f>
        <v/>
      </c>
    </row>
    <row r="57" spans="1:256" x14ac:dyDescent="0.25">
      <c r="B57" s="37"/>
      <c r="C57" s="38"/>
      <c r="D57" s="19" t="str">
        <f>IF(ISBLANK(B57),"",$C57*VLOOKUP($B57,Lebensmittel!$A$2:$G$14500,3,0)/VLOOKUP($B57,Lebensmittel!$A$2:$G$14500,2,0))</f>
        <v/>
      </c>
      <c r="E57" s="19" t="str">
        <f>IF(ISBLANK(B57),"",$C57*VLOOKUP($B57,Lebensmittel!$A$2:$G$14500,7,0)/VLOOKUP($B57,Lebensmittel!$A$2:$G$14500,2,0))</f>
        <v/>
      </c>
      <c r="F57" s="20" t="str">
        <f>IF(ISBLANK(B57),"",$C57*VLOOKUP($B57,Lebensmittel!$A$2:$G$14500,4,0)/VLOOKUP($B57,Lebensmittel!$A$2:$G$14500,2,0))</f>
        <v/>
      </c>
      <c r="G57" s="20" t="str">
        <f>IF(ISBLANK(B57),"",$C57*VLOOKUP($B57,Lebensmittel!$A$2:$G$14500,5,0)/VLOOKUP($B57,Lebensmittel!$A$2:$G$14500,2,0))</f>
        <v/>
      </c>
      <c r="H57" s="20" t="str">
        <f>IF(ISBLANK(B57),"",$C57*VLOOKUP($B57,Lebensmittel!$A$2:$G$14500,6,0)/VLOOKUP($B57,Lebensmittel!$A$2:$G$14500,2,0))</f>
        <v/>
      </c>
    </row>
    <row r="58" spans="1:256" x14ac:dyDescent="0.25">
      <c r="B58" s="37"/>
      <c r="C58" s="38"/>
      <c r="D58" s="19" t="str">
        <f>IF(ISBLANK(B58),"",$C58*VLOOKUP($B58,Lebensmittel!$A$2:$G$14500,3,0)/VLOOKUP($B58,Lebensmittel!$A$2:$G$14500,2,0))</f>
        <v/>
      </c>
      <c r="E58" s="19" t="str">
        <f>IF(ISBLANK(B58),"",$C58*VLOOKUP($B58,Lebensmittel!$A$2:$G$14500,7,0)/VLOOKUP($B58,Lebensmittel!$A$2:$G$14500,2,0))</f>
        <v/>
      </c>
      <c r="F58" s="20" t="str">
        <f>IF(ISBLANK(B58),"",$C58*VLOOKUP($B58,Lebensmittel!$A$2:$G$14500,4,0)/VLOOKUP($B58,Lebensmittel!$A$2:$G$14500,2,0))</f>
        <v/>
      </c>
      <c r="G58" s="20" t="str">
        <f>IF(ISBLANK(B58),"",$C58*VLOOKUP($B58,Lebensmittel!$A$2:$G$14500,5,0)/VLOOKUP($B58,Lebensmittel!$A$2:$G$14500,2,0))</f>
        <v/>
      </c>
      <c r="H58" s="20" t="str">
        <f>IF(ISBLANK(B58),"",$C58*VLOOKUP($B58,Lebensmittel!$A$2:$G$14500,6,0)/VLOOKUP($B58,Lebensmittel!$A$2:$G$14500,2,0))</f>
        <v/>
      </c>
    </row>
    <row r="59" spans="1:256" x14ac:dyDescent="0.25">
      <c r="B59" s="37"/>
      <c r="C59" s="38"/>
      <c r="D59" s="19" t="str">
        <f>IF(ISBLANK(B59),"",$C59*VLOOKUP($B59,Lebensmittel!$A$2:$G$14500,3,0)/VLOOKUP($B59,Lebensmittel!$A$2:$G$14500,2,0))</f>
        <v/>
      </c>
      <c r="E59" s="19" t="str">
        <f>IF(ISBLANK(B59),"",$C59*VLOOKUP($B59,Lebensmittel!$A$2:$G$14500,7,0)/VLOOKUP($B59,Lebensmittel!$A$2:$G$14500,2,0))</f>
        <v/>
      </c>
      <c r="F59" s="20" t="str">
        <f>IF(ISBLANK(B59),"",$C59*VLOOKUP($B59,Lebensmittel!$A$2:$G$14500,4,0)/VLOOKUP($B59,Lebensmittel!$A$2:$G$14500,2,0))</f>
        <v/>
      </c>
      <c r="G59" s="20" t="str">
        <f>IF(ISBLANK(B59),"",$C59*VLOOKUP($B59,Lebensmittel!$A$2:$G$14500,5,0)/VLOOKUP($B59,Lebensmittel!$A$2:$G$14500,2,0))</f>
        <v/>
      </c>
      <c r="H59" s="20" t="str">
        <f>IF(ISBLANK(B59),"",$C59*VLOOKUP($B59,Lebensmittel!$A$2:$G$14500,6,0)/VLOOKUP($B59,Lebensmittel!$A$2:$G$14500,2,0))</f>
        <v/>
      </c>
    </row>
    <row r="60" spans="1:256" x14ac:dyDescent="0.25">
      <c r="B60" s="37"/>
      <c r="C60" s="38"/>
      <c r="D60" s="19" t="str">
        <f>IF(ISBLANK(B60),"",$C60*VLOOKUP($B60,Lebensmittel!$A$2:$G$14500,3,0)/VLOOKUP($B60,Lebensmittel!$A$2:$G$14500,2,0))</f>
        <v/>
      </c>
      <c r="E60" s="19" t="str">
        <f>IF(ISBLANK(B60),"",$C60*VLOOKUP($B60,Lebensmittel!$A$2:$G$14500,7,0)/VLOOKUP($B60,Lebensmittel!$A$2:$G$14500,2,0))</f>
        <v/>
      </c>
      <c r="F60" s="20" t="str">
        <f>IF(ISBLANK(B60),"",$C60*VLOOKUP($B60,Lebensmittel!$A$2:$G$14500,4,0)/VLOOKUP($B60,Lebensmittel!$A$2:$G$14500,2,0))</f>
        <v/>
      </c>
      <c r="G60" s="20" t="str">
        <f>IF(ISBLANK(B60),"",$C60*VLOOKUP($B60,Lebensmittel!$A$2:$G$14500,5,0)/VLOOKUP($B60,Lebensmittel!$A$2:$G$14500,2,0))</f>
        <v/>
      </c>
      <c r="H60" s="20" t="str">
        <f>IF(ISBLANK(B60),"",$C60*VLOOKUP($B60,Lebensmittel!$A$2:$G$14500,6,0)/VLOOKUP($B60,Lebensmittel!$A$2:$G$14500,2,0))</f>
        <v/>
      </c>
    </row>
    <row r="61" spans="1:256" x14ac:dyDescent="0.25">
      <c r="B61" s="37"/>
      <c r="C61" s="38"/>
      <c r="D61" s="19" t="str">
        <f>IF(ISBLANK(B61),"",$C61*VLOOKUP($B61,Lebensmittel!$A$2:$G$14500,3,0)/VLOOKUP($B61,Lebensmittel!$A$2:$G$14500,2,0))</f>
        <v/>
      </c>
      <c r="E61" s="19" t="str">
        <f>IF(ISBLANK(B61),"",$C61*VLOOKUP($B61,Lebensmittel!$A$2:$G$14500,7,0)/VLOOKUP($B61,Lebensmittel!$A$2:$G$14500,2,0))</f>
        <v/>
      </c>
      <c r="F61" s="20" t="str">
        <f>IF(ISBLANK(B61),"",$C61*VLOOKUP($B61,Lebensmittel!$A$2:$G$14500,4,0)/VLOOKUP($B61,Lebensmittel!$A$2:$G$14500,2,0))</f>
        <v/>
      </c>
      <c r="G61" s="20" t="str">
        <f>IF(ISBLANK(B61),"",$C61*VLOOKUP($B61,Lebensmittel!$A$2:$G$14500,5,0)/VLOOKUP($B61,Lebensmittel!$A$2:$G$14500,2,0))</f>
        <v/>
      </c>
      <c r="H61" s="20" t="str">
        <f>IF(ISBLANK(B61),"",$C61*VLOOKUP($B61,Lebensmittel!$A$2:$G$14500,6,0)/VLOOKUP($B61,Lebensmittel!$A$2:$G$14500,2,0))</f>
        <v/>
      </c>
    </row>
    <row r="62" spans="1:256" x14ac:dyDescent="0.25">
      <c r="B62" s="33" t="s">
        <v>44</v>
      </c>
      <c r="C62" s="34">
        <f t="shared" ref="C62:H62" si="5">SUM(C52:C61)</f>
        <v>160</v>
      </c>
      <c r="D62" s="35">
        <f t="shared" si="5"/>
        <v>489.54999999999995</v>
      </c>
      <c r="E62" s="35">
        <f t="shared" si="5"/>
        <v>489.54999999999995</v>
      </c>
      <c r="F62" s="36">
        <f t="shared" si="5"/>
        <v>20</v>
      </c>
      <c r="G62" s="36">
        <f t="shared" si="5"/>
        <v>64</v>
      </c>
      <c r="H62" s="36">
        <f t="shared" si="5"/>
        <v>11.5</v>
      </c>
    </row>
    <row r="64" spans="1:256" ht="18" x14ac:dyDescent="0.25">
      <c r="A64" s="39" t="s">
        <v>45</v>
      </c>
      <c r="B64" s="39"/>
      <c r="C64" s="3"/>
      <c r="D64" s="4"/>
      <c r="E64" s="4"/>
      <c r="F64" s="5"/>
      <c r="G64" s="5"/>
      <c r="H64" s="5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</row>
    <row r="65" spans="2:8" s="7" customFormat="1" ht="15.75" x14ac:dyDescent="0.25">
      <c r="B65" s="2" t="s">
        <v>3</v>
      </c>
      <c r="C65" s="8" t="s">
        <v>5</v>
      </c>
      <c r="D65" s="9" t="s">
        <v>6</v>
      </c>
      <c r="E65" s="9" t="s">
        <v>6</v>
      </c>
      <c r="F65" s="10" t="s">
        <v>7</v>
      </c>
      <c r="G65" s="10" t="s">
        <v>8</v>
      </c>
      <c r="H65" s="10" t="s">
        <v>9</v>
      </c>
    </row>
    <row r="66" spans="2:8" x14ac:dyDescent="0.25">
      <c r="B66" s="37"/>
      <c r="C66" s="38"/>
      <c r="D66" s="19" t="str">
        <f>IF(ISBLANK(B66),"",$C66*VLOOKUP($B66,Lebensmittel!$A$2:$G$14500,3,0)/VLOOKUP($B66,Lebensmittel!$A$2:$G$14500,2,0))</f>
        <v/>
      </c>
      <c r="E66" s="19" t="str">
        <f>IF(ISBLANK(B66),"",$C66*VLOOKUP($B66,Lebensmittel!$A$2:$G$14500,7,0)/VLOOKUP($B66,Lebensmittel!$A$2:$G$14500,2,0))</f>
        <v/>
      </c>
      <c r="F66" s="20" t="str">
        <f>IF(ISBLANK(B66),"",$C66*VLOOKUP($B66,Lebensmittel!$A$2:$G$14500,4,0)/VLOOKUP($B66,Lebensmittel!$A$2:$G$14500,2,0))</f>
        <v/>
      </c>
      <c r="G66" s="20" t="str">
        <f>IF(ISBLANK(B66),"",$C66*VLOOKUP($B66,Lebensmittel!$A$2:$G$14500,5,0)/VLOOKUP($B66,Lebensmittel!$A$2:$G$14500,2,0))</f>
        <v/>
      </c>
      <c r="H66" s="20" t="str">
        <f>IF(ISBLANK(B66),"",$C66*VLOOKUP($B66,Lebensmittel!$A$2:$G$14500,6,0)/VLOOKUP($B66,Lebensmittel!$A$2:$G$14500,2,0))</f>
        <v/>
      </c>
    </row>
    <row r="67" spans="2:8" x14ac:dyDescent="0.25">
      <c r="B67" s="37"/>
      <c r="C67" s="38"/>
      <c r="D67" s="19" t="str">
        <f>IF(ISBLANK(B67),"",$C67*VLOOKUP($B67,Lebensmittel!$A$2:$G$14500,3,0)/VLOOKUP($B67,Lebensmittel!$A$2:$G$14500,2,0))</f>
        <v/>
      </c>
      <c r="E67" s="19" t="str">
        <f>IF(ISBLANK(B67),"",$C67*VLOOKUP($B67,Lebensmittel!$A$2:$G$14500,7,0)/VLOOKUP($B67,Lebensmittel!$A$2:$G$14500,2,0))</f>
        <v/>
      </c>
      <c r="F67" s="20" t="str">
        <f>IF(ISBLANK(B67),"",$C67*VLOOKUP($B67,Lebensmittel!$A$2:$G$14500,4,0)/VLOOKUP($B67,Lebensmittel!$A$2:$G$14500,2,0))</f>
        <v/>
      </c>
      <c r="G67" s="20" t="str">
        <f>IF(ISBLANK(B67),"",$C67*VLOOKUP($B67,Lebensmittel!$A$2:$G$14500,5,0)/VLOOKUP($B67,Lebensmittel!$A$2:$G$14500,2,0))</f>
        <v/>
      </c>
      <c r="H67" s="20" t="str">
        <f>IF(ISBLANK(B67),"",$C67*VLOOKUP($B67,Lebensmittel!$A$2:$G$14500,6,0)/VLOOKUP($B67,Lebensmittel!$A$2:$G$14500,2,0))</f>
        <v/>
      </c>
    </row>
    <row r="68" spans="2:8" x14ac:dyDescent="0.25">
      <c r="B68" s="37"/>
      <c r="C68" s="38"/>
      <c r="D68" s="19" t="str">
        <f>IF(ISBLANK(B68),"",$C68*VLOOKUP($B68,Lebensmittel!$A$2:$G$14500,3,0)/VLOOKUP($B68,Lebensmittel!$A$2:$G$14500,2,0))</f>
        <v/>
      </c>
      <c r="E68" s="19" t="str">
        <f>IF(ISBLANK(B68),"",$C68*VLOOKUP($B68,Lebensmittel!$A$2:$G$14500,7,0)/VLOOKUP($B68,Lebensmittel!$A$2:$G$14500,2,0))</f>
        <v/>
      </c>
      <c r="F68" s="20" t="str">
        <f>IF(ISBLANK(B68),"",$C68*VLOOKUP($B68,Lebensmittel!$A$2:$G$14500,4,0)/VLOOKUP($B68,Lebensmittel!$A$2:$G$14500,2,0))</f>
        <v/>
      </c>
      <c r="G68" s="20" t="str">
        <f>IF(ISBLANK(B68),"",$C68*VLOOKUP($B68,Lebensmittel!$A$2:$G$14500,5,0)/VLOOKUP($B68,Lebensmittel!$A$2:$G$14500,2,0))</f>
        <v/>
      </c>
      <c r="H68" s="20" t="str">
        <f>IF(ISBLANK(B68),"",$C68*VLOOKUP($B68,Lebensmittel!$A$2:$G$14500,6,0)/VLOOKUP($B68,Lebensmittel!$A$2:$G$14500,2,0))</f>
        <v/>
      </c>
    </row>
    <row r="69" spans="2:8" x14ac:dyDescent="0.25">
      <c r="B69" s="37"/>
      <c r="C69" s="38"/>
      <c r="D69" s="19" t="str">
        <f>IF(ISBLANK(B69),"",$C69*VLOOKUP($B69,Lebensmittel!$A$2:$G$14500,3,0)/VLOOKUP($B69,Lebensmittel!$A$2:$G$14500,2,0))</f>
        <v/>
      </c>
      <c r="E69" s="19" t="str">
        <f>IF(ISBLANK(B69),"",$C69*VLOOKUP($B69,Lebensmittel!$A$2:$G$14500,7,0)/VLOOKUP($B69,Lebensmittel!$A$2:$G$14500,2,0))</f>
        <v/>
      </c>
      <c r="F69" s="20" t="str">
        <f>IF(ISBLANK(B69),"",$C69*VLOOKUP($B69,Lebensmittel!$A$2:$G$14500,4,0)/VLOOKUP($B69,Lebensmittel!$A$2:$G$14500,2,0))</f>
        <v/>
      </c>
      <c r="G69" s="20" t="str">
        <f>IF(ISBLANK(B69),"",$C69*VLOOKUP($B69,Lebensmittel!$A$2:$G$14500,5,0)/VLOOKUP($B69,Lebensmittel!$A$2:$G$14500,2,0))</f>
        <v/>
      </c>
      <c r="H69" s="20" t="str">
        <f>IF(ISBLANK(B69),"",$C69*VLOOKUP($B69,Lebensmittel!$A$2:$G$14500,6,0)/VLOOKUP($B69,Lebensmittel!$A$2:$G$14500,2,0))</f>
        <v/>
      </c>
    </row>
    <row r="70" spans="2:8" x14ac:dyDescent="0.25">
      <c r="B70" s="37"/>
      <c r="C70" s="38"/>
      <c r="D70" s="19" t="str">
        <f>IF(ISBLANK(B70),"",$C70*VLOOKUP($B70,Lebensmittel!$A$2:$G$14500,3,0)/VLOOKUP($B70,Lebensmittel!$A$2:$G$14500,2,0))</f>
        <v/>
      </c>
      <c r="E70" s="19" t="str">
        <f>IF(ISBLANK(B70),"",$C70*VLOOKUP($B70,Lebensmittel!$A$2:$G$14500,7,0)/VLOOKUP($B70,Lebensmittel!$A$2:$G$14500,2,0))</f>
        <v/>
      </c>
      <c r="F70" s="20" t="str">
        <f>IF(ISBLANK(B70),"",$C70*VLOOKUP($B70,Lebensmittel!$A$2:$G$14500,4,0)/VLOOKUP($B70,Lebensmittel!$A$2:$G$14500,2,0))</f>
        <v/>
      </c>
      <c r="G70" s="20" t="str">
        <f>IF(ISBLANK(B70),"",$C70*VLOOKUP($B70,Lebensmittel!$A$2:$G$14500,5,0)/VLOOKUP($B70,Lebensmittel!$A$2:$G$14500,2,0))</f>
        <v/>
      </c>
      <c r="H70" s="20" t="str">
        <f>IF(ISBLANK(B70),"",$C70*VLOOKUP($B70,Lebensmittel!$A$2:$G$14500,6,0)/VLOOKUP($B70,Lebensmittel!$A$2:$G$14500,2,0))</f>
        <v/>
      </c>
    </row>
    <row r="71" spans="2:8" x14ac:dyDescent="0.25">
      <c r="B71" s="37"/>
      <c r="C71" s="38"/>
      <c r="D71" s="19" t="str">
        <f>IF(ISBLANK(B71),"",$C71*VLOOKUP($B71,Lebensmittel!$A$2:$G$14500,3,0)/VLOOKUP($B71,Lebensmittel!$A$2:$G$14500,2,0))</f>
        <v/>
      </c>
      <c r="E71" s="19" t="str">
        <f>IF(ISBLANK(B71),"",$C71*VLOOKUP($B71,Lebensmittel!$A$2:$G$14500,7,0)/VLOOKUP($B71,Lebensmittel!$A$2:$G$14500,2,0))</f>
        <v/>
      </c>
      <c r="F71" s="20" t="str">
        <f>IF(ISBLANK(B71),"",$C71*VLOOKUP($B71,Lebensmittel!$A$2:$G$14500,4,0)/VLOOKUP($B71,Lebensmittel!$A$2:$G$14500,2,0))</f>
        <v/>
      </c>
      <c r="G71" s="20" t="str">
        <f>IF(ISBLANK(B71),"",$C71*VLOOKUP($B71,Lebensmittel!$A$2:$G$14500,5,0)/VLOOKUP($B71,Lebensmittel!$A$2:$G$14500,2,0))</f>
        <v/>
      </c>
      <c r="H71" s="20" t="str">
        <f>IF(ISBLANK(B71),"",$C71*VLOOKUP($B71,Lebensmittel!$A$2:$G$14500,6,0)/VLOOKUP($B71,Lebensmittel!$A$2:$G$14500,2,0))</f>
        <v/>
      </c>
    </row>
    <row r="72" spans="2:8" x14ac:dyDescent="0.25">
      <c r="B72" s="37"/>
      <c r="C72" s="38"/>
      <c r="D72" s="19" t="str">
        <f>IF(ISBLANK(B72),"",$C72*VLOOKUP($B72,Lebensmittel!$A$2:$G$14500,3,0)/VLOOKUP($B72,Lebensmittel!$A$2:$G$14500,2,0))</f>
        <v/>
      </c>
      <c r="E72" s="19" t="str">
        <f>IF(ISBLANK(B72),"",$C72*VLOOKUP($B72,Lebensmittel!$A$2:$G$14500,7,0)/VLOOKUP($B72,Lebensmittel!$A$2:$G$14500,2,0))</f>
        <v/>
      </c>
      <c r="F72" s="20" t="str">
        <f>IF(ISBLANK(B72),"",$C72*VLOOKUP($B72,Lebensmittel!$A$2:$G$14500,4,0)/VLOOKUP($B72,Lebensmittel!$A$2:$G$14500,2,0))</f>
        <v/>
      </c>
      <c r="G72" s="20" t="str">
        <f>IF(ISBLANK(B72),"",$C72*VLOOKUP($B72,Lebensmittel!$A$2:$G$14500,5,0)/VLOOKUP($B72,Lebensmittel!$A$2:$G$14500,2,0))</f>
        <v/>
      </c>
      <c r="H72" s="20" t="str">
        <f>IF(ISBLANK(B72),"",$C72*VLOOKUP($B72,Lebensmittel!$A$2:$G$14500,6,0)/VLOOKUP($B72,Lebensmittel!$A$2:$G$14500,2,0))</f>
        <v/>
      </c>
    </row>
    <row r="73" spans="2:8" x14ac:dyDescent="0.25">
      <c r="B73" s="37"/>
      <c r="C73" s="38"/>
      <c r="D73" s="19" t="str">
        <f>IF(ISBLANK(B73),"",$C73*VLOOKUP($B73,Lebensmittel!$A$2:$G$14500,3,0)/VLOOKUP($B73,Lebensmittel!$A$2:$G$14500,2,0))</f>
        <v/>
      </c>
      <c r="E73" s="19" t="str">
        <f>IF(ISBLANK(B73),"",$C73*VLOOKUP($B73,Lebensmittel!$A$2:$G$14500,7,0)/VLOOKUP($B73,Lebensmittel!$A$2:$G$14500,2,0))</f>
        <v/>
      </c>
      <c r="F73" s="20" t="str">
        <f>IF(ISBLANK(B73),"",$C73*VLOOKUP($B73,Lebensmittel!$A$2:$G$14500,4,0)/VLOOKUP($B73,Lebensmittel!$A$2:$G$14500,2,0))</f>
        <v/>
      </c>
      <c r="G73" s="20" t="str">
        <f>IF(ISBLANK(B73),"",$C73*VLOOKUP($B73,Lebensmittel!$A$2:$G$14500,5,0)/VLOOKUP($B73,Lebensmittel!$A$2:$G$14500,2,0))</f>
        <v/>
      </c>
      <c r="H73" s="20" t="str">
        <f>IF(ISBLANK(B73),"",$C73*VLOOKUP($B73,Lebensmittel!$A$2:$G$14500,6,0)/VLOOKUP($B73,Lebensmittel!$A$2:$G$14500,2,0))</f>
        <v/>
      </c>
    </row>
    <row r="74" spans="2:8" x14ac:dyDescent="0.25">
      <c r="B74" s="37"/>
      <c r="C74" s="38"/>
      <c r="D74" s="19" t="str">
        <f>IF(ISBLANK(B74),"",$C74*VLOOKUP($B74,Lebensmittel!$A$2:$G$14500,3,0)/VLOOKUP($B74,Lebensmittel!$A$2:$G$14500,2,0))</f>
        <v/>
      </c>
      <c r="E74" s="19" t="str">
        <f>IF(ISBLANK(B74),"",$C74*VLOOKUP($B74,Lebensmittel!$A$2:$G$14500,7,0)/VLOOKUP($B74,Lebensmittel!$A$2:$G$14500,2,0))</f>
        <v/>
      </c>
      <c r="F74" s="20" t="str">
        <f>IF(ISBLANK(B74),"",$C74*VLOOKUP($B74,Lebensmittel!$A$2:$G$14500,4,0)/VLOOKUP($B74,Lebensmittel!$A$2:$G$14500,2,0))</f>
        <v/>
      </c>
      <c r="G74" s="20" t="str">
        <f>IF(ISBLANK(B74),"",$C74*VLOOKUP($B74,Lebensmittel!$A$2:$G$14500,5,0)/VLOOKUP($B74,Lebensmittel!$A$2:$G$14500,2,0))</f>
        <v/>
      </c>
      <c r="H74" s="20" t="str">
        <f>IF(ISBLANK(B74),"",$C74*VLOOKUP($B74,Lebensmittel!$A$2:$G$14500,6,0)/VLOOKUP($B74,Lebensmittel!$A$2:$G$14500,2,0))</f>
        <v/>
      </c>
    </row>
    <row r="75" spans="2:8" x14ac:dyDescent="0.25">
      <c r="B75" s="37"/>
      <c r="C75" s="38"/>
      <c r="D75" s="19" t="str">
        <f>IF(ISBLANK(B75),"",$C75*VLOOKUP($B75,Lebensmittel!$A$2:$G$14500,3,0)/VLOOKUP($B75,Lebensmittel!$A$2:$G$14500,2,0))</f>
        <v/>
      </c>
      <c r="E75" s="19" t="str">
        <f>IF(ISBLANK(B75),"",$C75*VLOOKUP($B75,Lebensmittel!$A$2:$G$14500,7,0)/VLOOKUP($B75,Lebensmittel!$A$2:$G$14500,2,0))</f>
        <v/>
      </c>
      <c r="F75" s="20" t="str">
        <f>IF(ISBLANK(B75),"",$C75*VLOOKUP($B75,Lebensmittel!$A$2:$G$14500,4,0)/VLOOKUP($B75,Lebensmittel!$A$2:$G$14500,2,0))</f>
        <v/>
      </c>
      <c r="G75" s="20" t="str">
        <f>IF(ISBLANK(B75),"",$C75*VLOOKUP($B75,Lebensmittel!$A$2:$G$14500,5,0)/VLOOKUP($B75,Lebensmittel!$A$2:$G$14500,2,0))</f>
        <v/>
      </c>
      <c r="H75" s="20" t="str">
        <f>IF(ISBLANK(B75),"",$C75*VLOOKUP($B75,Lebensmittel!$A$2:$G$14500,6,0)/VLOOKUP($B75,Lebensmittel!$A$2:$G$14500,2,0))</f>
        <v/>
      </c>
    </row>
    <row r="76" spans="2:8" x14ac:dyDescent="0.25">
      <c r="B76" s="33" t="s">
        <v>46</v>
      </c>
      <c r="C76" s="34">
        <f t="shared" ref="C76:H76" si="6">SUM(C66:C75)</f>
        <v>0</v>
      </c>
      <c r="D76" s="35">
        <f t="shared" si="6"/>
        <v>0</v>
      </c>
      <c r="E76" s="35">
        <f t="shared" si="6"/>
        <v>0</v>
      </c>
      <c r="F76" s="36">
        <f t="shared" si="6"/>
        <v>0</v>
      </c>
      <c r="G76" s="36">
        <f t="shared" si="6"/>
        <v>0</v>
      </c>
      <c r="H76" s="36">
        <f t="shared" si="6"/>
        <v>0</v>
      </c>
    </row>
  </sheetData>
  <mergeCells count="9">
    <mergeCell ref="D6:H6"/>
    <mergeCell ref="A8:B8"/>
    <mergeCell ref="A22:B22"/>
    <mergeCell ref="A36:B36"/>
    <mergeCell ref="A50:B50"/>
    <mergeCell ref="A64:B64"/>
    <mergeCell ref="A1:C1"/>
    <mergeCell ref="A3:B3"/>
    <mergeCell ref="A4:B4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76"/>
  <sheetViews>
    <sheetView zoomScale="130" zoomScaleNormal="130" workbookViewId="0">
      <selection activeCell="B6" sqref="B6"/>
    </sheetView>
  </sheetViews>
  <sheetFormatPr baseColWidth="10" defaultRowHeight="15" x14ac:dyDescent="0.25"/>
  <cols>
    <col min="1" max="1" width="5.7109375" customWidth="1"/>
    <col min="2" max="2" width="57.140625" customWidth="1"/>
    <col min="3" max="6" width="14.28515625" customWidth="1"/>
    <col min="7" max="7" width="17.140625" customWidth="1"/>
    <col min="8" max="8" width="14.28515625" customWidth="1"/>
  </cols>
  <sheetData>
    <row r="1" spans="1:256" ht="38.25" customHeight="1" x14ac:dyDescent="0.25">
      <c r="A1" s="40" t="s">
        <v>47</v>
      </c>
      <c r="B1" s="40"/>
      <c r="C1" s="40"/>
      <c r="D1" s="12"/>
      <c r="E1" s="12"/>
      <c r="F1" s="13"/>
      <c r="G1" s="13"/>
      <c r="H1" s="23"/>
    </row>
    <row r="2" spans="1:256" ht="9.9499999999999993" customHeight="1" x14ac:dyDescent="0.3">
      <c r="A2" s="24"/>
      <c r="B2" s="24"/>
      <c r="C2" s="25"/>
      <c r="D2" s="12"/>
      <c r="E2" s="12"/>
      <c r="F2" s="13"/>
      <c r="G2" s="13"/>
      <c r="H2" s="13"/>
    </row>
    <row r="3" spans="1:256" ht="20.25" x14ac:dyDescent="0.3">
      <c r="A3" s="41" t="s">
        <v>36</v>
      </c>
      <c r="B3" s="41"/>
      <c r="C3" s="26" t="s">
        <v>5</v>
      </c>
      <c r="D3" s="27" t="s">
        <v>6</v>
      </c>
      <c r="E3" s="27" t="s">
        <v>13</v>
      </c>
      <c r="F3" s="28" t="s">
        <v>7</v>
      </c>
      <c r="G3" s="28" t="s">
        <v>11</v>
      </c>
      <c r="H3" s="28" t="s">
        <v>12</v>
      </c>
    </row>
    <row r="4" spans="1:256" ht="18" x14ac:dyDescent="0.25">
      <c r="A4" s="42"/>
      <c r="B4" s="42"/>
      <c r="C4" s="29">
        <f t="shared" ref="C4" si="0">C20+C34+C48+C62</f>
        <v>609</v>
      </c>
      <c r="D4" s="30">
        <f>D20+D34+D48+D62+D76</f>
        <v>2027.2449999999997</v>
      </c>
      <c r="E4" s="30">
        <f t="shared" ref="E4:H4" si="1">E20+E34+E48+E62+E76</f>
        <v>2027.2449999999997</v>
      </c>
      <c r="F4" s="31">
        <f t="shared" si="1"/>
        <v>90.2</v>
      </c>
      <c r="G4" s="31">
        <f t="shared" si="1"/>
        <v>241</v>
      </c>
      <c r="H4" s="31">
        <f t="shared" si="1"/>
        <v>55.45</v>
      </c>
    </row>
    <row r="5" spans="1:256" ht="9" customHeight="1" x14ac:dyDescent="0.25">
      <c r="C5" s="32"/>
      <c r="D5" s="12"/>
      <c r="E5" s="12"/>
      <c r="F5" s="13"/>
      <c r="G5" s="13"/>
      <c r="H5" s="13"/>
    </row>
    <row r="6" spans="1:256" ht="20.65" customHeight="1" x14ac:dyDescent="0.3">
      <c r="A6" s="24"/>
      <c r="B6" s="24"/>
      <c r="C6" s="25"/>
      <c r="D6" s="43" t="s">
        <v>37</v>
      </c>
      <c r="E6" s="43"/>
      <c r="F6" s="43"/>
      <c r="G6" s="43"/>
      <c r="H6" s="43"/>
    </row>
    <row r="7" spans="1:256" ht="15.2" customHeight="1" x14ac:dyDescent="0.3">
      <c r="A7" s="24"/>
      <c r="B7" s="24"/>
      <c r="C7" s="25"/>
      <c r="D7" s="12"/>
      <c r="E7" s="12"/>
      <c r="F7" s="13"/>
      <c r="G7" s="13"/>
      <c r="H7" s="13"/>
    </row>
    <row r="8" spans="1:256" ht="18" x14ac:dyDescent="0.25">
      <c r="A8" s="39" t="s">
        <v>4</v>
      </c>
      <c r="B8" s="39"/>
      <c r="C8" s="3"/>
      <c r="D8" s="4"/>
      <c r="E8" s="4"/>
      <c r="F8" s="5"/>
      <c r="G8" s="5"/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</row>
    <row r="9" spans="1:256" s="7" customFormat="1" ht="15.75" x14ac:dyDescent="0.25">
      <c r="B9" s="2" t="s">
        <v>3</v>
      </c>
      <c r="C9" s="8" t="s">
        <v>5</v>
      </c>
      <c r="D9" s="9" t="s">
        <v>6</v>
      </c>
      <c r="E9" s="9" t="s">
        <v>6</v>
      </c>
      <c r="F9" s="10" t="s">
        <v>7</v>
      </c>
      <c r="G9" s="10" t="s">
        <v>8</v>
      </c>
      <c r="H9" s="10" t="s">
        <v>9</v>
      </c>
    </row>
    <row r="10" spans="1:256" x14ac:dyDescent="0.25">
      <c r="B10" s="37" t="s">
        <v>15</v>
      </c>
      <c r="C10" s="38">
        <v>79</v>
      </c>
      <c r="D10" s="19">
        <f>IF(ISBLANK(B10),"",$C10*VLOOKUP($B10,Lebensmittel!$A$2:$G$14500,3,0)/VLOOKUP($B10,Lebensmittel!$A$2:$G$14500,2,0))</f>
        <v>213.69499999999999</v>
      </c>
      <c r="E10" s="19">
        <f>IF(ISBLANK(B10),"",$C10*VLOOKUP($B10,Lebensmittel!$A$2:$G$14500,7,0)/VLOOKUP($B10,Lebensmittel!$A$2:$G$14500,2,0))</f>
        <v>213.69499999999999</v>
      </c>
      <c r="F10" s="20">
        <f>IF(ISBLANK(B10),"",$C10*VLOOKUP($B10,Lebensmittel!$A$2:$G$14500,4,0)/VLOOKUP($B10,Lebensmittel!$A$2:$G$14500,2,0))</f>
        <v>3.95</v>
      </c>
      <c r="G10" s="20">
        <f>IF(ISBLANK(B10),"",$C10*VLOOKUP($B10,Lebensmittel!$A$2:$G$14500,5,0)/VLOOKUP($B10,Lebensmittel!$A$2:$G$14500,2,0))</f>
        <v>39.5</v>
      </c>
      <c r="H10" s="20">
        <f>IF(ISBLANK(B10),"",$C10*VLOOKUP($B10,Lebensmittel!$A$2:$G$14500,6,0)/VLOOKUP($B10,Lebensmittel!$A$2:$G$14500,2,0))</f>
        <v>3.95</v>
      </c>
    </row>
    <row r="11" spans="1:256" x14ac:dyDescent="0.25">
      <c r="B11" s="37" t="s">
        <v>16</v>
      </c>
      <c r="C11" s="38">
        <v>70</v>
      </c>
      <c r="D11" s="19">
        <f>IF(ISBLANK(B11),"",$C11*VLOOKUP($B11,Lebensmittel!$A$2:$G$14500,3,0)/VLOOKUP($B11,Lebensmittel!$A$2:$G$14500,2,0))</f>
        <v>229.25</v>
      </c>
      <c r="E11" s="19">
        <f>IF(ISBLANK(B11),"",$C11*VLOOKUP($B11,Lebensmittel!$A$2:$G$14500,7,0)/VLOOKUP($B11,Lebensmittel!$A$2:$G$14500,2,0))</f>
        <v>229.25</v>
      </c>
      <c r="F11" s="20">
        <f>IF(ISBLANK(B11),"",$C11*VLOOKUP($B11,Lebensmittel!$A$2:$G$14500,4,0)/VLOOKUP($B11,Lebensmittel!$A$2:$G$14500,2,0))</f>
        <v>17.5</v>
      </c>
      <c r="G11" s="20">
        <f>IF(ISBLANK(B11),"",$C11*VLOOKUP($B11,Lebensmittel!$A$2:$G$14500,5,0)/VLOOKUP($B11,Lebensmittel!$A$2:$G$14500,2,0))</f>
        <v>0</v>
      </c>
      <c r="H11" s="20">
        <f>IF(ISBLANK(B11),"",$C11*VLOOKUP($B11,Lebensmittel!$A$2:$G$14500,6,0)/VLOOKUP($B11,Lebensmittel!$A$2:$G$14500,2,0))</f>
        <v>17.5</v>
      </c>
    </row>
    <row r="12" spans="1:256" x14ac:dyDescent="0.25">
      <c r="B12" s="37" t="s">
        <v>31</v>
      </c>
      <c r="C12" s="38">
        <v>15</v>
      </c>
      <c r="D12" s="19">
        <f>IF(ISBLANK(B12),"",$C12*VLOOKUP($B12,Lebensmittel!$A$2:$G$14500,3,0)/VLOOKUP($B12,Lebensmittel!$A$2:$G$14500,2,0))</f>
        <v>78.599999999999994</v>
      </c>
      <c r="E12" s="19">
        <f>IF(ISBLANK(B12),"",$C12*VLOOKUP($B12,Lebensmittel!$A$2:$G$14500,7,0)/VLOOKUP($B12,Lebensmittel!$A$2:$G$14500,2,0))</f>
        <v>78.599999999999994</v>
      </c>
      <c r="F12" s="20">
        <f>IF(ISBLANK(B12),"",$C12*VLOOKUP($B12,Lebensmittel!$A$2:$G$14500,4,0)/VLOOKUP($B12,Lebensmittel!$A$2:$G$14500,2,0))</f>
        <v>6</v>
      </c>
      <c r="G12" s="20">
        <f>IF(ISBLANK(B12),"",$C12*VLOOKUP($B12,Lebensmittel!$A$2:$G$14500,5,0)/VLOOKUP($B12,Lebensmittel!$A$2:$G$14500,2,0))</f>
        <v>6</v>
      </c>
      <c r="H12" s="20">
        <f>IF(ISBLANK(B12),"",$C12*VLOOKUP($B12,Lebensmittel!$A$2:$G$14500,6,0)/VLOOKUP($B12,Lebensmittel!$A$2:$G$14500,2,0))</f>
        <v>0</v>
      </c>
    </row>
    <row r="13" spans="1:256" x14ac:dyDescent="0.25">
      <c r="B13" s="37"/>
      <c r="C13" s="38"/>
      <c r="D13" s="19" t="str">
        <f>IF(ISBLANK(B13),"",$C13*VLOOKUP($B13,Lebensmittel!$A$2:$G$14500,3,0)/VLOOKUP($B13,Lebensmittel!$A$2:$G$14500,2,0))</f>
        <v/>
      </c>
      <c r="E13" s="19" t="str">
        <f>IF(ISBLANK(B13),"",$C13*VLOOKUP($B13,Lebensmittel!$A$2:$G$14500,7,0)/VLOOKUP($B13,Lebensmittel!$A$2:$G$14500,2,0))</f>
        <v/>
      </c>
      <c r="F13" s="20" t="str">
        <f>IF(ISBLANK(B13),"",$C13*VLOOKUP($B13,Lebensmittel!$A$2:$G$14500,4,0)/VLOOKUP($B13,Lebensmittel!$A$2:$G$14500,2,0))</f>
        <v/>
      </c>
      <c r="G13" s="20" t="str">
        <f>IF(ISBLANK(B13),"",$C13*VLOOKUP($B13,Lebensmittel!$A$2:$G$14500,5,0)/VLOOKUP($B13,Lebensmittel!$A$2:$G$14500,2,0))</f>
        <v/>
      </c>
      <c r="H13" s="20" t="str">
        <f>IF(ISBLANK(B13),"",$C13*VLOOKUP($B13,Lebensmittel!$A$2:$G$14500,6,0)/VLOOKUP($B13,Lebensmittel!$A$2:$G$14500,2,0))</f>
        <v/>
      </c>
    </row>
    <row r="14" spans="1:256" x14ac:dyDescent="0.25">
      <c r="B14" s="37"/>
      <c r="C14" s="38"/>
      <c r="D14" s="19" t="str">
        <f>IF(ISBLANK(B14),"",$C14*VLOOKUP($B14,Lebensmittel!$A$2:$G$14500,3,0)/VLOOKUP($B14,Lebensmittel!$A$2:$G$14500,2,0))</f>
        <v/>
      </c>
      <c r="E14" s="19" t="str">
        <f>IF(ISBLANK(B14),"",$C14*VLOOKUP($B14,Lebensmittel!$A$2:$G$14500,7,0)/VLOOKUP($B14,Lebensmittel!$A$2:$G$14500,2,0))</f>
        <v/>
      </c>
      <c r="F14" s="20" t="str">
        <f>IF(ISBLANK(B14),"",$C14*VLOOKUP($B14,Lebensmittel!$A$2:$G$14500,4,0)/VLOOKUP($B14,Lebensmittel!$A$2:$G$14500,2,0))</f>
        <v/>
      </c>
      <c r="G14" s="20" t="str">
        <f>IF(ISBLANK(B14),"",$C14*VLOOKUP($B14,Lebensmittel!$A$2:$G$14500,5,0)/VLOOKUP($B14,Lebensmittel!$A$2:$G$14500,2,0))</f>
        <v/>
      </c>
      <c r="H14" s="20" t="str">
        <f>IF(ISBLANK(B14),"",$C14*VLOOKUP($B14,Lebensmittel!$A$2:$G$14500,6,0)/VLOOKUP($B14,Lebensmittel!$A$2:$G$14500,2,0))</f>
        <v/>
      </c>
    </row>
    <row r="15" spans="1:256" x14ac:dyDescent="0.25">
      <c r="B15" s="37"/>
      <c r="C15" s="38"/>
      <c r="D15" s="19" t="str">
        <f>IF(ISBLANK(B15),"",$C15*VLOOKUP($B15,Lebensmittel!$A$2:$G$14500,3,0)/VLOOKUP($B15,Lebensmittel!$A$2:$G$14500,2,0))</f>
        <v/>
      </c>
      <c r="E15" s="19" t="str">
        <f>IF(ISBLANK(B15),"",$C15*VLOOKUP($B15,Lebensmittel!$A$2:$G$14500,7,0)/VLOOKUP($B15,Lebensmittel!$A$2:$G$14500,2,0))</f>
        <v/>
      </c>
      <c r="F15" s="20" t="str">
        <f>IF(ISBLANK(B15),"",$C15*VLOOKUP($B15,Lebensmittel!$A$2:$G$14500,4,0)/VLOOKUP($B15,Lebensmittel!$A$2:$G$14500,2,0))</f>
        <v/>
      </c>
      <c r="G15" s="20" t="str">
        <f>IF(ISBLANK(B15),"",$C15*VLOOKUP($B15,Lebensmittel!$A$2:$G$14500,5,0)/VLOOKUP($B15,Lebensmittel!$A$2:$G$14500,2,0))</f>
        <v/>
      </c>
      <c r="H15" s="20" t="str">
        <f>IF(ISBLANK(B15),"",$C15*VLOOKUP($B15,Lebensmittel!$A$2:$G$14500,6,0)/VLOOKUP($B15,Lebensmittel!$A$2:$G$14500,2,0))</f>
        <v/>
      </c>
    </row>
    <row r="16" spans="1:256" x14ac:dyDescent="0.25">
      <c r="B16" s="37"/>
      <c r="C16" s="38"/>
      <c r="D16" s="19" t="str">
        <f>IF(ISBLANK(B16),"",$C16*VLOOKUP($B16,Lebensmittel!$A$2:$G$14500,3,0)/VLOOKUP($B16,Lebensmittel!$A$2:$G$14500,2,0))</f>
        <v/>
      </c>
      <c r="E16" s="19" t="str">
        <f>IF(ISBLANK(B16),"",$C16*VLOOKUP($B16,Lebensmittel!$A$2:$G$14500,7,0)/VLOOKUP($B16,Lebensmittel!$A$2:$G$14500,2,0))</f>
        <v/>
      </c>
      <c r="F16" s="20" t="str">
        <f>IF(ISBLANK(B16),"",$C16*VLOOKUP($B16,Lebensmittel!$A$2:$G$14500,4,0)/VLOOKUP($B16,Lebensmittel!$A$2:$G$14500,2,0))</f>
        <v/>
      </c>
      <c r="G16" s="20" t="str">
        <f>IF(ISBLANK(B16),"",$C16*VLOOKUP($B16,Lebensmittel!$A$2:$G$14500,5,0)/VLOOKUP($B16,Lebensmittel!$A$2:$G$14500,2,0))</f>
        <v/>
      </c>
      <c r="H16" s="20" t="str">
        <f>IF(ISBLANK(B16),"",$C16*VLOOKUP($B16,Lebensmittel!$A$2:$G$14500,6,0)/VLOOKUP($B16,Lebensmittel!$A$2:$G$14500,2,0))</f>
        <v/>
      </c>
    </row>
    <row r="17" spans="1:256" x14ac:dyDescent="0.25">
      <c r="B17" s="37"/>
      <c r="C17" s="38"/>
      <c r="D17" s="19" t="str">
        <f>IF(ISBLANK(B17),"",$C17*VLOOKUP($B17,Lebensmittel!$A$2:$G$14500,3,0)/VLOOKUP($B17,Lebensmittel!$A$2:$G$14500,2,0))</f>
        <v/>
      </c>
      <c r="E17" s="19" t="str">
        <f>IF(ISBLANK(B17),"",$C17*VLOOKUP($B17,Lebensmittel!$A$2:$G$14500,7,0)/VLOOKUP($B17,Lebensmittel!$A$2:$G$14500,2,0))</f>
        <v/>
      </c>
      <c r="F17" s="20" t="str">
        <f>IF(ISBLANK(B17),"",$C17*VLOOKUP($B17,Lebensmittel!$A$2:$G$14500,4,0)/VLOOKUP($B17,Lebensmittel!$A$2:$G$14500,2,0))</f>
        <v/>
      </c>
      <c r="G17" s="20" t="str">
        <f>IF(ISBLANK(B17),"",$C17*VLOOKUP($B17,Lebensmittel!$A$2:$G$14500,5,0)/VLOOKUP($B17,Lebensmittel!$A$2:$G$14500,2,0))</f>
        <v/>
      </c>
      <c r="H17" s="20" t="str">
        <f>IF(ISBLANK(B17),"",$C17*VLOOKUP($B17,Lebensmittel!$A$2:$G$14500,6,0)/VLOOKUP($B17,Lebensmittel!$A$2:$G$14500,2,0))</f>
        <v/>
      </c>
    </row>
    <row r="18" spans="1:256" x14ac:dyDescent="0.25">
      <c r="B18" s="37"/>
      <c r="C18" s="38"/>
      <c r="D18" s="19" t="str">
        <f>IF(ISBLANK(B18),"",$C18*VLOOKUP($B18,Lebensmittel!$A$2:$G$14500,3,0)/VLOOKUP($B18,Lebensmittel!$A$2:$G$14500,2,0))</f>
        <v/>
      </c>
      <c r="E18" s="19" t="str">
        <f>IF(ISBLANK(B18),"",$C18*VLOOKUP($B18,Lebensmittel!$A$2:$G$14500,7,0)/VLOOKUP($B18,Lebensmittel!$A$2:$G$14500,2,0))</f>
        <v/>
      </c>
      <c r="F18" s="20" t="str">
        <f>IF(ISBLANK(B18),"",$C18*VLOOKUP($B18,Lebensmittel!$A$2:$G$14500,4,0)/VLOOKUP($B18,Lebensmittel!$A$2:$G$14500,2,0))</f>
        <v/>
      </c>
      <c r="G18" s="20" t="str">
        <f>IF(ISBLANK(B18),"",$C18*VLOOKUP($B18,Lebensmittel!$A$2:$G$14500,5,0)/VLOOKUP($B18,Lebensmittel!$A$2:$G$14500,2,0))</f>
        <v/>
      </c>
      <c r="H18" s="20" t="str">
        <f>IF(ISBLANK(B18),"",$C18*VLOOKUP($B18,Lebensmittel!$A$2:$G$14500,6,0)/VLOOKUP($B18,Lebensmittel!$A$2:$G$14500,2,0))</f>
        <v/>
      </c>
    </row>
    <row r="19" spans="1:256" x14ac:dyDescent="0.25">
      <c r="B19" s="37"/>
      <c r="C19" s="38"/>
      <c r="D19" s="19" t="str">
        <f>IF(ISBLANK(B19),"",$C19*VLOOKUP($B19,Lebensmittel!$A$2:$G$14500,3,0)/VLOOKUP($B19,Lebensmittel!$A$2:$G$14500,2,0))</f>
        <v/>
      </c>
      <c r="E19" s="19" t="str">
        <f>IF(ISBLANK(B19),"",$C19*VLOOKUP($B19,Lebensmittel!$A$2:$G$14500,7,0)/VLOOKUP($B19,Lebensmittel!$A$2:$G$14500,2,0))</f>
        <v/>
      </c>
      <c r="F19" s="20" t="str">
        <f>IF(ISBLANK(B19),"",$C19*VLOOKUP($B19,Lebensmittel!$A$2:$G$14500,4,0)/VLOOKUP($B19,Lebensmittel!$A$2:$G$14500,2,0))</f>
        <v/>
      </c>
      <c r="G19" s="20" t="str">
        <f>IF(ISBLANK(B19),"",$C19*VLOOKUP($B19,Lebensmittel!$A$2:$G$14500,5,0)/VLOOKUP($B19,Lebensmittel!$A$2:$G$14500,2,0))</f>
        <v/>
      </c>
      <c r="H19" s="20" t="str">
        <f>IF(ISBLANK(B19),"",$C19*VLOOKUP($B19,Lebensmittel!$A$2:$G$14500,6,0)/VLOOKUP($B19,Lebensmittel!$A$2:$G$14500,2,0))</f>
        <v/>
      </c>
    </row>
    <row r="20" spans="1:256" x14ac:dyDescent="0.25">
      <c r="B20" s="33" t="s">
        <v>38</v>
      </c>
      <c r="C20" s="34">
        <f t="shared" ref="C20:H20" si="2">SUM(C10:C19)</f>
        <v>164</v>
      </c>
      <c r="D20" s="35">
        <f t="shared" si="2"/>
        <v>521.54499999999996</v>
      </c>
      <c r="E20" s="35">
        <f t="shared" si="2"/>
        <v>521.54499999999996</v>
      </c>
      <c r="F20" s="36">
        <f t="shared" si="2"/>
        <v>27.45</v>
      </c>
      <c r="G20" s="36">
        <f t="shared" si="2"/>
        <v>45.5</v>
      </c>
      <c r="H20" s="36">
        <f t="shared" si="2"/>
        <v>21.45</v>
      </c>
    </row>
    <row r="22" spans="1:256" ht="18" x14ac:dyDescent="0.25">
      <c r="A22" s="39" t="s">
        <v>39</v>
      </c>
      <c r="B22" s="39"/>
      <c r="C22" s="3"/>
      <c r="D22" s="4"/>
      <c r="E22" s="4"/>
      <c r="F22" s="5"/>
      <c r="G22" s="5"/>
      <c r="H22" s="5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</row>
    <row r="23" spans="1:256" s="7" customFormat="1" ht="15.75" x14ac:dyDescent="0.25">
      <c r="B23" s="2" t="s">
        <v>3</v>
      </c>
      <c r="C23" s="8" t="s">
        <v>5</v>
      </c>
      <c r="D23" s="9" t="s">
        <v>6</v>
      </c>
      <c r="E23" s="9" t="s">
        <v>6</v>
      </c>
      <c r="F23" s="10" t="s">
        <v>7</v>
      </c>
      <c r="G23" s="10" t="s">
        <v>8</v>
      </c>
      <c r="H23" s="10" t="s">
        <v>9</v>
      </c>
    </row>
    <row r="24" spans="1:256" x14ac:dyDescent="0.25">
      <c r="B24" s="37" t="s">
        <v>17</v>
      </c>
      <c r="C24" s="38">
        <v>100</v>
      </c>
      <c r="D24" s="19">
        <f>IF(ISBLANK(B24),"",$C24*VLOOKUP($B24,Lebensmittel!$A$2:$G$14500,3,0)/VLOOKUP($B24,Lebensmittel!$A$2:$G$14500,2,0))</f>
        <v>328</v>
      </c>
      <c r="E24" s="19">
        <f>IF(ISBLANK(B24),"",$C24*VLOOKUP($B24,Lebensmittel!$A$2:$G$14500,7,0)/VLOOKUP($B24,Lebensmittel!$A$2:$G$14500,2,0))</f>
        <v>328</v>
      </c>
      <c r="F24" s="20">
        <f>IF(ISBLANK(B24),"",$C24*VLOOKUP($B24,Lebensmittel!$A$2:$G$14500,4,0)/VLOOKUP($B24,Lebensmittel!$A$2:$G$14500,2,0))</f>
        <v>0</v>
      </c>
      <c r="G24" s="20">
        <f>IF(ISBLANK(B24),"",$C24*VLOOKUP($B24,Lebensmittel!$A$2:$G$14500,5,0)/VLOOKUP($B24,Lebensmittel!$A$2:$G$14500,2,0))</f>
        <v>80</v>
      </c>
      <c r="H24" s="20">
        <f>IF(ISBLANK(B24),"",$C24*VLOOKUP($B24,Lebensmittel!$A$2:$G$14500,6,0)/VLOOKUP($B24,Lebensmittel!$A$2:$G$14500,2,0))</f>
        <v>0</v>
      </c>
    </row>
    <row r="25" spans="1:256" x14ac:dyDescent="0.25">
      <c r="B25" s="37" t="s">
        <v>33</v>
      </c>
      <c r="C25" s="38">
        <v>75</v>
      </c>
      <c r="D25" s="19">
        <f>IF(ISBLANK(B25),"",$C25*VLOOKUP($B25,Lebensmittel!$A$2:$G$14500,3,0)/VLOOKUP($B25,Lebensmittel!$A$2:$G$14500,2,0))</f>
        <v>294.75</v>
      </c>
      <c r="E25" s="19">
        <f>IF(ISBLANK(B25),"",$C25*VLOOKUP($B25,Lebensmittel!$A$2:$G$14500,7,0)/VLOOKUP($B25,Lebensmittel!$A$2:$G$14500,2,0))</f>
        <v>294.75</v>
      </c>
      <c r="F25" s="20">
        <f>IF(ISBLANK(B25),"",$C25*VLOOKUP($B25,Lebensmittel!$A$2:$G$14500,4,0)/VLOOKUP($B25,Lebensmittel!$A$2:$G$14500,2,0))</f>
        <v>22.5</v>
      </c>
      <c r="G25" s="20">
        <f>IF(ISBLANK(B25),"",$C25*VLOOKUP($B25,Lebensmittel!$A$2:$G$14500,5,0)/VLOOKUP($B25,Lebensmittel!$A$2:$G$14500,2,0))</f>
        <v>0</v>
      </c>
      <c r="H25" s="20">
        <f>IF(ISBLANK(B25),"",$C25*VLOOKUP($B25,Lebensmittel!$A$2:$G$14500,6,0)/VLOOKUP($B25,Lebensmittel!$A$2:$G$14500,2,0))</f>
        <v>22.5</v>
      </c>
    </row>
    <row r="26" spans="1:256" x14ac:dyDescent="0.25">
      <c r="B26" s="37" t="s">
        <v>30</v>
      </c>
      <c r="C26" s="38">
        <v>20</v>
      </c>
      <c r="D26" s="19">
        <f>IF(ISBLANK(B26),"",$C26*VLOOKUP($B26,Lebensmittel!$A$2:$G$14500,3,0)/VLOOKUP($B26,Lebensmittel!$A$2:$G$14500,2,0))</f>
        <v>59.8</v>
      </c>
      <c r="E26" s="19">
        <f>IF(ISBLANK(B26),"",$C26*VLOOKUP($B26,Lebensmittel!$A$2:$G$14500,7,0)/VLOOKUP($B26,Lebensmittel!$A$2:$G$14500,2,0))</f>
        <v>59.8</v>
      </c>
      <c r="F26" s="20">
        <f>IF(ISBLANK(B26),"",$C26*VLOOKUP($B26,Lebensmittel!$A$2:$G$14500,4,0)/VLOOKUP($B26,Lebensmittel!$A$2:$G$14500,2,0))</f>
        <v>3</v>
      </c>
      <c r="G26" s="20">
        <f>IF(ISBLANK(B26),"",$C26*VLOOKUP($B26,Lebensmittel!$A$2:$G$14500,5,0)/VLOOKUP($B26,Lebensmittel!$A$2:$G$14500,2,0))</f>
        <v>8</v>
      </c>
      <c r="H26" s="20">
        <f>IF(ISBLANK(B26),"",$C26*VLOOKUP($B26,Lebensmittel!$A$2:$G$14500,6,0)/VLOOKUP($B26,Lebensmittel!$A$2:$G$14500,2,0))</f>
        <v>0</v>
      </c>
    </row>
    <row r="27" spans="1:256" x14ac:dyDescent="0.25">
      <c r="B27" s="37"/>
      <c r="C27" s="38"/>
      <c r="D27" s="19" t="str">
        <f>IF(ISBLANK(B27),"",$C27*VLOOKUP($B27,Lebensmittel!$A$2:$G$14500,3,0)/VLOOKUP($B27,Lebensmittel!$A$2:$G$14500,2,0))</f>
        <v/>
      </c>
      <c r="E27" s="19" t="str">
        <f>IF(ISBLANK(B27),"",$C27*VLOOKUP($B27,Lebensmittel!$A$2:$G$14500,7,0)/VLOOKUP($B27,Lebensmittel!$A$2:$G$14500,2,0))</f>
        <v/>
      </c>
      <c r="F27" s="20" t="str">
        <f>IF(ISBLANK(B27),"",$C27*VLOOKUP($B27,Lebensmittel!$A$2:$G$14500,4,0)/VLOOKUP($B27,Lebensmittel!$A$2:$G$14500,2,0))</f>
        <v/>
      </c>
      <c r="G27" s="20" t="str">
        <f>IF(ISBLANK(B27),"",$C27*VLOOKUP($B27,Lebensmittel!$A$2:$G$14500,5,0)/VLOOKUP($B27,Lebensmittel!$A$2:$G$14500,2,0))</f>
        <v/>
      </c>
      <c r="H27" s="20" t="str">
        <f>IF(ISBLANK(B27),"",$C27*VLOOKUP($B27,Lebensmittel!$A$2:$G$14500,6,0)/VLOOKUP($B27,Lebensmittel!$A$2:$G$14500,2,0))</f>
        <v/>
      </c>
    </row>
    <row r="28" spans="1:256" x14ac:dyDescent="0.25">
      <c r="B28" s="37"/>
      <c r="C28" s="38"/>
      <c r="D28" s="19" t="str">
        <f>IF(ISBLANK(B28),"",$C28*VLOOKUP($B28,Lebensmittel!$A$2:$G$14500,3,0)/VLOOKUP($B28,Lebensmittel!$A$2:$G$14500,2,0))</f>
        <v/>
      </c>
      <c r="E28" s="19" t="str">
        <f>IF(ISBLANK(B28),"",$C28*VLOOKUP($B28,Lebensmittel!$A$2:$G$14500,7,0)/VLOOKUP($B28,Lebensmittel!$A$2:$G$14500,2,0))</f>
        <v/>
      </c>
      <c r="F28" s="20" t="str">
        <f>IF(ISBLANK(B28),"",$C28*VLOOKUP($B28,Lebensmittel!$A$2:$G$14500,4,0)/VLOOKUP($B28,Lebensmittel!$A$2:$G$14500,2,0))</f>
        <v/>
      </c>
      <c r="G28" s="20" t="str">
        <f>IF(ISBLANK(B28),"",$C28*VLOOKUP($B28,Lebensmittel!$A$2:$G$14500,5,0)/VLOOKUP($B28,Lebensmittel!$A$2:$G$14500,2,0))</f>
        <v/>
      </c>
      <c r="H28" s="20" t="str">
        <f>IF(ISBLANK(B28),"",$C28*VLOOKUP($B28,Lebensmittel!$A$2:$G$14500,6,0)/VLOOKUP($B28,Lebensmittel!$A$2:$G$14500,2,0))</f>
        <v/>
      </c>
    </row>
    <row r="29" spans="1:256" x14ac:dyDescent="0.25">
      <c r="B29" s="37"/>
      <c r="C29" s="38"/>
      <c r="D29" s="19" t="str">
        <f>IF(ISBLANK(B29),"",$C29*VLOOKUP($B29,Lebensmittel!$A$2:$G$14500,3,0)/VLOOKUP($B29,Lebensmittel!$A$2:$G$14500,2,0))</f>
        <v/>
      </c>
      <c r="E29" s="19" t="str">
        <f>IF(ISBLANK(B29),"",$C29*VLOOKUP($B29,Lebensmittel!$A$2:$G$14500,7,0)/VLOOKUP($B29,Lebensmittel!$A$2:$G$14500,2,0))</f>
        <v/>
      </c>
      <c r="F29" s="20" t="str">
        <f>IF(ISBLANK(B29),"",$C29*VLOOKUP($B29,Lebensmittel!$A$2:$G$14500,4,0)/VLOOKUP($B29,Lebensmittel!$A$2:$G$14500,2,0))</f>
        <v/>
      </c>
      <c r="G29" s="20" t="str">
        <f>IF(ISBLANK(B29),"",$C29*VLOOKUP($B29,Lebensmittel!$A$2:$G$14500,5,0)/VLOOKUP($B29,Lebensmittel!$A$2:$G$14500,2,0))</f>
        <v/>
      </c>
      <c r="H29" s="20" t="str">
        <f>IF(ISBLANK(B29),"",$C29*VLOOKUP($B29,Lebensmittel!$A$2:$G$14500,6,0)/VLOOKUP($B29,Lebensmittel!$A$2:$G$14500,2,0))</f>
        <v/>
      </c>
    </row>
    <row r="30" spans="1:256" x14ac:dyDescent="0.25">
      <c r="B30" s="37"/>
      <c r="C30" s="38"/>
      <c r="D30" s="19" t="str">
        <f>IF(ISBLANK(B30),"",$C30*VLOOKUP($B30,Lebensmittel!$A$2:$G$14500,3,0)/VLOOKUP($B30,Lebensmittel!$A$2:$G$14500,2,0))</f>
        <v/>
      </c>
      <c r="E30" s="19" t="str">
        <f>IF(ISBLANK(B30),"",$C30*VLOOKUP($B30,Lebensmittel!$A$2:$G$14500,7,0)/VLOOKUP($B30,Lebensmittel!$A$2:$G$14500,2,0))</f>
        <v/>
      </c>
      <c r="F30" s="20" t="str">
        <f>IF(ISBLANK(B30),"",$C30*VLOOKUP($B30,Lebensmittel!$A$2:$G$14500,4,0)/VLOOKUP($B30,Lebensmittel!$A$2:$G$14500,2,0))</f>
        <v/>
      </c>
      <c r="G30" s="20" t="str">
        <f>IF(ISBLANK(B30),"",$C30*VLOOKUP($B30,Lebensmittel!$A$2:$G$14500,5,0)/VLOOKUP($B30,Lebensmittel!$A$2:$G$14500,2,0))</f>
        <v/>
      </c>
      <c r="H30" s="20" t="str">
        <f>IF(ISBLANK(B30),"",$C30*VLOOKUP($B30,Lebensmittel!$A$2:$G$14500,6,0)/VLOOKUP($B30,Lebensmittel!$A$2:$G$14500,2,0))</f>
        <v/>
      </c>
    </row>
    <row r="31" spans="1:256" x14ac:dyDescent="0.25">
      <c r="B31" s="37"/>
      <c r="C31" s="38"/>
      <c r="D31" s="19" t="str">
        <f>IF(ISBLANK(B31),"",$C31*VLOOKUP($B31,Lebensmittel!$A$2:$G$14500,3,0)/VLOOKUP($B31,Lebensmittel!$A$2:$G$14500,2,0))</f>
        <v/>
      </c>
      <c r="E31" s="19" t="str">
        <f>IF(ISBLANK(B31),"",$C31*VLOOKUP($B31,Lebensmittel!$A$2:$G$14500,7,0)/VLOOKUP($B31,Lebensmittel!$A$2:$G$14500,2,0))</f>
        <v/>
      </c>
      <c r="F31" s="20" t="str">
        <f>IF(ISBLANK(B31),"",$C31*VLOOKUP($B31,Lebensmittel!$A$2:$G$14500,4,0)/VLOOKUP($B31,Lebensmittel!$A$2:$G$14500,2,0))</f>
        <v/>
      </c>
      <c r="G31" s="20" t="str">
        <f>IF(ISBLANK(B31),"",$C31*VLOOKUP($B31,Lebensmittel!$A$2:$G$14500,5,0)/VLOOKUP($B31,Lebensmittel!$A$2:$G$14500,2,0))</f>
        <v/>
      </c>
      <c r="H31" s="20" t="str">
        <f>IF(ISBLANK(B31),"",$C31*VLOOKUP($B31,Lebensmittel!$A$2:$G$14500,6,0)/VLOOKUP($B31,Lebensmittel!$A$2:$G$14500,2,0))</f>
        <v/>
      </c>
    </row>
    <row r="32" spans="1:256" x14ac:dyDescent="0.25">
      <c r="B32" s="37"/>
      <c r="C32" s="38"/>
      <c r="D32" s="19" t="str">
        <f>IF(ISBLANK(B32),"",$C32*VLOOKUP($B32,Lebensmittel!$A$2:$G$14500,3,0)/VLOOKUP($B32,Lebensmittel!$A$2:$G$14500,2,0))</f>
        <v/>
      </c>
      <c r="E32" s="19" t="str">
        <f>IF(ISBLANK(B32),"",$C32*VLOOKUP($B32,Lebensmittel!$A$2:$G$14500,7,0)/VLOOKUP($B32,Lebensmittel!$A$2:$G$14500,2,0))</f>
        <v/>
      </c>
      <c r="F32" s="20" t="str">
        <f>IF(ISBLANK(B32),"",$C32*VLOOKUP($B32,Lebensmittel!$A$2:$G$14500,4,0)/VLOOKUP($B32,Lebensmittel!$A$2:$G$14500,2,0))</f>
        <v/>
      </c>
      <c r="G32" s="20" t="str">
        <f>IF(ISBLANK(B32),"",$C32*VLOOKUP($B32,Lebensmittel!$A$2:$G$14500,5,0)/VLOOKUP($B32,Lebensmittel!$A$2:$G$14500,2,0))</f>
        <v/>
      </c>
      <c r="H32" s="20" t="str">
        <f>IF(ISBLANK(B32),"",$C32*VLOOKUP($B32,Lebensmittel!$A$2:$G$14500,6,0)/VLOOKUP($B32,Lebensmittel!$A$2:$G$14500,2,0))</f>
        <v/>
      </c>
    </row>
    <row r="33" spans="1:256" x14ac:dyDescent="0.25">
      <c r="B33" s="37"/>
      <c r="C33" s="38"/>
      <c r="D33" s="19" t="str">
        <f>IF(ISBLANK(B33),"",$C33*VLOOKUP($B33,Lebensmittel!$A$2:$G$14500,3,0)/VLOOKUP($B33,Lebensmittel!$A$2:$G$14500,2,0))</f>
        <v/>
      </c>
      <c r="E33" s="19" t="str">
        <f>IF(ISBLANK(B33),"",$C33*VLOOKUP($B33,Lebensmittel!$A$2:$G$14500,7,0)/VLOOKUP($B33,Lebensmittel!$A$2:$G$14500,2,0))</f>
        <v/>
      </c>
      <c r="F33" s="20" t="str">
        <f>IF(ISBLANK(B33),"",$C33*VLOOKUP($B33,Lebensmittel!$A$2:$G$14500,4,0)/VLOOKUP($B33,Lebensmittel!$A$2:$G$14500,2,0))</f>
        <v/>
      </c>
      <c r="G33" s="20" t="str">
        <f>IF(ISBLANK(B33),"",$C33*VLOOKUP($B33,Lebensmittel!$A$2:$G$14500,5,0)/VLOOKUP($B33,Lebensmittel!$A$2:$G$14500,2,0))</f>
        <v/>
      </c>
      <c r="H33" s="20" t="str">
        <f>IF(ISBLANK(B33),"",$C33*VLOOKUP($B33,Lebensmittel!$A$2:$G$14500,6,0)/VLOOKUP($B33,Lebensmittel!$A$2:$G$14500,2,0))</f>
        <v/>
      </c>
    </row>
    <row r="34" spans="1:256" x14ac:dyDescent="0.25">
      <c r="B34" s="33" t="s">
        <v>40</v>
      </c>
      <c r="C34" s="34">
        <f t="shared" ref="C34:H34" si="3">SUM(C24:C33)</f>
        <v>195</v>
      </c>
      <c r="D34" s="35">
        <f t="shared" si="3"/>
        <v>682.55</v>
      </c>
      <c r="E34" s="35">
        <f t="shared" si="3"/>
        <v>682.55</v>
      </c>
      <c r="F34" s="36">
        <f t="shared" si="3"/>
        <v>25.5</v>
      </c>
      <c r="G34" s="36">
        <f t="shared" si="3"/>
        <v>88</v>
      </c>
      <c r="H34" s="36">
        <f t="shared" si="3"/>
        <v>22.5</v>
      </c>
    </row>
    <row r="36" spans="1:256" ht="18" x14ac:dyDescent="0.25">
      <c r="A36" s="39" t="s">
        <v>41</v>
      </c>
      <c r="B36" s="39"/>
      <c r="C36" s="3"/>
      <c r="D36" s="4"/>
      <c r="E36" s="4"/>
      <c r="F36" s="5"/>
      <c r="G36" s="5"/>
      <c r="H36" s="5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</row>
    <row r="37" spans="1:256" s="7" customFormat="1" ht="15.75" x14ac:dyDescent="0.25">
      <c r="B37" s="2" t="s">
        <v>3</v>
      </c>
      <c r="C37" s="8" t="s">
        <v>5</v>
      </c>
      <c r="D37" s="9" t="s">
        <v>6</v>
      </c>
      <c r="E37" s="9" t="s">
        <v>6</v>
      </c>
      <c r="F37" s="10" t="s">
        <v>7</v>
      </c>
      <c r="G37" s="10" t="s">
        <v>8</v>
      </c>
      <c r="H37" s="10" t="s">
        <v>9</v>
      </c>
    </row>
    <row r="38" spans="1:256" x14ac:dyDescent="0.25">
      <c r="B38" s="37" t="s">
        <v>28</v>
      </c>
      <c r="C38" s="38">
        <v>75</v>
      </c>
      <c r="D38" s="19">
        <f>IF(ISBLANK(B38),"",$C38*VLOOKUP($B38,Lebensmittel!$A$2:$G$14500,3,0)/VLOOKUP($B38,Lebensmittel!$A$2:$G$14500,2,0))</f>
        <v>255</v>
      </c>
      <c r="E38" s="19">
        <f>IF(ISBLANK(B38),"",$C38*VLOOKUP($B38,Lebensmittel!$A$2:$G$14500,7,0)/VLOOKUP($B38,Lebensmittel!$A$2:$G$14500,2,0))</f>
        <v>255</v>
      </c>
      <c r="F38" s="20">
        <f>IF(ISBLANK(B38),"",$C38*VLOOKUP($B38,Lebensmittel!$A$2:$G$14500,4,0)/VLOOKUP($B38,Lebensmittel!$A$2:$G$14500,2,0))</f>
        <v>11.25</v>
      </c>
      <c r="G38" s="20">
        <f>IF(ISBLANK(B38),"",$C38*VLOOKUP($B38,Lebensmittel!$A$2:$G$14500,5,0)/VLOOKUP($B38,Lebensmittel!$A$2:$G$14500,2,0))</f>
        <v>37.5</v>
      </c>
      <c r="H38" s="20">
        <f>IF(ISBLANK(B38),"",$C38*VLOOKUP($B38,Lebensmittel!$A$2:$G$14500,6,0)/VLOOKUP($B38,Lebensmittel!$A$2:$G$14500,2,0))</f>
        <v>0</v>
      </c>
    </row>
    <row r="39" spans="1:256" x14ac:dyDescent="0.25">
      <c r="B39" s="37" t="s">
        <v>31</v>
      </c>
      <c r="C39" s="38">
        <v>15</v>
      </c>
      <c r="D39" s="19">
        <f>IF(ISBLANK(B39),"",$C39*VLOOKUP($B39,Lebensmittel!$A$2:$G$14500,3,0)/VLOOKUP($B39,Lebensmittel!$A$2:$G$14500,2,0))</f>
        <v>78.599999999999994</v>
      </c>
      <c r="E39" s="19">
        <f>IF(ISBLANK(B39),"",$C39*VLOOKUP($B39,Lebensmittel!$A$2:$G$14500,7,0)/VLOOKUP($B39,Lebensmittel!$A$2:$G$14500,2,0))</f>
        <v>78.599999999999994</v>
      </c>
      <c r="F39" s="20">
        <f>IF(ISBLANK(B39),"",$C39*VLOOKUP($B39,Lebensmittel!$A$2:$G$14500,4,0)/VLOOKUP($B39,Lebensmittel!$A$2:$G$14500,2,0))</f>
        <v>6</v>
      </c>
      <c r="G39" s="20">
        <f>IF(ISBLANK(B39),"",$C39*VLOOKUP($B39,Lebensmittel!$A$2:$G$14500,5,0)/VLOOKUP($B39,Lebensmittel!$A$2:$G$14500,2,0))</f>
        <v>6</v>
      </c>
      <c r="H39" s="20">
        <f>IF(ISBLANK(B39),"",$C39*VLOOKUP($B39,Lebensmittel!$A$2:$G$14500,6,0)/VLOOKUP($B39,Lebensmittel!$A$2:$G$14500,2,0))</f>
        <v>0</v>
      </c>
    </row>
    <row r="40" spans="1:256" x14ac:dyDescent="0.25">
      <c r="B40" s="37"/>
      <c r="C40" s="38"/>
      <c r="D40" s="19" t="str">
        <f>IF(ISBLANK(B40),"",$C40*VLOOKUP($B40,Lebensmittel!$A$2:$G$14500,3,0)/VLOOKUP($B40,Lebensmittel!$A$2:$G$14500,2,0))</f>
        <v/>
      </c>
      <c r="E40" s="19" t="str">
        <f>IF(ISBLANK(B40),"",$C40*VLOOKUP($B40,Lebensmittel!$A$2:$G$14500,7,0)/VLOOKUP($B40,Lebensmittel!$A$2:$G$14500,2,0))</f>
        <v/>
      </c>
      <c r="F40" s="20" t="str">
        <f>IF(ISBLANK(B40),"",$C40*VLOOKUP($B40,Lebensmittel!$A$2:$G$14500,4,0)/VLOOKUP($B40,Lebensmittel!$A$2:$G$14500,2,0))</f>
        <v/>
      </c>
      <c r="G40" s="20" t="str">
        <f>IF(ISBLANK(B40),"",$C40*VLOOKUP($B40,Lebensmittel!$A$2:$G$14500,5,0)/VLOOKUP($B40,Lebensmittel!$A$2:$G$14500,2,0))</f>
        <v/>
      </c>
      <c r="H40" s="20" t="str">
        <f>IF(ISBLANK(B40),"",$C40*VLOOKUP($B40,Lebensmittel!$A$2:$G$14500,6,0)/VLOOKUP($B40,Lebensmittel!$A$2:$G$14500,2,0))</f>
        <v/>
      </c>
    </row>
    <row r="41" spans="1:256" x14ac:dyDescent="0.25">
      <c r="B41" s="37"/>
      <c r="C41" s="38"/>
      <c r="D41" s="19" t="str">
        <f>IF(ISBLANK(B41),"",$C41*VLOOKUP($B41,Lebensmittel!$A$2:$G$14500,3,0)/VLOOKUP($B41,Lebensmittel!$A$2:$G$14500,2,0))</f>
        <v/>
      </c>
      <c r="E41" s="19" t="str">
        <f>IF(ISBLANK(B41),"",$C41*VLOOKUP($B41,Lebensmittel!$A$2:$G$14500,7,0)/VLOOKUP($B41,Lebensmittel!$A$2:$G$14500,2,0))</f>
        <v/>
      </c>
      <c r="F41" s="20" t="str">
        <f>IF(ISBLANK(B41),"",$C41*VLOOKUP($B41,Lebensmittel!$A$2:$G$14500,4,0)/VLOOKUP($B41,Lebensmittel!$A$2:$G$14500,2,0))</f>
        <v/>
      </c>
      <c r="G41" s="20" t="str">
        <f>IF(ISBLANK(B41),"",$C41*VLOOKUP($B41,Lebensmittel!$A$2:$G$14500,5,0)/VLOOKUP($B41,Lebensmittel!$A$2:$G$14500,2,0))</f>
        <v/>
      </c>
      <c r="H41" s="20" t="str">
        <f>IF(ISBLANK(B41),"",$C41*VLOOKUP($B41,Lebensmittel!$A$2:$G$14500,6,0)/VLOOKUP($B41,Lebensmittel!$A$2:$G$14500,2,0))</f>
        <v/>
      </c>
    </row>
    <row r="42" spans="1:256" x14ac:dyDescent="0.25">
      <c r="B42" s="37"/>
      <c r="C42" s="38"/>
      <c r="D42" s="19" t="str">
        <f>IF(ISBLANK(B42),"",$C42*VLOOKUP($B42,Lebensmittel!$A$2:$G$14500,3,0)/VLOOKUP($B42,Lebensmittel!$A$2:$G$14500,2,0))</f>
        <v/>
      </c>
      <c r="E42" s="19" t="str">
        <f>IF(ISBLANK(B42),"",$C42*VLOOKUP($B42,Lebensmittel!$A$2:$G$14500,7,0)/VLOOKUP($B42,Lebensmittel!$A$2:$G$14500,2,0))</f>
        <v/>
      </c>
      <c r="F42" s="20" t="str">
        <f>IF(ISBLANK(B42),"",$C42*VLOOKUP($B42,Lebensmittel!$A$2:$G$14500,4,0)/VLOOKUP($B42,Lebensmittel!$A$2:$G$14500,2,0))</f>
        <v/>
      </c>
      <c r="G42" s="20" t="str">
        <f>IF(ISBLANK(B42),"",$C42*VLOOKUP($B42,Lebensmittel!$A$2:$G$14500,5,0)/VLOOKUP($B42,Lebensmittel!$A$2:$G$14500,2,0))</f>
        <v/>
      </c>
      <c r="H42" s="20" t="str">
        <f>IF(ISBLANK(B42),"",$C42*VLOOKUP($B42,Lebensmittel!$A$2:$G$14500,6,0)/VLOOKUP($B42,Lebensmittel!$A$2:$G$14500,2,0))</f>
        <v/>
      </c>
    </row>
    <row r="43" spans="1:256" x14ac:dyDescent="0.25">
      <c r="B43" s="37"/>
      <c r="C43" s="38"/>
      <c r="D43" s="19" t="str">
        <f>IF(ISBLANK(B43),"",$C43*VLOOKUP($B43,Lebensmittel!$A$2:$G$14500,3,0)/VLOOKUP($B43,Lebensmittel!$A$2:$G$14500,2,0))</f>
        <v/>
      </c>
      <c r="E43" s="19" t="str">
        <f>IF(ISBLANK(B43),"",$C43*VLOOKUP($B43,Lebensmittel!$A$2:$G$14500,7,0)/VLOOKUP($B43,Lebensmittel!$A$2:$G$14500,2,0))</f>
        <v/>
      </c>
      <c r="F43" s="20" t="str">
        <f>IF(ISBLANK(B43),"",$C43*VLOOKUP($B43,Lebensmittel!$A$2:$G$14500,4,0)/VLOOKUP($B43,Lebensmittel!$A$2:$G$14500,2,0))</f>
        <v/>
      </c>
      <c r="G43" s="20" t="str">
        <f>IF(ISBLANK(B43),"",$C43*VLOOKUP($B43,Lebensmittel!$A$2:$G$14500,5,0)/VLOOKUP($B43,Lebensmittel!$A$2:$G$14500,2,0))</f>
        <v/>
      </c>
      <c r="H43" s="20" t="str">
        <f>IF(ISBLANK(B43),"",$C43*VLOOKUP($B43,Lebensmittel!$A$2:$G$14500,6,0)/VLOOKUP($B43,Lebensmittel!$A$2:$G$14500,2,0))</f>
        <v/>
      </c>
    </row>
    <row r="44" spans="1:256" x14ac:dyDescent="0.25">
      <c r="B44" s="37"/>
      <c r="C44" s="38"/>
      <c r="D44" s="19" t="str">
        <f>IF(ISBLANK(B44),"",$C44*VLOOKUP($B44,Lebensmittel!$A$2:$G$14500,3,0)/VLOOKUP($B44,Lebensmittel!$A$2:$G$14500,2,0))</f>
        <v/>
      </c>
      <c r="E44" s="19" t="str">
        <f>IF(ISBLANK(B44),"",$C44*VLOOKUP($B44,Lebensmittel!$A$2:$G$14500,7,0)/VLOOKUP($B44,Lebensmittel!$A$2:$G$14500,2,0))</f>
        <v/>
      </c>
      <c r="F44" s="20" t="str">
        <f>IF(ISBLANK(B44),"",$C44*VLOOKUP($B44,Lebensmittel!$A$2:$G$14500,4,0)/VLOOKUP($B44,Lebensmittel!$A$2:$G$14500,2,0))</f>
        <v/>
      </c>
      <c r="G44" s="20" t="str">
        <f>IF(ISBLANK(B44),"",$C44*VLOOKUP($B44,Lebensmittel!$A$2:$G$14500,5,0)/VLOOKUP($B44,Lebensmittel!$A$2:$G$14500,2,0))</f>
        <v/>
      </c>
      <c r="H44" s="20" t="str">
        <f>IF(ISBLANK(B44),"",$C44*VLOOKUP($B44,Lebensmittel!$A$2:$G$14500,6,0)/VLOOKUP($B44,Lebensmittel!$A$2:$G$14500,2,0))</f>
        <v/>
      </c>
    </row>
    <row r="45" spans="1:256" x14ac:dyDescent="0.25">
      <c r="B45" s="37"/>
      <c r="C45" s="38"/>
      <c r="D45" s="19" t="str">
        <f>IF(ISBLANK(B45),"",$C45*VLOOKUP($B45,Lebensmittel!$A$2:$G$14500,3,0)/VLOOKUP($B45,Lebensmittel!$A$2:$G$14500,2,0))</f>
        <v/>
      </c>
      <c r="E45" s="19" t="str">
        <f>IF(ISBLANK(B45),"",$C45*VLOOKUP($B45,Lebensmittel!$A$2:$G$14500,7,0)/VLOOKUP($B45,Lebensmittel!$A$2:$G$14500,2,0))</f>
        <v/>
      </c>
      <c r="F45" s="20" t="str">
        <f>IF(ISBLANK(B45),"",$C45*VLOOKUP($B45,Lebensmittel!$A$2:$G$14500,4,0)/VLOOKUP($B45,Lebensmittel!$A$2:$G$14500,2,0))</f>
        <v/>
      </c>
      <c r="G45" s="20" t="str">
        <f>IF(ISBLANK(B45),"",$C45*VLOOKUP($B45,Lebensmittel!$A$2:$G$14500,5,0)/VLOOKUP($B45,Lebensmittel!$A$2:$G$14500,2,0))</f>
        <v/>
      </c>
      <c r="H45" s="20" t="str">
        <f>IF(ISBLANK(B45),"",$C45*VLOOKUP($B45,Lebensmittel!$A$2:$G$14500,6,0)/VLOOKUP($B45,Lebensmittel!$A$2:$G$14500,2,0))</f>
        <v/>
      </c>
    </row>
    <row r="46" spans="1:256" x14ac:dyDescent="0.25">
      <c r="B46" s="37"/>
      <c r="C46" s="38"/>
      <c r="D46" s="19" t="str">
        <f>IF(ISBLANK(B46),"",$C46*VLOOKUP($B46,Lebensmittel!$A$2:$G$14500,3,0)/VLOOKUP($B46,Lebensmittel!$A$2:$G$14500,2,0))</f>
        <v/>
      </c>
      <c r="E46" s="19" t="str">
        <f>IF(ISBLANK(B46),"",$C46*VLOOKUP($B46,Lebensmittel!$A$2:$G$14500,7,0)/VLOOKUP($B46,Lebensmittel!$A$2:$G$14500,2,0))</f>
        <v/>
      </c>
      <c r="F46" s="20" t="str">
        <f>IF(ISBLANK(B46),"",$C46*VLOOKUP($B46,Lebensmittel!$A$2:$G$14500,4,0)/VLOOKUP($B46,Lebensmittel!$A$2:$G$14500,2,0))</f>
        <v/>
      </c>
      <c r="G46" s="20" t="str">
        <f>IF(ISBLANK(B46),"",$C46*VLOOKUP($B46,Lebensmittel!$A$2:$G$14500,5,0)/VLOOKUP($B46,Lebensmittel!$A$2:$G$14500,2,0))</f>
        <v/>
      </c>
      <c r="H46" s="20" t="str">
        <f>IF(ISBLANK(B46),"",$C46*VLOOKUP($B46,Lebensmittel!$A$2:$G$14500,6,0)/VLOOKUP($B46,Lebensmittel!$A$2:$G$14500,2,0))</f>
        <v/>
      </c>
    </row>
    <row r="47" spans="1:256" x14ac:dyDescent="0.25">
      <c r="B47" s="37"/>
      <c r="C47" s="38"/>
      <c r="D47" s="19" t="str">
        <f>IF(ISBLANK(B47),"",$C47*VLOOKUP($B47,Lebensmittel!$A$2:$G$14500,3,0)/VLOOKUP($B47,Lebensmittel!$A$2:$G$14500,2,0))</f>
        <v/>
      </c>
      <c r="E47" s="19" t="str">
        <f>IF(ISBLANK(B47),"",$C47*VLOOKUP($B47,Lebensmittel!$A$2:$G$14500,7,0)/VLOOKUP($B47,Lebensmittel!$A$2:$G$14500,2,0))</f>
        <v/>
      </c>
      <c r="F47" s="20" t="str">
        <f>IF(ISBLANK(B47),"",$C47*VLOOKUP($B47,Lebensmittel!$A$2:$G$14500,4,0)/VLOOKUP($B47,Lebensmittel!$A$2:$G$14500,2,0))</f>
        <v/>
      </c>
      <c r="G47" s="20" t="str">
        <f>IF(ISBLANK(B47),"",$C47*VLOOKUP($B47,Lebensmittel!$A$2:$G$14500,5,0)/VLOOKUP($B47,Lebensmittel!$A$2:$G$14500,2,0))</f>
        <v/>
      </c>
      <c r="H47" s="20" t="str">
        <f>IF(ISBLANK(B47),"",$C47*VLOOKUP($B47,Lebensmittel!$A$2:$G$14500,6,0)/VLOOKUP($B47,Lebensmittel!$A$2:$G$14500,2,0))</f>
        <v/>
      </c>
    </row>
    <row r="48" spans="1:256" x14ac:dyDescent="0.25">
      <c r="B48" s="33" t="s">
        <v>42</v>
      </c>
      <c r="C48" s="34">
        <f t="shared" ref="C48:H48" si="4">SUM(C38:C47)</f>
        <v>90</v>
      </c>
      <c r="D48" s="35">
        <f t="shared" si="4"/>
        <v>333.6</v>
      </c>
      <c r="E48" s="35">
        <f t="shared" si="4"/>
        <v>333.6</v>
      </c>
      <c r="F48" s="36">
        <f t="shared" si="4"/>
        <v>17.25</v>
      </c>
      <c r="G48" s="36">
        <f t="shared" si="4"/>
        <v>43.5</v>
      </c>
      <c r="H48" s="36">
        <f t="shared" si="4"/>
        <v>0</v>
      </c>
    </row>
    <row r="50" spans="1:256" ht="18" x14ac:dyDescent="0.25">
      <c r="A50" s="39" t="s">
        <v>43</v>
      </c>
      <c r="B50" s="39"/>
      <c r="C50" s="3"/>
      <c r="D50" s="4"/>
      <c r="E50" s="4"/>
      <c r="F50" s="5"/>
      <c r="G50" s="5"/>
      <c r="H50" s="5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</row>
    <row r="51" spans="1:256" s="7" customFormat="1" ht="15.75" x14ac:dyDescent="0.25">
      <c r="B51" s="2" t="s">
        <v>3</v>
      </c>
      <c r="C51" s="8" t="s">
        <v>5</v>
      </c>
      <c r="D51" s="9" t="s">
        <v>6</v>
      </c>
      <c r="E51" s="9" t="s">
        <v>6</v>
      </c>
      <c r="F51" s="10" t="s">
        <v>7</v>
      </c>
      <c r="G51" s="10" t="s">
        <v>8</v>
      </c>
      <c r="H51" s="10" t="s">
        <v>9</v>
      </c>
    </row>
    <row r="52" spans="1:256" x14ac:dyDescent="0.25">
      <c r="B52" s="37" t="s">
        <v>15</v>
      </c>
      <c r="C52" s="38">
        <v>80</v>
      </c>
      <c r="D52" s="19">
        <f>IF(ISBLANK(B52),"",$C52*VLOOKUP($B52,Lebensmittel!$A$2:$G$14500,3,0)/VLOOKUP($B52,Lebensmittel!$A$2:$G$14500,2,0))</f>
        <v>216.4</v>
      </c>
      <c r="E52" s="19">
        <f>IF(ISBLANK(B52),"",$C52*VLOOKUP($B52,Lebensmittel!$A$2:$G$14500,7,0)/VLOOKUP($B52,Lebensmittel!$A$2:$G$14500,2,0))</f>
        <v>216.4</v>
      </c>
      <c r="F52" s="20">
        <f>IF(ISBLANK(B52),"",$C52*VLOOKUP($B52,Lebensmittel!$A$2:$G$14500,4,0)/VLOOKUP($B52,Lebensmittel!$A$2:$G$14500,2,0))</f>
        <v>4</v>
      </c>
      <c r="G52" s="20">
        <f>IF(ISBLANK(B52),"",$C52*VLOOKUP($B52,Lebensmittel!$A$2:$G$14500,5,0)/VLOOKUP($B52,Lebensmittel!$A$2:$G$14500,2,0))</f>
        <v>40</v>
      </c>
      <c r="H52" s="20">
        <f>IF(ISBLANK(B52),"",$C52*VLOOKUP($B52,Lebensmittel!$A$2:$G$14500,6,0)/VLOOKUP($B52,Lebensmittel!$A$2:$G$14500,2,0))</f>
        <v>4</v>
      </c>
    </row>
    <row r="53" spans="1:256" x14ac:dyDescent="0.25">
      <c r="B53" s="37" t="s">
        <v>22</v>
      </c>
      <c r="C53" s="38">
        <v>50</v>
      </c>
      <c r="D53" s="19">
        <f>IF(ISBLANK(B53),"",$C53*VLOOKUP($B53,Lebensmittel!$A$2:$G$14500,3,0)/VLOOKUP($B53,Lebensmittel!$A$2:$G$14500,2,0))</f>
        <v>120.75</v>
      </c>
      <c r="E53" s="19">
        <f>IF(ISBLANK(B53),"",$C53*VLOOKUP($B53,Lebensmittel!$A$2:$G$14500,7,0)/VLOOKUP($B53,Lebensmittel!$A$2:$G$14500,2,0))</f>
        <v>120.75</v>
      </c>
      <c r="F53" s="20">
        <f>IF(ISBLANK(B53),"",$C53*VLOOKUP($B53,Lebensmittel!$A$2:$G$14500,4,0)/VLOOKUP($B53,Lebensmittel!$A$2:$G$14500,2,0))</f>
        <v>10</v>
      </c>
      <c r="G53" s="20">
        <f>IF(ISBLANK(B53),"",$C53*VLOOKUP($B53,Lebensmittel!$A$2:$G$14500,5,0)/VLOOKUP($B53,Lebensmittel!$A$2:$G$14500,2,0))</f>
        <v>0</v>
      </c>
      <c r="H53" s="20">
        <f>IF(ISBLANK(B53),"",$C53*VLOOKUP($B53,Lebensmittel!$A$2:$G$14500,6,0)/VLOOKUP($B53,Lebensmittel!$A$2:$G$14500,2,0))</f>
        <v>7.5</v>
      </c>
    </row>
    <row r="54" spans="1:256" x14ac:dyDescent="0.25">
      <c r="B54" s="37" t="s">
        <v>26</v>
      </c>
      <c r="C54" s="38">
        <v>30</v>
      </c>
      <c r="D54" s="19">
        <f>IF(ISBLANK(B54),"",$C54*VLOOKUP($B54,Lebensmittel!$A$2:$G$14500,3,0)/VLOOKUP($B54,Lebensmittel!$A$2:$G$14500,2,0))</f>
        <v>152.4</v>
      </c>
      <c r="E54" s="19">
        <f>IF(ISBLANK(B54),"",$C54*VLOOKUP($B54,Lebensmittel!$A$2:$G$14500,7,0)/VLOOKUP($B54,Lebensmittel!$A$2:$G$14500,2,0))</f>
        <v>152.4</v>
      </c>
      <c r="F54" s="20">
        <f>IF(ISBLANK(B54),"",$C54*VLOOKUP($B54,Lebensmittel!$A$2:$G$14500,4,0)/VLOOKUP($B54,Lebensmittel!$A$2:$G$14500,2,0))</f>
        <v>6</v>
      </c>
      <c r="G54" s="20">
        <f>IF(ISBLANK(B54),"",$C54*VLOOKUP($B54,Lebensmittel!$A$2:$G$14500,5,0)/VLOOKUP($B54,Lebensmittel!$A$2:$G$14500,2,0))</f>
        <v>24</v>
      </c>
      <c r="H54" s="20">
        <f>IF(ISBLANK(B54),"",$C54*VLOOKUP($B54,Lebensmittel!$A$2:$G$14500,6,0)/VLOOKUP($B54,Lebensmittel!$A$2:$G$14500,2,0))</f>
        <v>0</v>
      </c>
    </row>
    <row r="55" spans="1:256" x14ac:dyDescent="0.25">
      <c r="B55" s="37"/>
      <c r="C55" s="38"/>
      <c r="D55" s="19" t="str">
        <f>IF(ISBLANK(B55),"",$C55*VLOOKUP($B55,Lebensmittel!$A$2:$G$14500,3,0)/VLOOKUP($B55,Lebensmittel!$A$2:$G$14500,2,0))</f>
        <v/>
      </c>
      <c r="E55" s="19" t="str">
        <f>IF(ISBLANK(B55),"",$C55*VLOOKUP($B55,Lebensmittel!$A$2:$G$14500,7,0)/VLOOKUP($B55,Lebensmittel!$A$2:$G$14500,2,0))</f>
        <v/>
      </c>
      <c r="F55" s="20" t="str">
        <f>IF(ISBLANK(B55),"",$C55*VLOOKUP($B55,Lebensmittel!$A$2:$G$14500,4,0)/VLOOKUP($B55,Lebensmittel!$A$2:$G$14500,2,0))</f>
        <v/>
      </c>
      <c r="G55" s="20" t="str">
        <f>IF(ISBLANK(B55),"",$C55*VLOOKUP($B55,Lebensmittel!$A$2:$G$14500,5,0)/VLOOKUP($B55,Lebensmittel!$A$2:$G$14500,2,0))</f>
        <v/>
      </c>
      <c r="H55" s="20" t="str">
        <f>IF(ISBLANK(B55),"",$C55*VLOOKUP($B55,Lebensmittel!$A$2:$G$14500,6,0)/VLOOKUP($B55,Lebensmittel!$A$2:$G$14500,2,0))</f>
        <v/>
      </c>
    </row>
    <row r="56" spans="1:256" x14ac:dyDescent="0.25">
      <c r="B56" s="37"/>
      <c r="C56" s="38"/>
      <c r="D56" s="19" t="str">
        <f>IF(ISBLANK(B56),"",$C56*VLOOKUP($B56,Lebensmittel!$A$2:$G$14500,3,0)/VLOOKUP($B56,Lebensmittel!$A$2:$G$14500,2,0))</f>
        <v/>
      </c>
      <c r="E56" s="19" t="str">
        <f>IF(ISBLANK(B56),"",$C56*VLOOKUP($B56,Lebensmittel!$A$2:$G$14500,7,0)/VLOOKUP($B56,Lebensmittel!$A$2:$G$14500,2,0))</f>
        <v/>
      </c>
      <c r="F56" s="20" t="str">
        <f>IF(ISBLANK(B56),"",$C56*VLOOKUP($B56,Lebensmittel!$A$2:$G$14500,4,0)/VLOOKUP($B56,Lebensmittel!$A$2:$G$14500,2,0))</f>
        <v/>
      </c>
      <c r="G56" s="20" t="str">
        <f>IF(ISBLANK(B56),"",$C56*VLOOKUP($B56,Lebensmittel!$A$2:$G$14500,5,0)/VLOOKUP($B56,Lebensmittel!$A$2:$G$14500,2,0))</f>
        <v/>
      </c>
      <c r="H56" s="20" t="str">
        <f>IF(ISBLANK(B56),"",$C56*VLOOKUP($B56,Lebensmittel!$A$2:$G$14500,6,0)/VLOOKUP($B56,Lebensmittel!$A$2:$G$14500,2,0))</f>
        <v/>
      </c>
    </row>
    <row r="57" spans="1:256" x14ac:dyDescent="0.25">
      <c r="B57" s="37"/>
      <c r="C57" s="38"/>
      <c r="D57" s="19" t="str">
        <f>IF(ISBLANK(B57),"",$C57*VLOOKUP($B57,Lebensmittel!$A$2:$G$14500,3,0)/VLOOKUP($B57,Lebensmittel!$A$2:$G$14500,2,0))</f>
        <v/>
      </c>
      <c r="E57" s="19" t="str">
        <f>IF(ISBLANK(B57),"",$C57*VLOOKUP($B57,Lebensmittel!$A$2:$G$14500,7,0)/VLOOKUP($B57,Lebensmittel!$A$2:$G$14500,2,0))</f>
        <v/>
      </c>
      <c r="F57" s="20" t="str">
        <f>IF(ISBLANK(B57),"",$C57*VLOOKUP($B57,Lebensmittel!$A$2:$G$14500,4,0)/VLOOKUP($B57,Lebensmittel!$A$2:$G$14500,2,0))</f>
        <v/>
      </c>
      <c r="G57" s="20" t="str">
        <f>IF(ISBLANK(B57),"",$C57*VLOOKUP($B57,Lebensmittel!$A$2:$G$14500,5,0)/VLOOKUP($B57,Lebensmittel!$A$2:$G$14500,2,0))</f>
        <v/>
      </c>
      <c r="H57" s="20" t="str">
        <f>IF(ISBLANK(B57),"",$C57*VLOOKUP($B57,Lebensmittel!$A$2:$G$14500,6,0)/VLOOKUP($B57,Lebensmittel!$A$2:$G$14500,2,0))</f>
        <v/>
      </c>
    </row>
    <row r="58" spans="1:256" x14ac:dyDescent="0.25">
      <c r="B58" s="37"/>
      <c r="C58" s="38"/>
      <c r="D58" s="19" t="str">
        <f>IF(ISBLANK(B58),"",$C58*VLOOKUP($B58,Lebensmittel!$A$2:$G$14500,3,0)/VLOOKUP($B58,Lebensmittel!$A$2:$G$14500,2,0))</f>
        <v/>
      </c>
      <c r="E58" s="19" t="str">
        <f>IF(ISBLANK(B58),"",$C58*VLOOKUP($B58,Lebensmittel!$A$2:$G$14500,7,0)/VLOOKUP($B58,Lebensmittel!$A$2:$G$14500,2,0))</f>
        <v/>
      </c>
      <c r="F58" s="20" t="str">
        <f>IF(ISBLANK(B58),"",$C58*VLOOKUP($B58,Lebensmittel!$A$2:$G$14500,4,0)/VLOOKUP($B58,Lebensmittel!$A$2:$G$14500,2,0))</f>
        <v/>
      </c>
      <c r="G58" s="20" t="str">
        <f>IF(ISBLANK(B58),"",$C58*VLOOKUP($B58,Lebensmittel!$A$2:$G$14500,5,0)/VLOOKUP($B58,Lebensmittel!$A$2:$G$14500,2,0))</f>
        <v/>
      </c>
      <c r="H58" s="20" t="str">
        <f>IF(ISBLANK(B58),"",$C58*VLOOKUP($B58,Lebensmittel!$A$2:$G$14500,6,0)/VLOOKUP($B58,Lebensmittel!$A$2:$G$14500,2,0))</f>
        <v/>
      </c>
    </row>
    <row r="59" spans="1:256" x14ac:dyDescent="0.25">
      <c r="B59" s="37"/>
      <c r="C59" s="38"/>
      <c r="D59" s="19" t="str">
        <f>IF(ISBLANK(B59),"",$C59*VLOOKUP($B59,Lebensmittel!$A$2:$G$14500,3,0)/VLOOKUP($B59,Lebensmittel!$A$2:$G$14500,2,0))</f>
        <v/>
      </c>
      <c r="E59" s="19" t="str">
        <f>IF(ISBLANK(B59),"",$C59*VLOOKUP($B59,Lebensmittel!$A$2:$G$14500,7,0)/VLOOKUP($B59,Lebensmittel!$A$2:$G$14500,2,0))</f>
        <v/>
      </c>
      <c r="F59" s="20" t="str">
        <f>IF(ISBLANK(B59),"",$C59*VLOOKUP($B59,Lebensmittel!$A$2:$G$14500,4,0)/VLOOKUP($B59,Lebensmittel!$A$2:$G$14500,2,0))</f>
        <v/>
      </c>
      <c r="G59" s="20" t="str">
        <f>IF(ISBLANK(B59),"",$C59*VLOOKUP($B59,Lebensmittel!$A$2:$G$14500,5,0)/VLOOKUP($B59,Lebensmittel!$A$2:$G$14500,2,0))</f>
        <v/>
      </c>
      <c r="H59" s="20" t="str">
        <f>IF(ISBLANK(B59),"",$C59*VLOOKUP($B59,Lebensmittel!$A$2:$G$14500,6,0)/VLOOKUP($B59,Lebensmittel!$A$2:$G$14500,2,0))</f>
        <v/>
      </c>
    </row>
    <row r="60" spans="1:256" x14ac:dyDescent="0.25">
      <c r="B60" s="37"/>
      <c r="C60" s="38"/>
      <c r="D60" s="19" t="str">
        <f>IF(ISBLANK(B60),"",$C60*VLOOKUP($B60,Lebensmittel!$A$2:$G$14500,3,0)/VLOOKUP($B60,Lebensmittel!$A$2:$G$14500,2,0))</f>
        <v/>
      </c>
      <c r="E60" s="19" t="str">
        <f>IF(ISBLANK(B60),"",$C60*VLOOKUP($B60,Lebensmittel!$A$2:$G$14500,7,0)/VLOOKUP($B60,Lebensmittel!$A$2:$G$14500,2,0))</f>
        <v/>
      </c>
      <c r="F60" s="20" t="str">
        <f>IF(ISBLANK(B60),"",$C60*VLOOKUP($B60,Lebensmittel!$A$2:$G$14500,4,0)/VLOOKUP($B60,Lebensmittel!$A$2:$G$14500,2,0))</f>
        <v/>
      </c>
      <c r="G60" s="20" t="str">
        <f>IF(ISBLANK(B60),"",$C60*VLOOKUP($B60,Lebensmittel!$A$2:$G$14500,5,0)/VLOOKUP($B60,Lebensmittel!$A$2:$G$14500,2,0))</f>
        <v/>
      </c>
      <c r="H60" s="20" t="str">
        <f>IF(ISBLANK(B60),"",$C60*VLOOKUP($B60,Lebensmittel!$A$2:$G$14500,6,0)/VLOOKUP($B60,Lebensmittel!$A$2:$G$14500,2,0))</f>
        <v/>
      </c>
    </row>
    <row r="61" spans="1:256" x14ac:dyDescent="0.25">
      <c r="B61" s="37"/>
      <c r="C61" s="38"/>
      <c r="D61" s="19" t="str">
        <f>IF(ISBLANK(B61),"",$C61*VLOOKUP($B61,Lebensmittel!$A$2:$G$14500,3,0)/VLOOKUP($B61,Lebensmittel!$A$2:$G$14500,2,0))</f>
        <v/>
      </c>
      <c r="E61" s="19" t="str">
        <f>IF(ISBLANK(B61),"",$C61*VLOOKUP($B61,Lebensmittel!$A$2:$G$14500,7,0)/VLOOKUP($B61,Lebensmittel!$A$2:$G$14500,2,0))</f>
        <v/>
      </c>
      <c r="F61" s="20" t="str">
        <f>IF(ISBLANK(B61),"",$C61*VLOOKUP($B61,Lebensmittel!$A$2:$G$14500,4,0)/VLOOKUP($B61,Lebensmittel!$A$2:$G$14500,2,0))</f>
        <v/>
      </c>
      <c r="G61" s="20" t="str">
        <f>IF(ISBLANK(B61),"",$C61*VLOOKUP($B61,Lebensmittel!$A$2:$G$14500,5,0)/VLOOKUP($B61,Lebensmittel!$A$2:$G$14500,2,0))</f>
        <v/>
      </c>
      <c r="H61" s="20" t="str">
        <f>IF(ISBLANK(B61),"",$C61*VLOOKUP($B61,Lebensmittel!$A$2:$G$14500,6,0)/VLOOKUP($B61,Lebensmittel!$A$2:$G$14500,2,0))</f>
        <v/>
      </c>
    </row>
    <row r="62" spans="1:256" x14ac:dyDescent="0.25">
      <c r="B62" s="33" t="s">
        <v>44</v>
      </c>
      <c r="C62" s="34">
        <f t="shared" ref="C62:H62" si="5">SUM(C52:C61)</f>
        <v>160</v>
      </c>
      <c r="D62" s="35">
        <f t="shared" si="5"/>
        <v>489.54999999999995</v>
      </c>
      <c r="E62" s="35">
        <f t="shared" si="5"/>
        <v>489.54999999999995</v>
      </c>
      <c r="F62" s="36">
        <f t="shared" si="5"/>
        <v>20</v>
      </c>
      <c r="G62" s="36">
        <f t="shared" si="5"/>
        <v>64</v>
      </c>
      <c r="H62" s="36">
        <f t="shared" si="5"/>
        <v>11.5</v>
      </c>
    </row>
    <row r="64" spans="1:256" ht="18" x14ac:dyDescent="0.25">
      <c r="A64" s="39" t="s">
        <v>45</v>
      </c>
      <c r="B64" s="39"/>
      <c r="C64" s="3"/>
      <c r="D64" s="4"/>
      <c r="E64" s="4"/>
      <c r="F64" s="5"/>
      <c r="G64" s="5"/>
      <c r="H64" s="5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</row>
    <row r="65" spans="2:8" s="7" customFormat="1" ht="15.75" x14ac:dyDescent="0.25">
      <c r="B65" s="2" t="s">
        <v>3</v>
      </c>
      <c r="C65" s="8" t="s">
        <v>5</v>
      </c>
      <c r="D65" s="9" t="s">
        <v>6</v>
      </c>
      <c r="E65" s="9" t="s">
        <v>6</v>
      </c>
      <c r="F65" s="10" t="s">
        <v>7</v>
      </c>
      <c r="G65" s="10" t="s">
        <v>8</v>
      </c>
      <c r="H65" s="10" t="s">
        <v>9</v>
      </c>
    </row>
    <row r="66" spans="2:8" x14ac:dyDescent="0.25">
      <c r="B66" s="37"/>
      <c r="C66" s="38"/>
      <c r="D66" s="19" t="str">
        <f>IF(ISBLANK(B66),"",$C66*VLOOKUP($B66,Lebensmittel!$A$2:$G$14500,3,0)/VLOOKUP($B66,Lebensmittel!$A$2:$G$14500,2,0))</f>
        <v/>
      </c>
      <c r="E66" s="19" t="str">
        <f>IF(ISBLANK(B66),"",$C66*VLOOKUP($B66,Lebensmittel!$A$2:$G$14500,7,0)/VLOOKUP($B66,Lebensmittel!$A$2:$G$14500,2,0))</f>
        <v/>
      </c>
      <c r="F66" s="20" t="str">
        <f>IF(ISBLANK(B66),"",$C66*VLOOKUP($B66,Lebensmittel!$A$2:$G$14500,4,0)/VLOOKUP($B66,Lebensmittel!$A$2:$G$14500,2,0))</f>
        <v/>
      </c>
      <c r="G66" s="20" t="str">
        <f>IF(ISBLANK(B66),"",$C66*VLOOKUP($B66,Lebensmittel!$A$2:$G$14500,5,0)/VLOOKUP($B66,Lebensmittel!$A$2:$G$14500,2,0))</f>
        <v/>
      </c>
      <c r="H66" s="20" t="str">
        <f>IF(ISBLANK(B66),"",$C66*VLOOKUP($B66,Lebensmittel!$A$2:$G$14500,6,0)/VLOOKUP($B66,Lebensmittel!$A$2:$G$14500,2,0))</f>
        <v/>
      </c>
    </row>
    <row r="67" spans="2:8" x14ac:dyDescent="0.25">
      <c r="B67" s="37"/>
      <c r="C67" s="38"/>
      <c r="D67" s="19" t="str">
        <f>IF(ISBLANK(B67),"",$C67*VLOOKUP($B67,Lebensmittel!$A$2:$G$14500,3,0)/VLOOKUP($B67,Lebensmittel!$A$2:$G$14500,2,0))</f>
        <v/>
      </c>
      <c r="E67" s="19" t="str">
        <f>IF(ISBLANK(B67),"",$C67*VLOOKUP($B67,Lebensmittel!$A$2:$G$14500,7,0)/VLOOKUP($B67,Lebensmittel!$A$2:$G$14500,2,0))</f>
        <v/>
      </c>
      <c r="F67" s="20" t="str">
        <f>IF(ISBLANK(B67),"",$C67*VLOOKUP($B67,Lebensmittel!$A$2:$G$14500,4,0)/VLOOKUP($B67,Lebensmittel!$A$2:$G$14500,2,0))</f>
        <v/>
      </c>
      <c r="G67" s="20" t="str">
        <f>IF(ISBLANK(B67),"",$C67*VLOOKUP($B67,Lebensmittel!$A$2:$G$14500,5,0)/VLOOKUP($B67,Lebensmittel!$A$2:$G$14500,2,0))</f>
        <v/>
      </c>
      <c r="H67" s="20" t="str">
        <f>IF(ISBLANK(B67),"",$C67*VLOOKUP($B67,Lebensmittel!$A$2:$G$14500,6,0)/VLOOKUP($B67,Lebensmittel!$A$2:$G$14500,2,0))</f>
        <v/>
      </c>
    </row>
    <row r="68" spans="2:8" x14ac:dyDescent="0.25">
      <c r="B68" s="37"/>
      <c r="C68" s="38"/>
      <c r="D68" s="19" t="str">
        <f>IF(ISBLANK(B68),"",$C68*VLOOKUP($B68,Lebensmittel!$A$2:$G$14500,3,0)/VLOOKUP($B68,Lebensmittel!$A$2:$G$14500,2,0))</f>
        <v/>
      </c>
      <c r="E68" s="19" t="str">
        <f>IF(ISBLANK(B68),"",$C68*VLOOKUP($B68,Lebensmittel!$A$2:$G$14500,7,0)/VLOOKUP($B68,Lebensmittel!$A$2:$G$14500,2,0))</f>
        <v/>
      </c>
      <c r="F68" s="20" t="str">
        <f>IF(ISBLANK(B68),"",$C68*VLOOKUP($B68,Lebensmittel!$A$2:$G$14500,4,0)/VLOOKUP($B68,Lebensmittel!$A$2:$G$14500,2,0))</f>
        <v/>
      </c>
      <c r="G68" s="20" t="str">
        <f>IF(ISBLANK(B68),"",$C68*VLOOKUP($B68,Lebensmittel!$A$2:$G$14500,5,0)/VLOOKUP($B68,Lebensmittel!$A$2:$G$14500,2,0))</f>
        <v/>
      </c>
      <c r="H68" s="20" t="str">
        <f>IF(ISBLANK(B68),"",$C68*VLOOKUP($B68,Lebensmittel!$A$2:$G$14500,6,0)/VLOOKUP($B68,Lebensmittel!$A$2:$G$14500,2,0))</f>
        <v/>
      </c>
    </row>
    <row r="69" spans="2:8" x14ac:dyDescent="0.25">
      <c r="B69" s="37"/>
      <c r="C69" s="38"/>
      <c r="D69" s="19" t="str">
        <f>IF(ISBLANK(B69),"",$C69*VLOOKUP($B69,Lebensmittel!$A$2:$G$14500,3,0)/VLOOKUP($B69,Lebensmittel!$A$2:$G$14500,2,0))</f>
        <v/>
      </c>
      <c r="E69" s="19" t="str">
        <f>IF(ISBLANK(B69),"",$C69*VLOOKUP($B69,Lebensmittel!$A$2:$G$14500,7,0)/VLOOKUP($B69,Lebensmittel!$A$2:$G$14500,2,0))</f>
        <v/>
      </c>
      <c r="F69" s="20" t="str">
        <f>IF(ISBLANK(B69),"",$C69*VLOOKUP($B69,Lebensmittel!$A$2:$G$14500,4,0)/VLOOKUP($B69,Lebensmittel!$A$2:$G$14500,2,0))</f>
        <v/>
      </c>
      <c r="G69" s="20" t="str">
        <f>IF(ISBLANK(B69),"",$C69*VLOOKUP($B69,Lebensmittel!$A$2:$G$14500,5,0)/VLOOKUP($B69,Lebensmittel!$A$2:$G$14500,2,0))</f>
        <v/>
      </c>
      <c r="H69" s="20" t="str">
        <f>IF(ISBLANK(B69),"",$C69*VLOOKUP($B69,Lebensmittel!$A$2:$G$14500,6,0)/VLOOKUP($B69,Lebensmittel!$A$2:$G$14500,2,0))</f>
        <v/>
      </c>
    </row>
    <row r="70" spans="2:8" x14ac:dyDescent="0.25">
      <c r="B70" s="37"/>
      <c r="C70" s="38"/>
      <c r="D70" s="19" t="str">
        <f>IF(ISBLANK(B70),"",$C70*VLOOKUP($B70,Lebensmittel!$A$2:$G$14500,3,0)/VLOOKUP($B70,Lebensmittel!$A$2:$G$14500,2,0))</f>
        <v/>
      </c>
      <c r="E70" s="19" t="str">
        <f>IF(ISBLANK(B70),"",$C70*VLOOKUP($B70,Lebensmittel!$A$2:$G$14500,7,0)/VLOOKUP($B70,Lebensmittel!$A$2:$G$14500,2,0))</f>
        <v/>
      </c>
      <c r="F70" s="20" t="str">
        <f>IF(ISBLANK(B70),"",$C70*VLOOKUP($B70,Lebensmittel!$A$2:$G$14500,4,0)/VLOOKUP($B70,Lebensmittel!$A$2:$G$14500,2,0))</f>
        <v/>
      </c>
      <c r="G70" s="20" t="str">
        <f>IF(ISBLANK(B70),"",$C70*VLOOKUP($B70,Lebensmittel!$A$2:$G$14500,5,0)/VLOOKUP($B70,Lebensmittel!$A$2:$G$14500,2,0))</f>
        <v/>
      </c>
      <c r="H70" s="20" t="str">
        <f>IF(ISBLANK(B70),"",$C70*VLOOKUP($B70,Lebensmittel!$A$2:$G$14500,6,0)/VLOOKUP($B70,Lebensmittel!$A$2:$G$14500,2,0))</f>
        <v/>
      </c>
    </row>
    <row r="71" spans="2:8" x14ac:dyDescent="0.25">
      <c r="B71" s="37"/>
      <c r="C71" s="38"/>
      <c r="D71" s="19" t="str">
        <f>IF(ISBLANK(B71),"",$C71*VLOOKUP($B71,Lebensmittel!$A$2:$G$14500,3,0)/VLOOKUP($B71,Lebensmittel!$A$2:$G$14500,2,0))</f>
        <v/>
      </c>
      <c r="E71" s="19" t="str">
        <f>IF(ISBLANK(B71),"",$C71*VLOOKUP($B71,Lebensmittel!$A$2:$G$14500,7,0)/VLOOKUP($B71,Lebensmittel!$A$2:$G$14500,2,0))</f>
        <v/>
      </c>
      <c r="F71" s="20" t="str">
        <f>IF(ISBLANK(B71),"",$C71*VLOOKUP($B71,Lebensmittel!$A$2:$G$14500,4,0)/VLOOKUP($B71,Lebensmittel!$A$2:$G$14500,2,0))</f>
        <v/>
      </c>
      <c r="G71" s="20" t="str">
        <f>IF(ISBLANK(B71),"",$C71*VLOOKUP($B71,Lebensmittel!$A$2:$G$14500,5,0)/VLOOKUP($B71,Lebensmittel!$A$2:$G$14500,2,0))</f>
        <v/>
      </c>
      <c r="H71" s="20" t="str">
        <f>IF(ISBLANK(B71),"",$C71*VLOOKUP($B71,Lebensmittel!$A$2:$G$14500,6,0)/VLOOKUP($B71,Lebensmittel!$A$2:$G$14500,2,0))</f>
        <v/>
      </c>
    </row>
    <row r="72" spans="2:8" x14ac:dyDescent="0.25">
      <c r="B72" s="37"/>
      <c r="C72" s="38"/>
      <c r="D72" s="19" t="str">
        <f>IF(ISBLANK(B72),"",$C72*VLOOKUP($B72,Lebensmittel!$A$2:$G$14500,3,0)/VLOOKUP($B72,Lebensmittel!$A$2:$G$14500,2,0))</f>
        <v/>
      </c>
      <c r="E72" s="19" t="str">
        <f>IF(ISBLANK(B72),"",$C72*VLOOKUP($B72,Lebensmittel!$A$2:$G$14500,7,0)/VLOOKUP($B72,Lebensmittel!$A$2:$G$14500,2,0))</f>
        <v/>
      </c>
      <c r="F72" s="20" t="str">
        <f>IF(ISBLANK(B72),"",$C72*VLOOKUP($B72,Lebensmittel!$A$2:$G$14500,4,0)/VLOOKUP($B72,Lebensmittel!$A$2:$G$14500,2,0))</f>
        <v/>
      </c>
      <c r="G72" s="20" t="str">
        <f>IF(ISBLANK(B72),"",$C72*VLOOKUP($B72,Lebensmittel!$A$2:$G$14500,5,0)/VLOOKUP($B72,Lebensmittel!$A$2:$G$14500,2,0))</f>
        <v/>
      </c>
      <c r="H72" s="20" t="str">
        <f>IF(ISBLANK(B72),"",$C72*VLOOKUP($B72,Lebensmittel!$A$2:$G$14500,6,0)/VLOOKUP($B72,Lebensmittel!$A$2:$G$14500,2,0))</f>
        <v/>
      </c>
    </row>
    <row r="73" spans="2:8" x14ac:dyDescent="0.25">
      <c r="B73" s="37"/>
      <c r="C73" s="38"/>
      <c r="D73" s="19" t="str">
        <f>IF(ISBLANK(B73),"",$C73*VLOOKUP($B73,Lebensmittel!$A$2:$G$14500,3,0)/VLOOKUP($B73,Lebensmittel!$A$2:$G$14500,2,0))</f>
        <v/>
      </c>
      <c r="E73" s="19" t="str">
        <f>IF(ISBLANK(B73),"",$C73*VLOOKUP($B73,Lebensmittel!$A$2:$G$14500,7,0)/VLOOKUP($B73,Lebensmittel!$A$2:$G$14500,2,0))</f>
        <v/>
      </c>
      <c r="F73" s="20" t="str">
        <f>IF(ISBLANK(B73),"",$C73*VLOOKUP($B73,Lebensmittel!$A$2:$G$14500,4,0)/VLOOKUP($B73,Lebensmittel!$A$2:$G$14500,2,0))</f>
        <v/>
      </c>
      <c r="G73" s="20" t="str">
        <f>IF(ISBLANK(B73),"",$C73*VLOOKUP($B73,Lebensmittel!$A$2:$G$14500,5,0)/VLOOKUP($B73,Lebensmittel!$A$2:$G$14500,2,0))</f>
        <v/>
      </c>
      <c r="H73" s="20" t="str">
        <f>IF(ISBLANK(B73),"",$C73*VLOOKUP($B73,Lebensmittel!$A$2:$G$14500,6,0)/VLOOKUP($B73,Lebensmittel!$A$2:$G$14500,2,0))</f>
        <v/>
      </c>
    </row>
    <row r="74" spans="2:8" x14ac:dyDescent="0.25">
      <c r="B74" s="37"/>
      <c r="C74" s="38"/>
      <c r="D74" s="19" t="str">
        <f>IF(ISBLANK(B74),"",$C74*VLOOKUP($B74,Lebensmittel!$A$2:$G$14500,3,0)/VLOOKUP($B74,Lebensmittel!$A$2:$G$14500,2,0))</f>
        <v/>
      </c>
      <c r="E74" s="19" t="str">
        <f>IF(ISBLANK(B74),"",$C74*VLOOKUP($B74,Lebensmittel!$A$2:$G$14500,7,0)/VLOOKUP($B74,Lebensmittel!$A$2:$G$14500,2,0))</f>
        <v/>
      </c>
      <c r="F74" s="20" t="str">
        <f>IF(ISBLANK(B74),"",$C74*VLOOKUP($B74,Lebensmittel!$A$2:$G$14500,4,0)/VLOOKUP($B74,Lebensmittel!$A$2:$G$14500,2,0))</f>
        <v/>
      </c>
      <c r="G74" s="20" t="str">
        <f>IF(ISBLANK(B74),"",$C74*VLOOKUP($B74,Lebensmittel!$A$2:$G$14500,5,0)/VLOOKUP($B74,Lebensmittel!$A$2:$G$14500,2,0))</f>
        <v/>
      </c>
      <c r="H74" s="20" t="str">
        <f>IF(ISBLANK(B74),"",$C74*VLOOKUP($B74,Lebensmittel!$A$2:$G$14500,6,0)/VLOOKUP($B74,Lebensmittel!$A$2:$G$14500,2,0))</f>
        <v/>
      </c>
    </row>
    <row r="75" spans="2:8" x14ac:dyDescent="0.25">
      <c r="B75" s="37"/>
      <c r="C75" s="38"/>
      <c r="D75" s="19" t="str">
        <f>IF(ISBLANK(B75),"",$C75*VLOOKUP($B75,Lebensmittel!$A$2:$G$14500,3,0)/VLOOKUP($B75,Lebensmittel!$A$2:$G$14500,2,0))</f>
        <v/>
      </c>
      <c r="E75" s="19" t="str">
        <f>IF(ISBLANK(B75),"",$C75*VLOOKUP($B75,Lebensmittel!$A$2:$G$14500,7,0)/VLOOKUP($B75,Lebensmittel!$A$2:$G$14500,2,0))</f>
        <v/>
      </c>
      <c r="F75" s="20" t="str">
        <f>IF(ISBLANK(B75),"",$C75*VLOOKUP($B75,Lebensmittel!$A$2:$G$14500,4,0)/VLOOKUP($B75,Lebensmittel!$A$2:$G$14500,2,0))</f>
        <v/>
      </c>
      <c r="G75" s="20" t="str">
        <f>IF(ISBLANK(B75),"",$C75*VLOOKUP($B75,Lebensmittel!$A$2:$G$14500,5,0)/VLOOKUP($B75,Lebensmittel!$A$2:$G$14500,2,0))</f>
        <v/>
      </c>
      <c r="H75" s="20" t="str">
        <f>IF(ISBLANK(B75),"",$C75*VLOOKUP($B75,Lebensmittel!$A$2:$G$14500,6,0)/VLOOKUP($B75,Lebensmittel!$A$2:$G$14500,2,0))</f>
        <v/>
      </c>
    </row>
    <row r="76" spans="2:8" x14ac:dyDescent="0.25">
      <c r="B76" s="33" t="s">
        <v>46</v>
      </c>
      <c r="C76" s="34">
        <f t="shared" ref="C76:H76" si="6">SUM(C66:C75)</f>
        <v>0</v>
      </c>
      <c r="D76" s="35">
        <f t="shared" si="6"/>
        <v>0</v>
      </c>
      <c r="E76" s="35">
        <f t="shared" si="6"/>
        <v>0</v>
      </c>
      <c r="F76" s="36">
        <f t="shared" si="6"/>
        <v>0</v>
      </c>
      <c r="G76" s="36">
        <f t="shared" si="6"/>
        <v>0</v>
      </c>
      <c r="H76" s="36">
        <f t="shared" si="6"/>
        <v>0</v>
      </c>
    </row>
  </sheetData>
  <mergeCells count="9">
    <mergeCell ref="D6:H6"/>
    <mergeCell ref="A8:B8"/>
    <mergeCell ref="A22:B22"/>
    <mergeCell ref="A36:B36"/>
    <mergeCell ref="A50:B50"/>
    <mergeCell ref="A64:B64"/>
    <mergeCell ref="A1:C1"/>
    <mergeCell ref="A3:B3"/>
    <mergeCell ref="A4:B4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76"/>
  <sheetViews>
    <sheetView zoomScale="130" zoomScaleNormal="130" workbookViewId="0">
      <selection activeCell="B6" sqref="B6"/>
    </sheetView>
  </sheetViews>
  <sheetFormatPr baseColWidth="10" defaultRowHeight="15" x14ac:dyDescent="0.25"/>
  <cols>
    <col min="1" max="1" width="5.7109375" customWidth="1"/>
    <col min="2" max="2" width="57.140625" customWidth="1"/>
    <col min="3" max="6" width="14.28515625" customWidth="1"/>
    <col min="7" max="7" width="17.140625" customWidth="1"/>
    <col min="8" max="8" width="14.28515625" customWidth="1"/>
  </cols>
  <sheetData>
    <row r="1" spans="1:256" ht="38.25" customHeight="1" x14ac:dyDescent="0.25">
      <c r="A1" s="40" t="s">
        <v>47</v>
      </c>
      <c r="B1" s="40"/>
      <c r="C1" s="40"/>
      <c r="D1" s="12"/>
      <c r="E1" s="12"/>
      <c r="F1" s="13"/>
      <c r="G1" s="13"/>
      <c r="H1" s="23"/>
    </row>
    <row r="2" spans="1:256" ht="9.9499999999999993" customHeight="1" x14ac:dyDescent="0.3">
      <c r="A2" s="24"/>
      <c r="B2" s="24"/>
      <c r="C2" s="25"/>
      <c r="D2" s="12"/>
      <c r="E2" s="12"/>
      <c r="F2" s="13"/>
      <c r="G2" s="13"/>
      <c r="H2" s="13"/>
    </row>
    <row r="3" spans="1:256" ht="20.25" x14ac:dyDescent="0.3">
      <c r="A3" s="41" t="s">
        <v>36</v>
      </c>
      <c r="B3" s="41"/>
      <c r="C3" s="26" t="s">
        <v>5</v>
      </c>
      <c r="D3" s="27" t="s">
        <v>6</v>
      </c>
      <c r="E3" s="27" t="s">
        <v>13</v>
      </c>
      <c r="F3" s="28" t="s">
        <v>7</v>
      </c>
      <c r="G3" s="28" t="s">
        <v>11</v>
      </c>
      <c r="H3" s="28" t="s">
        <v>12</v>
      </c>
    </row>
    <row r="4" spans="1:256" ht="18" x14ac:dyDescent="0.25">
      <c r="A4" s="42"/>
      <c r="B4" s="42"/>
      <c r="C4" s="29">
        <f t="shared" ref="C4" si="0">C20+C34+C48+C62</f>
        <v>608</v>
      </c>
      <c r="D4" s="30">
        <f>D20+D34+D48+D62+D76</f>
        <v>2024.5399999999997</v>
      </c>
      <c r="E4" s="30">
        <f t="shared" ref="E4:H4" si="1">E20+E34+E48+E62+E76</f>
        <v>2024.5399999999997</v>
      </c>
      <c r="F4" s="31">
        <f t="shared" si="1"/>
        <v>90.15</v>
      </c>
      <c r="G4" s="31">
        <f t="shared" si="1"/>
        <v>240.5</v>
      </c>
      <c r="H4" s="31">
        <f t="shared" si="1"/>
        <v>55.4</v>
      </c>
    </row>
    <row r="5" spans="1:256" ht="9" customHeight="1" x14ac:dyDescent="0.25">
      <c r="C5" s="32"/>
      <c r="D5" s="12"/>
      <c r="E5" s="12"/>
      <c r="F5" s="13"/>
      <c r="G5" s="13"/>
      <c r="H5" s="13"/>
    </row>
    <row r="6" spans="1:256" ht="20.65" customHeight="1" x14ac:dyDescent="0.3">
      <c r="A6" s="24"/>
      <c r="B6" s="24"/>
      <c r="C6" s="25"/>
      <c r="D6" s="43" t="s">
        <v>37</v>
      </c>
      <c r="E6" s="43"/>
      <c r="F6" s="43"/>
      <c r="G6" s="43"/>
      <c r="H6" s="43"/>
    </row>
    <row r="7" spans="1:256" ht="15.2" customHeight="1" x14ac:dyDescent="0.3">
      <c r="A7" s="24"/>
      <c r="B7" s="24"/>
      <c r="C7" s="25"/>
      <c r="D7" s="12"/>
      <c r="E7" s="12"/>
      <c r="F7" s="13"/>
      <c r="G7" s="13"/>
      <c r="H7" s="13"/>
    </row>
    <row r="8" spans="1:256" ht="18" x14ac:dyDescent="0.25">
      <c r="A8" s="39" t="s">
        <v>4</v>
      </c>
      <c r="B8" s="39"/>
      <c r="C8" s="3"/>
      <c r="D8" s="4"/>
      <c r="E8" s="4"/>
      <c r="F8" s="5"/>
      <c r="G8" s="5"/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</row>
    <row r="9" spans="1:256" s="7" customFormat="1" ht="15.75" x14ac:dyDescent="0.25">
      <c r="B9" s="2" t="s">
        <v>3</v>
      </c>
      <c r="C9" s="8" t="s">
        <v>5</v>
      </c>
      <c r="D9" s="9" t="s">
        <v>6</v>
      </c>
      <c r="E9" s="9" t="s">
        <v>6</v>
      </c>
      <c r="F9" s="10" t="s">
        <v>7</v>
      </c>
      <c r="G9" s="10" t="s">
        <v>8</v>
      </c>
      <c r="H9" s="10" t="s">
        <v>9</v>
      </c>
    </row>
    <row r="10" spans="1:256" x14ac:dyDescent="0.25">
      <c r="B10" s="37" t="s">
        <v>15</v>
      </c>
      <c r="C10" s="38">
        <v>78</v>
      </c>
      <c r="D10" s="19">
        <f>IF(ISBLANK(B10),"",$C10*VLOOKUP($B10,Lebensmittel!$A$2:$G$14500,3,0)/VLOOKUP($B10,Lebensmittel!$A$2:$G$14500,2,0))</f>
        <v>210.99</v>
      </c>
      <c r="E10" s="19">
        <f>IF(ISBLANK(B10),"",$C10*VLOOKUP($B10,Lebensmittel!$A$2:$G$14500,7,0)/VLOOKUP($B10,Lebensmittel!$A$2:$G$14500,2,0))</f>
        <v>210.99</v>
      </c>
      <c r="F10" s="20">
        <f>IF(ISBLANK(B10),"",$C10*VLOOKUP($B10,Lebensmittel!$A$2:$G$14500,4,0)/VLOOKUP($B10,Lebensmittel!$A$2:$G$14500,2,0))</f>
        <v>3.9</v>
      </c>
      <c r="G10" s="20">
        <f>IF(ISBLANK(B10),"",$C10*VLOOKUP($B10,Lebensmittel!$A$2:$G$14500,5,0)/VLOOKUP($B10,Lebensmittel!$A$2:$G$14500,2,0))</f>
        <v>39</v>
      </c>
      <c r="H10" s="20">
        <f>IF(ISBLANK(B10),"",$C10*VLOOKUP($B10,Lebensmittel!$A$2:$G$14500,6,0)/VLOOKUP($B10,Lebensmittel!$A$2:$G$14500,2,0))</f>
        <v>3.9</v>
      </c>
    </row>
    <row r="11" spans="1:256" x14ac:dyDescent="0.25">
      <c r="B11" s="37" t="s">
        <v>16</v>
      </c>
      <c r="C11" s="38">
        <v>70</v>
      </c>
      <c r="D11" s="19">
        <f>IF(ISBLANK(B11),"",$C11*VLOOKUP($B11,Lebensmittel!$A$2:$G$14500,3,0)/VLOOKUP($B11,Lebensmittel!$A$2:$G$14500,2,0))</f>
        <v>229.25</v>
      </c>
      <c r="E11" s="19">
        <f>IF(ISBLANK(B11),"",$C11*VLOOKUP($B11,Lebensmittel!$A$2:$G$14500,7,0)/VLOOKUP($B11,Lebensmittel!$A$2:$G$14500,2,0))</f>
        <v>229.25</v>
      </c>
      <c r="F11" s="20">
        <f>IF(ISBLANK(B11),"",$C11*VLOOKUP($B11,Lebensmittel!$A$2:$G$14500,4,0)/VLOOKUP($B11,Lebensmittel!$A$2:$G$14500,2,0))</f>
        <v>17.5</v>
      </c>
      <c r="G11" s="20">
        <f>IF(ISBLANK(B11),"",$C11*VLOOKUP($B11,Lebensmittel!$A$2:$G$14500,5,0)/VLOOKUP($B11,Lebensmittel!$A$2:$G$14500,2,0))</f>
        <v>0</v>
      </c>
      <c r="H11" s="20">
        <f>IF(ISBLANK(B11),"",$C11*VLOOKUP($B11,Lebensmittel!$A$2:$G$14500,6,0)/VLOOKUP($B11,Lebensmittel!$A$2:$G$14500,2,0))</f>
        <v>17.5</v>
      </c>
    </row>
    <row r="12" spans="1:256" x14ac:dyDescent="0.25">
      <c r="B12" s="37" t="s">
        <v>31</v>
      </c>
      <c r="C12" s="38">
        <v>15</v>
      </c>
      <c r="D12" s="19">
        <f>IF(ISBLANK(B12),"",$C12*VLOOKUP($B12,Lebensmittel!$A$2:$G$14500,3,0)/VLOOKUP($B12,Lebensmittel!$A$2:$G$14500,2,0))</f>
        <v>78.599999999999994</v>
      </c>
      <c r="E12" s="19">
        <f>IF(ISBLANK(B12),"",$C12*VLOOKUP($B12,Lebensmittel!$A$2:$G$14500,7,0)/VLOOKUP($B12,Lebensmittel!$A$2:$G$14500,2,0))</f>
        <v>78.599999999999994</v>
      </c>
      <c r="F12" s="20">
        <f>IF(ISBLANK(B12),"",$C12*VLOOKUP($B12,Lebensmittel!$A$2:$G$14500,4,0)/VLOOKUP($B12,Lebensmittel!$A$2:$G$14500,2,0))</f>
        <v>6</v>
      </c>
      <c r="G12" s="20">
        <f>IF(ISBLANK(B12),"",$C12*VLOOKUP($B12,Lebensmittel!$A$2:$G$14500,5,0)/VLOOKUP($B12,Lebensmittel!$A$2:$G$14500,2,0))</f>
        <v>6</v>
      </c>
      <c r="H12" s="20">
        <f>IF(ISBLANK(B12),"",$C12*VLOOKUP($B12,Lebensmittel!$A$2:$G$14500,6,0)/VLOOKUP($B12,Lebensmittel!$A$2:$G$14500,2,0))</f>
        <v>0</v>
      </c>
    </row>
    <row r="13" spans="1:256" x14ac:dyDescent="0.25">
      <c r="B13" s="37"/>
      <c r="C13" s="38"/>
      <c r="D13" s="19" t="str">
        <f>IF(ISBLANK(B13),"",$C13*VLOOKUP($B13,Lebensmittel!$A$2:$G$14500,3,0)/VLOOKUP($B13,Lebensmittel!$A$2:$G$14500,2,0))</f>
        <v/>
      </c>
      <c r="E13" s="19" t="str">
        <f>IF(ISBLANK(B13),"",$C13*VLOOKUP($B13,Lebensmittel!$A$2:$G$14500,7,0)/VLOOKUP($B13,Lebensmittel!$A$2:$G$14500,2,0))</f>
        <v/>
      </c>
      <c r="F13" s="20" t="str">
        <f>IF(ISBLANK(B13),"",$C13*VLOOKUP($B13,Lebensmittel!$A$2:$G$14500,4,0)/VLOOKUP($B13,Lebensmittel!$A$2:$G$14500,2,0))</f>
        <v/>
      </c>
      <c r="G13" s="20" t="str">
        <f>IF(ISBLANK(B13),"",$C13*VLOOKUP($B13,Lebensmittel!$A$2:$G$14500,5,0)/VLOOKUP($B13,Lebensmittel!$A$2:$G$14500,2,0))</f>
        <v/>
      </c>
      <c r="H13" s="20" t="str">
        <f>IF(ISBLANK(B13),"",$C13*VLOOKUP($B13,Lebensmittel!$A$2:$G$14500,6,0)/VLOOKUP($B13,Lebensmittel!$A$2:$G$14500,2,0))</f>
        <v/>
      </c>
    </row>
    <row r="14" spans="1:256" x14ac:dyDescent="0.25">
      <c r="B14" s="37"/>
      <c r="C14" s="38"/>
      <c r="D14" s="19" t="str">
        <f>IF(ISBLANK(B14),"",$C14*VLOOKUP($B14,Lebensmittel!$A$2:$G$14500,3,0)/VLOOKUP($B14,Lebensmittel!$A$2:$G$14500,2,0))</f>
        <v/>
      </c>
      <c r="E14" s="19" t="str">
        <f>IF(ISBLANK(B14),"",$C14*VLOOKUP($B14,Lebensmittel!$A$2:$G$14500,7,0)/VLOOKUP($B14,Lebensmittel!$A$2:$G$14500,2,0))</f>
        <v/>
      </c>
      <c r="F14" s="20" t="str">
        <f>IF(ISBLANK(B14),"",$C14*VLOOKUP($B14,Lebensmittel!$A$2:$G$14500,4,0)/VLOOKUP($B14,Lebensmittel!$A$2:$G$14500,2,0))</f>
        <v/>
      </c>
      <c r="G14" s="20" t="str">
        <f>IF(ISBLANK(B14),"",$C14*VLOOKUP($B14,Lebensmittel!$A$2:$G$14500,5,0)/VLOOKUP($B14,Lebensmittel!$A$2:$G$14500,2,0))</f>
        <v/>
      </c>
      <c r="H14" s="20" t="str">
        <f>IF(ISBLANK(B14),"",$C14*VLOOKUP($B14,Lebensmittel!$A$2:$G$14500,6,0)/VLOOKUP($B14,Lebensmittel!$A$2:$G$14500,2,0))</f>
        <v/>
      </c>
    </row>
    <row r="15" spans="1:256" x14ac:dyDescent="0.25">
      <c r="B15" s="37"/>
      <c r="C15" s="38"/>
      <c r="D15" s="19" t="str">
        <f>IF(ISBLANK(B15),"",$C15*VLOOKUP($B15,Lebensmittel!$A$2:$G$14500,3,0)/VLOOKUP($B15,Lebensmittel!$A$2:$G$14500,2,0))</f>
        <v/>
      </c>
      <c r="E15" s="19" t="str">
        <f>IF(ISBLANK(B15),"",$C15*VLOOKUP($B15,Lebensmittel!$A$2:$G$14500,7,0)/VLOOKUP($B15,Lebensmittel!$A$2:$G$14500,2,0))</f>
        <v/>
      </c>
      <c r="F15" s="20" t="str">
        <f>IF(ISBLANK(B15),"",$C15*VLOOKUP($B15,Lebensmittel!$A$2:$G$14500,4,0)/VLOOKUP($B15,Lebensmittel!$A$2:$G$14500,2,0))</f>
        <v/>
      </c>
      <c r="G15" s="20" t="str">
        <f>IF(ISBLANK(B15),"",$C15*VLOOKUP($B15,Lebensmittel!$A$2:$G$14500,5,0)/VLOOKUP($B15,Lebensmittel!$A$2:$G$14500,2,0))</f>
        <v/>
      </c>
      <c r="H15" s="20" t="str">
        <f>IF(ISBLANK(B15),"",$C15*VLOOKUP($B15,Lebensmittel!$A$2:$G$14500,6,0)/VLOOKUP($B15,Lebensmittel!$A$2:$G$14500,2,0))</f>
        <v/>
      </c>
    </row>
    <row r="16" spans="1:256" x14ac:dyDescent="0.25">
      <c r="B16" s="37"/>
      <c r="C16" s="38"/>
      <c r="D16" s="19" t="str">
        <f>IF(ISBLANK(B16),"",$C16*VLOOKUP($B16,Lebensmittel!$A$2:$G$14500,3,0)/VLOOKUP($B16,Lebensmittel!$A$2:$G$14500,2,0))</f>
        <v/>
      </c>
      <c r="E16" s="19" t="str">
        <f>IF(ISBLANK(B16),"",$C16*VLOOKUP($B16,Lebensmittel!$A$2:$G$14500,7,0)/VLOOKUP($B16,Lebensmittel!$A$2:$G$14500,2,0))</f>
        <v/>
      </c>
      <c r="F16" s="20" t="str">
        <f>IF(ISBLANK(B16),"",$C16*VLOOKUP($B16,Lebensmittel!$A$2:$G$14500,4,0)/VLOOKUP($B16,Lebensmittel!$A$2:$G$14500,2,0))</f>
        <v/>
      </c>
      <c r="G16" s="20" t="str">
        <f>IF(ISBLANK(B16),"",$C16*VLOOKUP($B16,Lebensmittel!$A$2:$G$14500,5,0)/VLOOKUP($B16,Lebensmittel!$A$2:$G$14500,2,0))</f>
        <v/>
      </c>
      <c r="H16" s="20" t="str">
        <f>IF(ISBLANK(B16),"",$C16*VLOOKUP($B16,Lebensmittel!$A$2:$G$14500,6,0)/VLOOKUP($B16,Lebensmittel!$A$2:$G$14500,2,0))</f>
        <v/>
      </c>
    </row>
    <row r="17" spans="1:256" x14ac:dyDescent="0.25">
      <c r="B17" s="37"/>
      <c r="C17" s="38"/>
      <c r="D17" s="19" t="str">
        <f>IF(ISBLANK(B17),"",$C17*VLOOKUP($B17,Lebensmittel!$A$2:$G$14500,3,0)/VLOOKUP($B17,Lebensmittel!$A$2:$G$14500,2,0))</f>
        <v/>
      </c>
      <c r="E17" s="19" t="str">
        <f>IF(ISBLANK(B17),"",$C17*VLOOKUP($B17,Lebensmittel!$A$2:$G$14500,7,0)/VLOOKUP($B17,Lebensmittel!$A$2:$G$14500,2,0))</f>
        <v/>
      </c>
      <c r="F17" s="20" t="str">
        <f>IF(ISBLANK(B17),"",$C17*VLOOKUP($B17,Lebensmittel!$A$2:$G$14500,4,0)/VLOOKUP($B17,Lebensmittel!$A$2:$G$14500,2,0))</f>
        <v/>
      </c>
      <c r="G17" s="20" t="str">
        <f>IF(ISBLANK(B17),"",$C17*VLOOKUP($B17,Lebensmittel!$A$2:$G$14500,5,0)/VLOOKUP($B17,Lebensmittel!$A$2:$G$14500,2,0))</f>
        <v/>
      </c>
      <c r="H17" s="20" t="str">
        <f>IF(ISBLANK(B17),"",$C17*VLOOKUP($B17,Lebensmittel!$A$2:$G$14500,6,0)/VLOOKUP($B17,Lebensmittel!$A$2:$G$14500,2,0))</f>
        <v/>
      </c>
    </row>
    <row r="18" spans="1:256" x14ac:dyDescent="0.25">
      <c r="B18" s="37"/>
      <c r="C18" s="38"/>
      <c r="D18" s="19" t="str">
        <f>IF(ISBLANK(B18),"",$C18*VLOOKUP($B18,Lebensmittel!$A$2:$G$14500,3,0)/VLOOKUP($B18,Lebensmittel!$A$2:$G$14500,2,0))</f>
        <v/>
      </c>
      <c r="E18" s="19" t="str">
        <f>IF(ISBLANK(B18),"",$C18*VLOOKUP($B18,Lebensmittel!$A$2:$G$14500,7,0)/VLOOKUP($B18,Lebensmittel!$A$2:$G$14500,2,0))</f>
        <v/>
      </c>
      <c r="F18" s="20" t="str">
        <f>IF(ISBLANK(B18),"",$C18*VLOOKUP($B18,Lebensmittel!$A$2:$G$14500,4,0)/VLOOKUP($B18,Lebensmittel!$A$2:$G$14500,2,0))</f>
        <v/>
      </c>
      <c r="G18" s="20" t="str">
        <f>IF(ISBLANK(B18),"",$C18*VLOOKUP($B18,Lebensmittel!$A$2:$G$14500,5,0)/VLOOKUP($B18,Lebensmittel!$A$2:$G$14500,2,0))</f>
        <v/>
      </c>
      <c r="H18" s="20" t="str">
        <f>IF(ISBLANK(B18),"",$C18*VLOOKUP($B18,Lebensmittel!$A$2:$G$14500,6,0)/VLOOKUP($B18,Lebensmittel!$A$2:$G$14500,2,0))</f>
        <v/>
      </c>
    </row>
    <row r="19" spans="1:256" x14ac:dyDescent="0.25">
      <c r="B19" s="37"/>
      <c r="C19" s="38"/>
      <c r="D19" s="19" t="str">
        <f>IF(ISBLANK(B19),"",$C19*VLOOKUP($B19,Lebensmittel!$A$2:$G$14500,3,0)/VLOOKUP($B19,Lebensmittel!$A$2:$G$14500,2,0))</f>
        <v/>
      </c>
      <c r="E19" s="19" t="str">
        <f>IF(ISBLANK(B19),"",$C19*VLOOKUP($B19,Lebensmittel!$A$2:$G$14500,7,0)/VLOOKUP($B19,Lebensmittel!$A$2:$G$14500,2,0))</f>
        <v/>
      </c>
      <c r="F19" s="20" t="str">
        <f>IF(ISBLANK(B19),"",$C19*VLOOKUP($B19,Lebensmittel!$A$2:$G$14500,4,0)/VLOOKUP($B19,Lebensmittel!$A$2:$G$14500,2,0))</f>
        <v/>
      </c>
      <c r="G19" s="20" t="str">
        <f>IF(ISBLANK(B19),"",$C19*VLOOKUP($B19,Lebensmittel!$A$2:$G$14500,5,0)/VLOOKUP($B19,Lebensmittel!$A$2:$G$14500,2,0))</f>
        <v/>
      </c>
      <c r="H19" s="20" t="str">
        <f>IF(ISBLANK(B19),"",$C19*VLOOKUP($B19,Lebensmittel!$A$2:$G$14500,6,0)/VLOOKUP($B19,Lebensmittel!$A$2:$G$14500,2,0))</f>
        <v/>
      </c>
    </row>
    <row r="20" spans="1:256" x14ac:dyDescent="0.25">
      <c r="B20" s="33" t="s">
        <v>38</v>
      </c>
      <c r="C20" s="34">
        <f t="shared" ref="C20:H20" si="2">SUM(C10:C19)</f>
        <v>163</v>
      </c>
      <c r="D20" s="35">
        <f t="shared" si="2"/>
        <v>518.84</v>
      </c>
      <c r="E20" s="35">
        <f t="shared" si="2"/>
        <v>518.84</v>
      </c>
      <c r="F20" s="36">
        <f t="shared" si="2"/>
        <v>27.4</v>
      </c>
      <c r="G20" s="36">
        <f t="shared" si="2"/>
        <v>45</v>
      </c>
      <c r="H20" s="36">
        <f t="shared" si="2"/>
        <v>21.4</v>
      </c>
    </row>
    <row r="22" spans="1:256" ht="18" x14ac:dyDescent="0.25">
      <c r="A22" s="39" t="s">
        <v>39</v>
      </c>
      <c r="B22" s="39"/>
      <c r="C22" s="3"/>
      <c r="D22" s="4"/>
      <c r="E22" s="4"/>
      <c r="F22" s="5"/>
      <c r="G22" s="5"/>
      <c r="H22" s="5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</row>
    <row r="23" spans="1:256" s="7" customFormat="1" ht="15.75" x14ac:dyDescent="0.25">
      <c r="B23" s="2" t="s">
        <v>3</v>
      </c>
      <c r="C23" s="8" t="s">
        <v>5</v>
      </c>
      <c r="D23" s="9" t="s">
        <v>6</v>
      </c>
      <c r="E23" s="9" t="s">
        <v>6</v>
      </c>
      <c r="F23" s="10" t="s">
        <v>7</v>
      </c>
      <c r="G23" s="10" t="s">
        <v>8</v>
      </c>
      <c r="H23" s="10" t="s">
        <v>9</v>
      </c>
    </row>
    <row r="24" spans="1:256" x14ac:dyDescent="0.25">
      <c r="B24" s="37" t="s">
        <v>17</v>
      </c>
      <c r="C24" s="38">
        <v>100</v>
      </c>
      <c r="D24" s="19">
        <f>IF(ISBLANK(B24),"",$C24*VLOOKUP($B24,Lebensmittel!$A$2:$G$14500,3,0)/VLOOKUP($B24,Lebensmittel!$A$2:$G$14500,2,0))</f>
        <v>328</v>
      </c>
      <c r="E24" s="19">
        <f>IF(ISBLANK(B24),"",$C24*VLOOKUP($B24,Lebensmittel!$A$2:$G$14500,7,0)/VLOOKUP($B24,Lebensmittel!$A$2:$G$14500,2,0))</f>
        <v>328</v>
      </c>
      <c r="F24" s="20">
        <f>IF(ISBLANK(B24),"",$C24*VLOOKUP($B24,Lebensmittel!$A$2:$G$14500,4,0)/VLOOKUP($B24,Lebensmittel!$A$2:$G$14500,2,0))</f>
        <v>0</v>
      </c>
      <c r="G24" s="20">
        <f>IF(ISBLANK(B24),"",$C24*VLOOKUP($B24,Lebensmittel!$A$2:$G$14500,5,0)/VLOOKUP($B24,Lebensmittel!$A$2:$G$14500,2,0))</f>
        <v>80</v>
      </c>
      <c r="H24" s="20">
        <f>IF(ISBLANK(B24),"",$C24*VLOOKUP($B24,Lebensmittel!$A$2:$G$14500,6,0)/VLOOKUP($B24,Lebensmittel!$A$2:$G$14500,2,0))</f>
        <v>0</v>
      </c>
    </row>
    <row r="25" spans="1:256" x14ac:dyDescent="0.25">
      <c r="B25" s="37" t="s">
        <v>33</v>
      </c>
      <c r="C25" s="38">
        <v>75</v>
      </c>
      <c r="D25" s="19">
        <f>IF(ISBLANK(B25),"",$C25*VLOOKUP($B25,Lebensmittel!$A$2:$G$14500,3,0)/VLOOKUP($B25,Lebensmittel!$A$2:$G$14500,2,0))</f>
        <v>294.75</v>
      </c>
      <c r="E25" s="19">
        <f>IF(ISBLANK(B25),"",$C25*VLOOKUP($B25,Lebensmittel!$A$2:$G$14500,7,0)/VLOOKUP($B25,Lebensmittel!$A$2:$G$14500,2,0))</f>
        <v>294.75</v>
      </c>
      <c r="F25" s="20">
        <f>IF(ISBLANK(B25),"",$C25*VLOOKUP($B25,Lebensmittel!$A$2:$G$14500,4,0)/VLOOKUP($B25,Lebensmittel!$A$2:$G$14500,2,0))</f>
        <v>22.5</v>
      </c>
      <c r="G25" s="20">
        <f>IF(ISBLANK(B25),"",$C25*VLOOKUP($B25,Lebensmittel!$A$2:$G$14500,5,0)/VLOOKUP($B25,Lebensmittel!$A$2:$G$14500,2,0))</f>
        <v>0</v>
      </c>
      <c r="H25" s="20">
        <f>IF(ISBLANK(B25),"",$C25*VLOOKUP($B25,Lebensmittel!$A$2:$G$14500,6,0)/VLOOKUP($B25,Lebensmittel!$A$2:$G$14500,2,0))</f>
        <v>22.5</v>
      </c>
    </row>
    <row r="26" spans="1:256" x14ac:dyDescent="0.25">
      <c r="B26" s="37" t="s">
        <v>30</v>
      </c>
      <c r="C26" s="38">
        <v>20</v>
      </c>
      <c r="D26" s="19">
        <f>IF(ISBLANK(B26),"",$C26*VLOOKUP($B26,Lebensmittel!$A$2:$G$14500,3,0)/VLOOKUP($B26,Lebensmittel!$A$2:$G$14500,2,0))</f>
        <v>59.8</v>
      </c>
      <c r="E26" s="19">
        <f>IF(ISBLANK(B26),"",$C26*VLOOKUP($B26,Lebensmittel!$A$2:$G$14500,7,0)/VLOOKUP($B26,Lebensmittel!$A$2:$G$14500,2,0))</f>
        <v>59.8</v>
      </c>
      <c r="F26" s="20">
        <f>IF(ISBLANK(B26),"",$C26*VLOOKUP($B26,Lebensmittel!$A$2:$G$14500,4,0)/VLOOKUP($B26,Lebensmittel!$A$2:$G$14500,2,0))</f>
        <v>3</v>
      </c>
      <c r="G26" s="20">
        <f>IF(ISBLANK(B26),"",$C26*VLOOKUP($B26,Lebensmittel!$A$2:$G$14500,5,0)/VLOOKUP($B26,Lebensmittel!$A$2:$G$14500,2,0))</f>
        <v>8</v>
      </c>
      <c r="H26" s="20">
        <f>IF(ISBLANK(B26),"",$C26*VLOOKUP($B26,Lebensmittel!$A$2:$G$14500,6,0)/VLOOKUP($B26,Lebensmittel!$A$2:$G$14500,2,0))</f>
        <v>0</v>
      </c>
    </row>
    <row r="27" spans="1:256" x14ac:dyDescent="0.25">
      <c r="B27" s="37"/>
      <c r="C27" s="38"/>
      <c r="D27" s="19" t="str">
        <f>IF(ISBLANK(B27),"",$C27*VLOOKUP($B27,Lebensmittel!$A$2:$G$14500,3,0)/VLOOKUP($B27,Lebensmittel!$A$2:$G$14500,2,0))</f>
        <v/>
      </c>
      <c r="E27" s="19" t="str">
        <f>IF(ISBLANK(B27),"",$C27*VLOOKUP($B27,Lebensmittel!$A$2:$G$14500,7,0)/VLOOKUP($B27,Lebensmittel!$A$2:$G$14500,2,0))</f>
        <v/>
      </c>
      <c r="F27" s="20" t="str">
        <f>IF(ISBLANK(B27),"",$C27*VLOOKUP($B27,Lebensmittel!$A$2:$G$14500,4,0)/VLOOKUP($B27,Lebensmittel!$A$2:$G$14500,2,0))</f>
        <v/>
      </c>
      <c r="G27" s="20" t="str">
        <f>IF(ISBLANK(B27),"",$C27*VLOOKUP($B27,Lebensmittel!$A$2:$G$14500,5,0)/VLOOKUP($B27,Lebensmittel!$A$2:$G$14500,2,0))</f>
        <v/>
      </c>
      <c r="H27" s="20" t="str">
        <f>IF(ISBLANK(B27),"",$C27*VLOOKUP($B27,Lebensmittel!$A$2:$G$14500,6,0)/VLOOKUP($B27,Lebensmittel!$A$2:$G$14500,2,0))</f>
        <v/>
      </c>
    </row>
    <row r="28" spans="1:256" x14ac:dyDescent="0.25">
      <c r="B28" s="37"/>
      <c r="C28" s="38"/>
      <c r="D28" s="19" t="str">
        <f>IF(ISBLANK(B28),"",$C28*VLOOKUP($B28,Lebensmittel!$A$2:$G$14500,3,0)/VLOOKUP($B28,Lebensmittel!$A$2:$G$14500,2,0))</f>
        <v/>
      </c>
      <c r="E28" s="19" t="str">
        <f>IF(ISBLANK(B28),"",$C28*VLOOKUP($B28,Lebensmittel!$A$2:$G$14500,7,0)/VLOOKUP($B28,Lebensmittel!$A$2:$G$14500,2,0))</f>
        <v/>
      </c>
      <c r="F28" s="20" t="str">
        <f>IF(ISBLANK(B28),"",$C28*VLOOKUP($B28,Lebensmittel!$A$2:$G$14500,4,0)/VLOOKUP($B28,Lebensmittel!$A$2:$G$14500,2,0))</f>
        <v/>
      </c>
      <c r="G28" s="20" t="str">
        <f>IF(ISBLANK(B28),"",$C28*VLOOKUP($B28,Lebensmittel!$A$2:$G$14500,5,0)/VLOOKUP($B28,Lebensmittel!$A$2:$G$14500,2,0))</f>
        <v/>
      </c>
      <c r="H28" s="20" t="str">
        <f>IF(ISBLANK(B28),"",$C28*VLOOKUP($B28,Lebensmittel!$A$2:$G$14500,6,0)/VLOOKUP($B28,Lebensmittel!$A$2:$G$14500,2,0))</f>
        <v/>
      </c>
    </row>
    <row r="29" spans="1:256" x14ac:dyDescent="0.25">
      <c r="B29" s="37"/>
      <c r="C29" s="38"/>
      <c r="D29" s="19" t="str">
        <f>IF(ISBLANK(B29),"",$C29*VLOOKUP($B29,Lebensmittel!$A$2:$G$14500,3,0)/VLOOKUP($B29,Lebensmittel!$A$2:$G$14500,2,0))</f>
        <v/>
      </c>
      <c r="E29" s="19" t="str">
        <f>IF(ISBLANK(B29),"",$C29*VLOOKUP($B29,Lebensmittel!$A$2:$G$14500,7,0)/VLOOKUP($B29,Lebensmittel!$A$2:$G$14500,2,0))</f>
        <v/>
      </c>
      <c r="F29" s="20" t="str">
        <f>IF(ISBLANK(B29),"",$C29*VLOOKUP($B29,Lebensmittel!$A$2:$G$14500,4,0)/VLOOKUP($B29,Lebensmittel!$A$2:$G$14500,2,0))</f>
        <v/>
      </c>
      <c r="G29" s="20" t="str">
        <f>IF(ISBLANK(B29),"",$C29*VLOOKUP($B29,Lebensmittel!$A$2:$G$14500,5,0)/VLOOKUP($B29,Lebensmittel!$A$2:$G$14500,2,0))</f>
        <v/>
      </c>
      <c r="H29" s="20" t="str">
        <f>IF(ISBLANK(B29),"",$C29*VLOOKUP($B29,Lebensmittel!$A$2:$G$14500,6,0)/VLOOKUP($B29,Lebensmittel!$A$2:$G$14500,2,0))</f>
        <v/>
      </c>
    </row>
    <row r="30" spans="1:256" x14ac:dyDescent="0.25">
      <c r="B30" s="37"/>
      <c r="C30" s="38"/>
      <c r="D30" s="19" t="str">
        <f>IF(ISBLANK(B30),"",$C30*VLOOKUP($B30,Lebensmittel!$A$2:$G$14500,3,0)/VLOOKUP($B30,Lebensmittel!$A$2:$G$14500,2,0))</f>
        <v/>
      </c>
      <c r="E30" s="19" t="str">
        <f>IF(ISBLANK(B30),"",$C30*VLOOKUP($B30,Lebensmittel!$A$2:$G$14500,7,0)/VLOOKUP($B30,Lebensmittel!$A$2:$G$14500,2,0))</f>
        <v/>
      </c>
      <c r="F30" s="20" t="str">
        <f>IF(ISBLANK(B30),"",$C30*VLOOKUP($B30,Lebensmittel!$A$2:$G$14500,4,0)/VLOOKUP($B30,Lebensmittel!$A$2:$G$14500,2,0))</f>
        <v/>
      </c>
      <c r="G30" s="20" t="str">
        <f>IF(ISBLANK(B30),"",$C30*VLOOKUP($B30,Lebensmittel!$A$2:$G$14500,5,0)/VLOOKUP($B30,Lebensmittel!$A$2:$G$14500,2,0))</f>
        <v/>
      </c>
      <c r="H30" s="20" t="str">
        <f>IF(ISBLANK(B30),"",$C30*VLOOKUP($B30,Lebensmittel!$A$2:$G$14500,6,0)/VLOOKUP($B30,Lebensmittel!$A$2:$G$14500,2,0))</f>
        <v/>
      </c>
    </row>
    <row r="31" spans="1:256" x14ac:dyDescent="0.25">
      <c r="B31" s="37"/>
      <c r="C31" s="38"/>
      <c r="D31" s="19" t="str">
        <f>IF(ISBLANK(B31),"",$C31*VLOOKUP($B31,Lebensmittel!$A$2:$G$14500,3,0)/VLOOKUP($B31,Lebensmittel!$A$2:$G$14500,2,0))</f>
        <v/>
      </c>
      <c r="E31" s="19" t="str">
        <f>IF(ISBLANK(B31),"",$C31*VLOOKUP($B31,Lebensmittel!$A$2:$G$14500,7,0)/VLOOKUP($B31,Lebensmittel!$A$2:$G$14500,2,0))</f>
        <v/>
      </c>
      <c r="F31" s="20" t="str">
        <f>IF(ISBLANK(B31),"",$C31*VLOOKUP($B31,Lebensmittel!$A$2:$G$14500,4,0)/VLOOKUP($B31,Lebensmittel!$A$2:$G$14500,2,0))</f>
        <v/>
      </c>
      <c r="G31" s="20" t="str">
        <f>IF(ISBLANK(B31),"",$C31*VLOOKUP($B31,Lebensmittel!$A$2:$G$14500,5,0)/VLOOKUP($B31,Lebensmittel!$A$2:$G$14500,2,0))</f>
        <v/>
      </c>
      <c r="H31" s="20" t="str">
        <f>IF(ISBLANK(B31),"",$C31*VLOOKUP($B31,Lebensmittel!$A$2:$G$14500,6,0)/VLOOKUP($B31,Lebensmittel!$A$2:$G$14500,2,0))</f>
        <v/>
      </c>
    </row>
    <row r="32" spans="1:256" x14ac:dyDescent="0.25">
      <c r="B32" s="37"/>
      <c r="C32" s="38"/>
      <c r="D32" s="19" t="str">
        <f>IF(ISBLANK(B32),"",$C32*VLOOKUP($B32,Lebensmittel!$A$2:$G$14500,3,0)/VLOOKUP($B32,Lebensmittel!$A$2:$G$14500,2,0))</f>
        <v/>
      </c>
      <c r="E32" s="19" t="str">
        <f>IF(ISBLANK(B32),"",$C32*VLOOKUP($B32,Lebensmittel!$A$2:$G$14500,7,0)/VLOOKUP($B32,Lebensmittel!$A$2:$G$14500,2,0))</f>
        <v/>
      </c>
      <c r="F32" s="20" t="str">
        <f>IF(ISBLANK(B32),"",$C32*VLOOKUP($B32,Lebensmittel!$A$2:$G$14500,4,0)/VLOOKUP($B32,Lebensmittel!$A$2:$G$14500,2,0))</f>
        <v/>
      </c>
      <c r="G32" s="20" t="str">
        <f>IF(ISBLANK(B32),"",$C32*VLOOKUP($B32,Lebensmittel!$A$2:$G$14500,5,0)/VLOOKUP($B32,Lebensmittel!$A$2:$G$14500,2,0))</f>
        <v/>
      </c>
      <c r="H32" s="20" t="str">
        <f>IF(ISBLANK(B32),"",$C32*VLOOKUP($B32,Lebensmittel!$A$2:$G$14500,6,0)/VLOOKUP($B32,Lebensmittel!$A$2:$G$14500,2,0))</f>
        <v/>
      </c>
    </row>
    <row r="33" spans="1:256" x14ac:dyDescent="0.25">
      <c r="B33" s="37"/>
      <c r="C33" s="38"/>
      <c r="D33" s="19" t="str">
        <f>IF(ISBLANK(B33),"",$C33*VLOOKUP($B33,Lebensmittel!$A$2:$G$14500,3,0)/VLOOKUP($B33,Lebensmittel!$A$2:$G$14500,2,0))</f>
        <v/>
      </c>
      <c r="E33" s="19" t="str">
        <f>IF(ISBLANK(B33),"",$C33*VLOOKUP($B33,Lebensmittel!$A$2:$G$14500,7,0)/VLOOKUP($B33,Lebensmittel!$A$2:$G$14500,2,0))</f>
        <v/>
      </c>
      <c r="F33" s="20" t="str">
        <f>IF(ISBLANK(B33),"",$C33*VLOOKUP($B33,Lebensmittel!$A$2:$G$14500,4,0)/VLOOKUP($B33,Lebensmittel!$A$2:$G$14500,2,0))</f>
        <v/>
      </c>
      <c r="G33" s="20" t="str">
        <f>IF(ISBLANK(B33),"",$C33*VLOOKUP($B33,Lebensmittel!$A$2:$G$14500,5,0)/VLOOKUP($B33,Lebensmittel!$A$2:$G$14500,2,0))</f>
        <v/>
      </c>
      <c r="H33" s="20" t="str">
        <f>IF(ISBLANK(B33),"",$C33*VLOOKUP($B33,Lebensmittel!$A$2:$G$14500,6,0)/VLOOKUP($B33,Lebensmittel!$A$2:$G$14500,2,0))</f>
        <v/>
      </c>
    </row>
    <row r="34" spans="1:256" x14ac:dyDescent="0.25">
      <c r="B34" s="33" t="s">
        <v>40</v>
      </c>
      <c r="C34" s="34">
        <f t="shared" ref="C34:H34" si="3">SUM(C24:C33)</f>
        <v>195</v>
      </c>
      <c r="D34" s="35">
        <f t="shared" si="3"/>
        <v>682.55</v>
      </c>
      <c r="E34" s="35">
        <f t="shared" si="3"/>
        <v>682.55</v>
      </c>
      <c r="F34" s="36">
        <f t="shared" si="3"/>
        <v>25.5</v>
      </c>
      <c r="G34" s="36">
        <f t="shared" si="3"/>
        <v>88</v>
      </c>
      <c r="H34" s="36">
        <f t="shared" si="3"/>
        <v>22.5</v>
      </c>
    </row>
    <row r="36" spans="1:256" ht="18" x14ac:dyDescent="0.25">
      <c r="A36" s="39" t="s">
        <v>41</v>
      </c>
      <c r="B36" s="39"/>
      <c r="C36" s="3"/>
      <c r="D36" s="4"/>
      <c r="E36" s="4"/>
      <c r="F36" s="5"/>
      <c r="G36" s="5"/>
      <c r="H36" s="5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</row>
    <row r="37" spans="1:256" s="7" customFormat="1" ht="15.75" x14ac:dyDescent="0.25">
      <c r="B37" s="2" t="s">
        <v>3</v>
      </c>
      <c r="C37" s="8" t="s">
        <v>5</v>
      </c>
      <c r="D37" s="9" t="s">
        <v>6</v>
      </c>
      <c r="E37" s="9" t="s">
        <v>6</v>
      </c>
      <c r="F37" s="10" t="s">
        <v>7</v>
      </c>
      <c r="G37" s="10" t="s">
        <v>8</v>
      </c>
      <c r="H37" s="10" t="s">
        <v>9</v>
      </c>
    </row>
    <row r="38" spans="1:256" x14ac:dyDescent="0.25">
      <c r="B38" s="37" t="s">
        <v>28</v>
      </c>
      <c r="C38" s="38">
        <v>75</v>
      </c>
      <c r="D38" s="19">
        <f>IF(ISBLANK(B38),"",$C38*VLOOKUP($B38,Lebensmittel!$A$2:$G$14500,3,0)/VLOOKUP($B38,Lebensmittel!$A$2:$G$14500,2,0))</f>
        <v>255</v>
      </c>
      <c r="E38" s="19">
        <f>IF(ISBLANK(B38),"",$C38*VLOOKUP($B38,Lebensmittel!$A$2:$G$14500,7,0)/VLOOKUP($B38,Lebensmittel!$A$2:$G$14500,2,0))</f>
        <v>255</v>
      </c>
      <c r="F38" s="20">
        <f>IF(ISBLANK(B38),"",$C38*VLOOKUP($B38,Lebensmittel!$A$2:$G$14500,4,0)/VLOOKUP($B38,Lebensmittel!$A$2:$G$14500,2,0))</f>
        <v>11.25</v>
      </c>
      <c r="G38" s="20">
        <f>IF(ISBLANK(B38),"",$C38*VLOOKUP($B38,Lebensmittel!$A$2:$G$14500,5,0)/VLOOKUP($B38,Lebensmittel!$A$2:$G$14500,2,0))</f>
        <v>37.5</v>
      </c>
      <c r="H38" s="20">
        <f>IF(ISBLANK(B38),"",$C38*VLOOKUP($B38,Lebensmittel!$A$2:$G$14500,6,0)/VLOOKUP($B38,Lebensmittel!$A$2:$G$14500,2,0))</f>
        <v>0</v>
      </c>
    </row>
    <row r="39" spans="1:256" x14ac:dyDescent="0.25">
      <c r="B39" s="37" t="s">
        <v>31</v>
      </c>
      <c r="C39" s="38">
        <v>15</v>
      </c>
      <c r="D39" s="19">
        <f>IF(ISBLANK(B39),"",$C39*VLOOKUP($B39,Lebensmittel!$A$2:$G$14500,3,0)/VLOOKUP($B39,Lebensmittel!$A$2:$G$14500,2,0))</f>
        <v>78.599999999999994</v>
      </c>
      <c r="E39" s="19">
        <f>IF(ISBLANK(B39),"",$C39*VLOOKUP($B39,Lebensmittel!$A$2:$G$14500,7,0)/VLOOKUP($B39,Lebensmittel!$A$2:$G$14500,2,0))</f>
        <v>78.599999999999994</v>
      </c>
      <c r="F39" s="20">
        <f>IF(ISBLANK(B39),"",$C39*VLOOKUP($B39,Lebensmittel!$A$2:$G$14500,4,0)/VLOOKUP($B39,Lebensmittel!$A$2:$G$14500,2,0))</f>
        <v>6</v>
      </c>
      <c r="G39" s="20">
        <f>IF(ISBLANK(B39),"",$C39*VLOOKUP($B39,Lebensmittel!$A$2:$G$14500,5,0)/VLOOKUP($B39,Lebensmittel!$A$2:$G$14500,2,0))</f>
        <v>6</v>
      </c>
      <c r="H39" s="20">
        <f>IF(ISBLANK(B39),"",$C39*VLOOKUP($B39,Lebensmittel!$A$2:$G$14500,6,0)/VLOOKUP($B39,Lebensmittel!$A$2:$G$14500,2,0))</f>
        <v>0</v>
      </c>
    </row>
    <row r="40" spans="1:256" x14ac:dyDescent="0.25">
      <c r="B40" s="37"/>
      <c r="C40" s="38"/>
      <c r="D40" s="19" t="str">
        <f>IF(ISBLANK(B40),"",$C40*VLOOKUP($B40,Lebensmittel!$A$2:$G$14500,3,0)/VLOOKUP($B40,Lebensmittel!$A$2:$G$14500,2,0))</f>
        <v/>
      </c>
      <c r="E40" s="19" t="str">
        <f>IF(ISBLANK(B40),"",$C40*VLOOKUP($B40,Lebensmittel!$A$2:$G$14500,7,0)/VLOOKUP($B40,Lebensmittel!$A$2:$G$14500,2,0))</f>
        <v/>
      </c>
      <c r="F40" s="20" t="str">
        <f>IF(ISBLANK(B40),"",$C40*VLOOKUP($B40,Lebensmittel!$A$2:$G$14500,4,0)/VLOOKUP($B40,Lebensmittel!$A$2:$G$14500,2,0))</f>
        <v/>
      </c>
      <c r="G40" s="20" t="str">
        <f>IF(ISBLANK(B40),"",$C40*VLOOKUP($B40,Lebensmittel!$A$2:$G$14500,5,0)/VLOOKUP($B40,Lebensmittel!$A$2:$G$14500,2,0))</f>
        <v/>
      </c>
      <c r="H40" s="20" t="str">
        <f>IF(ISBLANK(B40),"",$C40*VLOOKUP($B40,Lebensmittel!$A$2:$G$14500,6,0)/VLOOKUP($B40,Lebensmittel!$A$2:$G$14500,2,0))</f>
        <v/>
      </c>
    </row>
    <row r="41" spans="1:256" x14ac:dyDescent="0.25">
      <c r="B41" s="37"/>
      <c r="C41" s="38"/>
      <c r="D41" s="19" t="str">
        <f>IF(ISBLANK(B41),"",$C41*VLOOKUP($B41,Lebensmittel!$A$2:$G$14500,3,0)/VLOOKUP($B41,Lebensmittel!$A$2:$G$14500,2,0))</f>
        <v/>
      </c>
      <c r="E41" s="19" t="str">
        <f>IF(ISBLANK(B41),"",$C41*VLOOKUP($B41,Lebensmittel!$A$2:$G$14500,7,0)/VLOOKUP($B41,Lebensmittel!$A$2:$G$14500,2,0))</f>
        <v/>
      </c>
      <c r="F41" s="20" t="str">
        <f>IF(ISBLANK(B41),"",$C41*VLOOKUP($B41,Lebensmittel!$A$2:$G$14500,4,0)/VLOOKUP($B41,Lebensmittel!$A$2:$G$14500,2,0))</f>
        <v/>
      </c>
      <c r="G41" s="20" t="str">
        <f>IF(ISBLANK(B41),"",$C41*VLOOKUP($B41,Lebensmittel!$A$2:$G$14500,5,0)/VLOOKUP($B41,Lebensmittel!$A$2:$G$14500,2,0))</f>
        <v/>
      </c>
      <c r="H41" s="20" t="str">
        <f>IF(ISBLANK(B41),"",$C41*VLOOKUP($B41,Lebensmittel!$A$2:$G$14500,6,0)/VLOOKUP($B41,Lebensmittel!$A$2:$G$14500,2,0))</f>
        <v/>
      </c>
    </row>
    <row r="42" spans="1:256" x14ac:dyDescent="0.25">
      <c r="B42" s="37"/>
      <c r="C42" s="38"/>
      <c r="D42" s="19" t="str">
        <f>IF(ISBLANK(B42),"",$C42*VLOOKUP($B42,Lebensmittel!$A$2:$G$14500,3,0)/VLOOKUP($B42,Lebensmittel!$A$2:$G$14500,2,0))</f>
        <v/>
      </c>
      <c r="E42" s="19" t="str">
        <f>IF(ISBLANK(B42),"",$C42*VLOOKUP($B42,Lebensmittel!$A$2:$G$14500,7,0)/VLOOKUP($B42,Lebensmittel!$A$2:$G$14500,2,0))</f>
        <v/>
      </c>
      <c r="F42" s="20" t="str">
        <f>IF(ISBLANK(B42),"",$C42*VLOOKUP($B42,Lebensmittel!$A$2:$G$14500,4,0)/VLOOKUP($B42,Lebensmittel!$A$2:$G$14500,2,0))</f>
        <v/>
      </c>
      <c r="G42" s="20" t="str">
        <f>IF(ISBLANK(B42),"",$C42*VLOOKUP($B42,Lebensmittel!$A$2:$G$14500,5,0)/VLOOKUP($B42,Lebensmittel!$A$2:$G$14500,2,0))</f>
        <v/>
      </c>
      <c r="H42" s="20" t="str">
        <f>IF(ISBLANK(B42),"",$C42*VLOOKUP($B42,Lebensmittel!$A$2:$G$14500,6,0)/VLOOKUP($B42,Lebensmittel!$A$2:$G$14500,2,0))</f>
        <v/>
      </c>
    </row>
    <row r="43" spans="1:256" x14ac:dyDescent="0.25">
      <c r="B43" s="37"/>
      <c r="C43" s="38"/>
      <c r="D43" s="19" t="str">
        <f>IF(ISBLANK(B43),"",$C43*VLOOKUP($B43,Lebensmittel!$A$2:$G$14500,3,0)/VLOOKUP($B43,Lebensmittel!$A$2:$G$14500,2,0))</f>
        <v/>
      </c>
      <c r="E43" s="19" t="str">
        <f>IF(ISBLANK(B43),"",$C43*VLOOKUP($B43,Lebensmittel!$A$2:$G$14500,7,0)/VLOOKUP($B43,Lebensmittel!$A$2:$G$14500,2,0))</f>
        <v/>
      </c>
      <c r="F43" s="20" t="str">
        <f>IF(ISBLANK(B43),"",$C43*VLOOKUP($B43,Lebensmittel!$A$2:$G$14500,4,0)/VLOOKUP($B43,Lebensmittel!$A$2:$G$14500,2,0))</f>
        <v/>
      </c>
      <c r="G43" s="20" t="str">
        <f>IF(ISBLANK(B43),"",$C43*VLOOKUP($B43,Lebensmittel!$A$2:$G$14500,5,0)/VLOOKUP($B43,Lebensmittel!$A$2:$G$14500,2,0))</f>
        <v/>
      </c>
      <c r="H43" s="20" t="str">
        <f>IF(ISBLANK(B43),"",$C43*VLOOKUP($B43,Lebensmittel!$A$2:$G$14500,6,0)/VLOOKUP($B43,Lebensmittel!$A$2:$G$14500,2,0))</f>
        <v/>
      </c>
    </row>
    <row r="44" spans="1:256" x14ac:dyDescent="0.25">
      <c r="B44" s="37"/>
      <c r="C44" s="38"/>
      <c r="D44" s="19" t="str">
        <f>IF(ISBLANK(B44),"",$C44*VLOOKUP($B44,Lebensmittel!$A$2:$G$14500,3,0)/VLOOKUP($B44,Lebensmittel!$A$2:$G$14500,2,0))</f>
        <v/>
      </c>
      <c r="E44" s="19" t="str">
        <f>IF(ISBLANK(B44),"",$C44*VLOOKUP($B44,Lebensmittel!$A$2:$G$14500,7,0)/VLOOKUP($B44,Lebensmittel!$A$2:$G$14500,2,0))</f>
        <v/>
      </c>
      <c r="F44" s="20" t="str">
        <f>IF(ISBLANK(B44),"",$C44*VLOOKUP($B44,Lebensmittel!$A$2:$G$14500,4,0)/VLOOKUP($B44,Lebensmittel!$A$2:$G$14500,2,0))</f>
        <v/>
      </c>
      <c r="G44" s="20" t="str">
        <f>IF(ISBLANK(B44),"",$C44*VLOOKUP($B44,Lebensmittel!$A$2:$G$14500,5,0)/VLOOKUP($B44,Lebensmittel!$A$2:$G$14500,2,0))</f>
        <v/>
      </c>
      <c r="H44" s="20" t="str">
        <f>IF(ISBLANK(B44),"",$C44*VLOOKUP($B44,Lebensmittel!$A$2:$G$14500,6,0)/VLOOKUP($B44,Lebensmittel!$A$2:$G$14500,2,0))</f>
        <v/>
      </c>
    </row>
    <row r="45" spans="1:256" x14ac:dyDescent="0.25">
      <c r="B45" s="37"/>
      <c r="C45" s="38"/>
      <c r="D45" s="19" t="str">
        <f>IF(ISBLANK(B45),"",$C45*VLOOKUP($B45,Lebensmittel!$A$2:$G$14500,3,0)/VLOOKUP($B45,Lebensmittel!$A$2:$G$14500,2,0))</f>
        <v/>
      </c>
      <c r="E45" s="19" t="str">
        <f>IF(ISBLANK(B45),"",$C45*VLOOKUP($B45,Lebensmittel!$A$2:$G$14500,7,0)/VLOOKUP($B45,Lebensmittel!$A$2:$G$14500,2,0))</f>
        <v/>
      </c>
      <c r="F45" s="20" t="str">
        <f>IF(ISBLANK(B45),"",$C45*VLOOKUP($B45,Lebensmittel!$A$2:$G$14500,4,0)/VLOOKUP($B45,Lebensmittel!$A$2:$G$14500,2,0))</f>
        <v/>
      </c>
      <c r="G45" s="20" t="str">
        <f>IF(ISBLANK(B45),"",$C45*VLOOKUP($B45,Lebensmittel!$A$2:$G$14500,5,0)/VLOOKUP($B45,Lebensmittel!$A$2:$G$14500,2,0))</f>
        <v/>
      </c>
      <c r="H45" s="20" t="str">
        <f>IF(ISBLANK(B45),"",$C45*VLOOKUP($B45,Lebensmittel!$A$2:$G$14500,6,0)/VLOOKUP($B45,Lebensmittel!$A$2:$G$14500,2,0))</f>
        <v/>
      </c>
    </row>
    <row r="46" spans="1:256" x14ac:dyDescent="0.25">
      <c r="B46" s="37"/>
      <c r="C46" s="38"/>
      <c r="D46" s="19" t="str">
        <f>IF(ISBLANK(B46),"",$C46*VLOOKUP($B46,Lebensmittel!$A$2:$G$14500,3,0)/VLOOKUP($B46,Lebensmittel!$A$2:$G$14500,2,0))</f>
        <v/>
      </c>
      <c r="E46" s="19" t="str">
        <f>IF(ISBLANK(B46),"",$C46*VLOOKUP($B46,Lebensmittel!$A$2:$G$14500,7,0)/VLOOKUP($B46,Lebensmittel!$A$2:$G$14500,2,0))</f>
        <v/>
      </c>
      <c r="F46" s="20" t="str">
        <f>IF(ISBLANK(B46),"",$C46*VLOOKUP($B46,Lebensmittel!$A$2:$G$14500,4,0)/VLOOKUP($B46,Lebensmittel!$A$2:$G$14500,2,0))</f>
        <v/>
      </c>
      <c r="G46" s="20" t="str">
        <f>IF(ISBLANK(B46),"",$C46*VLOOKUP($B46,Lebensmittel!$A$2:$G$14500,5,0)/VLOOKUP($B46,Lebensmittel!$A$2:$G$14500,2,0))</f>
        <v/>
      </c>
      <c r="H46" s="20" t="str">
        <f>IF(ISBLANK(B46),"",$C46*VLOOKUP($B46,Lebensmittel!$A$2:$G$14500,6,0)/VLOOKUP($B46,Lebensmittel!$A$2:$G$14500,2,0))</f>
        <v/>
      </c>
    </row>
    <row r="47" spans="1:256" x14ac:dyDescent="0.25">
      <c r="B47" s="37"/>
      <c r="C47" s="38"/>
      <c r="D47" s="19" t="str">
        <f>IF(ISBLANK(B47),"",$C47*VLOOKUP($B47,Lebensmittel!$A$2:$G$14500,3,0)/VLOOKUP($B47,Lebensmittel!$A$2:$G$14500,2,0))</f>
        <v/>
      </c>
      <c r="E47" s="19" t="str">
        <f>IF(ISBLANK(B47),"",$C47*VLOOKUP($B47,Lebensmittel!$A$2:$G$14500,7,0)/VLOOKUP($B47,Lebensmittel!$A$2:$G$14500,2,0))</f>
        <v/>
      </c>
      <c r="F47" s="20" t="str">
        <f>IF(ISBLANK(B47),"",$C47*VLOOKUP($B47,Lebensmittel!$A$2:$G$14500,4,0)/VLOOKUP($B47,Lebensmittel!$A$2:$G$14500,2,0))</f>
        <v/>
      </c>
      <c r="G47" s="20" t="str">
        <f>IF(ISBLANK(B47),"",$C47*VLOOKUP($B47,Lebensmittel!$A$2:$G$14500,5,0)/VLOOKUP($B47,Lebensmittel!$A$2:$G$14500,2,0))</f>
        <v/>
      </c>
      <c r="H47" s="20" t="str">
        <f>IF(ISBLANK(B47),"",$C47*VLOOKUP($B47,Lebensmittel!$A$2:$G$14500,6,0)/VLOOKUP($B47,Lebensmittel!$A$2:$G$14500,2,0))</f>
        <v/>
      </c>
    </row>
    <row r="48" spans="1:256" x14ac:dyDescent="0.25">
      <c r="B48" s="33" t="s">
        <v>42</v>
      </c>
      <c r="C48" s="34">
        <f t="shared" ref="C48:H48" si="4">SUM(C38:C47)</f>
        <v>90</v>
      </c>
      <c r="D48" s="35">
        <f t="shared" si="4"/>
        <v>333.6</v>
      </c>
      <c r="E48" s="35">
        <f t="shared" si="4"/>
        <v>333.6</v>
      </c>
      <c r="F48" s="36">
        <f t="shared" si="4"/>
        <v>17.25</v>
      </c>
      <c r="G48" s="36">
        <f t="shared" si="4"/>
        <v>43.5</v>
      </c>
      <c r="H48" s="36">
        <f t="shared" si="4"/>
        <v>0</v>
      </c>
    </row>
    <row r="50" spans="1:256" ht="18" x14ac:dyDescent="0.25">
      <c r="A50" s="39" t="s">
        <v>43</v>
      </c>
      <c r="B50" s="39"/>
      <c r="C50" s="3"/>
      <c r="D50" s="4"/>
      <c r="E50" s="4"/>
      <c r="F50" s="5"/>
      <c r="G50" s="5"/>
      <c r="H50" s="5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</row>
    <row r="51" spans="1:256" s="7" customFormat="1" ht="15.75" x14ac:dyDescent="0.25">
      <c r="B51" s="2" t="s">
        <v>3</v>
      </c>
      <c r="C51" s="8" t="s">
        <v>5</v>
      </c>
      <c r="D51" s="9" t="s">
        <v>6</v>
      </c>
      <c r="E51" s="9" t="s">
        <v>6</v>
      </c>
      <c r="F51" s="10" t="s">
        <v>7</v>
      </c>
      <c r="G51" s="10" t="s">
        <v>8</v>
      </c>
      <c r="H51" s="10" t="s">
        <v>9</v>
      </c>
    </row>
    <row r="52" spans="1:256" x14ac:dyDescent="0.25">
      <c r="B52" s="37" t="s">
        <v>15</v>
      </c>
      <c r="C52" s="38">
        <v>80</v>
      </c>
      <c r="D52" s="19">
        <f>IF(ISBLANK(B52),"",$C52*VLOOKUP($B52,Lebensmittel!$A$2:$G$14500,3,0)/VLOOKUP($B52,Lebensmittel!$A$2:$G$14500,2,0))</f>
        <v>216.4</v>
      </c>
      <c r="E52" s="19">
        <f>IF(ISBLANK(B52),"",$C52*VLOOKUP($B52,Lebensmittel!$A$2:$G$14500,7,0)/VLOOKUP($B52,Lebensmittel!$A$2:$G$14500,2,0))</f>
        <v>216.4</v>
      </c>
      <c r="F52" s="20">
        <f>IF(ISBLANK(B52),"",$C52*VLOOKUP($B52,Lebensmittel!$A$2:$G$14500,4,0)/VLOOKUP($B52,Lebensmittel!$A$2:$G$14500,2,0))</f>
        <v>4</v>
      </c>
      <c r="G52" s="20">
        <f>IF(ISBLANK(B52),"",$C52*VLOOKUP($B52,Lebensmittel!$A$2:$G$14500,5,0)/VLOOKUP($B52,Lebensmittel!$A$2:$G$14500,2,0))</f>
        <v>40</v>
      </c>
      <c r="H52" s="20">
        <f>IF(ISBLANK(B52),"",$C52*VLOOKUP($B52,Lebensmittel!$A$2:$G$14500,6,0)/VLOOKUP($B52,Lebensmittel!$A$2:$G$14500,2,0))</f>
        <v>4</v>
      </c>
    </row>
    <row r="53" spans="1:256" x14ac:dyDescent="0.25">
      <c r="B53" s="37" t="s">
        <v>22</v>
      </c>
      <c r="C53" s="38">
        <v>50</v>
      </c>
      <c r="D53" s="19">
        <f>IF(ISBLANK(B53),"",$C53*VLOOKUP($B53,Lebensmittel!$A$2:$G$14500,3,0)/VLOOKUP($B53,Lebensmittel!$A$2:$G$14500,2,0))</f>
        <v>120.75</v>
      </c>
      <c r="E53" s="19">
        <f>IF(ISBLANK(B53),"",$C53*VLOOKUP($B53,Lebensmittel!$A$2:$G$14500,7,0)/VLOOKUP($B53,Lebensmittel!$A$2:$G$14500,2,0))</f>
        <v>120.75</v>
      </c>
      <c r="F53" s="20">
        <f>IF(ISBLANK(B53),"",$C53*VLOOKUP($B53,Lebensmittel!$A$2:$G$14500,4,0)/VLOOKUP($B53,Lebensmittel!$A$2:$G$14500,2,0))</f>
        <v>10</v>
      </c>
      <c r="G53" s="20">
        <f>IF(ISBLANK(B53),"",$C53*VLOOKUP($B53,Lebensmittel!$A$2:$G$14500,5,0)/VLOOKUP($B53,Lebensmittel!$A$2:$G$14500,2,0))</f>
        <v>0</v>
      </c>
      <c r="H53" s="20">
        <f>IF(ISBLANK(B53),"",$C53*VLOOKUP($B53,Lebensmittel!$A$2:$G$14500,6,0)/VLOOKUP($B53,Lebensmittel!$A$2:$G$14500,2,0))</f>
        <v>7.5</v>
      </c>
    </row>
    <row r="54" spans="1:256" x14ac:dyDescent="0.25">
      <c r="B54" s="37" t="s">
        <v>26</v>
      </c>
      <c r="C54" s="38">
        <v>30</v>
      </c>
      <c r="D54" s="19">
        <f>IF(ISBLANK(B54),"",$C54*VLOOKUP($B54,Lebensmittel!$A$2:$G$14500,3,0)/VLOOKUP($B54,Lebensmittel!$A$2:$G$14500,2,0))</f>
        <v>152.4</v>
      </c>
      <c r="E54" s="19">
        <f>IF(ISBLANK(B54),"",$C54*VLOOKUP($B54,Lebensmittel!$A$2:$G$14500,7,0)/VLOOKUP($B54,Lebensmittel!$A$2:$G$14500,2,0))</f>
        <v>152.4</v>
      </c>
      <c r="F54" s="20">
        <f>IF(ISBLANK(B54),"",$C54*VLOOKUP($B54,Lebensmittel!$A$2:$G$14500,4,0)/VLOOKUP($B54,Lebensmittel!$A$2:$G$14500,2,0))</f>
        <v>6</v>
      </c>
      <c r="G54" s="20">
        <f>IF(ISBLANK(B54),"",$C54*VLOOKUP($B54,Lebensmittel!$A$2:$G$14500,5,0)/VLOOKUP($B54,Lebensmittel!$A$2:$G$14500,2,0))</f>
        <v>24</v>
      </c>
      <c r="H54" s="20">
        <f>IF(ISBLANK(B54),"",$C54*VLOOKUP($B54,Lebensmittel!$A$2:$G$14500,6,0)/VLOOKUP($B54,Lebensmittel!$A$2:$G$14500,2,0))</f>
        <v>0</v>
      </c>
    </row>
    <row r="55" spans="1:256" x14ac:dyDescent="0.25">
      <c r="B55" s="37"/>
      <c r="C55" s="38"/>
      <c r="D55" s="19" t="str">
        <f>IF(ISBLANK(B55),"",$C55*VLOOKUP($B55,Lebensmittel!$A$2:$G$14500,3,0)/VLOOKUP($B55,Lebensmittel!$A$2:$G$14500,2,0))</f>
        <v/>
      </c>
      <c r="E55" s="19" t="str">
        <f>IF(ISBLANK(B55),"",$C55*VLOOKUP($B55,Lebensmittel!$A$2:$G$14500,7,0)/VLOOKUP($B55,Lebensmittel!$A$2:$G$14500,2,0))</f>
        <v/>
      </c>
      <c r="F55" s="20" t="str">
        <f>IF(ISBLANK(B55),"",$C55*VLOOKUP($B55,Lebensmittel!$A$2:$G$14500,4,0)/VLOOKUP($B55,Lebensmittel!$A$2:$G$14500,2,0))</f>
        <v/>
      </c>
      <c r="G55" s="20" t="str">
        <f>IF(ISBLANK(B55),"",$C55*VLOOKUP($B55,Lebensmittel!$A$2:$G$14500,5,0)/VLOOKUP($B55,Lebensmittel!$A$2:$G$14500,2,0))</f>
        <v/>
      </c>
      <c r="H55" s="20" t="str">
        <f>IF(ISBLANK(B55),"",$C55*VLOOKUP($B55,Lebensmittel!$A$2:$G$14500,6,0)/VLOOKUP($B55,Lebensmittel!$A$2:$G$14500,2,0))</f>
        <v/>
      </c>
    </row>
    <row r="56" spans="1:256" x14ac:dyDescent="0.25">
      <c r="B56" s="37"/>
      <c r="C56" s="38"/>
      <c r="D56" s="19" t="str">
        <f>IF(ISBLANK(B56),"",$C56*VLOOKUP($B56,Lebensmittel!$A$2:$G$14500,3,0)/VLOOKUP($B56,Lebensmittel!$A$2:$G$14500,2,0))</f>
        <v/>
      </c>
      <c r="E56" s="19" t="str">
        <f>IF(ISBLANK(B56),"",$C56*VLOOKUP($B56,Lebensmittel!$A$2:$G$14500,7,0)/VLOOKUP($B56,Lebensmittel!$A$2:$G$14500,2,0))</f>
        <v/>
      </c>
      <c r="F56" s="20" t="str">
        <f>IF(ISBLANK(B56),"",$C56*VLOOKUP($B56,Lebensmittel!$A$2:$G$14500,4,0)/VLOOKUP($B56,Lebensmittel!$A$2:$G$14500,2,0))</f>
        <v/>
      </c>
      <c r="G56" s="20" t="str">
        <f>IF(ISBLANK(B56),"",$C56*VLOOKUP($B56,Lebensmittel!$A$2:$G$14500,5,0)/VLOOKUP($B56,Lebensmittel!$A$2:$G$14500,2,0))</f>
        <v/>
      </c>
      <c r="H56" s="20" t="str">
        <f>IF(ISBLANK(B56),"",$C56*VLOOKUP($B56,Lebensmittel!$A$2:$G$14500,6,0)/VLOOKUP($B56,Lebensmittel!$A$2:$G$14500,2,0))</f>
        <v/>
      </c>
    </row>
    <row r="57" spans="1:256" x14ac:dyDescent="0.25">
      <c r="B57" s="37"/>
      <c r="C57" s="38"/>
      <c r="D57" s="19" t="str">
        <f>IF(ISBLANK(B57),"",$C57*VLOOKUP($B57,Lebensmittel!$A$2:$G$14500,3,0)/VLOOKUP($B57,Lebensmittel!$A$2:$G$14500,2,0))</f>
        <v/>
      </c>
      <c r="E57" s="19" t="str">
        <f>IF(ISBLANK(B57),"",$C57*VLOOKUP($B57,Lebensmittel!$A$2:$G$14500,7,0)/VLOOKUP($B57,Lebensmittel!$A$2:$G$14500,2,0))</f>
        <v/>
      </c>
      <c r="F57" s="20" t="str">
        <f>IF(ISBLANK(B57),"",$C57*VLOOKUP($B57,Lebensmittel!$A$2:$G$14500,4,0)/VLOOKUP($B57,Lebensmittel!$A$2:$G$14500,2,0))</f>
        <v/>
      </c>
      <c r="G57" s="20" t="str">
        <f>IF(ISBLANK(B57),"",$C57*VLOOKUP($B57,Lebensmittel!$A$2:$G$14500,5,0)/VLOOKUP($B57,Lebensmittel!$A$2:$G$14500,2,0))</f>
        <v/>
      </c>
      <c r="H57" s="20" t="str">
        <f>IF(ISBLANK(B57),"",$C57*VLOOKUP($B57,Lebensmittel!$A$2:$G$14500,6,0)/VLOOKUP($B57,Lebensmittel!$A$2:$G$14500,2,0))</f>
        <v/>
      </c>
    </row>
    <row r="58" spans="1:256" x14ac:dyDescent="0.25">
      <c r="B58" s="37"/>
      <c r="C58" s="38"/>
      <c r="D58" s="19" t="str">
        <f>IF(ISBLANK(B58),"",$C58*VLOOKUP($B58,Lebensmittel!$A$2:$G$14500,3,0)/VLOOKUP($B58,Lebensmittel!$A$2:$G$14500,2,0))</f>
        <v/>
      </c>
      <c r="E58" s="19" t="str">
        <f>IF(ISBLANK(B58),"",$C58*VLOOKUP($B58,Lebensmittel!$A$2:$G$14500,7,0)/VLOOKUP($B58,Lebensmittel!$A$2:$G$14500,2,0))</f>
        <v/>
      </c>
      <c r="F58" s="20" t="str">
        <f>IF(ISBLANK(B58),"",$C58*VLOOKUP($B58,Lebensmittel!$A$2:$G$14500,4,0)/VLOOKUP($B58,Lebensmittel!$A$2:$G$14500,2,0))</f>
        <v/>
      </c>
      <c r="G58" s="20" t="str">
        <f>IF(ISBLANK(B58),"",$C58*VLOOKUP($B58,Lebensmittel!$A$2:$G$14500,5,0)/VLOOKUP($B58,Lebensmittel!$A$2:$G$14500,2,0))</f>
        <v/>
      </c>
      <c r="H58" s="20" t="str">
        <f>IF(ISBLANK(B58),"",$C58*VLOOKUP($B58,Lebensmittel!$A$2:$G$14500,6,0)/VLOOKUP($B58,Lebensmittel!$A$2:$G$14500,2,0))</f>
        <v/>
      </c>
    </row>
    <row r="59" spans="1:256" x14ac:dyDescent="0.25">
      <c r="B59" s="37"/>
      <c r="C59" s="38"/>
      <c r="D59" s="19" t="str">
        <f>IF(ISBLANK(B59),"",$C59*VLOOKUP($B59,Lebensmittel!$A$2:$G$14500,3,0)/VLOOKUP($B59,Lebensmittel!$A$2:$G$14500,2,0))</f>
        <v/>
      </c>
      <c r="E59" s="19" t="str">
        <f>IF(ISBLANK(B59),"",$C59*VLOOKUP($B59,Lebensmittel!$A$2:$G$14500,7,0)/VLOOKUP($B59,Lebensmittel!$A$2:$G$14500,2,0))</f>
        <v/>
      </c>
      <c r="F59" s="20" t="str">
        <f>IF(ISBLANK(B59),"",$C59*VLOOKUP($B59,Lebensmittel!$A$2:$G$14500,4,0)/VLOOKUP($B59,Lebensmittel!$A$2:$G$14500,2,0))</f>
        <v/>
      </c>
      <c r="G59" s="20" t="str">
        <f>IF(ISBLANK(B59),"",$C59*VLOOKUP($B59,Lebensmittel!$A$2:$G$14500,5,0)/VLOOKUP($B59,Lebensmittel!$A$2:$G$14500,2,0))</f>
        <v/>
      </c>
      <c r="H59" s="20" t="str">
        <f>IF(ISBLANK(B59),"",$C59*VLOOKUP($B59,Lebensmittel!$A$2:$G$14500,6,0)/VLOOKUP($B59,Lebensmittel!$A$2:$G$14500,2,0))</f>
        <v/>
      </c>
    </row>
    <row r="60" spans="1:256" x14ac:dyDescent="0.25">
      <c r="B60" s="37"/>
      <c r="C60" s="38"/>
      <c r="D60" s="19" t="str">
        <f>IF(ISBLANK(B60),"",$C60*VLOOKUP($B60,Lebensmittel!$A$2:$G$14500,3,0)/VLOOKUP($B60,Lebensmittel!$A$2:$G$14500,2,0))</f>
        <v/>
      </c>
      <c r="E60" s="19" t="str">
        <f>IF(ISBLANK(B60),"",$C60*VLOOKUP($B60,Lebensmittel!$A$2:$G$14500,7,0)/VLOOKUP($B60,Lebensmittel!$A$2:$G$14500,2,0))</f>
        <v/>
      </c>
      <c r="F60" s="20" t="str">
        <f>IF(ISBLANK(B60),"",$C60*VLOOKUP($B60,Lebensmittel!$A$2:$G$14500,4,0)/VLOOKUP($B60,Lebensmittel!$A$2:$G$14500,2,0))</f>
        <v/>
      </c>
      <c r="G60" s="20" t="str">
        <f>IF(ISBLANK(B60),"",$C60*VLOOKUP($B60,Lebensmittel!$A$2:$G$14500,5,0)/VLOOKUP($B60,Lebensmittel!$A$2:$G$14500,2,0))</f>
        <v/>
      </c>
      <c r="H60" s="20" t="str">
        <f>IF(ISBLANK(B60),"",$C60*VLOOKUP($B60,Lebensmittel!$A$2:$G$14500,6,0)/VLOOKUP($B60,Lebensmittel!$A$2:$G$14500,2,0))</f>
        <v/>
      </c>
    </row>
    <row r="61" spans="1:256" x14ac:dyDescent="0.25">
      <c r="B61" s="37"/>
      <c r="C61" s="38"/>
      <c r="D61" s="19" t="str">
        <f>IF(ISBLANK(B61),"",$C61*VLOOKUP($B61,Lebensmittel!$A$2:$G$14500,3,0)/VLOOKUP($B61,Lebensmittel!$A$2:$G$14500,2,0))</f>
        <v/>
      </c>
      <c r="E61" s="19" t="str">
        <f>IF(ISBLANK(B61),"",$C61*VLOOKUP($B61,Lebensmittel!$A$2:$G$14500,7,0)/VLOOKUP($B61,Lebensmittel!$A$2:$G$14500,2,0))</f>
        <v/>
      </c>
      <c r="F61" s="20" t="str">
        <f>IF(ISBLANK(B61),"",$C61*VLOOKUP($B61,Lebensmittel!$A$2:$G$14500,4,0)/VLOOKUP($B61,Lebensmittel!$A$2:$G$14500,2,0))</f>
        <v/>
      </c>
      <c r="G61" s="20" t="str">
        <f>IF(ISBLANK(B61),"",$C61*VLOOKUP($B61,Lebensmittel!$A$2:$G$14500,5,0)/VLOOKUP($B61,Lebensmittel!$A$2:$G$14500,2,0))</f>
        <v/>
      </c>
      <c r="H61" s="20" t="str">
        <f>IF(ISBLANK(B61),"",$C61*VLOOKUP($B61,Lebensmittel!$A$2:$G$14500,6,0)/VLOOKUP($B61,Lebensmittel!$A$2:$G$14500,2,0))</f>
        <v/>
      </c>
    </row>
    <row r="62" spans="1:256" x14ac:dyDescent="0.25">
      <c r="B62" s="33" t="s">
        <v>44</v>
      </c>
      <c r="C62" s="34">
        <f t="shared" ref="C62:H62" si="5">SUM(C52:C61)</f>
        <v>160</v>
      </c>
      <c r="D62" s="35">
        <f t="shared" si="5"/>
        <v>489.54999999999995</v>
      </c>
      <c r="E62" s="35">
        <f t="shared" si="5"/>
        <v>489.54999999999995</v>
      </c>
      <c r="F62" s="36">
        <f t="shared" si="5"/>
        <v>20</v>
      </c>
      <c r="G62" s="36">
        <f t="shared" si="5"/>
        <v>64</v>
      </c>
      <c r="H62" s="36">
        <f t="shared" si="5"/>
        <v>11.5</v>
      </c>
    </row>
    <row r="64" spans="1:256" ht="18" x14ac:dyDescent="0.25">
      <c r="A64" s="39" t="s">
        <v>45</v>
      </c>
      <c r="B64" s="39"/>
      <c r="C64" s="3"/>
      <c r="D64" s="4"/>
      <c r="E64" s="4"/>
      <c r="F64" s="5"/>
      <c r="G64" s="5"/>
      <c r="H64" s="5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</row>
    <row r="65" spans="2:8" s="7" customFormat="1" ht="15.75" x14ac:dyDescent="0.25">
      <c r="B65" s="2" t="s">
        <v>3</v>
      </c>
      <c r="C65" s="8" t="s">
        <v>5</v>
      </c>
      <c r="D65" s="9" t="s">
        <v>6</v>
      </c>
      <c r="E65" s="9" t="s">
        <v>6</v>
      </c>
      <c r="F65" s="10" t="s">
        <v>7</v>
      </c>
      <c r="G65" s="10" t="s">
        <v>8</v>
      </c>
      <c r="H65" s="10" t="s">
        <v>9</v>
      </c>
    </row>
    <row r="66" spans="2:8" x14ac:dyDescent="0.25">
      <c r="B66" s="37"/>
      <c r="C66" s="38"/>
      <c r="D66" s="19" t="str">
        <f>IF(ISBLANK(B66),"",$C66*VLOOKUP($B66,Lebensmittel!$A$2:$G$14500,3,0)/VLOOKUP($B66,Lebensmittel!$A$2:$G$14500,2,0))</f>
        <v/>
      </c>
      <c r="E66" s="19" t="str">
        <f>IF(ISBLANK(B66),"",$C66*VLOOKUP($B66,Lebensmittel!$A$2:$G$14500,7,0)/VLOOKUP($B66,Lebensmittel!$A$2:$G$14500,2,0))</f>
        <v/>
      </c>
      <c r="F66" s="20" t="str">
        <f>IF(ISBLANK(B66),"",$C66*VLOOKUP($B66,Lebensmittel!$A$2:$G$14500,4,0)/VLOOKUP($B66,Lebensmittel!$A$2:$G$14500,2,0))</f>
        <v/>
      </c>
      <c r="G66" s="20" t="str">
        <f>IF(ISBLANK(B66),"",$C66*VLOOKUP($B66,Lebensmittel!$A$2:$G$14500,5,0)/VLOOKUP($B66,Lebensmittel!$A$2:$G$14500,2,0))</f>
        <v/>
      </c>
      <c r="H66" s="20" t="str">
        <f>IF(ISBLANK(B66),"",$C66*VLOOKUP($B66,Lebensmittel!$A$2:$G$14500,6,0)/VLOOKUP($B66,Lebensmittel!$A$2:$G$14500,2,0))</f>
        <v/>
      </c>
    </row>
    <row r="67" spans="2:8" x14ac:dyDescent="0.25">
      <c r="B67" s="37"/>
      <c r="C67" s="38"/>
      <c r="D67" s="19" t="str">
        <f>IF(ISBLANK(B67),"",$C67*VLOOKUP($B67,Lebensmittel!$A$2:$G$14500,3,0)/VLOOKUP($B67,Lebensmittel!$A$2:$G$14500,2,0))</f>
        <v/>
      </c>
      <c r="E67" s="19" t="str">
        <f>IF(ISBLANK(B67),"",$C67*VLOOKUP($B67,Lebensmittel!$A$2:$G$14500,7,0)/VLOOKUP($B67,Lebensmittel!$A$2:$G$14500,2,0))</f>
        <v/>
      </c>
      <c r="F67" s="20" t="str">
        <f>IF(ISBLANK(B67),"",$C67*VLOOKUP($B67,Lebensmittel!$A$2:$G$14500,4,0)/VLOOKUP($B67,Lebensmittel!$A$2:$G$14500,2,0))</f>
        <v/>
      </c>
      <c r="G67" s="20" t="str">
        <f>IF(ISBLANK(B67),"",$C67*VLOOKUP($B67,Lebensmittel!$A$2:$G$14500,5,0)/VLOOKUP($B67,Lebensmittel!$A$2:$G$14500,2,0))</f>
        <v/>
      </c>
      <c r="H67" s="20" t="str">
        <f>IF(ISBLANK(B67),"",$C67*VLOOKUP($B67,Lebensmittel!$A$2:$G$14500,6,0)/VLOOKUP($B67,Lebensmittel!$A$2:$G$14500,2,0))</f>
        <v/>
      </c>
    </row>
    <row r="68" spans="2:8" x14ac:dyDescent="0.25">
      <c r="B68" s="37"/>
      <c r="C68" s="38"/>
      <c r="D68" s="19" t="str">
        <f>IF(ISBLANK(B68),"",$C68*VLOOKUP($B68,Lebensmittel!$A$2:$G$14500,3,0)/VLOOKUP($B68,Lebensmittel!$A$2:$G$14500,2,0))</f>
        <v/>
      </c>
      <c r="E68" s="19" t="str">
        <f>IF(ISBLANK(B68),"",$C68*VLOOKUP($B68,Lebensmittel!$A$2:$G$14500,7,0)/VLOOKUP($B68,Lebensmittel!$A$2:$G$14500,2,0))</f>
        <v/>
      </c>
      <c r="F68" s="20" t="str">
        <f>IF(ISBLANK(B68),"",$C68*VLOOKUP($B68,Lebensmittel!$A$2:$G$14500,4,0)/VLOOKUP($B68,Lebensmittel!$A$2:$G$14500,2,0))</f>
        <v/>
      </c>
      <c r="G68" s="20" t="str">
        <f>IF(ISBLANK(B68),"",$C68*VLOOKUP($B68,Lebensmittel!$A$2:$G$14500,5,0)/VLOOKUP($B68,Lebensmittel!$A$2:$G$14500,2,0))</f>
        <v/>
      </c>
      <c r="H68" s="20" t="str">
        <f>IF(ISBLANK(B68),"",$C68*VLOOKUP($B68,Lebensmittel!$A$2:$G$14500,6,0)/VLOOKUP($B68,Lebensmittel!$A$2:$G$14500,2,0))</f>
        <v/>
      </c>
    </row>
    <row r="69" spans="2:8" x14ac:dyDescent="0.25">
      <c r="B69" s="37"/>
      <c r="C69" s="38"/>
      <c r="D69" s="19" t="str">
        <f>IF(ISBLANK(B69),"",$C69*VLOOKUP($B69,Lebensmittel!$A$2:$G$14500,3,0)/VLOOKUP($B69,Lebensmittel!$A$2:$G$14500,2,0))</f>
        <v/>
      </c>
      <c r="E69" s="19" t="str">
        <f>IF(ISBLANK(B69),"",$C69*VLOOKUP($B69,Lebensmittel!$A$2:$G$14500,7,0)/VLOOKUP($B69,Lebensmittel!$A$2:$G$14500,2,0))</f>
        <v/>
      </c>
      <c r="F69" s="20" t="str">
        <f>IF(ISBLANK(B69),"",$C69*VLOOKUP($B69,Lebensmittel!$A$2:$G$14500,4,0)/VLOOKUP($B69,Lebensmittel!$A$2:$G$14500,2,0))</f>
        <v/>
      </c>
      <c r="G69" s="20" t="str">
        <f>IF(ISBLANK(B69),"",$C69*VLOOKUP($B69,Lebensmittel!$A$2:$G$14500,5,0)/VLOOKUP($B69,Lebensmittel!$A$2:$G$14500,2,0))</f>
        <v/>
      </c>
      <c r="H69" s="20" t="str">
        <f>IF(ISBLANK(B69),"",$C69*VLOOKUP($B69,Lebensmittel!$A$2:$G$14500,6,0)/VLOOKUP($B69,Lebensmittel!$A$2:$G$14500,2,0))</f>
        <v/>
      </c>
    </row>
    <row r="70" spans="2:8" x14ac:dyDescent="0.25">
      <c r="B70" s="37"/>
      <c r="C70" s="38"/>
      <c r="D70" s="19" t="str">
        <f>IF(ISBLANK(B70),"",$C70*VLOOKUP($B70,Lebensmittel!$A$2:$G$14500,3,0)/VLOOKUP($B70,Lebensmittel!$A$2:$G$14500,2,0))</f>
        <v/>
      </c>
      <c r="E70" s="19" t="str">
        <f>IF(ISBLANK(B70),"",$C70*VLOOKUP($B70,Lebensmittel!$A$2:$G$14500,7,0)/VLOOKUP($B70,Lebensmittel!$A$2:$G$14500,2,0))</f>
        <v/>
      </c>
      <c r="F70" s="20" t="str">
        <f>IF(ISBLANK(B70),"",$C70*VLOOKUP($B70,Lebensmittel!$A$2:$G$14500,4,0)/VLOOKUP($B70,Lebensmittel!$A$2:$G$14500,2,0))</f>
        <v/>
      </c>
      <c r="G70" s="20" t="str">
        <f>IF(ISBLANK(B70),"",$C70*VLOOKUP($B70,Lebensmittel!$A$2:$G$14500,5,0)/VLOOKUP($B70,Lebensmittel!$A$2:$G$14500,2,0))</f>
        <v/>
      </c>
      <c r="H70" s="20" t="str">
        <f>IF(ISBLANK(B70),"",$C70*VLOOKUP($B70,Lebensmittel!$A$2:$G$14500,6,0)/VLOOKUP($B70,Lebensmittel!$A$2:$G$14500,2,0))</f>
        <v/>
      </c>
    </row>
    <row r="71" spans="2:8" x14ac:dyDescent="0.25">
      <c r="B71" s="37"/>
      <c r="C71" s="38"/>
      <c r="D71" s="19" t="str">
        <f>IF(ISBLANK(B71),"",$C71*VLOOKUP($B71,Lebensmittel!$A$2:$G$14500,3,0)/VLOOKUP($B71,Lebensmittel!$A$2:$G$14500,2,0))</f>
        <v/>
      </c>
      <c r="E71" s="19" t="str">
        <f>IF(ISBLANK(B71),"",$C71*VLOOKUP($B71,Lebensmittel!$A$2:$G$14500,7,0)/VLOOKUP($B71,Lebensmittel!$A$2:$G$14500,2,0))</f>
        <v/>
      </c>
      <c r="F71" s="20" t="str">
        <f>IF(ISBLANK(B71),"",$C71*VLOOKUP($B71,Lebensmittel!$A$2:$G$14500,4,0)/VLOOKUP($B71,Lebensmittel!$A$2:$G$14500,2,0))</f>
        <v/>
      </c>
      <c r="G71" s="20" t="str">
        <f>IF(ISBLANK(B71),"",$C71*VLOOKUP($B71,Lebensmittel!$A$2:$G$14500,5,0)/VLOOKUP($B71,Lebensmittel!$A$2:$G$14500,2,0))</f>
        <v/>
      </c>
      <c r="H71" s="20" t="str">
        <f>IF(ISBLANK(B71),"",$C71*VLOOKUP($B71,Lebensmittel!$A$2:$G$14500,6,0)/VLOOKUP($B71,Lebensmittel!$A$2:$G$14500,2,0))</f>
        <v/>
      </c>
    </row>
    <row r="72" spans="2:8" x14ac:dyDescent="0.25">
      <c r="B72" s="37"/>
      <c r="C72" s="38"/>
      <c r="D72" s="19" t="str">
        <f>IF(ISBLANK(B72),"",$C72*VLOOKUP($B72,Lebensmittel!$A$2:$G$14500,3,0)/VLOOKUP($B72,Lebensmittel!$A$2:$G$14500,2,0))</f>
        <v/>
      </c>
      <c r="E72" s="19" t="str">
        <f>IF(ISBLANK(B72),"",$C72*VLOOKUP($B72,Lebensmittel!$A$2:$G$14500,7,0)/VLOOKUP($B72,Lebensmittel!$A$2:$G$14500,2,0))</f>
        <v/>
      </c>
      <c r="F72" s="20" t="str">
        <f>IF(ISBLANK(B72),"",$C72*VLOOKUP($B72,Lebensmittel!$A$2:$G$14500,4,0)/VLOOKUP($B72,Lebensmittel!$A$2:$G$14500,2,0))</f>
        <v/>
      </c>
      <c r="G72" s="20" t="str">
        <f>IF(ISBLANK(B72),"",$C72*VLOOKUP($B72,Lebensmittel!$A$2:$G$14500,5,0)/VLOOKUP($B72,Lebensmittel!$A$2:$G$14500,2,0))</f>
        <v/>
      </c>
      <c r="H72" s="20" t="str">
        <f>IF(ISBLANK(B72),"",$C72*VLOOKUP($B72,Lebensmittel!$A$2:$G$14500,6,0)/VLOOKUP($B72,Lebensmittel!$A$2:$G$14500,2,0))</f>
        <v/>
      </c>
    </row>
    <row r="73" spans="2:8" x14ac:dyDescent="0.25">
      <c r="B73" s="37"/>
      <c r="C73" s="38"/>
      <c r="D73" s="19" t="str">
        <f>IF(ISBLANK(B73),"",$C73*VLOOKUP($B73,Lebensmittel!$A$2:$G$14500,3,0)/VLOOKUP($B73,Lebensmittel!$A$2:$G$14500,2,0))</f>
        <v/>
      </c>
      <c r="E73" s="19" t="str">
        <f>IF(ISBLANK(B73),"",$C73*VLOOKUP($B73,Lebensmittel!$A$2:$G$14500,7,0)/VLOOKUP($B73,Lebensmittel!$A$2:$G$14500,2,0))</f>
        <v/>
      </c>
      <c r="F73" s="20" t="str">
        <f>IF(ISBLANK(B73),"",$C73*VLOOKUP($B73,Lebensmittel!$A$2:$G$14500,4,0)/VLOOKUP($B73,Lebensmittel!$A$2:$G$14500,2,0))</f>
        <v/>
      </c>
      <c r="G73" s="20" t="str">
        <f>IF(ISBLANK(B73),"",$C73*VLOOKUP($B73,Lebensmittel!$A$2:$G$14500,5,0)/VLOOKUP($B73,Lebensmittel!$A$2:$G$14500,2,0))</f>
        <v/>
      </c>
      <c r="H73" s="20" t="str">
        <f>IF(ISBLANK(B73),"",$C73*VLOOKUP($B73,Lebensmittel!$A$2:$G$14500,6,0)/VLOOKUP($B73,Lebensmittel!$A$2:$G$14500,2,0))</f>
        <v/>
      </c>
    </row>
    <row r="74" spans="2:8" x14ac:dyDescent="0.25">
      <c r="B74" s="37"/>
      <c r="C74" s="38"/>
      <c r="D74" s="19" t="str">
        <f>IF(ISBLANK(B74),"",$C74*VLOOKUP($B74,Lebensmittel!$A$2:$G$14500,3,0)/VLOOKUP($B74,Lebensmittel!$A$2:$G$14500,2,0))</f>
        <v/>
      </c>
      <c r="E74" s="19" t="str">
        <f>IF(ISBLANK(B74),"",$C74*VLOOKUP($B74,Lebensmittel!$A$2:$G$14500,7,0)/VLOOKUP($B74,Lebensmittel!$A$2:$G$14500,2,0))</f>
        <v/>
      </c>
      <c r="F74" s="20" t="str">
        <f>IF(ISBLANK(B74),"",$C74*VLOOKUP($B74,Lebensmittel!$A$2:$G$14500,4,0)/VLOOKUP($B74,Lebensmittel!$A$2:$G$14500,2,0))</f>
        <v/>
      </c>
      <c r="G74" s="20" t="str">
        <f>IF(ISBLANK(B74),"",$C74*VLOOKUP($B74,Lebensmittel!$A$2:$G$14500,5,0)/VLOOKUP($B74,Lebensmittel!$A$2:$G$14500,2,0))</f>
        <v/>
      </c>
      <c r="H74" s="20" t="str">
        <f>IF(ISBLANK(B74),"",$C74*VLOOKUP($B74,Lebensmittel!$A$2:$G$14500,6,0)/VLOOKUP($B74,Lebensmittel!$A$2:$G$14500,2,0))</f>
        <v/>
      </c>
    </row>
    <row r="75" spans="2:8" x14ac:dyDescent="0.25">
      <c r="B75" s="37"/>
      <c r="C75" s="38"/>
      <c r="D75" s="19" t="str">
        <f>IF(ISBLANK(B75),"",$C75*VLOOKUP($B75,Lebensmittel!$A$2:$G$14500,3,0)/VLOOKUP($B75,Lebensmittel!$A$2:$G$14500,2,0))</f>
        <v/>
      </c>
      <c r="E75" s="19" t="str">
        <f>IF(ISBLANK(B75),"",$C75*VLOOKUP($B75,Lebensmittel!$A$2:$G$14500,7,0)/VLOOKUP($B75,Lebensmittel!$A$2:$G$14500,2,0))</f>
        <v/>
      </c>
      <c r="F75" s="20" t="str">
        <f>IF(ISBLANK(B75),"",$C75*VLOOKUP($B75,Lebensmittel!$A$2:$G$14500,4,0)/VLOOKUP($B75,Lebensmittel!$A$2:$G$14500,2,0))</f>
        <v/>
      </c>
      <c r="G75" s="20" t="str">
        <f>IF(ISBLANK(B75),"",$C75*VLOOKUP($B75,Lebensmittel!$A$2:$G$14500,5,0)/VLOOKUP($B75,Lebensmittel!$A$2:$G$14500,2,0))</f>
        <v/>
      </c>
      <c r="H75" s="20" t="str">
        <f>IF(ISBLANK(B75),"",$C75*VLOOKUP($B75,Lebensmittel!$A$2:$G$14500,6,0)/VLOOKUP($B75,Lebensmittel!$A$2:$G$14500,2,0))</f>
        <v/>
      </c>
    </row>
    <row r="76" spans="2:8" x14ac:dyDescent="0.25">
      <c r="B76" s="33" t="s">
        <v>46</v>
      </c>
      <c r="C76" s="34">
        <f t="shared" ref="C76:H76" si="6">SUM(C66:C75)</f>
        <v>0</v>
      </c>
      <c r="D76" s="35">
        <f t="shared" si="6"/>
        <v>0</v>
      </c>
      <c r="E76" s="35">
        <f t="shared" si="6"/>
        <v>0</v>
      </c>
      <c r="F76" s="36">
        <f t="shared" si="6"/>
        <v>0</v>
      </c>
      <c r="G76" s="36">
        <f t="shared" si="6"/>
        <v>0</v>
      </c>
      <c r="H76" s="36">
        <f t="shared" si="6"/>
        <v>0</v>
      </c>
    </row>
  </sheetData>
  <mergeCells count="9">
    <mergeCell ref="D6:H6"/>
    <mergeCell ref="A8:B8"/>
    <mergeCell ref="A22:B22"/>
    <mergeCell ref="A36:B36"/>
    <mergeCell ref="A50:B50"/>
    <mergeCell ref="A64:B64"/>
    <mergeCell ref="A1:C1"/>
    <mergeCell ref="A3:B3"/>
    <mergeCell ref="A4:B4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76"/>
  <sheetViews>
    <sheetView zoomScale="130" zoomScaleNormal="130" workbookViewId="0">
      <selection activeCell="B6" sqref="B6"/>
    </sheetView>
  </sheetViews>
  <sheetFormatPr baseColWidth="10" defaultRowHeight="15" x14ac:dyDescent="0.25"/>
  <cols>
    <col min="1" max="1" width="5.7109375" customWidth="1"/>
    <col min="2" max="2" width="57.140625" customWidth="1"/>
    <col min="3" max="6" width="14.28515625" customWidth="1"/>
    <col min="7" max="7" width="17.140625" customWidth="1"/>
    <col min="8" max="8" width="14.28515625" customWidth="1"/>
  </cols>
  <sheetData>
    <row r="1" spans="1:256" ht="38.25" customHeight="1" x14ac:dyDescent="0.25">
      <c r="A1" s="40" t="s">
        <v>47</v>
      </c>
      <c r="B1" s="40"/>
      <c r="C1" s="40"/>
      <c r="D1" s="12"/>
      <c r="E1" s="12"/>
      <c r="F1" s="13"/>
      <c r="G1" s="13"/>
      <c r="H1" s="23"/>
    </row>
    <row r="2" spans="1:256" ht="9.9499999999999993" customHeight="1" x14ac:dyDescent="0.3">
      <c r="A2" s="24"/>
      <c r="B2" s="24"/>
      <c r="C2" s="25"/>
      <c r="D2" s="12"/>
      <c r="E2" s="12"/>
      <c r="F2" s="13"/>
      <c r="G2" s="13"/>
      <c r="H2" s="13"/>
    </row>
    <row r="3" spans="1:256" ht="20.25" x14ac:dyDescent="0.3">
      <c r="A3" s="41" t="s">
        <v>36</v>
      </c>
      <c r="B3" s="41"/>
      <c r="C3" s="26" t="s">
        <v>5</v>
      </c>
      <c r="D3" s="27" t="s">
        <v>6</v>
      </c>
      <c r="E3" s="27" t="s">
        <v>13</v>
      </c>
      <c r="F3" s="28" t="s">
        <v>7</v>
      </c>
      <c r="G3" s="28" t="s">
        <v>11</v>
      </c>
      <c r="H3" s="28" t="s">
        <v>12</v>
      </c>
    </row>
    <row r="4" spans="1:256" ht="18" x14ac:dyDescent="0.25">
      <c r="A4" s="42"/>
      <c r="B4" s="42"/>
      <c r="C4" s="29">
        <f t="shared" ref="C4" si="0">C20+C34+C48+C62</f>
        <v>607</v>
      </c>
      <c r="D4" s="30">
        <f>D20+D34+D48+D62+D76</f>
        <v>2021.8349999999998</v>
      </c>
      <c r="E4" s="30">
        <f t="shared" ref="E4:H4" si="1">E20+E34+E48+E62+E76</f>
        <v>2021.8349999999998</v>
      </c>
      <c r="F4" s="31">
        <f t="shared" si="1"/>
        <v>90.1</v>
      </c>
      <c r="G4" s="31">
        <f t="shared" si="1"/>
        <v>240</v>
      </c>
      <c r="H4" s="31">
        <f t="shared" si="1"/>
        <v>55.35</v>
      </c>
    </row>
    <row r="5" spans="1:256" ht="9" customHeight="1" x14ac:dyDescent="0.25">
      <c r="C5" s="32"/>
      <c r="D5" s="12"/>
      <c r="E5" s="12"/>
      <c r="F5" s="13"/>
      <c r="G5" s="13"/>
      <c r="H5" s="13"/>
    </row>
    <row r="6" spans="1:256" ht="20.65" customHeight="1" x14ac:dyDescent="0.3">
      <c r="A6" s="24"/>
      <c r="B6" s="24"/>
      <c r="C6" s="25"/>
      <c r="D6" s="43" t="s">
        <v>37</v>
      </c>
      <c r="E6" s="43"/>
      <c r="F6" s="43"/>
      <c r="G6" s="43"/>
      <c r="H6" s="43"/>
    </row>
    <row r="7" spans="1:256" ht="15.2" customHeight="1" x14ac:dyDescent="0.3">
      <c r="A7" s="24"/>
      <c r="B7" s="24"/>
      <c r="C7" s="25"/>
      <c r="D7" s="12"/>
      <c r="E7" s="12"/>
      <c r="F7" s="13"/>
      <c r="G7" s="13"/>
      <c r="H7" s="13"/>
    </row>
    <row r="8" spans="1:256" ht="18" x14ac:dyDescent="0.25">
      <c r="A8" s="39" t="s">
        <v>4</v>
      </c>
      <c r="B8" s="39"/>
      <c r="C8" s="3"/>
      <c r="D8" s="4"/>
      <c r="E8" s="4"/>
      <c r="F8" s="5"/>
      <c r="G8" s="5"/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</row>
    <row r="9" spans="1:256" s="7" customFormat="1" ht="15.75" x14ac:dyDescent="0.25">
      <c r="B9" s="2" t="s">
        <v>3</v>
      </c>
      <c r="C9" s="8" t="s">
        <v>5</v>
      </c>
      <c r="D9" s="9" t="s">
        <v>6</v>
      </c>
      <c r="E9" s="9" t="s">
        <v>6</v>
      </c>
      <c r="F9" s="10" t="s">
        <v>7</v>
      </c>
      <c r="G9" s="10" t="s">
        <v>8</v>
      </c>
      <c r="H9" s="10" t="s">
        <v>9</v>
      </c>
    </row>
    <row r="10" spans="1:256" x14ac:dyDescent="0.25">
      <c r="B10" s="37" t="s">
        <v>15</v>
      </c>
      <c r="C10" s="38">
        <v>77</v>
      </c>
      <c r="D10" s="19">
        <f>IF(ISBLANK(B10),"",$C10*VLOOKUP($B10,Lebensmittel!$A$2:$G$14500,3,0)/VLOOKUP($B10,Lebensmittel!$A$2:$G$14500,2,0))</f>
        <v>208.285</v>
      </c>
      <c r="E10" s="19">
        <f>IF(ISBLANK(B10),"",$C10*VLOOKUP($B10,Lebensmittel!$A$2:$G$14500,7,0)/VLOOKUP($B10,Lebensmittel!$A$2:$G$14500,2,0))</f>
        <v>208.285</v>
      </c>
      <c r="F10" s="20">
        <f>IF(ISBLANK(B10),"",$C10*VLOOKUP($B10,Lebensmittel!$A$2:$G$14500,4,0)/VLOOKUP($B10,Lebensmittel!$A$2:$G$14500,2,0))</f>
        <v>3.85</v>
      </c>
      <c r="G10" s="20">
        <f>IF(ISBLANK(B10),"",$C10*VLOOKUP($B10,Lebensmittel!$A$2:$G$14500,5,0)/VLOOKUP($B10,Lebensmittel!$A$2:$G$14500,2,0))</f>
        <v>38.5</v>
      </c>
      <c r="H10" s="20">
        <f>IF(ISBLANK(B10),"",$C10*VLOOKUP($B10,Lebensmittel!$A$2:$G$14500,6,0)/VLOOKUP($B10,Lebensmittel!$A$2:$G$14500,2,0))</f>
        <v>3.85</v>
      </c>
    </row>
    <row r="11" spans="1:256" x14ac:dyDescent="0.25">
      <c r="B11" s="37" t="s">
        <v>16</v>
      </c>
      <c r="C11" s="38">
        <v>70</v>
      </c>
      <c r="D11" s="19">
        <f>IF(ISBLANK(B11),"",$C11*VLOOKUP($B11,Lebensmittel!$A$2:$G$14500,3,0)/VLOOKUP($B11,Lebensmittel!$A$2:$G$14500,2,0))</f>
        <v>229.25</v>
      </c>
      <c r="E11" s="19">
        <f>IF(ISBLANK(B11),"",$C11*VLOOKUP($B11,Lebensmittel!$A$2:$G$14500,7,0)/VLOOKUP($B11,Lebensmittel!$A$2:$G$14500,2,0))</f>
        <v>229.25</v>
      </c>
      <c r="F11" s="20">
        <f>IF(ISBLANK(B11),"",$C11*VLOOKUP($B11,Lebensmittel!$A$2:$G$14500,4,0)/VLOOKUP($B11,Lebensmittel!$A$2:$G$14500,2,0))</f>
        <v>17.5</v>
      </c>
      <c r="G11" s="20">
        <f>IF(ISBLANK(B11),"",$C11*VLOOKUP($B11,Lebensmittel!$A$2:$G$14500,5,0)/VLOOKUP($B11,Lebensmittel!$A$2:$G$14500,2,0))</f>
        <v>0</v>
      </c>
      <c r="H11" s="20">
        <f>IF(ISBLANK(B11),"",$C11*VLOOKUP($B11,Lebensmittel!$A$2:$G$14500,6,0)/VLOOKUP($B11,Lebensmittel!$A$2:$G$14500,2,0))</f>
        <v>17.5</v>
      </c>
    </row>
    <row r="12" spans="1:256" x14ac:dyDescent="0.25">
      <c r="B12" s="37" t="s">
        <v>31</v>
      </c>
      <c r="C12" s="38">
        <v>15</v>
      </c>
      <c r="D12" s="19">
        <f>IF(ISBLANK(B12),"",$C12*VLOOKUP($B12,Lebensmittel!$A$2:$G$14500,3,0)/VLOOKUP($B12,Lebensmittel!$A$2:$G$14500,2,0))</f>
        <v>78.599999999999994</v>
      </c>
      <c r="E12" s="19">
        <f>IF(ISBLANK(B12),"",$C12*VLOOKUP($B12,Lebensmittel!$A$2:$G$14500,7,0)/VLOOKUP($B12,Lebensmittel!$A$2:$G$14500,2,0))</f>
        <v>78.599999999999994</v>
      </c>
      <c r="F12" s="20">
        <f>IF(ISBLANK(B12),"",$C12*VLOOKUP($B12,Lebensmittel!$A$2:$G$14500,4,0)/VLOOKUP($B12,Lebensmittel!$A$2:$G$14500,2,0))</f>
        <v>6</v>
      </c>
      <c r="G12" s="20">
        <f>IF(ISBLANK(B12),"",$C12*VLOOKUP($B12,Lebensmittel!$A$2:$G$14500,5,0)/VLOOKUP($B12,Lebensmittel!$A$2:$G$14500,2,0))</f>
        <v>6</v>
      </c>
      <c r="H12" s="20">
        <f>IF(ISBLANK(B12),"",$C12*VLOOKUP($B12,Lebensmittel!$A$2:$G$14500,6,0)/VLOOKUP($B12,Lebensmittel!$A$2:$G$14500,2,0))</f>
        <v>0</v>
      </c>
    </row>
    <row r="13" spans="1:256" x14ac:dyDescent="0.25">
      <c r="B13" s="37"/>
      <c r="C13" s="38"/>
      <c r="D13" s="19" t="str">
        <f>IF(ISBLANK(B13),"",$C13*VLOOKUP($B13,Lebensmittel!$A$2:$G$14500,3,0)/VLOOKUP($B13,Lebensmittel!$A$2:$G$14500,2,0))</f>
        <v/>
      </c>
      <c r="E13" s="19" t="str">
        <f>IF(ISBLANK(B13),"",$C13*VLOOKUP($B13,Lebensmittel!$A$2:$G$14500,7,0)/VLOOKUP($B13,Lebensmittel!$A$2:$G$14500,2,0))</f>
        <v/>
      </c>
      <c r="F13" s="20" t="str">
        <f>IF(ISBLANK(B13),"",$C13*VLOOKUP($B13,Lebensmittel!$A$2:$G$14500,4,0)/VLOOKUP($B13,Lebensmittel!$A$2:$G$14500,2,0))</f>
        <v/>
      </c>
      <c r="G13" s="20" t="str">
        <f>IF(ISBLANK(B13),"",$C13*VLOOKUP($B13,Lebensmittel!$A$2:$G$14500,5,0)/VLOOKUP($B13,Lebensmittel!$A$2:$G$14500,2,0))</f>
        <v/>
      </c>
      <c r="H13" s="20" t="str">
        <f>IF(ISBLANK(B13),"",$C13*VLOOKUP($B13,Lebensmittel!$A$2:$G$14500,6,0)/VLOOKUP($B13,Lebensmittel!$A$2:$G$14500,2,0))</f>
        <v/>
      </c>
    </row>
    <row r="14" spans="1:256" x14ac:dyDescent="0.25">
      <c r="B14" s="37"/>
      <c r="C14" s="38"/>
      <c r="D14" s="19" t="str">
        <f>IF(ISBLANK(B14),"",$C14*VLOOKUP($B14,Lebensmittel!$A$2:$G$14500,3,0)/VLOOKUP($B14,Lebensmittel!$A$2:$G$14500,2,0))</f>
        <v/>
      </c>
      <c r="E14" s="19" t="str">
        <f>IF(ISBLANK(B14),"",$C14*VLOOKUP($B14,Lebensmittel!$A$2:$G$14500,7,0)/VLOOKUP($B14,Lebensmittel!$A$2:$G$14500,2,0))</f>
        <v/>
      </c>
      <c r="F14" s="20" t="str">
        <f>IF(ISBLANK(B14),"",$C14*VLOOKUP($B14,Lebensmittel!$A$2:$G$14500,4,0)/VLOOKUP($B14,Lebensmittel!$A$2:$G$14500,2,0))</f>
        <v/>
      </c>
      <c r="G14" s="20" t="str">
        <f>IF(ISBLANK(B14),"",$C14*VLOOKUP($B14,Lebensmittel!$A$2:$G$14500,5,0)/VLOOKUP($B14,Lebensmittel!$A$2:$G$14500,2,0))</f>
        <v/>
      </c>
      <c r="H14" s="20" t="str">
        <f>IF(ISBLANK(B14),"",$C14*VLOOKUP($B14,Lebensmittel!$A$2:$G$14500,6,0)/VLOOKUP($B14,Lebensmittel!$A$2:$G$14500,2,0))</f>
        <v/>
      </c>
    </row>
    <row r="15" spans="1:256" x14ac:dyDescent="0.25">
      <c r="B15" s="37"/>
      <c r="C15" s="38"/>
      <c r="D15" s="19" t="str">
        <f>IF(ISBLANK(B15),"",$C15*VLOOKUP($B15,Lebensmittel!$A$2:$G$14500,3,0)/VLOOKUP($B15,Lebensmittel!$A$2:$G$14500,2,0))</f>
        <v/>
      </c>
      <c r="E15" s="19" t="str">
        <f>IF(ISBLANK(B15),"",$C15*VLOOKUP($B15,Lebensmittel!$A$2:$G$14500,7,0)/VLOOKUP($B15,Lebensmittel!$A$2:$G$14500,2,0))</f>
        <v/>
      </c>
      <c r="F15" s="20" t="str">
        <f>IF(ISBLANK(B15),"",$C15*VLOOKUP($B15,Lebensmittel!$A$2:$G$14500,4,0)/VLOOKUP($B15,Lebensmittel!$A$2:$G$14500,2,0))</f>
        <v/>
      </c>
      <c r="G15" s="20" t="str">
        <f>IF(ISBLANK(B15),"",$C15*VLOOKUP($B15,Lebensmittel!$A$2:$G$14500,5,0)/VLOOKUP($B15,Lebensmittel!$A$2:$G$14500,2,0))</f>
        <v/>
      </c>
      <c r="H15" s="20" t="str">
        <f>IF(ISBLANK(B15),"",$C15*VLOOKUP($B15,Lebensmittel!$A$2:$G$14500,6,0)/VLOOKUP($B15,Lebensmittel!$A$2:$G$14500,2,0))</f>
        <v/>
      </c>
    </row>
    <row r="16" spans="1:256" x14ac:dyDescent="0.25">
      <c r="B16" s="37"/>
      <c r="C16" s="38"/>
      <c r="D16" s="19" t="str">
        <f>IF(ISBLANK(B16),"",$C16*VLOOKUP($B16,Lebensmittel!$A$2:$G$14500,3,0)/VLOOKUP($B16,Lebensmittel!$A$2:$G$14500,2,0))</f>
        <v/>
      </c>
      <c r="E16" s="19" t="str">
        <f>IF(ISBLANK(B16),"",$C16*VLOOKUP($B16,Lebensmittel!$A$2:$G$14500,7,0)/VLOOKUP($B16,Lebensmittel!$A$2:$G$14500,2,0))</f>
        <v/>
      </c>
      <c r="F16" s="20" t="str">
        <f>IF(ISBLANK(B16),"",$C16*VLOOKUP($B16,Lebensmittel!$A$2:$G$14500,4,0)/VLOOKUP($B16,Lebensmittel!$A$2:$G$14500,2,0))</f>
        <v/>
      </c>
      <c r="G16" s="20" t="str">
        <f>IF(ISBLANK(B16),"",$C16*VLOOKUP($B16,Lebensmittel!$A$2:$G$14500,5,0)/VLOOKUP($B16,Lebensmittel!$A$2:$G$14500,2,0))</f>
        <v/>
      </c>
      <c r="H16" s="20" t="str">
        <f>IF(ISBLANK(B16),"",$C16*VLOOKUP($B16,Lebensmittel!$A$2:$G$14500,6,0)/VLOOKUP($B16,Lebensmittel!$A$2:$G$14500,2,0))</f>
        <v/>
      </c>
    </row>
    <row r="17" spans="1:256" x14ac:dyDescent="0.25">
      <c r="B17" s="37"/>
      <c r="C17" s="38"/>
      <c r="D17" s="19" t="str">
        <f>IF(ISBLANK(B17),"",$C17*VLOOKUP($B17,Lebensmittel!$A$2:$G$14500,3,0)/VLOOKUP($B17,Lebensmittel!$A$2:$G$14500,2,0))</f>
        <v/>
      </c>
      <c r="E17" s="19" t="str">
        <f>IF(ISBLANK(B17),"",$C17*VLOOKUP($B17,Lebensmittel!$A$2:$G$14500,7,0)/VLOOKUP($B17,Lebensmittel!$A$2:$G$14500,2,0))</f>
        <v/>
      </c>
      <c r="F17" s="20" t="str">
        <f>IF(ISBLANK(B17),"",$C17*VLOOKUP($B17,Lebensmittel!$A$2:$G$14500,4,0)/VLOOKUP($B17,Lebensmittel!$A$2:$G$14500,2,0))</f>
        <v/>
      </c>
      <c r="G17" s="20" t="str">
        <f>IF(ISBLANK(B17),"",$C17*VLOOKUP($B17,Lebensmittel!$A$2:$G$14500,5,0)/VLOOKUP($B17,Lebensmittel!$A$2:$G$14500,2,0))</f>
        <v/>
      </c>
      <c r="H17" s="20" t="str">
        <f>IF(ISBLANK(B17),"",$C17*VLOOKUP($B17,Lebensmittel!$A$2:$G$14500,6,0)/VLOOKUP($B17,Lebensmittel!$A$2:$G$14500,2,0))</f>
        <v/>
      </c>
    </row>
    <row r="18" spans="1:256" x14ac:dyDescent="0.25">
      <c r="B18" s="37"/>
      <c r="C18" s="38"/>
      <c r="D18" s="19" t="str">
        <f>IF(ISBLANK(B18),"",$C18*VLOOKUP($B18,Lebensmittel!$A$2:$G$14500,3,0)/VLOOKUP($B18,Lebensmittel!$A$2:$G$14500,2,0))</f>
        <v/>
      </c>
      <c r="E18" s="19" t="str">
        <f>IF(ISBLANK(B18),"",$C18*VLOOKUP($B18,Lebensmittel!$A$2:$G$14500,7,0)/VLOOKUP($B18,Lebensmittel!$A$2:$G$14500,2,0))</f>
        <v/>
      </c>
      <c r="F18" s="20" t="str">
        <f>IF(ISBLANK(B18),"",$C18*VLOOKUP($B18,Lebensmittel!$A$2:$G$14500,4,0)/VLOOKUP($B18,Lebensmittel!$A$2:$G$14500,2,0))</f>
        <v/>
      </c>
      <c r="G18" s="20" t="str">
        <f>IF(ISBLANK(B18),"",$C18*VLOOKUP($B18,Lebensmittel!$A$2:$G$14500,5,0)/VLOOKUP($B18,Lebensmittel!$A$2:$G$14500,2,0))</f>
        <v/>
      </c>
      <c r="H18" s="20" t="str">
        <f>IF(ISBLANK(B18),"",$C18*VLOOKUP($B18,Lebensmittel!$A$2:$G$14500,6,0)/VLOOKUP($B18,Lebensmittel!$A$2:$G$14500,2,0))</f>
        <v/>
      </c>
    </row>
    <row r="19" spans="1:256" x14ac:dyDescent="0.25">
      <c r="B19" s="37"/>
      <c r="C19" s="38"/>
      <c r="D19" s="19" t="str">
        <f>IF(ISBLANK(B19),"",$C19*VLOOKUP($B19,Lebensmittel!$A$2:$G$14500,3,0)/VLOOKUP($B19,Lebensmittel!$A$2:$G$14500,2,0))</f>
        <v/>
      </c>
      <c r="E19" s="19" t="str">
        <f>IF(ISBLANK(B19),"",$C19*VLOOKUP($B19,Lebensmittel!$A$2:$G$14500,7,0)/VLOOKUP($B19,Lebensmittel!$A$2:$G$14500,2,0))</f>
        <v/>
      </c>
      <c r="F19" s="20" t="str">
        <f>IF(ISBLANK(B19),"",$C19*VLOOKUP($B19,Lebensmittel!$A$2:$G$14500,4,0)/VLOOKUP($B19,Lebensmittel!$A$2:$G$14500,2,0))</f>
        <v/>
      </c>
      <c r="G19" s="20" t="str">
        <f>IF(ISBLANK(B19),"",$C19*VLOOKUP($B19,Lebensmittel!$A$2:$G$14500,5,0)/VLOOKUP($B19,Lebensmittel!$A$2:$G$14500,2,0))</f>
        <v/>
      </c>
      <c r="H19" s="20" t="str">
        <f>IF(ISBLANK(B19),"",$C19*VLOOKUP($B19,Lebensmittel!$A$2:$G$14500,6,0)/VLOOKUP($B19,Lebensmittel!$A$2:$G$14500,2,0))</f>
        <v/>
      </c>
    </row>
    <row r="20" spans="1:256" x14ac:dyDescent="0.25">
      <c r="B20" s="33" t="s">
        <v>38</v>
      </c>
      <c r="C20" s="34">
        <f t="shared" ref="C20:H20" si="2">SUM(C10:C19)</f>
        <v>162</v>
      </c>
      <c r="D20" s="35">
        <f t="shared" si="2"/>
        <v>516.13499999999999</v>
      </c>
      <c r="E20" s="35">
        <f t="shared" si="2"/>
        <v>516.13499999999999</v>
      </c>
      <c r="F20" s="36">
        <f t="shared" si="2"/>
        <v>27.35</v>
      </c>
      <c r="G20" s="36">
        <f t="shared" si="2"/>
        <v>44.5</v>
      </c>
      <c r="H20" s="36">
        <f t="shared" si="2"/>
        <v>21.35</v>
      </c>
    </row>
    <row r="22" spans="1:256" ht="18" x14ac:dyDescent="0.25">
      <c r="A22" s="39" t="s">
        <v>39</v>
      </c>
      <c r="B22" s="39"/>
      <c r="C22" s="3"/>
      <c r="D22" s="4"/>
      <c r="E22" s="4"/>
      <c r="F22" s="5"/>
      <c r="G22" s="5"/>
      <c r="H22" s="5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</row>
    <row r="23" spans="1:256" s="7" customFormat="1" ht="15.75" x14ac:dyDescent="0.25">
      <c r="B23" s="2" t="s">
        <v>3</v>
      </c>
      <c r="C23" s="8" t="s">
        <v>5</v>
      </c>
      <c r="D23" s="9" t="s">
        <v>6</v>
      </c>
      <c r="E23" s="9" t="s">
        <v>6</v>
      </c>
      <c r="F23" s="10" t="s">
        <v>7</v>
      </c>
      <c r="G23" s="10" t="s">
        <v>8</v>
      </c>
      <c r="H23" s="10" t="s">
        <v>9</v>
      </c>
    </row>
    <row r="24" spans="1:256" x14ac:dyDescent="0.25">
      <c r="B24" s="37" t="s">
        <v>17</v>
      </c>
      <c r="C24" s="38">
        <v>100</v>
      </c>
      <c r="D24" s="19">
        <f>IF(ISBLANK(B24),"",$C24*VLOOKUP($B24,Lebensmittel!$A$2:$G$14500,3,0)/VLOOKUP($B24,Lebensmittel!$A$2:$G$14500,2,0))</f>
        <v>328</v>
      </c>
      <c r="E24" s="19">
        <f>IF(ISBLANK(B24),"",$C24*VLOOKUP($B24,Lebensmittel!$A$2:$G$14500,7,0)/VLOOKUP($B24,Lebensmittel!$A$2:$G$14500,2,0))</f>
        <v>328</v>
      </c>
      <c r="F24" s="20">
        <f>IF(ISBLANK(B24),"",$C24*VLOOKUP($B24,Lebensmittel!$A$2:$G$14500,4,0)/VLOOKUP($B24,Lebensmittel!$A$2:$G$14500,2,0))</f>
        <v>0</v>
      </c>
      <c r="G24" s="20">
        <f>IF(ISBLANK(B24),"",$C24*VLOOKUP($B24,Lebensmittel!$A$2:$G$14500,5,0)/VLOOKUP($B24,Lebensmittel!$A$2:$G$14500,2,0))</f>
        <v>80</v>
      </c>
      <c r="H24" s="20">
        <f>IF(ISBLANK(B24),"",$C24*VLOOKUP($B24,Lebensmittel!$A$2:$G$14500,6,0)/VLOOKUP($B24,Lebensmittel!$A$2:$G$14500,2,0))</f>
        <v>0</v>
      </c>
    </row>
    <row r="25" spans="1:256" x14ac:dyDescent="0.25">
      <c r="B25" s="37" t="s">
        <v>33</v>
      </c>
      <c r="C25" s="38">
        <v>75</v>
      </c>
      <c r="D25" s="19">
        <f>IF(ISBLANK(B25),"",$C25*VLOOKUP($B25,Lebensmittel!$A$2:$G$14500,3,0)/VLOOKUP($B25,Lebensmittel!$A$2:$G$14500,2,0))</f>
        <v>294.75</v>
      </c>
      <c r="E25" s="19">
        <f>IF(ISBLANK(B25),"",$C25*VLOOKUP($B25,Lebensmittel!$A$2:$G$14500,7,0)/VLOOKUP($B25,Lebensmittel!$A$2:$G$14500,2,0))</f>
        <v>294.75</v>
      </c>
      <c r="F25" s="20">
        <f>IF(ISBLANK(B25),"",$C25*VLOOKUP($B25,Lebensmittel!$A$2:$G$14500,4,0)/VLOOKUP($B25,Lebensmittel!$A$2:$G$14500,2,0))</f>
        <v>22.5</v>
      </c>
      <c r="G25" s="20">
        <f>IF(ISBLANK(B25),"",$C25*VLOOKUP($B25,Lebensmittel!$A$2:$G$14500,5,0)/VLOOKUP($B25,Lebensmittel!$A$2:$G$14500,2,0))</f>
        <v>0</v>
      </c>
      <c r="H25" s="20">
        <f>IF(ISBLANK(B25),"",$C25*VLOOKUP($B25,Lebensmittel!$A$2:$G$14500,6,0)/VLOOKUP($B25,Lebensmittel!$A$2:$G$14500,2,0))</f>
        <v>22.5</v>
      </c>
    </row>
    <row r="26" spans="1:256" x14ac:dyDescent="0.25">
      <c r="B26" s="37" t="s">
        <v>30</v>
      </c>
      <c r="C26" s="38">
        <v>20</v>
      </c>
      <c r="D26" s="19">
        <f>IF(ISBLANK(B26),"",$C26*VLOOKUP($B26,Lebensmittel!$A$2:$G$14500,3,0)/VLOOKUP($B26,Lebensmittel!$A$2:$G$14500,2,0))</f>
        <v>59.8</v>
      </c>
      <c r="E26" s="19">
        <f>IF(ISBLANK(B26),"",$C26*VLOOKUP($B26,Lebensmittel!$A$2:$G$14500,7,0)/VLOOKUP($B26,Lebensmittel!$A$2:$G$14500,2,0))</f>
        <v>59.8</v>
      </c>
      <c r="F26" s="20">
        <f>IF(ISBLANK(B26),"",$C26*VLOOKUP($B26,Lebensmittel!$A$2:$G$14500,4,0)/VLOOKUP($B26,Lebensmittel!$A$2:$G$14500,2,0))</f>
        <v>3</v>
      </c>
      <c r="G26" s="20">
        <f>IF(ISBLANK(B26),"",$C26*VLOOKUP($B26,Lebensmittel!$A$2:$G$14500,5,0)/VLOOKUP($B26,Lebensmittel!$A$2:$G$14500,2,0))</f>
        <v>8</v>
      </c>
      <c r="H26" s="20">
        <f>IF(ISBLANK(B26),"",$C26*VLOOKUP($B26,Lebensmittel!$A$2:$G$14500,6,0)/VLOOKUP($B26,Lebensmittel!$A$2:$G$14500,2,0))</f>
        <v>0</v>
      </c>
    </row>
    <row r="27" spans="1:256" x14ac:dyDescent="0.25">
      <c r="B27" s="37"/>
      <c r="C27" s="38"/>
      <c r="D27" s="19" t="str">
        <f>IF(ISBLANK(B27),"",$C27*VLOOKUP($B27,Lebensmittel!$A$2:$G$14500,3,0)/VLOOKUP($B27,Lebensmittel!$A$2:$G$14500,2,0))</f>
        <v/>
      </c>
      <c r="E27" s="19" t="str">
        <f>IF(ISBLANK(B27),"",$C27*VLOOKUP($B27,Lebensmittel!$A$2:$G$14500,7,0)/VLOOKUP($B27,Lebensmittel!$A$2:$G$14500,2,0))</f>
        <v/>
      </c>
      <c r="F27" s="20" t="str">
        <f>IF(ISBLANK(B27),"",$C27*VLOOKUP($B27,Lebensmittel!$A$2:$G$14500,4,0)/VLOOKUP($B27,Lebensmittel!$A$2:$G$14500,2,0))</f>
        <v/>
      </c>
      <c r="G27" s="20" t="str">
        <f>IF(ISBLANK(B27),"",$C27*VLOOKUP($B27,Lebensmittel!$A$2:$G$14500,5,0)/VLOOKUP($B27,Lebensmittel!$A$2:$G$14500,2,0))</f>
        <v/>
      </c>
      <c r="H27" s="20" t="str">
        <f>IF(ISBLANK(B27),"",$C27*VLOOKUP($B27,Lebensmittel!$A$2:$G$14500,6,0)/VLOOKUP($B27,Lebensmittel!$A$2:$G$14500,2,0))</f>
        <v/>
      </c>
    </row>
    <row r="28" spans="1:256" x14ac:dyDescent="0.25">
      <c r="B28" s="37"/>
      <c r="C28" s="38"/>
      <c r="D28" s="19" t="str">
        <f>IF(ISBLANK(B28),"",$C28*VLOOKUP($B28,Lebensmittel!$A$2:$G$14500,3,0)/VLOOKUP($B28,Lebensmittel!$A$2:$G$14500,2,0))</f>
        <v/>
      </c>
      <c r="E28" s="19" t="str">
        <f>IF(ISBLANK(B28),"",$C28*VLOOKUP($B28,Lebensmittel!$A$2:$G$14500,7,0)/VLOOKUP($B28,Lebensmittel!$A$2:$G$14500,2,0))</f>
        <v/>
      </c>
      <c r="F28" s="20" t="str">
        <f>IF(ISBLANK(B28),"",$C28*VLOOKUP($B28,Lebensmittel!$A$2:$G$14500,4,0)/VLOOKUP($B28,Lebensmittel!$A$2:$G$14500,2,0))</f>
        <v/>
      </c>
      <c r="G28" s="20" t="str">
        <f>IF(ISBLANK(B28),"",$C28*VLOOKUP($B28,Lebensmittel!$A$2:$G$14500,5,0)/VLOOKUP($B28,Lebensmittel!$A$2:$G$14500,2,0))</f>
        <v/>
      </c>
      <c r="H28" s="20" t="str">
        <f>IF(ISBLANK(B28),"",$C28*VLOOKUP($B28,Lebensmittel!$A$2:$G$14500,6,0)/VLOOKUP($B28,Lebensmittel!$A$2:$G$14500,2,0))</f>
        <v/>
      </c>
    </row>
    <row r="29" spans="1:256" x14ac:dyDescent="0.25">
      <c r="B29" s="37"/>
      <c r="C29" s="38"/>
      <c r="D29" s="19" t="str">
        <f>IF(ISBLANK(B29),"",$C29*VLOOKUP($B29,Lebensmittel!$A$2:$G$14500,3,0)/VLOOKUP($B29,Lebensmittel!$A$2:$G$14500,2,0))</f>
        <v/>
      </c>
      <c r="E29" s="19" t="str">
        <f>IF(ISBLANK(B29),"",$C29*VLOOKUP($B29,Lebensmittel!$A$2:$G$14500,7,0)/VLOOKUP($B29,Lebensmittel!$A$2:$G$14500,2,0))</f>
        <v/>
      </c>
      <c r="F29" s="20" t="str">
        <f>IF(ISBLANK(B29),"",$C29*VLOOKUP($B29,Lebensmittel!$A$2:$G$14500,4,0)/VLOOKUP($B29,Lebensmittel!$A$2:$G$14500,2,0))</f>
        <v/>
      </c>
      <c r="G29" s="20" t="str">
        <f>IF(ISBLANK(B29),"",$C29*VLOOKUP($B29,Lebensmittel!$A$2:$G$14500,5,0)/VLOOKUP($B29,Lebensmittel!$A$2:$G$14500,2,0))</f>
        <v/>
      </c>
      <c r="H29" s="20" t="str">
        <f>IF(ISBLANK(B29),"",$C29*VLOOKUP($B29,Lebensmittel!$A$2:$G$14500,6,0)/VLOOKUP($B29,Lebensmittel!$A$2:$G$14500,2,0))</f>
        <v/>
      </c>
    </row>
    <row r="30" spans="1:256" x14ac:dyDescent="0.25">
      <c r="B30" s="37"/>
      <c r="C30" s="38"/>
      <c r="D30" s="19" t="str">
        <f>IF(ISBLANK(B30),"",$C30*VLOOKUP($B30,Lebensmittel!$A$2:$G$14500,3,0)/VLOOKUP($B30,Lebensmittel!$A$2:$G$14500,2,0))</f>
        <v/>
      </c>
      <c r="E30" s="19" t="str">
        <f>IF(ISBLANK(B30),"",$C30*VLOOKUP($B30,Lebensmittel!$A$2:$G$14500,7,0)/VLOOKUP($B30,Lebensmittel!$A$2:$G$14500,2,0))</f>
        <v/>
      </c>
      <c r="F30" s="20" t="str">
        <f>IF(ISBLANK(B30),"",$C30*VLOOKUP($B30,Lebensmittel!$A$2:$G$14500,4,0)/VLOOKUP($B30,Lebensmittel!$A$2:$G$14500,2,0))</f>
        <v/>
      </c>
      <c r="G30" s="20" t="str">
        <f>IF(ISBLANK(B30),"",$C30*VLOOKUP($B30,Lebensmittel!$A$2:$G$14500,5,0)/VLOOKUP($B30,Lebensmittel!$A$2:$G$14500,2,0))</f>
        <v/>
      </c>
      <c r="H30" s="20" t="str">
        <f>IF(ISBLANK(B30),"",$C30*VLOOKUP($B30,Lebensmittel!$A$2:$G$14500,6,0)/VLOOKUP($B30,Lebensmittel!$A$2:$G$14500,2,0))</f>
        <v/>
      </c>
    </row>
    <row r="31" spans="1:256" x14ac:dyDescent="0.25">
      <c r="B31" s="37"/>
      <c r="C31" s="38"/>
      <c r="D31" s="19" t="str">
        <f>IF(ISBLANK(B31),"",$C31*VLOOKUP($B31,Lebensmittel!$A$2:$G$14500,3,0)/VLOOKUP($B31,Lebensmittel!$A$2:$G$14500,2,0))</f>
        <v/>
      </c>
      <c r="E31" s="19" t="str">
        <f>IF(ISBLANK(B31),"",$C31*VLOOKUP($B31,Lebensmittel!$A$2:$G$14500,7,0)/VLOOKUP($B31,Lebensmittel!$A$2:$G$14500,2,0))</f>
        <v/>
      </c>
      <c r="F31" s="20" t="str">
        <f>IF(ISBLANK(B31),"",$C31*VLOOKUP($B31,Lebensmittel!$A$2:$G$14500,4,0)/VLOOKUP($B31,Lebensmittel!$A$2:$G$14500,2,0))</f>
        <v/>
      </c>
      <c r="G31" s="20" t="str">
        <f>IF(ISBLANK(B31),"",$C31*VLOOKUP($B31,Lebensmittel!$A$2:$G$14500,5,0)/VLOOKUP($B31,Lebensmittel!$A$2:$G$14500,2,0))</f>
        <v/>
      </c>
      <c r="H31" s="20" t="str">
        <f>IF(ISBLANK(B31),"",$C31*VLOOKUP($B31,Lebensmittel!$A$2:$G$14500,6,0)/VLOOKUP($B31,Lebensmittel!$A$2:$G$14500,2,0))</f>
        <v/>
      </c>
    </row>
    <row r="32" spans="1:256" x14ac:dyDescent="0.25">
      <c r="B32" s="37"/>
      <c r="C32" s="38"/>
      <c r="D32" s="19" t="str">
        <f>IF(ISBLANK(B32),"",$C32*VLOOKUP($B32,Lebensmittel!$A$2:$G$14500,3,0)/VLOOKUP($B32,Lebensmittel!$A$2:$G$14500,2,0))</f>
        <v/>
      </c>
      <c r="E32" s="19" t="str">
        <f>IF(ISBLANK(B32),"",$C32*VLOOKUP($B32,Lebensmittel!$A$2:$G$14500,7,0)/VLOOKUP($B32,Lebensmittel!$A$2:$G$14500,2,0))</f>
        <v/>
      </c>
      <c r="F32" s="20" t="str">
        <f>IF(ISBLANK(B32),"",$C32*VLOOKUP($B32,Lebensmittel!$A$2:$G$14500,4,0)/VLOOKUP($B32,Lebensmittel!$A$2:$G$14500,2,0))</f>
        <v/>
      </c>
      <c r="G32" s="20" t="str">
        <f>IF(ISBLANK(B32),"",$C32*VLOOKUP($B32,Lebensmittel!$A$2:$G$14500,5,0)/VLOOKUP($B32,Lebensmittel!$A$2:$G$14500,2,0))</f>
        <v/>
      </c>
      <c r="H32" s="20" t="str">
        <f>IF(ISBLANK(B32),"",$C32*VLOOKUP($B32,Lebensmittel!$A$2:$G$14500,6,0)/VLOOKUP($B32,Lebensmittel!$A$2:$G$14500,2,0))</f>
        <v/>
      </c>
    </row>
    <row r="33" spans="1:256" x14ac:dyDescent="0.25">
      <c r="B33" s="37"/>
      <c r="C33" s="38"/>
      <c r="D33" s="19" t="str">
        <f>IF(ISBLANK(B33),"",$C33*VLOOKUP($B33,Lebensmittel!$A$2:$G$14500,3,0)/VLOOKUP($B33,Lebensmittel!$A$2:$G$14500,2,0))</f>
        <v/>
      </c>
      <c r="E33" s="19" t="str">
        <f>IF(ISBLANK(B33),"",$C33*VLOOKUP($B33,Lebensmittel!$A$2:$G$14500,7,0)/VLOOKUP($B33,Lebensmittel!$A$2:$G$14500,2,0))</f>
        <v/>
      </c>
      <c r="F33" s="20" t="str">
        <f>IF(ISBLANK(B33),"",$C33*VLOOKUP($B33,Lebensmittel!$A$2:$G$14500,4,0)/VLOOKUP($B33,Lebensmittel!$A$2:$G$14500,2,0))</f>
        <v/>
      </c>
      <c r="G33" s="20" t="str">
        <f>IF(ISBLANK(B33),"",$C33*VLOOKUP($B33,Lebensmittel!$A$2:$G$14500,5,0)/VLOOKUP($B33,Lebensmittel!$A$2:$G$14500,2,0))</f>
        <v/>
      </c>
      <c r="H33" s="20" t="str">
        <f>IF(ISBLANK(B33),"",$C33*VLOOKUP($B33,Lebensmittel!$A$2:$G$14500,6,0)/VLOOKUP($B33,Lebensmittel!$A$2:$G$14500,2,0))</f>
        <v/>
      </c>
    </row>
    <row r="34" spans="1:256" x14ac:dyDescent="0.25">
      <c r="B34" s="33" t="s">
        <v>40</v>
      </c>
      <c r="C34" s="34">
        <f t="shared" ref="C34:H34" si="3">SUM(C24:C33)</f>
        <v>195</v>
      </c>
      <c r="D34" s="35">
        <f t="shared" si="3"/>
        <v>682.55</v>
      </c>
      <c r="E34" s="35">
        <f t="shared" si="3"/>
        <v>682.55</v>
      </c>
      <c r="F34" s="36">
        <f t="shared" si="3"/>
        <v>25.5</v>
      </c>
      <c r="G34" s="36">
        <f t="shared" si="3"/>
        <v>88</v>
      </c>
      <c r="H34" s="36">
        <f t="shared" si="3"/>
        <v>22.5</v>
      </c>
    </row>
    <row r="36" spans="1:256" ht="18" x14ac:dyDescent="0.25">
      <c r="A36" s="39" t="s">
        <v>41</v>
      </c>
      <c r="B36" s="39"/>
      <c r="C36" s="3"/>
      <c r="D36" s="4"/>
      <c r="E36" s="4"/>
      <c r="F36" s="5"/>
      <c r="G36" s="5"/>
      <c r="H36" s="5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</row>
    <row r="37" spans="1:256" s="7" customFormat="1" ht="15.75" x14ac:dyDescent="0.25">
      <c r="B37" s="2" t="s">
        <v>3</v>
      </c>
      <c r="C37" s="8" t="s">
        <v>5</v>
      </c>
      <c r="D37" s="9" t="s">
        <v>6</v>
      </c>
      <c r="E37" s="9" t="s">
        <v>6</v>
      </c>
      <c r="F37" s="10" t="s">
        <v>7</v>
      </c>
      <c r="G37" s="10" t="s">
        <v>8</v>
      </c>
      <c r="H37" s="10" t="s">
        <v>9</v>
      </c>
    </row>
    <row r="38" spans="1:256" x14ac:dyDescent="0.25">
      <c r="B38" s="37" t="s">
        <v>28</v>
      </c>
      <c r="C38" s="38">
        <v>75</v>
      </c>
      <c r="D38" s="19">
        <f>IF(ISBLANK(B38),"",$C38*VLOOKUP($B38,Lebensmittel!$A$2:$G$14500,3,0)/VLOOKUP($B38,Lebensmittel!$A$2:$G$14500,2,0))</f>
        <v>255</v>
      </c>
      <c r="E38" s="19">
        <f>IF(ISBLANK(B38),"",$C38*VLOOKUP($B38,Lebensmittel!$A$2:$G$14500,7,0)/VLOOKUP($B38,Lebensmittel!$A$2:$G$14500,2,0))</f>
        <v>255</v>
      </c>
      <c r="F38" s="20">
        <f>IF(ISBLANK(B38),"",$C38*VLOOKUP($B38,Lebensmittel!$A$2:$G$14500,4,0)/VLOOKUP($B38,Lebensmittel!$A$2:$G$14500,2,0))</f>
        <v>11.25</v>
      </c>
      <c r="G38" s="20">
        <f>IF(ISBLANK(B38),"",$C38*VLOOKUP($B38,Lebensmittel!$A$2:$G$14500,5,0)/VLOOKUP($B38,Lebensmittel!$A$2:$G$14500,2,0))</f>
        <v>37.5</v>
      </c>
      <c r="H38" s="20">
        <f>IF(ISBLANK(B38),"",$C38*VLOOKUP($B38,Lebensmittel!$A$2:$G$14500,6,0)/VLOOKUP($B38,Lebensmittel!$A$2:$G$14500,2,0))</f>
        <v>0</v>
      </c>
    </row>
    <row r="39" spans="1:256" x14ac:dyDescent="0.25">
      <c r="B39" s="37" t="s">
        <v>31</v>
      </c>
      <c r="C39" s="38">
        <v>15</v>
      </c>
      <c r="D39" s="19">
        <f>IF(ISBLANK(B39),"",$C39*VLOOKUP($B39,Lebensmittel!$A$2:$G$14500,3,0)/VLOOKUP($B39,Lebensmittel!$A$2:$G$14500,2,0))</f>
        <v>78.599999999999994</v>
      </c>
      <c r="E39" s="19">
        <f>IF(ISBLANK(B39),"",$C39*VLOOKUP($B39,Lebensmittel!$A$2:$G$14500,7,0)/VLOOKUP($B39,Lebensmittel!$A$2:$G$14500,2,0))</f>
        <v>78.599999999999994</v>
      </c>
      <c r="F39" s="20">
        <f>IF(ISBLANK(B39),"",$C39*VLOOKUP($B39,Lebensmittel!$A$2:$G$14500,4,0)/VLOOKUP($B39,Lebensmittel!$A$2:$G$14500,2,0))</f>
        <v>6</v>
      </c>
      <c r="G39" s="20">
        <f>IF(ISBLANK(B39),"",$C39*VLOOKUP($B39,Lebensmittel!$A$2:$G$14500,5,0)/VLOOKUP($B39,Lebensmittel!$A$2:$G$14500,2,0))</f>
        <v>6</v>
      </c>
      <c r="H39" s="20">
        <f>IF(ISBLANK(B39),"",$C39*VLOOKUP($B39,Lebensmittel!$A$2:$G$14500,6,0)/VLOOKUP($B39,Lebensmittel!$A$2:$G$14500,2,0))</f>
        <v>0</v>
      </c>
    </row>
    <row r="40" spans="1:256" x14ac:dyDescent="0.25">
      <c r="B40" s="37"/>
      <c r="C40" s="38"/>
      <c r="D40" s="19" t="str">
        <f>IF(ISBLANK(B40),"",$C40*VLOOKUP($B40,Lebensmittel!$A$2:$G$14500,3,0)/VLOOKUP($B40,Lebensmittel!$A$2:$G$14500,2,0))</f>
        <v/>
      </c>
      <c r="E40" s="19" t="str">
        <f>IF(ISBLANK(B40),"",$C40*VLOOKUP($B40,Lebensmittel!$A$2:$G$14500,7,0)/VLOOKUP($B40,Lebensmittel!$A$2:$G$14500,2,0))</f>
        <v/>
      </c>
      <c r="F40" s="20" t="str">
        <f>IF(ISBLANK(B40),"",$C40*VLOOKUP($B40,Lebensmittel!$A$2:$G$14500,4,0)/VLOOKUP($B40,Lebensmittel!$A$2:$G$14500,2,0))</f>
        <v/>
      </c>
      <c r="G40" s="20" t="str">
        <f>IF(ISBLANK(B40),"",$C40*VLOOKUP($B40,Lebensmittel!$A$2:$G$14500,5,0)/VLOOKUP($B40,Lebensmittel!$A$2:$G$14500,2,0))</f>
        <v/>
      </c>
      <c r="H40" s="20" t="str">
        <f>IF(ISBLANK(B40),"",$C40*VLOOKUP($B40,Lebensmittel!$A$2:$G$14500,6,0)/VLOOKUP($B40,Lebensmittel!$A$2:$G$14500,2,0))</f>
        <v/>
      </c>
    </row>
    <row r="41" spans="1:256" x14ac:dyDescent="0.25">
      <c r="B41" s="37"/>
      <c r="C41" s="38"/>
      <c r="D41" s="19" t="str">
        <f>IF(ISBLANK(B41),"",$C41*VLOOKUP($B41,Lebensmittel!$A$2:$G$14500,3,0)/VLOOKUP($B41,Lebensmittel!$A$2:$G$14500,2,0))</f>
        <v/>
      </c>
      <c r="E41" s="19" t="str">
        <f>IF(ISBLANK(B41),"",$C41*VLOOKUP($B41,Lebensmittel!$A$2:$G$14500,7,0)/VLOOKUP($B41,Lebensmittel!$A$2:$G$14500,2,0))</f>
        <v/>
      </c>
      <c r="F41" s="20" t="str">
        <f>IF(ISBLANK(B41),"",$C41*VLOOKUP($B41,Lebensmittel!$A$2:$G$14500,4,0)/VLOOKUP($B41,Lebensmittel!$A$2:$G$14500,2,0))</f>
        <v/>
      </c>
      <c r="G41" s="20" t="str">
        <f>IF(ISBLANK(B41),"",$C41*VLOOKUP($B41,Lebensmittel!$A$2:$G$14500,5,0)/VLOOKUP($B41,Lebensmittel!$A$2:$G$14500,2,0))</f>
        <v/>
      </c>
      <c r="H41" s="20" t="str">
        <f>IF(ISBLANK(B41),"",$C41*VLOOKUP($B41,Lebensmittel!$A$2:$G$14500,6,0)/VLOOKUP($B41,Lebensmittel!$A$2:$G$14500,2,0))</f>
        <v/>
      </c>
    </row>
    <row r="42" spans="1:256" x14ac:dyDescent="0.25">
      <c r="B42" s="37"/>
      <c r="C42" s="38"/>
      <c r="D42" s="19" t="str">
        <f>IF(ISBLANK(B42),"",$C42*VLOOKUP($B42,Lebensmittel!$A$2:$G$14500,3,0)/VLOOKUP($B42,Lebensmittel!$A$2:$G$14500,2,0))</f>
        <v/>
      </c>
      <c r="E42" s="19" t="str">
        <f>IF(ISBLANK(B42),"",$C42*VLOOKUP($B42,Lebensmittel!$A$2:$G$14500,7,0)/VLOOKUP($B42,Lebensmittel!$A$2:$G$14500,2,0))</f>
        <v/>
      </c>
      <c r="F42" s="20" t="str">
        <f>IF(ISBLANK(B42),"",$C42*VLOOKUP($B42,Lebensmittel!$A$2:$G$14500,4,0)/VLOOKUP($B42,Lebensmittel!$A$2:$G$14500,2,0))</f>
        <v/>
      </c>
      <c r="G42" s="20" t="str">
        <f>IF(ISBLANK(B42),"",$C42*VLOOKUP($B42,Lebensmittel!$A$2:$G$14500,5,0)/VLOOKUP($B42,Lebensmittel!$A$2:$G$14500,2,0))</f>
        <v/>
      </c>
      <c r="H42" s="20" t="str">
        <f>IF(ISBLANK(B42),"",$C42*VLOOKUP($B42,Lebensmittel!$A$2:$G$14500,6,0)/VLOOKUP($B42,Lebensmittel!$A$2:$G$14500,2,0))</f>
        <v/>
      </c>
    </row>
    <row r="43" spans="1:256" x14ac:dyDescent="0.25">
      <c r="B43" s="37"/>
      <c r="C43" s="38"/>
      <c r="D43" s="19" t="str">
        <f>IF(ISBLANK(B43),"",$C43*VLOOKUP($B43,Lebensmittel!$A$2:$G$14500,3,0)/VLOOKUP($B43,Lebensmittel!$A$2:$G$14500,2,0))</f>
        <v/>
      </c>
      <c r="E43" s="19" t="str">
        <f>IF(ISBLANK(B43),"",$C43*VLOOKUP($B43,Lebensmittel!$A$2:$G$14500,7,0)/VLOOKUP($B43,Lebensmittel!$A$2:$G$14500,2,0))</f>
        <v/>
      </c>
      <c r="F43" s="20" t="str">
        <f>IF(ISBLANK(B43),"",$C43*VLOOKUP($B43,Lebensmittel!$A$2:$G$14500,4,0)/VLOOKUP($B43,Lebensmittel!$A$2:$G$14500,2,0))</f>
        <v/>
      </c>
      <c r="G43" s="20" t="str">
        <f>IF(ISBLANK(B43),"",$C43*VLOOKUP($B43,Lebensmittel!$A$2:$G$14500,5,0)/VLOOKUP($B43,Lebensmittel!$A$2:$G$14500,2,0))</f>
        <v/>
      </c>
      <c r="H43" s="20" t="str">
        <f>IF(ISBLANK(B43),"",$C43*VLOOKUP($B43,Lebensmittel!$A$2:$G$14500,6,0)/VLOOKUP($B43,Lebensmittel!$A$2:$G$14500,2,0))</f>
        <v/>
      </c>
    </row>
    <row r="44" spans="1:256" x14ac:dyDescent="0.25">
      <c r="B44" s="37"/>
      <c r="C44" s="38"/>
      <c r="D44" s="19" t="str">
        <f>IF(ISBLANK(B44),"",$C44*VLOOKUP($B44,Lebensmittel!$A$2:$G$14500,3,0)/VLOOKUP($B44,Lebensmittel!$A$2:$G$14500,2,0))</f>
        <v/>
      </c>
      <c r="E44" s="19" t="str">
        <f>IF(ISBLANK(B44),"",$C44*VLOOKUP($B44,Lebensmittel!$A$2:$G$14500,7,0)/VLOOKUP($B44,Lebensmittel!$A$2:$G$14500,2,0))</f>
        <v/>
      </c>
      <c r="F44" s="20" t="str">
        <f>IF(ISBLANK(B44),"",$C44*VLOOKUP($B44,Lebensmittel!$A$2:$G$14500,4,0)/VLOOKUP($B44,Lebensmittel!$A$2:$G$14500,2,0))</f>
        <v/>
      </c>
      <c r="G44" s="20" t="str">
        <f>IF(ISBLANK(B44),"",$C44*VLOOKUP($B44,Lebensmittel!$A$2:$G$14500,5,0)/VLOOKUP($B44,Lebensmittel!$A$2:$G$14500,2,0))</f>
        <v/>
      </c>
      <c r="H44" s="20" t="str">
        <f>IF(ISBLANK(B44),"",$C44*VLOOKUP($B44,Lebensmittel!$A$2:$G$14500,6,0)/VLOOKUP($B44,Lebensmittel!$A$2:$G$14500,2,0))</f>
        <v/>
      </c>
    </row>
    <row r="45" spans="1:256" x14ac:dyDescent="0.25">
      <c r="B45" s="37"/>
      <c r="C45" s="38"/>
      <c r="D45" s="19" t="str">
        <f>IF(ISBLANK(B45),"",$C45*VLOOKUP($B45,Lebensmittel!$A$2:$G$14500,3,0)/VLOOKUP($B45,Lebensmittel!$A$2:$G$14500,2,0))</f>
        <v/>
      </c>
      <c r="E45" s="19" t="str">
        <f>IF(ISBLANK(B45),"",$C45*VLOOKUP($B45,Lebensmittel!$A$2:$G$14500,7,0)/VLOOKUP($B45,Lebensmittel!$A$2:$G$14500,2,0))</f>
        <v/>
      </c>
      <c r="F45" s="20" t="str">
        <f>IF(ISBLANK(B45),"",$C45*VLOOKUP($B45,Lebensmittel!$A$2:$G$14500,4,0)/VLOOKUP($B45,Lebensmittel!$A$2:$G$14500,2,0))</f>
        <v/>
      </c>
      <c r="G45" s="20" t="str">
        <f>IF(ISBLANK(B45),"",$C45*VLOOKUP($B45,Lebensmittel!$A$2:$G$14500,5,0)/VLOOKUP($B45,Lebensmittel!$A$2:$G$14500,2,0))</f>
        <v/>
      </c>
      <c r="H45" s="20" t="str">
        <f>IF(ISBLANK(B45),"",$C45*VLOOKUP($B45,Lebensmittel!$A$2:$G$14500,6,0)/VLOOKUP($B45,Lebensmittel!$A$2:$G$14500,2,0))</f>
        <v/>
      </c>
    </row>
    <row r="46" spans="1:256" x14ac:dyDescent="0.25">
      <c r="B46" s="37"/>
      <c r="C46" s="38"/>
      <c r="D46" s="19" t="str">
        <f>IF(ISBLANK(B46),"",$C46*VLOOKUP($B46,Lebensmittel!$A$2:$G$14500,3,0)/VLOOKUP($B46,Lebensmittel!$A$2:$G$14500,2,0))</f>
        <v/>
      </c>
      <c r="E46" s="19" t="str">
        <f>IF(ISBLANK(B46),"",$C46*VLOOKUP($B46,Lebensmittel!$A$2:$G$14500,7,0)/VLOOKUP($B46,Lebensmittel!$A$2:$G$14500,2,0))</f>
        <v/>
      </c>
      <c r="F46" s="20" t="str">
        <f>IF(ISBLANK(B46),"",$C46*VLOOKUP($B46,Lebensmittel!$A$2:$G$14500,4,0)/VLOOKUP($B46,Lebensmittel!$A$2:$G$14500,2,0))</f>
        <v/>
      </c>
      <c r="G46" s="20" t="str">
        <f>IF(ISBLANK(B46),"",$C46*VLOOKUP($B46,Lebensmittel!$A$2:$G$14500,5,0)/VLOOKUP($B46,Lebensmittel!$A$2:$G$14500,2,0))</f>
        <v/>
      </c>
      <c r="H46" s="20" t="str">
        <f>IF(ISBLANK(B46),"",$C46*VLOOKUP($B46,Lebensmittel!$A$2:$G$14500,6,0)/VLOOKUP($B46,Lebensmittel!$A$2:$G$14500,2,0))</f>
        <v/>
      </c>
    </row>
    <row r="47" spans="1:256" x14ac:dyDescent="0.25">
      <c r="B47" s="37"/>
      <c r="C47" s="38"/>
      <c r="D47" s="19" t="str">
        <f>IF(ISBLANK(B47),"",$C47*VLOOKUP($B47,Lebensmittel!$A$2:$G$14500,3,0)/VLOOKUP($B47,Lebensmittel!$A$2:$G$14500,2,0))</f>
        <v/>
      </c>
      <c r="E47" s="19" t="str">
        <f>IF(ISBLANK(B47),"",$C47*VLOOKUP($B47,Lebensmittel!$A$2:$G$14500,7,0)/VLOOKUP($B47,Lebensmittel!$A$2:$G$14500,2,0))</f>
        <v/>
      </c>
      <c r="F47" s="20" t="str">
        <f>IF(ISBLANK(B47),"",$C47*VLOOKUP($B47,Lebensmittel!$A$2:$G$14500,4,0)/VLOOKUP($B47,Lebensmittel!$A$2:$G$14500,2,0))</f>
        <v/>
      </c>
      <c r="G47" s="20" t="str">
        <f>IF(ISBLANK(B47),"",$C47*VLOOKUP($B47,Lebensmittel!$A$2:$G$14500,5,0)/VLOOKUP($B47,Lebensmittel!$A$2:$G$14500,2,0))</f>
        <v/>
      </c>
      <c r="H47" s="20" t="str">
        <f>IF(ISBLANK(B47),"",$C47*VLOOKUP($B47,Lebensmittel!$A$2:$G$14500,6,0)/VLOOKUP($B47,Lebensmittel!$A$2:$G$14500,2,0))</f>
        <v/>
      </c>
    </row>
    <row r="48" spans="1:256" x14ac:dyDescent="0.25">
      <c r="B48" s="33" t="s">
        <v>42</v>
      </c>
      <c r="C48" s="34">
        <f t="shared" ref="C48:H48" si="4">SUM(C38:C47)</f>
        <v>90</v>
      </c>
      <c r="D48" s="35">
        <f t="shared" si="4"/>
        <v>333.6</v>
      </c>
      <c r="E48" s="35">
        <f t="shared" si="4"/>
        <v>333.6</v>
      </c>
      <c r="F48" s="36">
        <f t="shared" si="4"/>
        <v>17.25</v>
      </c>
      <c r="G48" s="36">
        <f t="shared" si="4"/>
        <v>43.5</v>
      </c>
      <c r="H48" s="36">
        <f t="shared" si="4"/>
        <v>0</v>
      </c>
    </row>
    <row r="50" spans="1:256" ht="18" x14ac:dyDescent="0.25">
      <c r="A50" s="39" t="s">
        <v>43</v>
      </c>
      <c r="B50" s="39"/>
      <c r="C50" s="3"/>
      <c r="D50" s="4"/>
      <c r="E50" s="4"/>
      <c r="F50" s="5"/>
      <c r="G50" s="5"/>
      <c r="H50" s="5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</row>
    <row r="51" spans="1:256" s="7" customFormat="1" ht="15.75" x14ac:dyDescent="0.25">
      <c r="B51" s="2" t="s">
        <v>3</v>
      </c>
      <c r="C51" s="8" t="s">
        <v>5</v>
      </c>
      <c r="D51" s="9" t="s">
        <v>6</v>
      </c>
      <c r="E51" s="9" t="s">
        <v>6</v>
      </c>
      <c r="F51" s="10" t="s">
        <v>7</v>
      </c>
      <c r="G51" s="10" t="s">
        <v>8</v>
      </c>
      <c r="H51" s="10" t="s">
        <v>9</v>
      </c>
    </row>
    <row r="52" spans="1:256" x14ac:dyDescent="0.25">
      <c r="B52" s="37" t="s">
        <v>15</v>
      </c>
      <c r="C52" s="38">
        <v>80</v>
      </c>
      <c r="D52" s="19">
        <f>IF(ISBLANK(B52),"",$C52*VLOOKUP($B52,Lebensmittel!$A$2:$G$14500,3,0)/VLOOKUP($B52,Lebensmittel!$A$2:$G$14500,2,0))</f>
        <v>216.4</v>
      </c>
      <c r="E52" s="19">
        <f>IF(ISBLANK(B52),"",$C52*VLOOKUP($B52,Lebensmittel!$A$2:$G$14500,7,0)/VLOOKUP($B52,Lebensmittel!$A$2:$G$14500,2,0))</f>
        <v>216.4</v>
      </c>
      <c r="F52" s="20">
        <f>IF(ISBLANK(B52),"",$C52*VLOOKUP($B52,Lebensmittel!$A$2:$G$14500,4,0)/VLOOKUP($B52,Lebensmittel!$A$2:$G$14500,2,0))</f>
        <v>4</v>
      </c>
      <c r="G52" s="20">
        <f>IF(ISBLANK(B52),"",$C52*VLOOKUP($B52,Lebensmittel!$A$2:$G$14500,5,0)/VLOOKUP($B52,Lebensmittel!$A$2:$G$14500,2,0))</f>
        <v>40</v>
      </c>
      <c r="H52" s="20">
        <f>IF(ISBLANK(B52),"",$C52*VLOOKUP($B52,Lebensmittel!$A$2:$G$14500,6,0)/VLOOKUP($B52,Lebensmittel!$A$2:$G$14500,2,0))</f>
        <v>4</v>
      </c>
    </row>
    <row r="53" spans="1:256" x14ac:dyDescent="0.25">
      <c r="B53" s="37" t="s">
        <v>22</v>
      </c>
      <c r="C53" s="38">
        <v>50</v>
      </c>
      <c r="D53" s="19">
        <f>IF(ISBLANK(B53),"",$C53*VLOOKUP($B53,Lebensmittel!$A$2:$G$14500,3,0)/VLOOKUP($B53,Lebensmittel!$A$2:$G$14500,2,0))</f>
        <v>120.75</v>
      </c>
      <c r="E53" s="19">
        <f>IF(ISBLANK(B53),"",$C53*VLOOKUP($B53,Lebensmittel!$A$2:$G$14500,7,0)/VLOOKUP($B53,Lebensmittel!$A$2:$G$14500,2,0))</f>
        <v>120.75</v>
      </c>
      <c r="F53" s="20">
        <f>IF(ISBLANK(B53),"",$C53*VLOOKUP($B53,Lebensmittel!$A$2:$G$14500,4,0)/VLOOKUP($B53,Lebensmittel!$A$2:$G$14500,2,0))</f>
        <v>10</v>
      </c>
      <c r="G53" s="20">
        <f>IF(ISBLANK(B53),"",$C53*VLOOKUP($B53,Lebensmittel!$A$2:$G$14500,5,0)/VLOOKUP($B53,Lebensmittel!$A$2:$G$14500,2,0))</f>
        <v>0</v>
      </c>
      <c r="H53" s="20">
        <f>IF(ISBLANK(B53),"",$C53*VLOOKUP($B53,Lebensmittel!$A$2:$G$14500,6,0)/VLOOKUP($B53,Lebensmittel!$A$2:$G$14500,2,0))</f>
        <v>7.5</v>
      </c>
    </row>
    <row r="54" spans="1:256" x14ac:dyDescent="0.25">
      <c r="B54" s="37" t="s">
        <v>26</v>
      </c>
      <c r="C54" s="38">
        <v>30</v>
      </c>
      <c r="D54" s="19">
        <f>IF(ISBLANK(B54),"",$C54*VLOOKUP($B54,Lebensmittel!$A$2:$G$14500,3,0)/VLOOKUP($B54,Lebensmittel!$A$2:$G$14500,2,0))</f>
        <v>152.4</v>
      </c>
      <c r="E54" s="19">
        <f>IF(ISBLANK(B54),"",$C54*VLOOKUP($B54,Lebensmittel!$A$2:$G$14500,7,0)/VLOOKUP($B54,Lebensmittel!$A$2:$G$14500,2,0))</f>
        <v>152.4</v>
      </c>
      <c r="F54" s="20">
        <f>IF(ISBLANK(B54),"",$C54*VLOOKUP($B54,Lebensmittel!$A$2:$G$14500,4,0)/VLOOKUP($B54,Lebensmittel!$A$2:$G$14500,2,0))</f>
        <v>6</v>
      </c>
      <c r="G54" s="20">
        <f>IF(ISBLANK(B54),"",$C54*VLOOKUP($B54,Lebensmittel!$A$2:$G$14500,5,0)/VLOOKUP($B54,Lebensmittel!$A$2:$G$14500,2,0))</f>
        <v>24</v>
      </c>
      <c r="H54" s="20">
        <f>IF(ISBLANK(B54),"",$C54*VLOOKUP($B54,Lebensmittel!$A$2:$G$14500,6,0)/VLOOKUP($B54,Lebensmittel!$A$2:$G$14500,2,0))</f>
        <v>0</v>
      </c>
    </row>
    <row r="55" spans="1:256" x14ac:dyDescent="0.25">
      <c r="B55" s="37"/>
      <c r="C55" s="38"/>
      <c r="D55" s="19" t="str">
        <f>IF(ISBLANK(B55),"",$C55*VLOOKUP($B55,Lebensmittel!$A$2:$G$14500,3,0)/VLOOKUP($B55,Lebensmittel!$A$2:$G$14500,2,0))</f>
        <v/>
      </c>
      <c r="E55" s="19" t="str">
        <f>IF(ISBLANK(B55),"",$C55*VLOOKUP($B55,Lebensmittel!$A$2:$G$14500,7,0)/VLOOKUP($B55,Lebensmittel!$A$2:$G$14500,2,0))</f>
        <v/>
      </c>
      <c r="F55" s="20" t="str">
        <f>IF(ISBLANK(B55),"",$C55*VLOOKUP($B55,Lebensmittel!$A$2:$G$14500,4,0)/VLOOKUP($B55,Lebensmittel!$A$2:$G$14500,2,0))</f>
        <v/>
      </c>
      <c r="G55" s="20" t="str">
        <f>IF(ISBLANK(B55),"",$C55*VLOOKUP($B55,Lebensmittel!$A$2:$G$14500,5,0)/VLOOKUP($B55,Lebensmittel!$A$2:$G$14500,2,0))</f>
        <v/>
      </c>
      <c r="H55" s="20" t="str">
        <f>IF(ISBLANK(B55),"",$C55*VLOOKUP($B55,Lebensmittel!$A$2:$G$14500,6,0)/VLOOKUP($B55,Lebensmittel!$A$2:$G$14500,2,0))</f>
        <v/>
      </c>
    </row>
    <row r="56" spans="1:256" x14ac:dyDescent="0.25">
      <c r="B56" s="37"/>
      <c r="C56" s="38"/>
      <c r="D56" s="19" t="str">
        <f>IF(ISBLANK(B56),"",$C56*VLOOKUP($B56,Lebensmittel!$A$2:$G$14500,3,0)/VLOOKUP($B56,Lebensmittel!$A$2:$G$14500,2,0))</f>
        <v/>
      </c>
      <c r="E56" s="19" t="str">
        <f>IF(ISBLANK(B56),"",$C56*VLOOKUP($B56,Lebensmittel!$A$2:$G$14500,7,0)/VLOOKUP($B56,Lebensmittel!$A$2:$G$14500,2,0))</f>
        <v/>
      </c>
      <c r="F56" s="20" t="str">
        <f>IF(ISBLANK(B56),"",$C56*VLOOKUP($B56,Lebensmittel!$A$2:$G$14500,4,0)/VLOOKUP($B56,Lebensmittel!$A$2:$G$14500,2,0))</f>
        <v/>
      </c>
      <c r="G56" s="20" t="str">
        <f>IF(ISBLANK(B56),"",$C56*VLOOKUP($B56,Lebensmittel!$A$2:$G$14500,5,0)/VLOOKUP($B56,Lebensmittel!$A$2:$G$14500,2,0))</f>
        <v/>
      </c>
      <c r="H56" s="20" t="str">
        <f>IF(ISBLANK(B56),"",$C56*VLOOKUP($B56,Lebensmittel!$A$2:$G$14500,6,0)/VLOOKUP($B56,Lebensmittel!$A$2:$G$14500,2,0))</f>
        <v/>
      </c>
    </row>
    <row r="57" spans="1:256" x14ac:dyDescent="0.25">
      <c r="B57" s="37"/>
      <c r="C57" s="38"/>
      <c r="D57" s="19" t="str">
        <f>IF(ISBLANK(B57),"",$C57*VLOOKUP($B57,Lebensmittel!$A$2:$G$14500,3,0)/VLOOKUP($B57,Lebensmittel!$A$2:$G$14500,2,0))</f>
        <v/>
      </c>
      <c r="E57" s="19" t="str">
        <f>IF(ISBLANK(B57),"",$C57*VLOOKUP($B57,Lebensmittel!$A$2:$G$14500,7,0)/VLOOKUP($B57,Lebensmittel!$A$2:$G$14500,2,0))</f>
        <v/>
      </c>
      <c r="F57" s="20" t="str">
        <f>IF(ISBLANK(B57),"",$C57*VLOOKUP($B57,Lebensmittel!$A$2:$G$14500,4,0)/VLOOKUP($B57,Lebensmittel!$A$2:$G$14500,2,0))</f>
        <v/>
      </c>
      <c r="G57" s="20" t="str">
        <f>IF(ISBLANK(B57),"",$C57*VLOOKUP($B57,Lebensmittel!$A$2:$G$14500,5,0)/VLOOKUP($B57,Lebensmittel!$A$2:$G$14500,2,0))</f>
        <v/>
      </c>
      <c r="H57" s="20" t="str">
        <f>IF(ISBLANK(B57),"",$C57*VLOOKUP($B57,Lebensmittel!$A$2:$G$14500,6,0)/VLOOKUP($B57,Lebensmittel!$A$2:$G$14500,2,0))</f>
        <v/>
      </c>
    </row>
    <row r="58" spans="1:256" x14ac:dyDescent="0.25">
      <c r="B58" s="37"/>
      <c r="C58" s="38"/>
      <c r="D58" s="19" t="str">
        <f>IF(ISBLANK(B58),"",$C58*VLOOKUP($B58,Lebensmittel!$A$2:$G$14500,3,0)/VLOOKUP($B58,Lebensmittel!$A$2:$G$14500,2,0))</f>
        <v/>
      </c>
      <c r="E58" s="19" t="str">
        <f>IF(ISBLANK(B58),"",$C58*VLOOKUP($B58,Lebensmittel!$A$2:$G$14500,7,0)/VLOOKUP($B58,Lebensmittel!$A$2:$G$14500,2,0))</f>
        <v/>
      </c>
      <c r="F58" s="20" t="str">
        <f>IF(ISBLANK(B58),"",$C58*VLOOKUP($B58,Lebensmittel!$A$2:$G$14500,4,0)/VLOOKUP($B58,Lebensmittel!$A$2:$G$14500,2,0))</f>
        <v/>
      </c>
      <c r="G58" s="20" t="str">
        <f>IF(ISBLANK(B58),"",$C58*VLOOKUP($B58,Lebensmittel!$A$2:$G$14500,5,0)/VLOOKUP($B58,Lebensmittel!$A$2:$G$14500,2,0))</f>
        <v/>
      </c>
      <c r="H58" s="20" t="str">
        <f>IF(ISBLANK(B58),"",$C58*VLOOKUP($B58,Lebensmittel!$A$2:$G$14500,6,0)/VLOOKUP($B58,Lebensmittel!$A$2:$G$14500,2,0))</f>
        <v/>
      </c>
    </row>
    <row r="59" spans="1:256" x14ac:dyDescent="0.25">
      <c r="B59" s="37"/>
      <c r="C59" s="38"/>
      <c r="D59" s="19" t="str">
        <f>IF(ISBLANK(B59),"",$C59*VLOOKUP($B59,Lebensmittel!$A$2:$G$14500,3,0)/VLOOKUP($B59,Lebensmittel!$A$2:$G$14500,2,0))</f>
        <v/>
      </c>
      <c r="E59" s="19" t="str">
        <f>IF(ISBLANK(B59),"",$C59*VLOOKUP($B59,Lebensmittel!$A$2:$G$14500,7,0)/VLOOKUP($B59,Lebensmittel!$A$2:$G$14500,2,0))</f>
        <v/>
      </c>
      <c r="F59" s="20" t="str">
        <f>IF(ISBLANK(B59),"",$C59*VLOOKUP($B59,Lebensmittel!$A$2:$G$14500,4,0)/VLOOKUP($B59,Lebensmittel!$A$2:$G$14500,2,0))</f>
        <v/>
      </c>
      <c r="G59" s="20" t="str">
        <f>IF(ISBLANK(B59),"",$C59*VLOOKUP($B59,Lebensmittel!$A$2:$G$14500,5,0)/VLOOKUP($B59,Lebensmittel!$A$2:$G$14500,2,0))</f>
        <v/>
      </c>
      <c r="H59" s="20" t="str">
        <f>IF(ISBLANK(B59),"",$C59*VLOOKUP($B59,Lebensmittel!$A$2:$G$14500,6,0)/VLOOKUP($B59,Lebensmittel!$A$2:$G$14500,2,0))</f>
        <v/>
      </c>
    </row>
    <row r="60" spans="1:256" x14ac:dyDescent="0.25">
      <c r="B60" s="37"/>
      <c r="C60" s="38"/>
      <c r="D60" s="19" t="str">
        <f>IF(ISBLANK(B60),"",$C60*VLOOKUP($B60,Lebensmittel!$A$2:$G$14500,3,0)/VLOOKUP($B60,Lebensmittel!$A$2:$G$14500,2,0))</f>
        <v/>
      </c>
      <c r="E60" s="19" t="str">
        <f>IF(ISBLANK(B60),"",$C60*VLOOKUP($B60,Lebensmittel!$A$2:$G$14500,7,0)/VLOOKUP($B60,Lebensmittel!$A$2:$G$14500,2,0))</f>
        <v/>
      </c>
      <c r="F60" s="20" t="str">
        <f>IF(ISBLANK(B60),"",$C60*VLOOKUP($B60,Lebensmittel!$A$2:$G$14500,4,0)/VLOOKUP($B60,Lebensmittel!$A$2:$G$14500,2,0))</f>
        <v/>
      </c>
      <c r="G60" s="20" t="str">
        <f>IF(ISBLANK(B60),"",$C60*VLOOKUP($B60,Lebensmittel!$A$2:$G$14500,5,0)/VLOOKUP($B60,Lebensmittel!$A$2:$G$14500,2,0))</f>
        <v/>
      </c>
      <c r="H60" s="20" t="str">
        <f>IF(ISBLANK(B60),"",$C60*VLOOKUP($B60,Lebensmittel!$A$2:$G$14500,6,0)/VLOOKUP($B60,Lebensmittel!$A$2:$G$14500,2,0))</f>
        <v/>
      </c>
    </row>
    <row r="61" spans="1:256" x14ac:dyDescent="0.25">
      <c r="B61" s="37"/>
      <c r="C61" s="38"/>
      <c r="D61" s="19" t="str">
        <f>IF(ISBLANK(B61),"",$C61*VLOOKUP($B61,Lebensmittel!$A$2:$G$14500,3,0)/VLOOKUP($B61,Lebensmittel!$A$2:$G$14500,2,0))</f>
        <v/>
      </c>
      <c r="E61" s="19" t="str">
        <f>IF(ISBLANK(B61),"",$C61*VLOOKUP($B61,Lebensmittel!$A$2:$G$14500,7,0)/VLOOKUP($B61,Lebensmittel!$A$2:$G$14500,2,0))</f>
        <v/>
      </c>
      <c r="F61" s="20" t="str">
        <f>IF(ISBLANK(B61),"",$C61*VLOOKUP($B61,Lebensmittel!$A$2:$G$14500,4,0)/VLOOKUP($B61,Lebensmittel!$A$2:$G$14500,2,0))</f>
        <v/>
      </c>
      <c r="G61" s="20" t="str">
        <f>IF(ISBLANK(B61),"",$C61*VLOOKUP($B61,Lebensmittel!$A$2:$G$14500,5,0)/VLOOKUP($B61,Lebensmittel!$A$2:$G$14500,2,0))</f>
        <v/>
      </c>
      <c r="H61" s="20" t="str">
        <f>IF(ISBLANK(B61),"",$C61*VLOOKUP($B61,Lebensmittel!$A$2:$G$14500,6,0)/VLOOKUP($B61,Lebensmittel!$A$2:$G$14500,2,0))</f>
        <v/>
      </c>
    </row>
    <row r="62" spans="1:256" x14ac:dyDescent="0.25">
      <c r="B62" s="33" t="s">
        <v>44</v>
      </c>
      <c r="C62" s="34">
        <f t="shared" ref="C62:H62" si="5">SUM(C52:C61)</f>
        <v>160</v>
      </c>
      <c r="D62" s="35">
        <f t="shared" si="5"/>
        <v>489.54999999999995</v>
      </c>
      <c r="E62" s="35">
        <f t="shared" si="5"/>
        <v>489.54999999999995</v>
      </c>
      <c r="F62" s="36">
        <f t="shared" si="5"/>
        <v>20</v>
      </c>
      <c r="G62" s="36">
        <f t="shared" si="5"/>
        <v>64</v>
      </c>
      <c r="H62" s="36">
        <f t="shared" si="5"/>
        <v>11.5</v>
      </c>
    </row>
    <row r="64" spans="1:256" ht="18" x14ac:dyDescent="0.25">
      <c r="A64" s="39" t="s">
        <v>45</v>
      </c>
      <c r="B64" s="39"/>
      <c r="C64" s="3"/>
      <c r="D64" s="4"/>
      <c r="E64" s="4"/>
      <c r="F64" s="5"/>
      <c r="G64" s="5"/>
      <c r="H64" s="5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</row>
    <row r="65" spans="2:8" s="7" customFormat="1" ht="15.75" x14ac:dyDescent="0.25">
      <c r="B65" s="2" t="s">
        <v>3</v>
      </c>
      <c r="C65" s="8" t="s">
        <v>5</v>
      </c>
      <c r="D65" s="9" t="s">
        <v>6</v>
      </c>
      <c r="E65" s="9" t="s">
        <v>6</v>
      </c>
      <c r="F65" s="10" t="s">
        <v>7</v>
      </c>
      <c r="G65" s="10" t="s">
        <v>8</v>
      </c>
      <c r="H65" s="10" t="s">
        <v>9</v>
      </c>
    </row>
    <row r="66" spans="2:8" x14ac:dyDescent="0.25">
      <c r="B66" s="37"/>
      <c r="C66" s="38"/>
      <c r="D66" s="19" t="str">
        <f>IF(ISBLANK(B66),"",$C66*VLOOKUP($B66,Lebensmittel!$A$2:$G$14500,3,0)/VLOOKUP($B66,Lebensmittel!$A$2:$G$14500,2,0))</f>
        <v/>
      </c>
      <c r="E66" s="19" t="str">
        <f>IF(ISBLANK(B66),"",$C66*VLOOKUP($B66,Lebensmittel!$A$2:$G$14500,7,0)/VLOOKUP($B66,Lebensmittel!$A$2:$G$14500,2,0))</f>
        <v/>
      </c>
      <c r="F66" s="20" t="str">
        <f>IF(ISBLANK(B66),"",$C66*VLOOKUP($B66,Lebensmittel!$A$2:$G$14500,4,0)/VLOOKUP($B66,Lebensmittel!$A$2:$G$14500,2,0))</f>
        <v/>
      </c>
      <c r="G66" s="20" t="str">
        <f>IF(ISBLANK(B66),"",$C66*VLOOKUP($B66,Lebensmittel!$A$2:$G$14500,5,0)/VLOOKUP($B66,Lebensmittel!$A$2:$G$14500,2,0))</f>
        <v/>
      </c>
      <c r="H66" s="20" t="str">
        <f>IF(ISBLANK(B66),"",$C66*VLOOKUP($B66,Lebensmittel!$A$2:$G$14500,6,0)/VLOOKUP($B66,Lebensmittel!$A$2:$G$14500,2,0))</f>
        <v/>
      </c>
    </row>
    <row r="67" spans="2:8" x14ac:dyDescent="0.25">
      <c r="B67" s="37"/>
      <c r="C67" s="38"/>
      <c r="D67" s="19" t="str">
        <f>IF(ISBLANK(B67),"",$C67*VLOOKUP($B67,Lebensmittel!$A$2:$G$14500,3,0)/VLOOKUP($B67,Lebensmittel!$A$2:$G$14500,2,0))</f>
        <v/>
      </c>
      <c r="E67" s="19" t="str">
        <f>IF(ISBLANK(B67),"",$C67*VLOOKUP($B67,Lebensmittel!$A$2:$G$14500,7,0)/VLOOKUP($B67,Lebensmittel!$A$2:$G$14500,2,0))</f>
        <v/>
      </c>
      <c r="F67" s="20" t="str">
        <f>IF(ISBLANK(B67),"",$C67*VLOOKUP($B67,Lebensmittel!$A$2:$G$14500,4,0)/VLOOKUP($B67,Lebensmittel!$A$2:$G$14500,2,0))</f>
        <v/>
      </c>
      <c r="G67" s="20" t="str">
        <f>IF(ISBLANK(B67),"",$C67*VLOOKUP($B67,Lebensmittel!$A$2:$G$14500,5,0)/VLOOKUP($B67,Lebensmittel!$A$2:$G$14500,2,0))</f>
        <v/>
      </c>
      <c r="H67" s="20" t="str">
        <f>IF(ISBLANK(B67),"",$C67*VLOOKUP($B67,Lebensmittel!$A$2:$G$14500,6,0)/VLOOKUP($B67,Lebensmittel!$A$2:$G$14500,2,0))</f>
        <v/>
      </c>
    </row>
    <row r="68" spans="2:8" x14ac:dyDescent="0.25">
      <c r="B68" s="37"/>
      <c r="C68" s="38"/>
      <c r="D68" s="19" t="str">
        <f>IF(ISBLANK(B68),"",$C68*VLOOKUP($B68,Lebensmittel!$A$2:$G$14500,3,0)/VLOOKUP($B68,Lebensmittel!$A$2:$G$14500,2,0))</f>
        <v/>
      </c>
      <c r="E68" s="19" t="str">
        <f>IF(ISBLANK(B68),"",$C68*VLOOKUP($B68,Lebensmittel!$A$2:$G$14500,7,0)/VLOOKUP($B68,Lebensmittel!$A$2:$G$14500,2,0))</f>
        <v/>
      </c>
      <c r="F68" s="20" t="str">
        <f>IF(ISBLANK(B68),"",$C68*VLOOKUP($B68,Lebensmittel!$A$2:$G$14500,4,0)/VLOOKUP($B68,Lebensmittel!$A$2:$G$14500,2,0))</f>
        <v/>
      </c>
      <c r="G68" s="20" t="str">
        <f>IF(ISBLANK(B68),"",$C68*VLOOKUP($B68,Lebensmittel!$A$2:$G$14500,5,0)/VLOOKUP($B68,Lebensmittel!$A$2:$G$14500,2,0))</f>
        <v/>
      </c>
      <c r="H68" s="20" t="str">
        <f>IF(ISBLANK(B68),"",$C68*VLOOKUP($B68,Lebensmittel!$A$2:$G$14500,6,0)/VLOOKUP($B68,Lebensmittel!$A$2:$G$14500,2,0))</f>
        <v/>
      </c>
    </row>
    <row r="69" spans="2:8" x14ac:dyDescent="0.25">
      <c r="B69" s="37"/>
      <c r="C69" s="38"/>
      <c r="D69" s="19" t="str">
        <f>IF(ISBLANK(B69),"",$C69*VLOOKUP($B69,Lebensmittel!$A$2:$G$14500,3,0)/VLOOKUP($B69,Lebensmittel!$A$2:$G$14500,2,0))</f>
        <v/>
      </c>
      <c r="E69" s="19" t="str">
        <f>IF(ISBLANK(B69),"",$C69*VLOOKUP($B69,Lebensmittel!$A$2:$G$14500,7,0)/VLOOKUP($B69,Lebensmittel!$A$2:$G$14500,2,0))</f>
        <v/>
      </c>
      <c r="F69" s="20" t="str">
        <f>IF(ISBLANK(B69),"",$C69*VLOOKUP($B69,Lebensmittel!$A$2:$G$14500,4,0)/VLOOKUP($B69,Lebensmittel!$A$2:$G$14500,2,0))</f>
        <v/>
      </c>
      <c r="G69" s="20" t="str">
        <f>IF(ISBLANK(B69),"",$C69*VLOOKUP($B69,Lebensmittel!$A$2:$G$14500,5,0)/VLOOKUP($B69,Lebensmittel!$A$2:$G$14500,2,0))</f>
        <v/>
      </c>
      <c r="H69" s="20" t="str">
        <f>IF(ISBLANK(B69),"",$C69*VLOOKUP($B69,Lebensmittel!$A$2:$G$14500,6,0)/VLOOKUP($B69,Lebensmittel!$A$2:$G$14500,2,0))</f>
        <v/>
      </c>
    </row>
    <row r="70" spans="2:8" x14ac:dyDescent="0.25">
      <c r="B70" s="37"/>
      <c r="C70" s="38"/>
      <c r="D70" s="19" t="str">
        <f>IF(ISBLANK(B70),"",$C70*VLOOKUP($B70,Lebensmittel!$A$2:$G$14500,3,0)/VLOOKUP($B70,Lebensmittel!$A$2:$G$14500,2,0))</f>
        <v/>
      </c>
      <c r="E70" s="19" t="str">
        <f>IF(ISBLANK(B70),"",$C70*VLOOKUP($B70,Lebensmittel!$A$2:$G$14500,7,0)/VLOOKUP($B70,Lebensmittel!$A$2:$G$14500,2,0))</f>
        <v/>
      </c>
      <c r="F70" s="20" t="str">
        <f>IF(ISBLANK(B70),"",$C70*VLOOKUP($B70,Lebensmittel!$A$2:$G$14500,4,0)/VLOOKUP($B70,Lebensmittel!$A$2:$G$14500,2,0))</f>
        <v/>
      </c>
      <c r="G70" s="20" t="str">
        <f>IF(ISBLANK(B70),"",$C70*VLOOKUP($B70,Lebensmittel!$A$2:$G$14500,5,0)/VLOOKUP($B70,Lebensmittel!$A$2:$G$14500,2,0))</f>
        <v/>
      </c>
      <c r="H70" s="20" t="str">
        <f>IF(ISBLANK(B70),"",$C70*VLOOKUP($B70,Lebensmittel!$A$2:$G$14500,6,0)/VLOOKUP($B70,Lebensmittel!$A$2:$G$14500,2,0))</f>
        <v/>
      </c>
    </row>
    <row r="71" spans="2:8" x14ac:dyDescent="0.25">
      <c r="B71" s="37"/>
      <c r="C71" s="38"/>
      <c r="D71" s="19" t="str">
        <f>IF(ISBLANK(B71),"",$C71*VLOOKUP($B71,Lebensmittel!$A$2:$G$14500,3,0)/VLOOKUP($B71,Lebensmittel!$A$2:$G$14500,2,0))</f>
        <v/>
      </c>
      <c r="E71" s="19" t="str">
        <f>IF(ISBLANK(B71),"",$C71*VLOOKUP($B71,Lebensmittel!$A$2:$G$14500,7,0)/VLOOKUP($B71,Lebensmittel!$A$2:$G$14500,2,0))</f>
        <v/>
      </c>
      <c r="F71" s="20" t="str">
        <f>IF(ISBLANK(B71),"",$C71*VLOOKUP($B71,Lebensmittel!$A$2:$G$14500,4,0)/VLOOKUP($B71,Lebensmittel!$A$2:$G$14500,2,0))</f>
        <v/>
      </c>
      <c r="G71" s="20" t="str">
        <f>IF(ISBLANK(B71),"",$C71*VLOOKUP($B71,Lebensmittel!$A$2:$G$14500,5,0)/VLOOKUP($B71,Lebensmittel!$A$2:$G$14500,2,0))</f>
        <v/>
      </c>
      <c r="H71" s="20" t="str">
        <f>IF(ISBLANK(B71),"",$C71*VLOOKUP($B71,Lebensmittel!$A$2:$G$14500,6,0)/VLOOKUP($B71,Lebensmittel!$A$2:$G$14500,2,0))</f>
        <v/>
      </c>
    </row>
    <row r="72" spans="2:8" x14ac:dyDescent="0.25">
      <c r="B72" s="37"/>
      <c r="C72" s="38"/>
      <c r="D72" s="19" t="str">
        <f>IF(ISBLANK(B72),"",$C72*VLOOKUP($B72,Lebensmittel!$A$2:$G$14500,3,0)/VLOOKUP($B72,Lebensmittel!$A$2:$G$14500,2,0))</f>
        <v/>
      </c>
      <c r="E72" s="19" t="str">
        <f>IF(ISBLANK(B72),"",$C72*VLOOKUP($B72,Lebensmittel!$A$2:$G$14500,7,0)/VLOOKUP($B72,Lebensmittel!$A$2:$G$14500,2,0))</f>
        <v/>
      </c>
      <c r="F72" s="20" t="str">
        <f>IF(ISBLANK(B72),"",$C72*VLOOKUP($B72,Lebensmittel!$A$2:$G$14500,4,0)/VLOOKUP($B72,Lebensmittel!$A$2:$G$14500,2,0))</f>
        <v/>
      </c>
      <c r="G72" s="20" t="str">
        <f>IF(ISBLANK(B72),"",$C72*VLOOKUP($B72,Lebensmittel!$A$2:$G$14500,5,0)/VLOOKUP($B72,Lebensmittel!$A$2:$G$14500,2,0))</f>
        <v/>
      </c>
      <c r="H72" s="20" t="str">
        <f>IF(ISBLANK(B72),"",$C72*VLOOKUP($B72,Lebensmittel!$A$2:$G$14500,6,0)/VLOOKUP($B72,Lebensmittel!$A$2:$G$14500,2,0))</f>
        <v/>
      </c>
    </row>
    <row r="73" spans="2:8" x14ac:dyDescent="0.25">
      <c r="B73" s="37"/>
      <c r="C73" s="38"/>
      <c r="D73" s="19" t="str">
        <f>IF(ISBLANK(B73),"",$C73*VLOOKUP($B73,Lebensmittel!$A$2:$G$14500,3,0)/VLOOKUP($B73,Lebensmittel!$A$2:$G$14500,2,0))</f>
        <v/>
      </c>
      <c r="E73" s="19" t="str">
        <f>IF(ISBLANK(B73),"",$C73*VLOOKUP($B73,Lebensmittel!$A$2:$G$14500,7,0)/VLOOKUP($B73,Lebensmittel!$A$2:$G$14500,2,0))</f>
        <v/>
      </c>
      <c r="F73" s="20" t="str">
        <f>IF(ISBLANK(B73),"",$C73*VLOOKUP($B73,Lebensmittel!$A$2:$G$14500,4,0)/VLOOKUP($B73,Lebensmittel!$A$2:$G$14500,2,0))</f>
        <v/>
      </c>
      <c r="G73" s="20" t="str">
        <f>IF(ISBLANK(B73),"",$C73*VLOOKUP($B73,Lebensmittel!$A$2:$G$14500,5,0)/VLOOKUP($B73,Lebensmittel!$A$2:$G$14500,2,0))</f>
        <v/>
      </c>
      <c r="H73" s="20" t="str">
        <f>IF(ISBLANK(B73),"",$C73*VLOOKUP($B73,Lebensmittel!$A$2:$G$14500,6,0)/VLOOKUP($B73,Lebensmittel!$A$2:$G$14500,2,0))</f>
        <v/>
      </c>
    </row>
    <row r="74" spans="2:8" x14ac:dyDescent="0.25">
      <c r="B74" s="37"/>
      <c r="C74" s="38"/>
      <c r="D74" s="19" t="str">
        <f>IF(ISBLANK(B74),"",$C74*VLOOKUP($B74,Lebensmittel!$A$2:$G$14500,3,0)/VLOOKUP($B74,Lebensmittel!$A$2:$G$14500,2,0))</f>
        <v/>
      </c>
      <c r="E74" s="19" t="str">
        <f>IF(ISBLANK(B74),"",$C74*VLOOKUP($B74,Lebensmittel!$A$2:$G$14500,7,0)/VLOOKUP($B74,Lebensmittel!$A$2:$G$14500,2,0))</f>
        <v/>
      </c>
      <c r="F74" s="20" t="str">
        <f>IF(ISBLANK(B74),"",$C74*VLOOKUP($B74,Lebensmittel!$A$2:$G$14500,4,0)/VLOOKUP($B74,Lebensmittel!$A$2:$G$14500,2,0))</f>
        <v/>
      </c>
      <c r="G74" s="20" t="str">
        <f>IF(ISBLANK(B74),"",$C74*VLOOKUP($B74,Lebensmittel!$A$2:$G$14500,5,0)/VLOOKUP($B74,Lebensmittel!$A$2:$G$14500,2,0))</f>
        <v/>
      </c>
      <c r="H74" s="20" t="str">
        <f>IF(ISBLANK(B74),"",$C74*VLOOKUP($B74,Lebensmittel!$A$2:$G$14500,6,0)/VLOOKUP($B74,Lebensmittel!$A$2:$G$14500,2,0))</f>
        <v/>
      </c>
    </row>
    <row r="75" spans="2:8" x14ac:dyDescent="0.25">
      <c r="B75" s="37"/>
      <c r="C75" s="38"/>
      <c r="D75" s="19" t="str">
        <f>IF(ISBLANK(B75),"",$C75*VLOOKUP($B75,Lebensmittel!$A$2:$G$14500,3,0)/VLOOKUP($B75,Lebensmittel!$A$2:$G$14500,2,0))</f>
        <v/>
      </c>
      <c r="E75" s="19" t="str">
        <f>IF(ISBLANK(B75),"",$C75*VLOOKUP($B75,Lebensmittel!$A$2:$G$14500,7,0)/VLOOKUP($B75,Lebensmittel!$A$2:$G$14500,2,0))</f>
        <v/>
      </c>
      <c r="F75" s="20" t="str">
        <f>IF(ISBLANK(B75),"",$C75*VLOOKUP($B75,Lebensmittel!$A$2:$G$14500,4,0)/VLOOKUP($B75,Lebensmittel!$A$2:$G$14500,2,0))</f>
        <v/>
      </c>
      <c r="G75" s="20" t="str">
        <f>IF(ISBLANK(B75),"",$C75*VLOOKUP($B75,Lebensmittel!$A$2:$G$14500,5,0)/VLOOKUP($B75,Lebensmittel!$A$2:$G$14500,2,0))</f>
        <v/>
      </c>
      <c r="H75" s="20" t="str">
        <f>IF(ISBLANK(B75),"",$C75*VLOOKUP($B75,Lebensmittel!$A$2:$G$14500,6,0)/VLOOKUP($B75,Lebensmittel!$A$2:$G$14500,2,0))</f>
        <v/>
      </c>
    </row>
    <row r="76" spans="2:8" x14ac:dyDescent="0.25">
      <c r="B76" s="33" t="s">
        <v>46</v>
      </c>
      <c r="C76" s="34">
        <f t="shared" ref="C76:H76" si="6">SUM(C66:C75)</f>
        <v>0</v>
      </c>
      <c r="D76" s="35">
        <f t="shared" si="6"/>
        <v>0</v>
      </c>
      <c r="E76" s="35">
        <f t="shared" si="6"/>
        <v>0</v>
      </c>
      <c r="F76" s="36">
        <f t="shared" si="6"/>
        <v>0</v>
      </c>
      <c r="G76" s="36">
        <f t="shared" si="6"/>
        <v>0</v>
      </c>
      <c r="H76" s="36">
        <f t="shared" si="6"/>
        <v>0</v>
      </c>
    </row>
  </sheetData>
  <mergeCells count="9">
    <mergeCell ref="D6:H6"/>
    <mergeCell ref="A8:B8"/>
    <mergeCell ref="A22:B22"/>
    <mergeCell ref="A36:B36"/>
    <mergeCell ref="A50:B50"/>
    <mergeCell ref="A64:B64"/>
    <mergeCell ref="A1:C1"/>
    <mergeCell ref="A3:B3"/>
    <mergeCell ref="A4:B4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76"/>
  <sheetViews>
    <sheetView zoomScale="130" zoomScaleNormal="130" workbookViewId="0">
      <selection activeCell="B6" sqref="B6"/>
    </sheetView>
  </sheetViews>
  <sheetFormatPr baseColWidth="10" defaultRowHeight="15" x14ac:dyDescent="0.25"/>
  <cols>
    <col min="1" max="1" width="5.7109375" customWidth="1"/>
    <col min="2" max="2" width="57.140625" customWidth="1"/>
    <col min="3" max="6" width="14.28515625" customWidth="1"/>
    <col min="7" max="7" width="17.140625" customWidth="1"/>
    <col min="8" max="8" width="14.28515625" customWidth="1"/>
  </cols>
  <sheetData>
    <row r="1" spans="1:256" ht="38.25" customHeight="1" x14ac:dyDescent="0.25">
      <c r="A1" s="40" t="s">
        <v>47</v>
      </c>
      <c r="B1" s="40"/>
      <c r="C1" s="40"/>
      <c r="D1" s="12"/>
      <c r="E1" s="12"/>
      <c r="F1" s="13"/>
      <c r="G1" s="13"/>
      <c r="H1" s="23"/>
    </row>
    <row r="2" spans="1:256" ht="9.9499999999999993" customHeight="1" x14ac:dyDescent="0.3">
      <c r="A2" s="24"/>
      <c r="B2" s="24"/>
      <c r="C2" s="25"/>
      <c r="D2" s="12"/>
      <c r="E2" s="12"/>
      <c r="F2" s="13"/>
      <c r="G2" s="13"/>
      <c r="H2" s="13"/>
    </row>
    <row r="3" spans="1:256" ht="20.25" x14ac:dyDescent="0.3">
      <c r="A3" s="41" t="s">
        <v>36</v>
      </c>
      <c r="B3" s="41"/>
      <c r="C3" s="26" t="s">
        <v>5</v>
      </c>
      <c r="D3" s="27" t="s">
        <v>6</v>
      </c>
      <c r="E3" s="27" t="s">
        <v>13</v>
      </c>
      <c r="F3" s="28" t="s">
        <v>7</v>
      </c>
      <c r="G3" s="28" t="s">
        <v>11</v>
      </c>
      <c r="H3" s="28" t="s">
        <v>12</v>
      </c>
    </row>
    <row r="4" spans="1:256" ht="18" x14ac:dyDescent="0.25">
      <c r="A4" s="42"/>
      <c r="B4" s="42"/>
      <c r="C4" s="29">
        <f t="shared" ref="C4" si="0">C20+C34+C48+C62</f>
        <v>629</v>
      </c>
      <c r="D4" s="30">
        <f>D20+D34+D48+D62+D76</f>
        <v>2081.3450000000003</v>
      </c>
      <c r="E4" s="30">
        <f t="shared" ref="E4:H4" si="1">E20+E34+E48+E62+E76</f>
        <v>2081.3450000000003</v>
      </c>
      <c r="F4" s="31">
        <f t="shared" si="1"/>
        <v>91.2</v>
      </c>
      <c r="G4" s="31">
        <f t="shared" si="1"/>
        <v>251</v>
      </c>
      <c r="H4" s="31">
        <f t="shared" si="1"/>
        <v>56.45</v>
      </c>
    </row>
    <row r="5" spans="1:256" ht="9" customHeight="1" x14ac:dyDescent="0.25">
      <c r="C5" s="32"/>
      <c r="D5" s="12"/>
      <c r="E5" s="12"/>
      <c r="F5" s="13"/>
      <c r="G5" s="13"/>
      <c r="H5" s="13"/>
    </row>
    <row r="6" spans="1:256" ht="20.65" customHeight="1" x14ac:dyDescent="0.3">
      <c r="A6" s="24"/>
      <c r="B6" s="24"/>
      <c r="C6" s="25"/>
      <c r="D6" s="43" t="s">
        <v>37</v>
      </c>
      <c r="E6" s="43"/>
      <c r="F6" s="43"/>
      <c r="G6" s="43"/>
      <c r="H6" s="43"/>
    </row>
    <row r="7" spans="1:256" ht="15.2" customHeight="1" x14ac:dyDescent="0.3">
      <c r="A7" s="24"/>
      <c r="B7" s="24"/>
      <c r="C7" s="25"/>
      <c r="D7" s="12"/>
      <c r="E7" s="12"/>
      <c r="F7" s="13"/>
      <c r="G7" s="13"/>
      <c r="H7" s="13"/>
    </row>
    <row r="8" spans="1:256" ht="18" x14ac:dyDescent="0.25">
      <c r="A8" s="39" t="s">
        <v>4</v>
      </c>
      <c r="B8" s="39"/>
      <c r="C8" s="3"/>
      <c r="D8" s="4"/>
      <c r="E8" s="4"/>
      <c r="F8" s="5"/>
      <c r="G8" s="5"/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</row>
    <row r="9" spans="1:256" s="7" customFormat="1" ht="15.75" x14ac:dyDescent="0.25">
      <c r="B9" s="2" t="s">
        <v>3</v>
      </c>
      <c r="C9" s="8" t="s">
        <v>5</v>
      </c>
      <c r="D9" s="9" t="s">
        <v>6</v>
      </c>
      <c r="E9" s="9" t="s">
        <v>6</v>
      </c>
      <c r="F9" s="10" t="s">
        <v>7</v>
      </c>
      <c r="G9" s="10" t="s">
        <v>8</v>
      </c>
      <c r="H9" s="10" t="s">
        <v>9</v>
      </c>
    </row>
    <row r="10" spans="1:256" x14ac:dyDescent="0.25">
      <c r="B10" s="37" t="s">
        <v>15</v>
      </c>
      <c r="C10" s="38">
        <v>99</v>
      </c>
      <c r="D10" s="19">
        <f>IF(ISBLANK(B10),"",$C10*VLOOKUP($B10,Lebensmittel!$A$2:$G$14500,3,0)/VLOOKUP($B10,Lebensmittel!$A$2:$G$14500,2,0))</f>
        <v>267.79500000000002</v>
      </c>
      <c r="E10" s="19">
        <f>IF(ISBLANK(B10),"",$C10*VLOOKUP($B10,Lebensmittel!$A$2:$G$14500,7,0)/VLOOKUP($B10,Lebensmittel!$A$2:$G$14500,2,0))</f>
        <v>267.79500000000002</v>
      </c>
      <c r="F10" s="20">
        <f>IF(ISBLANK(B10),"",$C10*VLOOKUP($B10,Lebensmittel!$A$2:$G$14500,4,0)/VLOOKUP($B10,Lebensmittel!$A$2:$G$14500,2,0))</f>
        <v>4.95</v>
      </c>
      <c r="G10" s="20">
        <f>IF(ISBLANK(B10),"",$C10*VLOOKUP($B10,Lebensmittel!$A$2:$G$14500,5,0)/VLOOKUP($B10,Lebensmittel!$A$2:$G$14500,2,0))</f>
        <v>49.5</v>
      </c>
      <c r="H10" s="20">
        <f>IF(ISBLANK(B10),"",$C10*VLOOKUP($B10,Lebensmittel!$A$2:$G$14500,6,0)/VLOOKUP($B10,Lebensmittel!$A$2:$G$14500,2,0))</f>
        <v>4.95</v>
      </c>
    </row>
    <row r="11" spans="1:256" x14ac:dyDescent="0.25">
      <c r="B11" s="37" t="s">
        <v>16</v>
      </c>
      <c r="C11" s="38">
        <v>70</v>
      </c>
      <c r="D11" s="19">
        <f>IF(ISBLANK(B11),"",$C11*VLOOKUP($B11,Lebensmittel!$A$2:$G$14500,3,0)/VLOOKUP($B11,Lebensmittel!$A$2:$G$14500,2,0))</f>
        <v>229.25</v>
      </c>
      <c r="E11" s="19">
        <f>IF(ISBLANK(B11),"",$C11*VLOOKUP($B11,Lebensmittel!$A$2:$G$14500,7,0)/VLOOKUP($B11,Lebensmittel!$A$2:$G$14500,2,0))</f>
        <v>229.25</v>
      </c>
      <c r="F11" s="20">
        <f>IF(ISBLANK(B11),"",$C11*VLOOKUP($B11,Lebensmittel!$A$2:$G$14500,4,0)/VLOOKUP($B11,Lebensmittel!$A$2:$G$14500,2,0))</f>
        <v>17.5</v>
      </c>
      <c r="G11" s="20">
        <f>IF(ISBLANK(B11),"",$C11*VLOOKUP($B11,Lebensmittel!$A$2:$G$14500,5,0)/VLOOKUP($B11,Lebensmittel!$A$2:$G$14500,2,0))</f>
        <v>0</v>
      </c>
      <c r="H11" s="20">
        <f>IF(ISBLANK(B11),"",$C11*VLOOKUP($B11,Lebensmittel!$A$2:$G$14500,6,0)/VLOOKUP($B11,Lebensmittel!$A$2:$G$14500,2,0))</f>
        <v>17.5</v>
      </c>
    </row>
    <row r="12" spans="1:256" x14ac:dyDescent="0.25">
      <c r="B12" s="37" t="s">
        <v>31</v>
      </c>
      <c r="C12" s="38">
        <v>15</v>
      </c>
      <c r="D12" s="19">
        <f>IF(ISBLANK(B12),"",$C12*VLOOKUP($B12,Lebensmittel!$A$2:$G$14500,3,0)/VLOOKUP($B12,Lebensmittel!$A$2:$G$14500,2,0))</f>
        <v>78.599999999999994</v>
      </c>
      <c r="E12" s="19">
        <f>IF(ISBLANK(B12),"",$C12*VLOOKUP($B12,Lebensmittel!$A$2:$G$14500,7,0)/VLOOKUP($B12,Lebensmittel!$A$2:$G$14500,2,0))</f>
        <v>78.599999999999994</v>
      </c>
      <c r="F12" s="20">
        <f>IF(ISBLANK(B12),"",$C12*VLOOKUP($B12,Lebensmittel!$A$2:$G$14500,4,0)/VLOOKUP($B12,Lebensmittel!$A$2:$G$14500,2,0))</f>
        <v>6</v>
      </c>
      <c r="G12" s="20">
        <f>IF(ISBLANK(B12),"",$C12*VLOOKUP($B12,Lebensmittel!$A$2:$G$14500,5,0)/VLOOKUP($B12,Lebensmittel!$A$2:$G$14500,2,0))</f>
        <v>6</v>
      </c>
      <c r="H12" s="20">
        <f>IF(ISBLANK(B12),"",$C12*VLOOKUP($B12,Lebensmittel!$A$2:$G$14500,6,0)/VLOOKUP($B12,Lebensmittel!$A$2:$G$14500,2,0))</f>
        <v>0</v>
      </c>
    </row>
    <row r="13" spans="1:256" x14ac:dyDescent="0.25">
      <c r="B13" s="37"/>
      <c r="C13" s="38"/>
      <c r="D13" s="19" t="str">
        <f>IF(ISBLANK(B13),"",$C13*VLOOKUP($B13,Lebensmittel!$A$2:$G$14500,3,0)/VLOOKUP($B13,Lebensmittel!$A$2:$G$14500,2,0))</f>
        <v/>
      </c>
      <c r="E13" s="19" t="str">
        <f>IF(ISBLANK(B13),"",$C13*VLOOKUP($B13,Lebensmittel!$A$2:$G$14500,7,0)/VLOOKUP($B13,Lebensmittel!$A$2:$G$14500,2,0))</f>
        <v/>
      </c>
      <c r="F13" s="20" t="str">
        <f>IF(ISBLANK(B13),"",$C13*VLOOKUP($B13,Lebensmittel!$A$2:$G$14500,4,0)/VLOOKUP($B13,Lebensmittel!$A$2:$G$14500,2,0))</f>
        <v/>
      </c>
      <c r="G13" s="20" t="str">
        <f>IF(ISBLANK(B13),"",$C13*VLOOKUP($B13,Lebensmittel!$A$2:$G$14500,5,0)/VLOOKUP($B13,Lebensmittel!$A$2:$G$14500,2,0))</f>
        <v/>
      </c>
      <c r="H13" s="20" t="str">
        <f>IF(ISBLANK(B13),"",$C13*VLOOKUP($B13,Lebensmittel!$A$2:$G$14500,6,0)/VLOOKUP($B13,Lebensmittel!$A$2:$G$14500,2,0))</f>
        <v/>
      </c>
    </row>
    <row r="14" spans="1:256" x14ac:dyDescent="0.25">
      <c r="B14" s="37"/>
      <c r="C14" s="38"/>
      <c r="D14" s="19" t="str">
        <f>IF(ISBLANK(B14),"",$C14*VLOOKUP($B14,Lebensmittel!$A$2:$G$14500,3,0)/VLOOKUP($B14,Lebensmittel!$A$2:$G$14500,2,0))</f>
        <v/>
      </c>
      <c r="E14" s="19" t="str">
        <f>IF(ISBLANK(B14),"",$C14*VLOOKUP($B14,Lebensmittel!$A$2:$G$14500,7,0)/VLOOKUP($B14,Lebensmittel!$A$2:$G$14500,2,0))</f>
        <v/>
      </c>
      <c r="F14" s="20" t="str">
        <f>IF(ISBLANK(B14),"",$C14*VLOOKUP($B14,Lebensmittel!$A$2:$G$14500,4,0)/VLOOKUP($B14,Lebensmittel!$A$2:$G$14500,2,0))</f>
        <v/>
      </c>
      <c r="G14" s="20" t="str">
        <f>IF(ISBLANK(B14),"",$C14*VLOOKUP($B14,Lebensmittel!$A$2:$G$14500,5,0)/VLOOKUP($B14,Lebensmittel!$A$2:$G$14500,2,0))</f>
        <v/>
      </c>
      <c r="H14" s="20" t="str">
        <f>IF(ISBLANK(B14),"",$C14*VLOOKUP($B14,Lebensmittel!$A$2:$G$14500,6,0)/VLOOKUP($B14,Lebensmittel!$A$2:$G$14500,2,0))</f>
        <v/>
      </c>
    </row>
    <row r="15" spans="1:256" x14ac:dyDescent="0.25">
      <c r="B15" s="37"/>
      <c r="C15" s="38"/>
      <c r="D15" s="19" t="str">
        <f>IF(ISBLANK(B15),"",$C15*VLOOKUP($B15,Lebensmittel!$A$2:$G$14500,3,0)/VLOOKUP($B15,Lebensmittel!$A$2:$G$14500,2,0))</f>
        <v/>
      </c>
      <c r="E15" s="19" t="str">
        <f>IF(ISBLANK(B15),"",$C15*VLOOKUP($B15,Lebensmittel!$A$2:$G$14500,7,0)/VLOOKUP($B15,Lebensmittel!$A$2:$G$14500,2,0))</f>
        <v/>
      </c>
      <c r="F15" s="20" t="str">
        <f>IF(ISBLANK(B15),"",$C15*VLOOKUP($B15,Lebensmittel!$A$2:$G$14500,4,0)/VLOOKUP($B15,Lebensmittel!$A$2:$G$14500,2,0))</f>
        <v/>
      </c>
      <c r="G15" s="20" t="str">
        <f>IF(ISBLANK(B15),"",$C15*VLOOKUP($B15,Lebensmittel!$A$2:$G$14500,5,0)/VLOOKUP($B15,Lebensmittel!$A$2:$G$14500,2,0))</f>
        <v/>
      </c>
      <c r="H15" s="20" t="str">
        <f>IF(ISBLANK(B15),"",$C15*VLOOKUP($B15,Lebensmittel!$A$2:$G$14500,6,0)/VLOOKUP($B15,Lebensmittel!$A$2:$G$14500,2,0))</f>
        <v/>
      </c>
    </row>
    <row r="16" spans="1:256" x14ac:dyDescent="0.25">
      <c r="B16" s="37"/>
      <c r="C16" s="38"/>
      <c r="D16" s="19" t="str">
        <f>IF(ISBLANK(B16),"",$C16*VLOOKUP($B16,Lebensmittel!$A$2:$G$14500,3,0)/VLOOKUP($B16,Lebensmittel!$A$2:$G$14500,2,0))</f>
        <v/>
      </c>
      <c r="E16" s="19" t="str">
        <f>IF(ISBLANK(B16),"",$C16*VLOOKUP($B16,Lebensmittel!$A$2:$G$14500,7,0)/VLOOKUP($B16,Lebensmittel!$A$2:$G$14500,2,0))</f>
        <v/>
      </c>
      <c r="F16" s="20" t="str">
        <f>IF(ISBLANK(B16),"",$C16*VLOOKUP($B16,Lebensmittel!$A$2:$G$14500,4,0)/VLOOKUP($B16,Lebensmittel!$A$2:$G$14500,2,0))</f>
        <v/>
      </c>
      <c r="G16" s="20" t="str">
        <f>IF(ISBLANK(B16),"",$C16*VLOOKUP($B16,Lebensmittel!$A$2:$G$14500,5,0)/VLOOKUP($B16,Lebensmittel!$A$2:$G$14500,2,0))</f>
        <v/>
      </c>
      <c r="H16" s="20" t="str">
        <f>IF(ISBLANK(B16),"",$C16*VLOOKUP($B16,Lebensmittel!$A$2:$G$14500,6,0)/VLOOKUP($B16,Lebensmittel!$A$2:$G$14500,2,0))</f>
        <v/>
      </c>
    </row>
    <row r="17" spans="1:256" x14ac:dyDescent="0.25">
      <c r="B17" s="37"/>
      <c r="C17" s="38"/>
      <c r="D17" s="19" t="str">
        <f>IF(ISBLANK(B17),"",$C17*VLOOKUP($B17,Lebensmittel!$A$2:$G$14500,3,0)/VLOOKUP($B17,Lebensmittel!$A$2:$G$14500,2,0))</f>
        <v/>
      </c>
      <c r="E17" s="19" t="str">
        <f>IF(ISBLANK(B17),"",$C17*VLOOKUP($B17,Lebensmittel!$A$2:$G$14500,7,0)/VLOOKUP($B17,Lebensmittel!$A$2:$G$14500,2,0))</f>
        <v/>
      </c>
      <c r="F17" s="20" t="str">
        <f>IF(ISBLANK(B17),"",$C17*VLOOKUP($B17,Lebensmittel!$A$2:$G$14500,4,0)/VLOOKUP($B17,Lebensmittel!$A$2:$G$14500,2,0))</f>
        <v/>
      </c>
      <c r="G17" s="20" t="str">
        <f>IF(ISBLANK(B17),"",$C17*VLOOKUP($B17,Lebensmittel!$A$2:$G$14500,5,0)/VLOOKUP($B17,Lebensmittel!$A$2:$G$14500,2,0))</f>
        <v/>
      </c>
      <c r="H17" s="20" t="str">
        <f>IF(ISBLANK(B17),"",$C17*VLOOKUP($B17,Lebensmittel!$A$2:$G$14500,6,0)/VLOOKUP($B17,Lebensmittel!$A$2:$G$14500,2,0))</f>
        <v/>
      </c>
    </row>
    <row r="18" spans="1:256" x14ac:dyDescent="0.25">
      <c r="B18" s="37"/>
      <c r="C18" s="38"/>
      <c r="D18" s="19" t="str">
        <f>IF(ISBLANK(B18),"",$C18*VLOOKUP($B18,Lebensmittel!$A$2:$G$14500,3,0)/VLOOKUP($B18,Lebensmittel!$A$2:$G$14500,2,0))</f>
        <v/>
      </c>
      <c r="E18" s="19" t="str">
        <f>IF(ISBLANK(B18),"",$C18*VLOOKUP($B18,Lebensmittel!$A$2:$G$14500,7,0)/VLOOKUP($B18,Lebensmittel!$A$2:$G$14500,2,0))</f>
        <v/>
      </c>
      <c r="F18" s="20" t="str">
        <f>IF(ISBLANK(B18),"",$C18*VLOOKUP($B18,Lebensmittel!$A$2:$G$14500,4,0)/VLOOKUP($B18,Lebensmittel!$A$2:$G$14500,2,0))</f>
        <v/>
      </c>
      <c r="G18" s="20" t="str">
        <f>IF(ISBLANK(B18),"",$C18*VLOOKUP($B18,Lebensmittel!$A$2:$G$14500,5,0)/VLOOKUP($B18,Lebensmittel!$A$2:$G$14500,2,0))</f>
        <v/>
      </c>
      <c r="H18" s="20" t="str">
        <f>IF(ISBLANK(B18),"",$C18*VLOOKUP($B18,Lebensmittel!$A$2:$G$14500,6,0)/VLOOKUP($B18,Lebensmittel!$A$2:$G$14500,2,0))</f>
        <v/>
      </c>
    </row>
    <row r="19" spans="1:256" x14ac:dyDescent="0.25">
      <c r="B19" s="37"/>
      <c r="C19" s="38"/>
      <c r="D19" s="19" t="str">
        <f>IF(ISBLANK(B19),"",$C19*VLOOKUP($B19,Lebensmittel!$A$2:$G$14500,3,0)/VLOOKUP($B19,Lebensmittel!$A$2:$G$14500,2,0))</f>
        <v/>
      </c>
      <c r="E19" s="19" t="str">
        <f>IF(ISBLANK(B19),"",$C19*VLOOKUP($B19,Lebensmittel!$A$2:$G$14500,7,0)/VLOOKUP($B19,Lebensmittel!$A$2:$G$14500,2,0))</f>
        <v/>
      </c>
      <c r="F19" s="20" t="str">
        <f>IF(ISBLANK(B19),"",$C19*VLOOKUP($B19,Lebensmittel!$A$2:$G$14500,4,0)/VLOOKUP($B19,Lebensmittel!$A$2:$G$14500,2,0))</f>
        <v/>
      </c>
      <c r="G19" s="20" t="str">
        <f>IF(ISBLANK(B19),"",$C19*VLOOKUP($B19,Lebensmittel!$A$2:$G$14500,5,0)/VLOOKUP($B19,Lebensmittel!$A$2:$G$14500,2,0))</f>
        <v/>
      </c>
      <c r="H19" s="20" t="str">
        <f>IF(ISBLANK(B19),"",$C19*VLOOKUP($B19,Lebensmittel!$A$2:$G$14500,6,0)/VLOOKUP($B19,Lebensmittel!$A$2:$G$14500,2,0))</f>
        <v/>
      </c>
    </row>
    <row r="20" spans="1:256" x14ac:dyDescent="0.25">
      <c r="B20" s="33" t="s">
        <v>38</v>
      </c>
      <c r="C20" s="34">
        <f t="shared" ref="C20:H20" si="2">SUM(C10:C19)</f>
        <v>184</v>
      </c>
      <c r="D20" s="35">
        <f t="shared" si="2"/>
        <v>575.64499999999998</v>
      </c>
      <c r="E20" s="35">
        <f t="shared" si="2"/>
        <v>575.64499999999998</v>
      </c>
      <c r="F20" s="36">
        <f t="shared" si="2"/>
        <v>28.45</v>
      </c>
      <c r="G20" s="36">
        <f t="shared" si="2"/>
        <v>55.5</v>
      </c>
      <c r="H20" s="36">
        <f t="shared" si="2"/>
        <v>22.45</v>
      </c>
    </row>
    <row r="22" spans="1:256" ht="18" x14ac:dyDescent="0.25">
      <c r="A22" s="39" t="s">
        <v>39</v>
      </c>
      <c r="B22" s="39"/>
      <c r="C22" s="3"/>
      <c r="D22" s="4"/>
      <c r="E22" s="4"/>
      <c r="F22" s="5"/>
      <c r="G22" s="5"/>
      <c r="H22" s="5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</row>
    <row r="23" spans="1:256" s="7" customFormat="1" ht="15.75" x14ac:dyDescent="0.25">
      <c r="B23" s="2" t="s">
        <v>3</v>
      </c>
      <c r="C23" s="8" t="s">
        <v>5</v>
      </c>
      <c r="D23" s="9" t="s">
        <v>6</v>
      </c>
      <c r="E23" s="9" t="s">
        <v>6</v>
      </c>
      <c r="F23" s="10" t="s">
        <v>7</v>
      </c>
      <c r="G23" s="10" t="s">
        <v>8</v>
      </c>
      <c r="H23" s="10" t="s">
        <v>9</v>
      </c>
    </row>
    <row r="24" spans="1:256" x14ac:dyDescent="0.25">
      <c r="B24" s="37" t="s">
        <v>17</v>
      </c>
      <c r="C24" s="38">
        <v>100</v>
      </c>
      <c r="D24" s="19">
        <f>IF(ISBLANK(B24),"",$C24*VLOOKUP($B24,Lebensmittel!$A$2:$G$14500,3,0)/VLOOKUP($B24,Lebensmittel!$A$2:$G$14500,2,0))</f>
        <v>328</v>
      </c>
      <c r="E24" s="19">
        <f>IF(ISBLANK(B24),"",$C24*VLOOKUP($B24,Lebensmittel!$A$2:$G$14500,7,0)/VLOOKUP($B24,Lebensmittel!$A$2:$G$14500,2,0))</f>
        <v>328</v>
      </c>
      <c r="F24" s="20">
        <f>IF(ISBLANK(B24),"",$C24*VLOOKUP($B24,Lebensmittel!$A$2:$G$14500,4,0)/VLOOKUP($B24,Lebensmittel!$A$2:$G$14500,2,0))</f>
        <v>0</v>
      </c>
      <c r="G24" s="20">
        <f>IF(ISBLANK(B24),"",$C24*VLOOKUP($B24,Lebensmittel!$A$2:$G$14500,5,0)/VLOOKUP($B24,Lebensmittel!$A$2:$G$14500,2,0))</f>
        <v>80</v>
      </c>
      <c r="H24" s="20">
        <f>IF(ISBLANK(B24),"",$C24*VLOOKUP($B24,Lebensmittel!$A$2:$G$14500,6,0)/VLOOKUP($B24,Lebensmittel!$A$2:$G$14500,2,0))</f>
        <v>0</v>
      </c>
    </row>
    <row r="25" spans="1:256" x14ac:dyDescent="0.25">
      <c r="B25" s="37" t="s">
        <v>33</v>
      </c>
      <c r="C25" s="38">
        <v>75</v>
      </c>
      <c r="D25" s="19">
        <f>IF(ISBLANK(B25),"",$C25*VLOOKUP($B25,Lebensmittel!$A$2:$G$14500,3,0)/VLOOKUP($B25,Lebensmittel!$A$2:$G$14500,2,0))</f>
        <v>294.75</v>
      </c>
      <c r="E25" s="19">
        <f>IF(ISBLANK(B25),"",$C25*VLOOKUP($B25,Lebensmittel!$A$2:$G$14500,7,0)/VLOOKUP($B25,Lebensmittel!$A$2:$G$14500,2,0))</f>
        <v>294.75</v>
      </c>
      <c r="F25" s="20">
        <f>IF(ISBLANK(B25),"",$C25*VLOOKUP($B25,Lebensmittel!$A$2:$G$14500,4,0)/VLOOKUP($B25,Lebensmittel!$A$2:$G$14500,2,0))</f>
        <v>22.5</v>
      </c>
      <c r="G25" s="20">
        <f>IF(ISBLANK(B25),"",$C25*VLOOKUP($B25,Lebensmittel!$A$2:$G$14500,5,0)/VLOOKUP($B25,Lebensmittel!$A$2:$G$14500,2,0))</f>
        <v>0</v>
      </c>
      <c r="H25" s="20">
        <f>IF(ISBLANK(B25),"",$C25*VLOOKUP($B25,Lebensmittel!$A$2:$G$14500,6,0)/VLOOKUP($B25,Lebensmittel!$A$2:$G$14500,2,0))</f>
        <v>22.5</v>
      </c>
    </row>
    <row r="26" spans="1:256" x14ac:dyDescent="0.25">
      <c r="B26" s="37" t="s">
        <v>30</v>
      </c>
      <c r="C26" s="38">
        <v>20</v>
      </c>
      <c r="D26" s="19">
        <f>IF(ISBLANK(B26),"",$C26*VLOOKUP($B26,Lebensmittel!$A$2:$G$14500,3,0)/VLOOKUP($B26,Lebensmittel!$A$2:$G$14500,2,0))</f>
        <v>59.8</v>
      </c>
      <c r="E26" s="19">
        <f>IF(ISBLANK(B26),"",$C26*VLOOKUP($B26,Lebensmittel!$A$2:$G$14500,7,0)/VLOOKUP($B26,Lebensmittel!$A$2:$G$14500,2,0))</f>
        <v>59.8</v>
      </c>
      <c r="F26" s="20">
        <f>IF(ISBLANK(B26),"",$C26*VLOOKUP($B26,Lebensmittel!$A$2:$G$14500,4,0)/VLOOKUP($B26,Lebensmittel!$A$2:$G$14500,2,0))</f>
        <v>3</v>
      </c>
      <c r="G26" s="20">
        <f>IF(ISBLANK(B26),"",$C26*VLOOKUP($B26,Lebensmittel!$A$2:$G$14500,5,0)/VLOOKUP($B26,Lebensmittel!$A$2:$G$14500,2,0))</f>
        <v>8</v>
      </c>
      <c r="H26" s="20">
        <f>IF(ISBLANK(B26),"",$C26*VLOOKUP($B26,Lebensmittel!$A$2:$G$14500,6,0)/VLOOKUP($B26,Lebensmittel!$A$2:$G$14500,2,0))</f>
        <v>0</v>
      </c>
    </row>
    <row r="27" spans="1:256" x14ac:dyDescent="0.25">
      <c r="B27" s="37"/>
      <c r="C27" s="38"/>
      <c r="D27" s="19" t="str">
        <f>IF(ISBLANK(B27),"",$C27*VLOOKUP($B27,Lebensmittel!$A$2:$G$14500,3,0)/VLOOKUP($B27,Lebensmittel!$A$2:$G$14500,2,0))</f>
        <v/>
      </c>
      <c r="E27" s="19" t="str">
        <f>IF(ISBLANK(B27),"",$C27*VLOOKUP($B27,Lebensmittel!$A$2:$G$14500,7,0)/VLOOKUP($B27,Lebensmittel!$A$2:$G$14500,2,0))</f>
        <v/>
      </c>
      <c r="F27" s="20" t="str">
        <f>IF(ISBLANK(B27),"",$C27*VLOOKUP($B27,Lebensmittel!$A$2:$G$14500,4,0)/VLOOKUP($B27,Lebensmittel!$A$2:$G$14500,2,0))</f>
        <v/>
      </c>
      <c r="G27" s="20" t="str">
        <f>IF(ISBLANK(B27),"",$C27*VLOOKUP($B27,Lebensmittel!$A$2:$G$14500,5,0)/VLOOKUP($B27,Lebensmittel!$A$2:$G$14500,2,0))</f>
        <v/>
      </c>
      <c r="H27" s="20" t="str">
        <f>IF(ISBLANK(B27),"",$C27*VLOOKUP($B27,Lebensmittel!$A$2:$G$14500,6,0)/VLOOKUP($B27,Lebensmittel!$A$2:$G$14500,2,0))</f>
        <v/>
      </c>
    </row>
    <row r="28" spans="1:256" x14ac:dyDescent="0.25">
      <c r="B28" s="37"/>
      <c r="C28" s="38"/>
      <c r="D28" s="19" t="str">
        <f>IF(ISBLANK(B28),"",$C28*VLOOKUP($B28,Lebensmittel!$A$2:$G$14500,3,0)/VLOOKUP($B28,Lebensmittel!$A$2:$G$14500,2,0))</f>
        <v/>
      </c>
      <c r="E28" s="19" t="str">
        <f>IF(ISBLANK(B28),"",$C28*VLOOKUP($B28,Lebensmittel!$A$2:$G$14500,7,0)/VLOOKUP($B28,Lebensmittel!$A$2:$G$14500,2,0))</f>
        <v/>
      </c>
      <c r="F28" s="20" t="str">
        <f>IF(ISBLANK(B28),"",$C28*VLOOKUP($B28,Lebensmittel!$A$2:$G$14500,4,0)/VLOOKUP($B28,Lebensmittel!$A$2:$G$14500,2,0))</f>
        <v/>
      </c>
      <c r="G28" s="20" t="str">
        <f>IF(ISBLANK(B28),"",$C28*VLOOKUP($B28,Lebensmittel!$A$2:$G$14500,5,0)/VLOOKUP($B28,Lebensmittel!$A$2:$G$14500,2,0))</f>
        <v/>
      </c>
      <c r="H28" s="20" t="str">
        <f>IF(ISBLANK(B28),"",$C28*VLOOKUP($B28,Lebensmittel!$A$2:$G$14500,6,0)/VLOOKUP($B28,Lebensmittel!$A$2:$G$14500,2,0))</f>
        <v/>
      </c>
    </row>
    <row r="29" spans="1:256" x14ac:dyDescent="0.25">
      <c r="B29" s="37"/>
      <c r="C29" s="38"/>
      <c r="D29" s="19" t="str">
        <f>IF(ISBLANK(B29),"",$C29*VLOOKUP($B29,Lebensmittel!$A$2:$G$14500,3,0)/VLOOKUP($B29,Lebensmittel!$A$2:$G$14500,2,0))</f>
        <v/>
      </c>
      <c r="E29" s="19" t="str">
        <f>IF(ISBLANK(B29),"",$C29*VLOOKUP($B29,Lebensmittel!$A$2:$G$14500,7,0)/VLOOKUP($B29,Lebensmittel!$A$2:$G$14500,2,0))</f>
        <v/>
      </c>
      <c r="F29" s="20" t="str">
        <f>IF(ISBLANK(B29),"",$C29*VLOOKUP($B29,Lebensmittel!$A$2:$G$14500,4,0)/VLOOKUP($B29,Lebensmittel!$A$2:$G$14500,2,0))</f>
        <v/>
      </c>
      <c r="G29" s="20" t="str">
        <f>IF(ISBLANK(B29),"",$C29*VLOOKUP($B29,Lebensmittel!$A$2:$G$14500,5,0)/VLOOKUP($B29,Lebensmittel!$A$2:$G$14500,2,0))</f>
        <v/>
      </c>
      <c r="H29" s="20" t="str">
        <f>IF(ISBLANK(B29),"",$C29*VLOOKUP($B29,Lebensmittel!$A$2:$G$14500,6,0)/VLOOKUP($B29,Lebensmittel!$A$2:$G$14500,2,0))</f>
        <v/>
      </c>
    </row>
    <row r="30" spans="1:256" x14ac:dyDescent="0.25">
      <c r="B30" s="37"/>
      <c r="C30" s="38"/>
      <c r="D30" s="19" t="str">
        <f>IF(ISBLANK(B30),"",$C30*VLOOKUP($B30,Lebensmittel!$A$2:$G$14500,3,0)/VLOOKUP($B30,Lebensmittel!$A$2:$G$14500,2,0))</f>
        <v/>
      </c>
      <c r="E30" s="19" t="str">
        <f>IF(ISBLANK(B30),"",$C30*VLOOKUP($B30,Lebensmittel!$A$2:$G$14500,7,0)/VLOOKUP($B30,Lebensmittel!$A$2:$G$14500,2,0))</f>
        <v/>
      </c>
      <c r="F30" s="20" t="str">
        <f>IF(ISBLANK(B30),"",$C30*VLOOKUP($B30,Lebensmittel!$A$2:$G$14500,4,0)/VLOOKUP($B30,Lebensmittel!$A$2:$G$14500,2,0))</f>
        <v/>
      </c>
      <c r="G30" s="20" t="str">
        <f>IF(ISBLANK(B30),"",$C30*VLOOKUP($B30,Lebensmittel!$A$2:$G$14500,5,0)/VLOOKUP($B30,Lebensmittel!$A$2:$G$14500,2,0))</f>
        <v/>
      </c>
      <c r="H30" s="20" t="str">
        <f>IF(ISBLANK(B30),"",$C30*VLOOKUP($B30,Lebensmittel!$A$2:$G$14500,6,0)/VLOOKUP($B30,Lebensmittel!$A$2:$G$14500,2,0))</f>
        <v/>
      </c>
    </row>
    <row r="31" spans="1:256" x14ac:dyDescent="0.25">
      <c r="B31" s="37"/>
      <c r="C31" s="38"/>
      <c r="D31" s="19" t="str">
        <f>IF(ISBLANK(B31),"",$C31*VLOOKUP($B31,Lebensmittel!$A$2:$G$14500,3,0)/VLOOKUP($B31,Lebensmittel!$A$2:$G$14500,2,0))</f>
        <v/>
      </c>
      <c r="E31" s="19" t="str">
        <f>IF(ISBLANK(B31),"",$C31*VLOOKUP($B31,Lebensmittel!$A$2:$G$14500,7,0)/VLOOKUP($B31,Lebensmittel!$A$2:$G$14500,2,0))</f>
        <v/>
      </c>
      <c r="F31" s="20" t="str">
        <f>IF(ISBLANK(B31),"",$C31*VLOOKUP($B31,Lebensmittel!$A$2:$G$14500,4,0)/VLOOKUP($B31,Lebensmittel!$A$2:$G$14500,2,0))</f>
        <v/>
      </c>
      <c r="G31" s="20" t="str">
        <f>IF(ISBLANK(B31),"",$C31*VLOOKUP($B31,Lebensmittel!$A$2:$G$14500,5,0)/VLOOKUP($B31,Lebensmittel!$A$2:$G$14500,2,0))</f>
        <v/>
      </c>
      <c r="H31" s="20" t="str">
        <f>IF(ISBLANK(B31),"",$C31*VLOOKUP($B31,Lebensmittel!$A$2:$G$14500,6,0)/VLOOKUP($B31,Lebensmittel!$A$2:$G$14500,2,0))</f>
        <v/>
      </c>
    </row>
    <row r="32" spans="1:256" x14ac:dyDescent="0.25">
      <c r="B32" s="37"/>
      <c r="C32" s="38"/>
      <c r="D32" s="19" t="str">
        <f>IF(ISBLANK(B32),"",$C32*VLOOKUP($B32,Lebensmittel!$A$2:$G$14500,3,0)/VLOOKUP($B32,Lebensmittel!$A$2:$G$14500,2,0))</f>
        <v/>
      </c>
      <c r="E32" s="19" t="str">
        <f>IF(ISBLANK(B32),"",$C32*VLOOKUP($B32,Lebensmittel!$A$2:$G$14500,7,0)/VLOOKUP($B32,Lebensmittel!$A$2:$G$14500,2,0))</f>
        <v/>
      </c>
      <c r="F32" s="20" t="str">
        <f>IF(ISBLANK(B32),"",$C32*VLOOKUP($B32,Lebensmittel!$A$2:$G$14500,4,0)/VLOOKUP($B32,Lebensmittel!$A$2:$G$14500,2,0))</f>
        <v/>
      </c>
      <c r="G32" s="20" t="str">
        <f>IF(ISBLANK(B32),"",$C32*VLOOKUP($B32,Lebensmittel!$A$2:$G$14500,5,0)/VLOOKUP($B32,Lebensmittel!$A$2:$G$14500,2,0))</f>
        <v/>
      </c>
      <c r="H32" s="20" t="str">
        <f>IF(ISBLANK(B32),"",$C32*VLOOKUP($B32,Lebensmittel!$A$2:$G$14500,6,0)/VLOOKUP($B32,Lebensmittel!$A$2:$G$14500,2,0))</f>
        <v/>
      </c>
    </row>
    <row r="33" spans="1:256" x14ac:dyDescent="0.25">
      <c r="B33" s="37"/>
      <c r="C33" s="38"/>
      <c r="D33" s="19" t="str">
        <f>IF(ISBLANK(B33),"",$C33*VLOOKUP($B33,Lebensmittel!$A$2:$G$14500,3,0)/VLOOKUP($B33,Lebensmittel!$A$2:$G$14500,2,0))</f>
        <v/>
      </c>
      <c r="E33" s="19" t="str">
        <f>IF(ISBLANK(B33),"",$C33*VLOOKUP($B33,Lebensmittel!$A$2:$G$14500,7,0)/VLOOKUP($B33,Lebensmittel!$A$2:$G$14500,2,0))</f>
        <v/>
      </c>
      <c r="F33" s="20" t="str">
        <f>IF(ISBLANK(B33),"",$C33*VLOOKUP($B33,Lebensmittel!$A$2:$G$14500,4,0)/VLOOKUP($B33,Lebensmittel!$A$2:$G$14500,2,0))</f>
        <v/>
      </c>
      <c r="G33" s="20" t="str">
        <f>IF(ISBLANK(B33),"",$C33*VLOOKUP($B33,Lebensmittel!$A$2:$G$14500,5,0)/VLOOKUP($B33,Lebensmittel!$A$2:$G$14500,2,0))</f>
        <v/>
      </c>
      <c r="H33" s="20" t="str">
        <f>IF(ISBLANK(B33),"",$C33*VLOOKUP($B33,Lebensmittel!$A$2:$G$14500,6,0)/VLOOKUP($B33,Lebensmittel!$A$2:$G$14500,2,0))</f>
        <v/>
      </c>
    </row>
    <row r="34" spans="1:256" x14ac:dyDescent="0.25">
      <c r="B34" s="33" t="s">
        <v>40</v>
      </c>
      <c r="C34" s="34">
        <f t="shared" ref="C34:H34" si="3">SUM(C24:C33)</f>
        <v>195</v>
      </c>
      <c r="D34" s="35">
        <f t="shared" si="3"/>
        <v>682.55</v>
      </c>
      <c r="E34" s="35">
        <f t="shared" si="3"/>
        <v>682.55</v>
      </c>
      <c r="F34" s="36">
        <f t="shared" si="3"/>
        <v>25.5</v>
      </c>
      <c r="G34" s="36">
        <f t="shared" si="3"/>
        <v>88</v>
      </c>
      <c r="H34" s="36">
        <f t="shared" si="3"/>
        <v>22.5</v>
      </c>
    </row>
    <row r="36" spans="1:256" ht="18" x14ac:dyDescent="0.25">
      <c r="A36" s="39" t="s">
        <v>41</v>
      </c>
      <c r="B36" s="39"/>
      <c r="C36" s="3"/>
      <c r="D36" s="4"/>
      <c r="E36" s="4"/>
      <c r="F36" s="5"/>
      <c r="G36" s="5"/>
      <c r="H36" s="5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</row>
    <row r="37" spans="1:256" s="7" customFormat="1" ht="15.75" x14ac:dyDescent="0.25">
      <c r="B37" s="2" t="s">
        <v>3</v>
      </c>
      <c r="C37" s="8" t="s">
        <v>5</v>
      </c>
      <c r="D37" s="9" t="s">
        <v>6</v>
      </c>
      <c r="E37" s="9" t="s">
        <v>6</v>
      </c>
      <c r="F37" s="10" t="s">
        <v>7</v>
      </c>
      <c r="G37" s="10" t="s">
        <v>8</v>
      </c>
      <c r="H37" s="10" t="s">
        <v>9</v>
      </c>
    </row>
    <row r="38" spans="1:256" x14ac:dyDescent="0.25">
      <c r="B38" s="37" t="s">
        <v>28</v>
      </c>
      <c r="C38" s="38">
        <v>75</v>
      </c>
      <c r="D38" s="19">
        <f>IF(ISBLANK(B38),"",$C38*VLOOKUP($B38,Lebensmittel!$A$2:$G$14500,3,0)/VLOOKUP($B38,Lebensmittel!$A$2:$G$14500,2,0))</f>
        <v>255</v>
      </c>
      <c r="E38" s="19">
        <f>IF(ISBLANK(B38),"",$C38*VLOOKUP($B38,Lebensmittel!$A$2:$G$14500,7,0)/VLOOKUP($B38,Lebensmittel!$A$2:$G$14500,2,0))</f>
        <v>255</v>
      </c>
      <c r="F38" s="20">
        <f>IF(ISBLANK(B38),"",$C38*VLOOKUP($B38,Lebensmittel!$A$2:$G$14500,4,0)/VLOOKUP($B38,Lebensmittel!$A$2:$G$14500,2,0))</f>
        <v>11.25</v>
      </c>
      <c r="G38" s="20">
        <f>IF(ISBLANK(B38),"",$C38*VLOOKUP($B38,Lebensmittel!$A$2:$G$14500,5,0)/VLOOKUP($B38,Lebensmittel!$A$2:$G$14500,2,0))</f>
        <v>37.5</v>
      </c>
      <c r="H38" s="20">
        <f>IF(ISBLANK(B38),"",$C38*VLOOKUP($B38,Lebensmittel!$A$2:$G$14500,6,0)/VLOOKUP($B38,Lebensmittel!$A$2:$G$14500,2,0))</f>
        <v>0</v>
      </c>
    </row>
    <row r="39" spans="1:256" x14ac:dyDescent="0.25">
      <c r="B39" s="37" t="s">
        <v>31</v>
      </c>
      <c r="C39" s="38">
        <v>15</v>
      </c>
      <c r="D39" s="19">
        <f>IF(ISBLANK(B39),"",$C39*VLOOKUP($B39,Lebensmittel!$A$2:$G$14500,3,0)/VLOOKUP($B39,Lebensmittel!$A$2:$G$14500,2,0))</f>
        <v>78.599999999999994</v>
      </c>
      <c r="E39" s="19">
        <f>IF(ISBLANK(B39),"",$C39*VLOOKUP($B39,Lebensmittel!$A$2:$G$14500,7,0)/VLOOKUP($B39,Lebensmittel!$A$2:$G$14500,2,0))</f>
        <v>78.599999999999994</v>
      </c>
      <c r="F39" s="20">
        <f>IF(ISBLANK(B39),"",$C39*VLOOKUP($B39,Lebensmittel!$A$2:$G$14500,4,0)/VLOOKUP($B39,Lebensmittel!$A$2:$G$14500,2,0))</f>
        <v>6</v>
      </c>
      <c r="G39" s="20">
        <f>IF(ISBLANK(B39),"",$C39*VLOOKUP($B39,Lebensmittel!$A$2:$G$14500,5,0)/VLOOKUP($B39,Lebensmittel!$A$2:$G$14500,2,0))</f>
        <v>6</v>
      </c>
      <c r="H39" s="20">
        <f>IF(ISBLANK(B39),"",$C39*VLOOKUP($B39,Lebensmittel!$A$2:$G$14500,6,0)/VLOOKUP($B39,Lebensmittel!$A$2:$G$14500,2,0))</f>
        <v>0</v>
      </c>
    </row>
    <row r="40" spans="1:256" x14ac:dyDescent="0.25">
      <c r="B40" s="37"/>
      <c r="C40" s="38"/>
      <c r="D40" s="19" t="str">
        <f>IF(ISBLANK(B40),"",$C40*VLOOKUP($B40,Lebensmittel!$A$2:$G$14500,3,0)/VLOOKUP($B40,Lebensmittel!$A$2:$G$14500,2,0))</f>
        <v/>
      </c>
      <c r="E40" s="19" t="str">
        <f>IF(ISBLANK(B40),"",$C40*VLOOKUP($B40,Lebensmittel!$A$2:$G$14500,7,0)/VLOOKUP($B40,Lebensmittel!$A$2:$G$14500,2,0))</f>
        <v/>
      </c>
      <c r="F40" s="20" t="str">
        <f>IF(ISBLANK(B40),"",$C40*VLOOKUP($B40,Lebensmittel!$A$2:$G$14500,4,0)/VLOOKUP($B40,Lebensmittel!$A$2:$G$14500,2,0))</f>
        <v/>
      </c>
      <c r="G40" s="20" t="str">
        <f>IF(ISBLANK(B40),"",$C40*VLOOKUP($B40,Lebensmittel!$A$2:$G$14500,5,0)/VLOOKUP($B40,Lebensmittel!$A$2:$G$14500,2,0))</f>
        <v/>
      </c>
      <c r="H40" s="20" t="str">
        <f>IF(ISBLANK(B40),"",$C40*VLOOKUP($B40,Lebensmittel!$A$2:$G$14500,6,0)/VLOOKUP($B40,Lebensmittel!$A$2:$G$14500,2,0))</f>
        <v/>
      </c>
    </row>
    <row r="41" spans="1:256" x14ac:dyDescent="0.25">
      <c r="B41" s="37"/>
      <c r="C41" s="38"/>
      <c r="D41" s="19" t="str">
        <f>IF(ISBLANK(B41),"",$C41*VLOOKUP($B41,Lebensmittel!$A$2:$G$14500,3,0)/VLOOKUP($B41,Lebensmittel!$A$2:$G$14500,2,0))</f>
        <v/>
      </c>
      <c r="E41" s="19" t="str">
        <f>IF(ISBLANK(B41),"",$C41*VLOOKUP($B41,Lebensmittel!$A$2:$G$14500,7,0)/VLOOKUP($B41,Lebensmittel!$A$2:$G$14500,2,0))</f>
        <v/>
      </c>
      <c r="F41" s="20" t="str">
        <f>IF(ISBLANK(B41),"",$C41*VLOOKUP($B41,Lebensmittel!$A$2:$G$14500,4,0)/VLOOKUP($B41,Lebensmittel!$A$2:$G$14500,2,0))</f>
        <v/>
      </c>
      <c r="G41" s="20" t="str">
        <f>IF(ISBLANK(B41),"",$C41*VLOOKUP($B41,Lebensmittel!$A$2:$G$14500,5,0)/VLOOKUP($B41,Lebensmittel!$A$2:$G$14500,2,0))</f>
        <v/>
      </c>
      <c r="H41" s="20" t="str">
        <f>IF(ISBLANK(B41),"",$C41*VLOOKUP($B41,Lebensmittel!$A$2:$G$14500,6,0)/VLOOKUP($B41,Lebensmittel!$A$2:$G$14500,2,0))</f>
        <v/>
      </c>
    </row>
    <row r="42" spans="1:256" x14ac:dyDescent="0.25">
      <c r="B42" s="37"/>
      <c r="C42" s="38"/>
      <c r="D42" s="19" t="str">
        <f>IF(ISBLANK(B42),"",$C42*VLOOKUP($B42,Lebensmittel!$A$2:$G$14500,3,0)/VLOOKUP($B42,Lebensmittel!$A$2:$G$14500,2,0))</f>
        <v/>
      </c>
      <c r="E42" s="19" t="str">
        <f>IF(ISBLANK(B42),"",$C42*VLOOKUP($B42,Lebensmittel!$A$2:$G$14500,7,0)/VLOOKUP($B42,Lebensmittel!$A$2:$G$14500,2,0))</f>
        <v/>
      </c>
      <c r="F42" s="20" t="str">
        <f>IF(ISBLANK(B42),"",$C42*VLOOKUP($B42,Lebensmittel!$A$2:$G$14500,4,0)/VLOOKUP($B42,Lebensmittel!$A$2:$G$14500,2,0))</f>
        <v/>
      </c>
      <c r="G42" s="20" t="str">
        <f>IF(ISBLANK(B42),"",$C42*VLOOKUP($B42,Lebensmittel!$A$2:$G$14500,5,0)/VLOOKUP($B42,Lebensmittel!$A$2:$G$14500,2,0))</f>
        <v/>
      </c>
      <c r="H42" s="20" t="str">
        <f>IF(ISBLANK(B42),"",$C42*VLOOKUP($B42,Lebensmittel!$A$2:$G$14500,6,0)/VLOOKUP($B42,Lebensmittel!$A$2:$G$14500,2,0))</f>
        <v/>
      </c>
    </row>
    <row r="43" spans="1:256" x14ac:dyDescent="0.25">
      <c r="B43" s="37"/>
      <c r="C43" s="38"/>
      <c r="D43" s="19" t="str">
        <f>IF(ISBLANK(B43),"",$C43*VLOOKUP($B43,Lebensmittel!$A$2:$G$14500,3,0)/VLOOKUP($B43,Lebensmittel!$A$2:$G$14500,2,0))</f>
        <v/>
      </c>
      <c r="E43" s="19" t="str">
        <f>IF(ISBLANK(B43),"",$C43*VLOOKUP($B43,Lebensmittel!$A$2:$G$14500,7,0)/VLOOKUP($B43,Lebensmittel!$A$2:$G$14500,2,0))</f>
        <v/>
      </c>
      <c r="F43" s="20" t="str">
        <f>IF(ISBLANK(B43),"",$C43*VLOOKUP($B43,Lebensmittel!$A$2:$G$14500,4,0)/VLOOKUP($B43,Lebensmittel!$A$2:$G$14500,2,0))</f>
        <v/>
      </c>
      <c r="G43" s="20" t="str">
        <f>IF(ISBLANK(B43),"",$C43*VLOOKUP($B43,Lebensmittel!$A$2:$G$14500,5,0)/VLOOKUP($B43,Lebensmittel!$A$2:$G$14500,2,0))</f>
        <v/>
      </c>
      <c r="H43" s="20" t="str">
        <f>IF(ISBLANK(B43),"",$C43*VLOOKUP($B43,Lebensmittel!$A$2:$G$14500,6,0)/VLOOKUP($B43,Lebensmittel!$A$2:$G$14500,2,0))</f>
        <v/>
      </c>
    </row>
    <row r="44" spans="1:256" x14ac:dyDescent="0.25">
      <c r="B44" s="37"/>
      <c r="C44" s="38"/>
      <c r="D44" s="19" t="str">
        <f>IF(ISBLANK(B44),"",$C44*VLOOKUP($B44,Lebensmittel!$A$2:$G$14500,3,0)/VLOOKUP($B44,Lebensmittel!$A$2:$G$14500,2,0))</f>
        <v/>
      </c>
      <c r="E44" s="19" t="str">
        <f>IF(ISBLANK(B44),"",$C44*VLOOKUP($B44,Lebensmittel!$A$2:$G$14500,7,0)/VLOOKUP($B44,Lebensmittel!$A$2:$G$14500,2,0))</f>
        <v/>
      </c>
      <c r="F44" s="20" t="str">
        <f>IF(ISBLANK(B44),"",$C44*VLOOKUP($B44,Lebensmittel!$A$2:$G$14500,4,0)/VLOOKUP($B44,Lebensmittel!$A$2:$G$14500,2,0))</f>
        <v/>
      </c>
      <c r="G44" s="20" t="str">
        <f>IF(ISBLANK(B44),"",$C44*VLOOKUP($B44,Lebensmittel!$A$2:$G$14500,5,0)/VLOOKUP($B44,Lebensmittel!$A$2:$G$14500,2,0))</f>
        <v/>
      </c>
      <c r="H44" s="20" t="str">
        <f>IF(ISBLANK(B44),"",$C44*VLOOKUP($B44,Lebensmittel!$A$2:$G$14500,6,0)/VLOOKUP($B44,Lebensmittel!$A$2:$G$14500,2,0))</f>
        <v/>
      </c>
    </row>
    <row r="45" spans="1:256" x14ac:dyDescent="0.25">
      <c r="B45" s="37"/>
      <c r="C45" s="38"/>
      <c r="D45" s="19" t="str">
        <f>IF(ISBLANK(B45),"",$C45*VLOOKUP($B45,Lebensmittel!$A$2:$G$14500,3,0)/VLOOKUP($B45,Lebensmittel!$A$2:$G$14500,2,0))</f>
        <v/>
      </c>
      <c r="E45" s="19" t="str">
        <f>IF(ISBLANK(B45),"",$C45*VLOOKUP($B45,Lebensmittel!$A$2:$G$14500,7,0)/VLOOKUP($B45,Lebensmittel!$A$2:$G$14500,2,0))</f>
        <v/>
      </c>
      <c r="F45" s="20" t="str">
        <f>IF(ISBLANK(B45),"",$C45*VLOOKUP($B45,Lebensmittel!$A$2:$G$14500,4,0)/VLOOKUP($B45,Lebensmittel!$A$2:$G$14500,2,0))</f>
        <v/>
      </c>
      <c r="G45" s="20" t="str">
        <f>IF(ISBLANK(B45),"",$C45*VLOOKUP($B45,Lebensmittel!$A$2:$G$14500,5,0)/VLOOKUP($B45,Lebensmittel!$A$2:$G$14500,2,0))</f>
        <v/>
      </c>
      <c r="H45" s="20" t="str">
        <f>IF(ISBLANK(B45),"",$C45*VLOOKUP($B45,Lebensmittel!$A$2:$G$14500,6,0)/VLOOKUP($B45,Lebensmittel!$A$2:$G$14500,2,0))</f>
        <v/>
      </c>
    </row>
    <row r="46" spans="1:256" x14ac:dyDescent="0.25">
      <c r="B46" s="37"/>
      <c r="C46" s="38"/>
      <c r="D46" s="19" t="str">
        <f>IF(ISBLANK(B46),"",$C46*VLOOKUP($B46,Lebensmittel!$A$2:$G$14500,3,0)/VLOOKUP($B46,Lebensmittel!$A$2:$G$14500,2,0))</f>
        <v/>
      </c>
      <c r="E46" s="19" t="str">
        <f>IF(ISBLANK(B46),"",$C46*VLOOKUP($B46,Lebensmittel!$A$2:$G$14500,7,0)/VLOOKUP($B46,Lebensmittel!$A$2:$G$14500,2,0))</f>
        <v/>
      </c>
      <c r="F46" s="20" t="str">
        <f>IF(ISBLANK(B46),"",$C46*VLOOKUP($B46,Lebensmittel!$A$2:$G$14500,4,0)/VLOOKUP($B46,Lebensmittel!$A$2:$G$14500,2,0))</f>
        <v/>
      </c>
      <c r="G46" s="20" t="str">
        <f>IF(ISBLANK(B46),"",$C46*VLOOKUP($B46,Lebensmittel!$A$2:$G$14500,5,0)/VLOOKUP($B46,Lebensmittel!$A$2:$G$14500,2,0))</f>
        <v/>
      </c>
      <c r="H46" s="20" t="str">
        <f>IF(ISBLANK(B46),"",$C46*VLOOKUP($B46,Lebensmittel!$A$2:$G$14500,6,0)/VLOOKUP($B46,Lebensmittel!$A$2:$G$14500,2,0))</f>
        <v/>
      </c>
    </row>
    <row r="47" spans="1:256" x14ac:dyDescent="0.25">
      <c r="B47" s="37"/>
      <c r="C47" s="38"/>
      <c r="D47" s="19" t="str">
        <f>IF(ISBLANK(B47),"",$C47*VLOOKUP($B47,Lebensmittel!$A$2:$G$14500,3,0)/VLOOKUP($B47,Lebensmittel!$A$2:$G$14500,2,0))</f>
        <v/>
      </c>
      <c r="E47" s="19" t="str">
        <f>IF(ISBLANK(B47),"",$C47*VLOOKUP($B47,Lebensmittel!$A$2:$G$14500,7,0)/VLOOKUP($B47,Lebensmittel!$A$2:$G$14500,2,0))</f>
        <v/>
      </c>
      <c r="F47" s="20" t="str">
        <f>IF(ISBLANK(B47),"",$C47*VLOOKUP($B47,Lebensmittel!$A$2:$G$14500,4,0)/VLOOKUP($B47,Lebensmittel!$A$2:$G$14500,2,0))</f>
        <v/>
      </c>
      <c r="G47" s="20" t="str">
        <f>IF(ISBLANK(B47),"",$C47*VLOOKUP($B47,Lebensmittel!$A$2:$G$14500,5,0)/VLOOKUP($B47,Lebensmittel!$A$2:$G$14500,2,0))</f>
        <v/>
      </c>
      <c r="H47" s="20" t="str">
        <f>IF(ISBLANK(B47),"",$C47*VLOOKUP($B47,Lebensmittel!$A$2:$G$14500,6,0)/VLOOKUP($B47,Lebensmittel!$A$2:$G$14500,2,0))</f>
        <v/>
      </c>
    </row>
    <row r="48" spans="1:256" x14ac:dyDescent="0.25">
      <c r="B48" s="33" t="s">
        <v>42</v>
      </c>
      <c r="C48" s="34">
        <f t="shared" ref="C48:H48" si="4">SUM(C38:C47)</f>
        <v>90</v>
      </c>
      <c r="D48" s="35">
        <f t="shared" si="4"/>
        <v>333.6</v>
      </c>
      <c r="E48" s="35">
        <f t="shared" si="4"/>
        <v>333.6</v>
      </c>
      <c r="F48" s="36">
        <f t="shared" si="4"/>
        <v>17.25</v>
      </c>
      <c r="G48" s="36">
        <f t="shared" si="4"/>
        <v>43.5</v>
      </c>
      <c r="H48" s="36">
        <f t="shared" si="4"/>
        <v>0</v>
      </c>
    </row>
    <row r="50" spans="1:256" ht="18" x14ac:dyDescent="0.25">
      <c r="A50" s="39" t="s">
        <v>43</v>
      </c>
      <c r="B50" s="39"/>
      <c r="C50" s="3"/>
      <c r="D50" s="4"/>
      <c r="E50" s="4"/>
      <c r="F50" s="5"/>
      <c r="G50" s="5"/>
      <c r="H50" s="5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</row>
    <row r="51" spans="1:256" s="7" customFormat="1" ht="15.75" x14ac:dyDescent="0.25">
      <c r="B51" s="2" t="s">
        <v>3</v>
      </c>
      <c r="C51" s="8" t="s">
        <v>5</v>
      </c>
      <c r="D51" s="9" t="s">
        <v>6</v>
      </c>
      <c r="E51" s="9" t="s">
        <v>6</v>
      </c>
      <c r="F51" s="10" t="s">
        <v>7</v>
      </c>
      <c r="G51" s="10" t="s">
        <v>8</v>
      </c>
      <c r="H51" s="10" t="s">
        <v>9</v>
      </c>
    </row>
    <row r="52" spans="1:256" x14ac:dyDescent="0.25">
      <c r="B52" s="37" t="s">
        <v>15</v>
      </c>
      <c r="C52" s="38">
        <v>80</v>
      </c>
      <c r="D52" s="19">
        <f>IF(ISBLANK(B52),"",$C52*VLOOKUP($B52,Lebensmittel!$A$2:$G$14500,3,0)/VLOOKUP($B52,Lebensmittel!$A$2:$G$14500,2,0))</f>
        <v>216.4</v>
      </c>
      <c r="E52" s="19">
        <f>IF(ISBLANK(B52),"",$C52*VLOOKUP($B52,Lebensmittel!$A$2:$G$14500,7,0)/VLOOKUP($B52,Lebensmittel!$A$2:$G$14500,2,0))</f>
        <v>216.4</v>
      </c>
      <c r="F52" s="20">
        <f>IF(ISBLANK(B52),"",$C52*VLOOKUP($B52,Lebensmittel!$A$2:$G$14500,4,0)/VLOOKUP($B52,Lebensmittel!$A$2:$G$14500,2,0))</f>
        <v>4</v>
      </c>
      <c r="G52" s="20">
        <f>IF(ISBLANK(B52),"",$C52*VLOOKUP($B52,Lebensmittel!$A$2:$G$14500,5,0)/VLOOKUP($B52,Lebensmittel!$A$2:$G$14500,2,0))</f>
        <v>40</v>
      </c>
      <c r="H52" s="20">
        <f>IF(ISBLANK(B52),"",$C52*VLOOKUP($B52,Lebensmittel!$A$2:$G$14500,6,0)/VLOOKUP($B52,Lebensmittel!$A$2:$G$14500,2,0))</f>
        <v>4</v>
      </c>
    </row>
    <row r="53" spans="1:256" x14ac:dyDescent="0.25">
      <c r="B53" s="37" t="s">
        <v>22</v>
      </c>
      <c r="C53" s="38">
        <v>50</v>
      </c>
      <c r="D53" s="19">
        <f>IF(ISBLANK(B53),"",$C53*VLOOKUP($B53,Lebensmittel!$A$2:$G$14500,3,0)/VLOOKUP($B53,Lebensmittel!$A$2:$G$14500,2,0))</f>
        <v>120.75</v>
      </c>
      <c r="E53" s="19">
        <f>IF(ISBLANK(B53),"",$C53*VLOOKUP($B53,Lebensmittel!$A$2:$G$14500,7,0)/VLOOKUP($B53,Lebensmittel!$A$2:$G$14500,2,0))</f>
        <v>120.75</v>
      </c>
      <c r="F53" s="20">
        <f>IF(ISBLANK(B53),"",$C53*VLOOKUP($B53,Lebensmittel!$A$2:$G$14500,4,0)/VLOOKUP($B53,Lebensmittel!$A$2:$G$14500,2,0))</f>
        <v>10</v>
      </c>
      <c r="G53" s="20">
        <f>IF(ISBLANK(B53),"",$C53*VLOOKUP($B53,Lebensmittel!$A$2:$G$14500,5,0)/VLOOKUP($B53,Lebensmittel!$A$2:$G$14500,2,0))</f>
        <v>0</v>
      </c>
      <c r="H53" s="20">
        <f>IF(ISBLANK(B53),"",$C53*VLOOKUP($B53,Lebensmittel!$A$2:$G$14500,6,0)/VLOOKUP($B53,Lebensmittel!$A$2:$G$14500,2,0))</f>
        <v>7.5</v>
      </c>
    </row>
    <row r="54" spans="1:256" x14ac:dyDescent="0.25">
      <c r="B54" s="37" t="s">
        <v>26</v>
      </c>
      <c r="C54" s="38">
        <v>30</v>
      </c>
      <c r="D54" s="19">
        <f>IF(ISBLANK(B54),"",$C54*VLOOKUP($B54,Lebensmittel!$A$2:$G$14500,3,0)/VLOOKUP($B54,Lebensmittel!$A$2:$G$14500,2,0))</f>
        <v>152.4</v>
      </c>
      <c r="E54" s="19">
        <f>IF(ISBLANK(B54),"",$C54*VLOOKUP($B54,Lebensmittel!$A$2:$G$14500,7,0)/VLOOKUP($B54,Lebensmittel!$A$2:$G$14500,2,0))</f>
        <v>152.4</v>
      </c>
      <c r="F54" s="20">
        <f>IF(ISBLANK(B54),"",$C54*VLOOKUP($B54,Lebensmittel!$A$2:$G$14500,4,0)/VLOOKUP($B54,Lebensmittel!$A$2:$G$14500,2,0))</f>
        <v>6</v>
      </c>
      <c r="G54" s="20">
        <f>IF(ISBLANK(B54),"",$C54*VLOOKUP($B54,Lebensmittel!$A$2:$G$14500,5,0)/VLOOKUP($B54,Lebensmittel!$A$2:$G$14500,2,0))</f>
        <v>24</v>
      </c>
      <c r="H54" s="20">
        <f>IF(ISBLANK(B54),"",$C54*VLOOKUP($B54,Lebensmittel!$A$2:$G$14500,6,0)/VLOOKUP($B54,Lebensmittel!$A$2:$G$14500,2,0))</f>
        <v>0</v>
      </c>
    </row>
    <row r="55" spans="1:256" x14ac:dyDescent="0.25">
      <c r="B55" s="37"/>
      <c r="C55" s="38"/>
      <c r="D55" s="19" t="str">
        <f>IF(ISBLANK(B55),"",$C55*VLOOKUP($B55,Lebensmittel!$A$2:$G$14500,3,0)/VLOOKUP($B55,Lebensmittel!$A$2:$G$14500,2,0))</f>
        <v/>
      </c>
      <c r="E55" s="19" t="str">
        <f>IF(ISBLANK(B55),"",$C55*VLOOKUP($B55,Lebensmittel!$A$2:$G$14500,7,0)/VLOOKUP($B55,Lebensmittel!$A$2:$G$14500,2,0))</f>
        <v/>
      </c>
      <c r="F55" s="20" t="str">
        <f>IF(ISBLANK(B55),"",$C55*VLOOKUP($B55,Lebensmittel!$A$2:$G$14500,4,0)/VLOOKUP($B55,Lebensmittel!$A$2:$G$14500,2,0))</f>
        <v/>
      </c>
      <c r="G55" s="20" t="str">
        <f>IF(ISBLANK(B55),"",$C55*VLOOKUP($B55,Lebensmittel!$A$2:$G$14500,5,0)/VLOOKUP($B55,Lebensmittel!$A$2:$G$14500,2,0))</f>
        <v/>
      </c>
      <c r="H55" s="20" t="str">
        <f>IF(ISBLANK(B55),"",$C55*VLOOKUP($B55,Lebensmittel!$A$2:$G$14500,6,0)/VLOOKUP($B55,Lebensmittel!$A$2:$G$14500,2,0))</f>
        <v/>
      </c>
    </row>
    <row r="56" spans="1:256" x14ac:dyDescent="0.25">
      <c r="B56" s="37"/>
      <c r="C56" s="38"/>
      <c r="D56" s="19" t="str">
        <f>IF(ISBLANK(B56),"",$C56*VLOOKUP($B56,Lebensmittel!$A$2:$G$14500,3,0)/VLOOKUP($B56,Lebensmittel!$A$2:$G$14500,2,0))</f>
        <v/>
      </c>
      <c r="E56" s="19" t="str">
        <f>IF(ISBLANK(B56),"",$C56*VLOOKUP($B56,Lebensmittel!$A$2:$G$14500,7,0)/VLOOKUP($B56,Lebensmittel!$A$2:$G$14500,2,0))</f>
        <v/>
      </c>
      <c r="F56" s="20" t="str">
        <f>IF(ISBLANK(B56),"",$C56*VLOOKUP($B56,Lebensmittel!$A$2:$G$14500,4,0)/VLOOKUP($B56,Lebensmittel!$A$2:$G$14500,2,0))</f>
        <v/>
      </c>
      <c r="G56" s="20" t="str">
        <f>IF(ISBLANK(B56),"",$C56*VLOOKUP($B56,Lebensmittel!$A$2:$G$14500,5,0)/VLOOKUP($B56,Lebensmittel!$A$2:$G$14500,2,0))</f>
        <v/>
      </c>
      <c r="H56" s="20" t="str">
        <f>IF(ISBLANK(B56),"",$C56*VLOOKUP($B56,Lebensmittel!$A$2:$G$14500,6,0)/VLOOKUP($B56,Lebensmittel!$A$2:$G$14500,2,0))</f>
        <v/>
      </c>
    </row>
    <row r="57" spans="1:256" x14ac:dyDescent="0.25">
      <c r="B57" s="37"/>
      <c r="C57" s="38"/>
      <c r="D57" s="19" t="str">
        <f>IF(ISBLANK(B57),"",$C57*VLOOKUP($B57,Lebensmittel!$A$2:$G$14500,3,0)/VLOOKUP($B57,Lebensmittel!$A$2:$G$14500,2,0))</f>
        <v/>
      </c>
      <c r="E57" s="19" t="str">
        <f>IF(ISBLANK(B57),"",$C57*VLOOKUP($B57,Lebensmittel!$A$2:$G$14500,7,0)/VLOOKUP($B57,Lebensmittel!$A$2:$G$14500,2,0))</f>
        <v/>
      </c>
      <c r="F57" s="20" t="str">
        <f>IF(ISBLANK(B57),"",$C57*VLOOKUP($B57,Lebensmittel!$A$2:$G$14500,4,0)/VLOOKUP($B57,Lebensmittel!$A$2:$G$14500,2,0))</f>
        <v/>
      </c>
      <c r="G57" s="20" t="str">
        <f>IF(ISBLANK(B57),"",$C57*VLOOKUP($B57,Lebensmittel!$A$2:$G$14500,5,0)/VLOOKUP($B57,Lebensmittel!$A$2:$G$14500,2,0))</f>
        <v/>
      </c>
      <c r="H57" s="20" t="str">
        <f>IF(ISBLANK(B57),"",$C57*VLOOKUP($B57,Lebensmittel!$A$2:$G$14500,6,0)/VLOOKUP($B57,Lebensmittel!$A$2:$G$14500,2,0))</f>
        <v/>
      </c>
    </row>
    <row r="58" spans="1:256" x14ac:dyDescent="0.25">
      <c r="B58" s="37"/>
      <c r="C58" s="38"/>
      <c r="D58" s="19" t="str">
        <f>IF(ISBLANK(B58),"",$C58*VLOOKUP($B58,Lebensmittel!$A$2:$G$14500,3,0)/VLOOKUP($B58,Lebensmittel!$A$2:$G$14500,2,0))</f>
        <v/>
      </c>
      <c r="E58" s="19" t="str">
        <f>IF(ISBLANK(B58),"",$C58*VLOOKUP($B58,Lebensmittel!$A$2:$G$14500,7,0)/VLOOKUP($B58,Lebensmittel!$A$2:$G$14500,2,0))</f>
        <v/>
      </c>
      <c r="F58" s="20" t="str">
        <f>IF(ISBLANK(B58),"",$C58*VLOOKUP($B58,Lebensmittel!$A$2:$G$14500,4,0)/VLOOKUP($B58,Lebensmittel!$A$2:$G$14500,2,0))</f>
        <v/>
      </c>
      <c r="G58" s="20" t="str">
        <f>IF(ISBLANK(B58),"",$C58*VLOOKUP($B58,Lebensmittel!$A$2:$G$14500,5,0)/VLOOKUP($B58,Lebensmittel!$A$2:$G$14500,2,0))</f>
        <v/>
      </c>
      <c r="H58" s="20" t="str">
        <f>IF(ISBLANK(B58),"",$C58*VLOOKUP($B58,Lebensmittel!$A$2:$G$14500,6,0)/VLOOKUP($B58,Lebensmittel!$A$2:$G$14500,2,0))</f>
        <v/>
      </c>
    </row>
    <row r="59" spans="1:256" x14ac:dyDescent="0.25">
      <c r="B59" s="37"/>
      <c r="C59" s="38"/>
      <c r="D59" s="19" t="str">
        <f>IF(ISBLANK(B59),"",$C59*VLOOKUP($B59,Lebensmittel!$A$2:$G$14500,3,0)/VLOOKUP($B59,Lebensmittel!$A$2:$G$14500,2,0))</f>
        <v/>
      </c>
      <c r="E59" s="19" t="str">
        <f>IF(ISBLANK(B59),"",$C59*VLOOKUP($B59,Lebensmittel!$A$2:$G$14500,7,0)/VLOOKUP($B59,Lebensmittel!$A$2:$G$14500,2,0))</f>
        <v/>
      </c>
      <c r="F59" s="20" t="str">
        <f>IF(ISBLANK(B59),"",$C59*VLOOKUP($B59,Lebensmittel!$A$2:$G$14500,4,0)/VLOOKUP($B59,Lebensmittel!$A$2:$G$14500,2,0))</f>
        <v/>
      </c>
      <c r="G59" s="20" t="str">
        <f>IF(ISBLANK(B59),"",$C59*VLOOKUP($B59,Lebensmittel!$A$2:$G$14500,5,0)/VLOOKUP($B59,Lebensmittel!$A$2:$G$14500,2,0))</f>
        <v/>
      </c>
      <c r="H59" s="20" t="str">
        <f>IF(ISBLANK(B59),"",$C59*VLOOKUP($B59,Lebensmittel!$A$2:$G$14500,6,0)/VLOOKUP($B59,Lebensmittel!$A$2:$G$14500,2,0))</f>
        <v/>
      </c>
    </row>
    <row r="60" spans="1:256" x14ac:dyDescent="0.25">
      <c r="B60" s="37"/>
      <c r="C60" s="38"/>
      <c r="D60" s="19" t="str">
        <f>IF(ISBLANK(B60),"",$C60*VLOOKUP($B60,Lebensmittel!$A$2:$G$14500,3,0)/VLOOKUP($B60,Lebensmittel!$A$2:$G$14500,2,0))</f>
        <v/>
      </c>
      <c r="E60" s="19" t="str">
        <f>IF(ISBLANK(B60),"",$C60*VLOOKUP($B60,Lebensmittel!$A$2:$G$14500,7,0)/VLOOKUP($B60,Lebensmittel!$A$2:$G$14500,2,0))</f>
        <v/>
      </c>
      <c r="F60" s="20" t="str">
        <f>IF(ISBLANK(B60),"",$C60*VLOOKUP($B60,Lebensmittel!$A$2:$G$14500,4,0)/VLOOKUP($B60,Lebensmittel!$A$2:$G$14500,2,0))</f>
        <v/>
      </c>
      <c r="G60" s="20" t="str">
        <f>IF(ISBLANK(B60),"",$C60*VLOOKUP($B60,Lebensmittel!$A$2:$G$14500,5,0)/VLOOKUP($B60,Lebensmittel!$A$2:$G$14500,2,0))</f>
        <v/>
      </c>
      <c r="H60" s="20" t="str">
        <f>IF(ISBLANK(B60),"",$C60*VLOOKUP($B60,Lebensmittel!$A$2:$G$14500,6,0)/VLOOKUP($B60,Lebensmittel!$A$2:$G$14500,2,0))</f>
        <v/>
      </c>
    </row>
    <row r="61" spans="1:256" x14ac:dyDescent="0.25">
      <c r="B61" s="37"/>
      <c r="C61" s="38"/>
      <c r="D61" s="19" t="str">
        <f>IF(ISBLANK(B61),"",$C61*VLOOKUP($B61,Lebensmittel!$A$2:$G$14500,3,0)/VLOOKUP($B61,Lebensmittel!$A$2:$G$14500,2,0))</f>
        <v/>
      </c>
      <c r="E61" s="19" t="str">
        <f>IF(ISBLANK(B61),"",$C61*VLOOKUP($B61,Lebensmittel!$A$2:$G$14500,7,0)/VLOOKUP($B61,Lebensmittel!$A$2:$G$14500,2,0))</f>
        <v/>
      </c>
      <c r="F61" s="20" t="str">
        <f>IF(ISBLANK(B61),"",$C61*VLOOKUP($B61,Lebensmittel!$A$2:$G$14500,4,0)/VLOOKUP($B61,Lebensmittel!$A$2:$G$14500,2,0))</f>
        <v/>
      </c>
      <c r="G61" s="20" t="str">
        <f>IF(ISBLANK(B61),"",$C61*VLOOKUP($B61,Lebensmittel!$A$2:$G$14500,5,0)/VLOOKUP($B61,Lebensmittel!$A$2:$G$14500,2,0))</f>
        <v/>
      </c>
      <c r="H61" s="20" t="str">
        <f>IF(ISBLANK(B61),"",$C61*VLOOKUP($B61,Lebensmittel!$A$2:$G$14500,6,0)/VLOOKUP($B61,Lebensmittel!$A$2:$G$14500,2,0))</f>
        <v/>
      </c>
    </row>
    <row r="62" spans="1:256" x14ac:dyDescent="0.25">
      <c r="B62" s="33" t="s">
        <v>44</v>
      </c>
      <c r="C62" s="34">
        <f t="shared" ref="C62:H62" si="5">SUM(C52:C61)</f>
        <v>160</v>
      </c>
      <c r="D62" s="35">
        <f t="shared" si="5"/>
        <v>489.54999999999995</v>
      </c>
      <c r="E62" s="35">
        <f t="shared" si="5"/>
        <v>489.54999999999995</v>
      </c>
      <c r="F62" s="36">
        <f t="shared" si="5"/>
        <v>20</v>
      </c>
      <c r="G62" s="36">
        <f t="shared" si="5"/>
        <v>64</v>
      </c>
      <c r="H62" s="36">
        <f t="shared" si="5"/>
        <v>11.5</v>
      </c>
    </row>
    <row r="64" spans="1:256" ht="18" x14ac:dyDescent="0.25">
      <c r="A64" s="39" t="s">
        <v>45</v>
      </c>
      <c r="B64" s="39"/>
      <c r="C64" s="3"/>
      <c r="D64" s="4"/>
      <c r="E64" s="4"/>
      <c r="F64" s="5"/>
      <c r="G64" s="5"/>
      <c r="H64" s="5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</row>
    <row r="65" spans="2:8" s="7" customFormat="1" ht="15.75" x14ac:dyDescent="0.25">
      <c r="B65" s="2" t="s">
        <v>3</v>
      </c>
      <c r="C65" s="8" t="s">
        <v>5</v>
      </c>
      <c r="D65" s="9" t="s">
        <v>6</v>
      </c>
      <c r="E65" s="9" t="s">
        <v>6</v>
      </c>
      <c r="F65" s="10" t="s">
        <v>7</v>
      </c>
      <c r="G65" s="10" t="s">
        <v>8</v>
      </c>
      <c r="H65" s="10" t="s">
        <v>9</v>
      </c>
    </row>
    <row r="66" spans="2:8" x14ac:dyDescent="0.25">
      <c r="B66" s="37"/>
      <c r="C66" s="38"/>
      <c r="D66" s="19" t="str">
        <f>IF(ISBLANK(B66),"",$C66*VLOOKUP($B66,Lebensmittel!$A$2:$G$14500,3,0)/VLOOKUP($B66,Lebensmittel!$A$2:$G$14500,2,0))</f>
        <v/>
      </c>
      <c r="E66" s="19" t="str">
        <f>IF(ISBLANK(B66),"",$C66*VLOOKUP($B66,Lebensmittel!$A$2:$G$14500,7,0)/VLOOKUP($B66,Lebensmittel!$A$2:$G$14500,2,0))</f>
        <v/>
      </c>
      <c r="F66" s="20" t="str">
        <f>IF(ISBLANK(B66),"",$C66*VLOOKUP($B66,Lebensmittel!$A$2:$G$14500,4,0)/VLOOKUP($B66,Lebensmittel!$A$2:$G$14500,2,0))</f>
        <v/>
      </c>
      <c r="G66" s="20" t="str">
        <f>IF(ISBLANK(B66),"",$C66*VLOOKUP($B66,Lebensmittel!$A$2:$G$14500,5,0)/VLOOKUP($B66,Lebensmittel!$A$2:$G$14500,2,0))</f>
        <v/>
      </c>
      <c r="H66" s="20" t="str">
        <f>IF(ISBLANK(B66),"",$C66*VLOOKUP($B66,Lebensmittel!$A$2:$G$14500,6,0)/VLOOKUP($B66,Lebensmittel!$A$2:$G$14500,2,0))</f>
        <v/>
      </c>
    </row>
    <row r="67" spans="2:8" x14ac:dyDescent="0.25">
      <c r="B67" s="37"/>
      <c r="C67" s="38"/>
      <c r="D67" s="19" t="str">
        <f>IF(ISBLANK(B67),"",$C67*VLOOKUP($B67,Lebensmittel!$A$2:$G$14500,3,0)/VLOOKUP($B67,Lebensmittel!$A$2:$G$14500,2,0))</f>
        <v/>
      </c>
      <c r="E67" s="19" t="str">
        <f>IF(ISBLANK(B67),"",$C67*VLOOKUP($B67,Lebensmittel!$A$2:$G$14500,7,0)/VLOOKUP($B67,Lebensmittel!$A$2:$G$14500,2,0))</f>
        <v/>
      </c>
      <c r="F67" s="20" t="str">
        <f>IF(ISBLANK(B67),"",$C67*VLOOKUP($B67,Lebensmittel!$A$2:$G$14500,4,0)/VLOOKUP($B67,Lebensmittel!$A$2:$G$14500,2,0))</f>
        <v/>
      </c>
      <c r="G67" s="20" t="str">
        <f>IF(ISBLANK(B67),"",$C67*VLOOKUP($B67,Lebensmittel!$A$2:$G$14500,5,0)/VLOOKUP($B67,Lebensmittel!$A$2:$G$14500,2,0))</f>
        <v/>
      </c>
      <c r="H67" s="20" t="str">
        <f>IF(ISBLANK(B67),"",$C67*VLOOKUP($B67,Lebensmittel!$A$2:$G$14500,6,0)/VLOOKUP($B67,Lebensmittel!$A$2:$G$14500,2,0))</f>
        <v/>
      </c>
    </row>
    <row r="68" spans="2:8" x14ac:dyDescent="0.25">
      <c r="B68" s="37"/>
      <c r="C68" s="38"/>
      <c r="D68" s="19" t="str">
        <f>IF(ISBLANK(B68),"",$C68*VLOOKUP($B68,Lebensmittel!$A$2:$G$14500,3,0)/VLOOKUP($B68,Lebensmittel!$A$2:$G$14500,2,0))</f>
        <v/>
      </c>
      <c r="E68" s="19" t="str">
        <f>IF(ISBLANK(B68),"",$C68*VLOOKUP($B68,Lebensmittel!$A$2:$G$14500,7,0)/VLOOKUP($B68,Lebensmittel!$A$2:$G$14500,2,0))</f>
        <v/>
      </c>
      <c r="F68" s="20" t="str">
        <f>IF(ISBLANK(B68),"",$C68*VLOOKUP($B68,Lebensmittel!$A$2:$G$14500,4,0)/VLOOKUP($B68,Lebensmittel!$A$2:$G$14500,2,0))</f>
        <v/>
      </c>
      <c r="G68" s="20" t="str">
        <f>IF(ISBLANK(B68),"",$C68*VLOOKUP($B68,Lebensmittel!$A$2:$G$14500,5,0)/VLOOKUP($B68,Lebensmittel!$A$2:$G$14500,2,0))</f>
        <v/>
      </c>
      <c r="H68" s="20" t="str">
        <f>IF(ISBLANK(B68),"",$C68*VLOOKUP($B68,Lebensmittel!$A$2:$G$14500,6,0)/VLOOKUP($B68,Lebensmittel!$A$2:$G$14500,2,0))</f>
        <v/>
      </c>
    </row>
    <row r="69" spans="2:8" x14ac:dyDescent="0.25">
      <c r="B69" s="37"/>
      <c r="C69" s="38"/>
      <c r="D69" s="19" t="str">
        <f>IF(ISBLANK(B69),"",$C69*VLOOKUP($B69,Lebensmittel!$A$2:$G$14500,3,0)/VLOOKUP($B69,Lebensmittel!$A$2:$G$14500,2,0))</f>
        <v/>
      </c>
      <c r="E69" s="19" t="str">
        <f>IF(ISBLANK(B69),"",$C69*VLOOKUP($B69,Lebensmittel!$A$2:$G$14500,7,0)/VLOOKUP($B69,Lebensmittel!$A$2:$G$14500,2,0))</f>
        <v/>
      </c>
      <c r="F69" s="20" t="str">
        <f>IF(ISBLANK(B69),"",$C69*VLOOKUP($B69,Lebensmittel!$A$2:$G$14500,4,0)/VLOOKUP($B69,Lebensmittel!$A$2:$G$14500,2,0))</f>
        <v/>
      </c>
      <c r="G69" s="20" t="str">
        <f>IF(ISBLANK(B69),"",$C69*VLOOKUP($B69,Lebensmittel!$A$2:$G$14500,5,0)/VLOOKUP($B69,Lebensmittel!$A$2:$G$14500,2,0))</f>
        <v/>
      </c>
      <c r="H69" s="20" t="str">
        <f>IF(ISBLANK(B69),"",$C69*VLOOKUP($B69,Lebensmittel!$A$2:$G$14500,6,0)/VLOOKUP($B69,Lebensmittel!$A$2:$G$14500,2,0))</f>
        <v/>
      </c>
    </row>
    <row r="70" spans="2:8" x14ac:dyDescent="0.25">
      <c r="B70" s="37"/>
      <c r="C70" s="38"/>
      <c r="D70" s="19" t="str">
        <f>IF(ISBLANK(B70),"",$C70*VLOOKUP($B70,Lebensmittel!$A$2:$G$14500,3,0)/VLOOKUP($B70,Lebensmittel!$A$2:$G$14500,2,0))</f>
        <v/>
      </c>
      <c r="E70" s="19" t="str">
        <f>IF(ISBLANK(B70),"",$C70*VLOOKUP($B70,Lebensmittel!$A$2:$G$14500,7,0)/VLOOKUP($B70,Lebensmittel!$A$2:$G$14500,2,0))</f>
        <v/>
      </c>
      <c r="F70" s="20" t="str">
        <f>IF(ISBLANK(B70),"",$C70*VLOOKUP($B70,Lebensmittel!$A$2:$G$14500,4,0)/VLOOKUP($B70,Lebensmittel!$A$2:$G$14500,2,0))</f>
        <v/>
      </c>
      <c r="G70" s="20" t="str">
        <f>IF(ISBLANK(B70),"",$C70*VLOOKUP($B70,Lebensmittel!$A$2:$G$14500,5,0)/VLOOKUP($B70,Lebensmittel!$A$2:$G$14500,2,0))</f>
        <v/>
      </c>
      <c r="H70" s="20" t="str">
        <f>IF(ISBLANK(B70),"",$C70*VLOOKUP($B70,Lebensmittel!$A$2:$G$14500,6,0)/VLOOKUP($B70,Lebensmittel!$A$2:$G$14500,2,0))</f>
        <v/>
      </c>
    </row>
    <row r="71" spans="2:8" x14ac:dyDescent="0.25">
      <c r="B71" s="37"/>
      <c r="C71" s="38"/>
      <c r="D71" s="19" t="str">
        <f>IF(ISBLANK(B71),"",$C71*VLOOKUP($B71,Lebensmittel!$A$2:$G$14500,3,0)/VLOOKUP($B71,Lebensmittel!$A$2:$G$14500,2,0))</f>
        <v/>
      </c>
      <c r="E71" s="19" t="str">
        <f>IF(ISBLANK(B71),"",$C71*VLOOKUP($B71,Lebensmittel!$A$2:$G$14500,7,0)/VLOOKUP($B71,Lebensmittel!$A$2:$G$14500,2,0))</f>
        <v/>
      </c>
      <c r="F71" s="20" t="str">
        <f>IF(ISBLANK(B71),"",$C71*VLOOKUP($B71,Lebensmittel!$A$2:$G$14500,4,0)/VLOOKUP($B71,Lebensmittel!$A$2:$G$14500,2,0))</f>
        <v/>
      </c>
      <c r="G71" s="20" t="str">
        <f>IF(ISBLANK(B71),"",$C71*VLOOKUP($B71,Lebensmittel!$A$2:$G$14500,5,0)/VLOOKUP($B71,Lebensmittel!$A$2:$G$14500,2,0))</f>
        <v/>
      </c>
      <c r="H71" s="20" t="str">
        <f>IF(ISBLANK(B71),"",$C71*VLOOKUP($B71,Lebensmittel!$A$2:$G$14500,6,0)/VLOOKUP($B71,Lebensmittel!$A$2:$G$14500,2,0))</f>
        <v/>
      </c>
    </row>
    <row r="72" spans="2:8" x14ac:dyDescent="0.25">
      <c r="B72" s="37"/>
      <c r="C72" s="38"/>
      <c r="D72" s="19" t="str">
        <f>IF(ISBLANK(B72),"",$C72*VLOOKUP($B72,Lebensmittel!$A$2:$G$14500,3,0)/VLOOKUP($B72,Lebensmittel!$A$2:$G$14500,2,0))</f>
        <v/>
      </c>
      <c r="E72" s="19" t="str">
        <f>IF(ISBLANK(B72),"",$C72*VLOOKUP($B72,Lebensmittel!$A$2:$G$14500,7,0)/VLOOKUP($B72,Lebensmittel!$A$2:$G$14500,2,0))</f>
        <v/>
      </c>
      <c r="F72" s="20" t="str">
        <f>IF(ISBLANK(B72),"",$C72*VLOOKUP($B72,Lebensmittel!$A$2:$G$14500,4,0)/VLOOKUP($B72,Lebensmittel!$A$2:$G$14500,2,0))</f>
        <v/>
      </c>
      <c r="G72" s="20" t="str">
        <f>IF(ISBLANK(B72),"",$C72*VLOOKUP($B72,Lebensmittel!$A$2:$G$14500,5,0)/VLOOKUP($B72,Lebensmittel!$A$2:$G$14500,2,0))</f>
        <v/>
      </c>
      <c r="H72" s="20" t="str">
        <f>IF(ISBLANK(B72),"",$C72*VLOOKUP($B72,Lebensmittel!$A$2:$G$14500,6,0)/VLOOKUP($B72,Lebensmittel!$A$2:$G$14500,2,0))</f>
        <v/>
      </c>
    </row>
    <row r="73" spans="2:8" x14ac:dyDescent="0.25">
      <c r="B73" s="37"/>
      <c r="C73" s="38"/>
      <c r="D73" s="19" t="str">
        <f>IF(ISBLANK(B73),"",$C73*VLOOKUP($B73,Lebensmittel!$A$2:$G$14500,3,0)/VLOOKUP($B73,Lebensmittel!$A$2:$G$14500,2,0))</f>
        <v/>
      </c>
      <c r="E73" s="19" t="str">
        <f>IF(ISBLANK(B73),"",$C73*VLOOKUP($B73,Lebensmittel!$A$2:$G$14500,7,0)/VLOOKUP($B73,Lebensmittel!$A$2:$G$14500,2,0))</f>
        <v/>
      </c>
      <c r="F73" s="20" t="str">
        <f>IF(ISBLANK(B73),"",$C73*VLOOKUP($B73,Lebensmittel!$A$2:$G$14500,4,0)/VLOOKUP($B73,Lebensmittel!$A$2:$G$14500,2,0))</f>
        <v/>
      </c>
      <c r="G73" s="20" t="str">
        <f>IF(ISBLANK(B73),"",$C73*VLOOKUP($B73,Lebensmittel!$A$2:$G$14500,5,0)/VLOOKUP($B73,Lebensmittel!$A$2:$G$14500,2,0))</f>
        <v/>
      </c>
      <c r="H73" s="20" t="str">
        <f>IF(ISBLANK(B73),"",$C73*VLOOKUP($B73,Lebensmittel!$A$2:$G$14500,6,0)/VLOOKUP($B73,Lebensmittel!$A$2:$G$14500,2,0))</f>
        <v/>
      </c>
    </row>
    <row r="74" spans="2:8" x14ac:dyDescent="0.25">
      <c r="B74" s="37"/>
      <c r="C74" s="38"/>
      <c r="D74" s="19" t="str">
        <f>IF(ISBLANK(B74),"",$C74*VLOOKUP($B74,Lebensmittel!$A$2:$G$14500,3,0)/VLOOKUP($B74,Lebensmittel!$A$2:$G$14500,2,0))</f>
        <v/>
      </c>
      <c r="E74" s="19" t="str">
        <f>IF(ISBLANK(B74),"",$C74*VLOOKUP($B74,Lebensmittel!$A$2:$G$14500,7,0)/VLOOKUP($B74,Lebensmittel!$A$2:$G$14500,2,0))</f>
        <v/>
      </c>
      <c r="F74" s="20" t="str">
        <f>IF(ISBLANK(B74),"",$C74*VLOOKUP($B74,Lebensmittel!$A$2:$G$14500,4,0)/VLOOKUP($B74,Lebensmittel!$A$2:$G$14500,2,0))</f>
        <v/>
      </c>
      <c r="G74" s="20" t="str">
        <f>IF(ISBLANK(B74),"",$C74*VLOOKUP($B74,Lebensmittel!$A$2:$G$14500,5,0)/VLOOKUP($B74,Lebensmittel!$A$2:$G$14500,2,0))</f>
        <v/>
      </c>
      <c r="H74" s="20" t="str">
        <f>IF(ISBLANK(B74),"",$C74*VLOOKUP($B74,Lebensmittel!$A$2:$G$14500,6,0)/VLOOKUP($B74,Lebensmittel!$A$2:$G$14500,2,0))</f>
        <v/>
      </c>
    </row>
    <row r="75" spans="2:8" x14ac:dyDescent="0.25">
      <c r="B75" s="37"/>
      <c r="C75" s="38"/>
      <c r="D75" s="19" t="str">
        <f>IF(ISBLANK(B75),"",$C75*VLOOKUP($B75,Lebensmittel!$A$2:$G$14500,3,0)/VLOOKUP($B75,Lebensmittel!$A$2:$G$14500,2,0))</f>
        <v/>
      </c>
      <c r="E75" s="19" t="str">
        <f>IF(ISBLANK(B75),"",$C75*VLOOKUP($B75,Lebensmittel!$A$2:$G$14500,7,0)/VLOOKUP($B75,Lebensmittel!$A$2:$G$14500,2,0))</f>
        <v/>
      </c>
      <c r="F75" s="20" t="str">
        <f>IF(ISBLANK(B75),"",$C75*VLOOKUP($B75,Lebensmittel!$A$2:$G$14500,4,0)/VLOOKUP($B75,Lebensmittel!$A$2:$G$14500,2,0))</f>
        <v/>
      </c>
      <c r="G75" s="20" t="str">
        <f>IF(ISBLANK(B75),"",$C75*VLOOKUP($B75,Lebensmittel!$A$2:$G$14500,5,0)/VLOOKUP($B75,Lebensmittel!$A$2:$G$14500,2,0))</f>
        <v/>
      </c>
      <c r="H75" s="20" t="str">
        <f>IF(ISBLANK(B75),"",$C75*VLOOKUP($B75,Lebensmittel!$A$2:$G$14500,6,0)/VLOOKUP($B75,Lebensmittel!$A$2:$G$14500,2,0))</f>
        <v/>
      </c>
    </row>
    <row r="76" spans="2:8" x14ac:dyDescent="0.25">
      <c r="B76" s="33" t="s">
        <v>46</v>
      </c>
      <c r="C76" s="34">
        <f t="shared" ref="C76:H76" si="6">SUM(C66:C75)</f>
        <v>0</v>
      </c>
      <c r="D76" s="35">
        <f t="shared" si="6"/>
        <v>0</v>
      </c>
      <c r="E76" s="35">
        <f t="shared" si="6"/>
        <v>0</v>
      </c>
      <c r="F76" s="36">
        <f t="shared" si="6"/>
        <v>0</v>
      </c>
      <c r="G76" s="36">
        <f t="shared" si="6"/>
        <v>0</v>
      </c>
      <c r="H76" s="36">
        <f t="shared" si="6"/>
        <v>0</v>
      </c>
    </row>
  </sheetData>
  <mergeCells count="9">
    <mergeCell ref="D6:H6"/>
    <mergeCell ref="A8:B8"/>
    <mergeCell ref="A22:B22"/>
    <mergeCell ref="A36:B36"/>
    <mergeCell ref="A50:B50"/>
    <mergeCell ref="A64:B64"/>
    <mergeCell ref="A1:C1"/>
    <mergeCell ref="A3:B3"/>
    <mergeCell ref="A4:B4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76"/>
  <sheetViews>
    <sheetView zoomScale="130" zoomScaleNormal="130" workbookViewId="0">
      <selection activeCell="B6" sqref="B6"/>
    </sheetView>
  </sheetViews>
  <sheetFormatPr baseColWidth="10" defaultRowHeight="15" x14ac:dyDescent="0.25"/>
  <cols>
    <col min="1" max="1" width="5.7109375" customWidth="1"/>
    <col min="2" max="2" width="57.140625" customWidth="1"/>
    <col min="3" max="6" width="14.28515625" customWidth="1"/>
    <col min="7" max="7" width="17.140625" customWidth="1"/>
    <col min="8" max="8" width="14.28515625" customWidth="1"/>
  </cols>
  <sheetData>
    <row r="1" spans="1:256" ht="38.25" customHeight="1" x14ac:dyDescent="0.25">
      <c r="A1" s="40" t="s">
        <v>35</v>
      </c>
      <c r="B1" s="40"/>
      <c r="C1" s="40"/>
      <c r="D1" s="12"/>
      <c r="E1" s="12"/>
      <c r="F1" s="13"/>
      <c r="G1" s="13"/>
      <c r="H1" s="23"/>
    </row>
    <row r="2" spans="1:256" ht="9.9499999999999993" customHeight="1" x14ac:dyDescent="0.3">
      <c r="A2" s="24"/>
      <c r="B2" s="24"/>
      <c r="C2" s="25"/>
      <c r="D2" s="12"/>
      <c r="E2" s="12"/>
      <c r="F2" s="13"/>
      <c r="G2" s="13"/>
      <c r="H2" s="13"/>
    </row>
    <row r="3" spans="1:256" ht="20.25" x14ac:dyDescent="0.3">
      <c r="A3" s="41" t="s">
        <v>36</v>
      </c>
      <c r="B3" s="41"/>
      <c r="C3" s="26" t="s">
        <v>5</v>
      </c>
      <c r="D3" s="27" t="s">
        <v>6</v>
      </c>
      <c r="E3" s="27" t="s">
        <v>13</v>
      </c>
      <c r="F3" s="28" t="s">
        <v>7</v>
      </c>
      <c r="G3" s="28" t="s">
        <v>11</v>
      </c>
      <c r="H3" s="28" t="s">
        <v>12</v>
      </c>
    </row>
    <row r="4" spans="1:256" ht="18" x14ac:dyDescent="0.25">
      <c r="A4" s="42"/>
      <c r="B4" s="42"/>
      <c r="C4" s="29">
        <f t="shared" ref="C4" si="0">C20+C34+C48+C62</f>
        <v>698</v>
      </c>
      <c r="D4" s="30">
        <f>D20+D34+D48+D62+D76</f>
        <v>2597.8499999999995</v>
      </c>
      <c r="E4" s="30">
        <f t="shared" ref="E4:H4" si="1">E20+E34+E48+E62+E76</f>
        <v>2597.8499999999995</v>
      </c>
      <c r="F4" s="31">
        <f t="shared" si="1"/>
        <v>118.5</v>
      </c>
      <c r="G4" s="31">
        <f t="shared" si="1"/>
        <v>251.5</v>
      </c>
      <c r="H4" s="31">
        <f t="shared" si="1"/>
        <v>122</v>
      </c>
    </row>
    <row r="5" spans="1:256" ht="9" customHeight="1" x14ac:dyDescent="0.25">
      <c r="C5" s="32"/>
      <c r="D5" s="12"/>
      <c r="E5" s="12"/>
      <c r="F5" s="13"/>
      <c r="G5" s="13"/>
      <c r="H5" s="13"/>
    </row>
    <row r="6" spans="1:256" ht="20.65" customHeight="1" x14ac:dyDescent="0.3">
      <c r="A6" s="24"/>
      <c r="B6" s="24"/>
      <c r="C6" s="25"/>
      <c r="D6" s="43" t="s">
        <v>37</v>
      </c>
      <c r="E6" s="43"/>
      <c r="F6" s="43"/>
      <c r="G6" s="43"/>
      <c r="H6" s="43"/>
    </row>
    <row r="7" spans="1:256" ht="15.2" customHeight="1" x14ac:dyDescent="0.3">
      <c r="A7" s="24"/>
      <c r="B7" s="24"/>
      <c r="C7" s="25"/>
      <c r="D7" s="12"/>
      <c r="E7" s="12"/>
      <c r="F7" s="13"/>
      <c r="G7" s="13"/>
      <c r="H7" s="13"/>
    </row>
    <row r="8" spans="1:256" ht="18" x14ac:dyDescent="0.25">
      <c r="A8" s="39" t="s">
        <v>4</v>
      </c>
      <c r="B8" s="39"/>
      <c r="C8" s="3"/>
      <c r="D8" s="4"/>
      <c r="E8" s="4"/>
      <c r="F8" s="5"/>
      <c r="G8" s="5"/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</row>
    <row r="9" spans="1:256" s="7" customFormat="1" ht="15.75" x14ac:dyDescent="0.25">
      <c r="B9" s="2" t="s">
        <v>3</v>
      </c>
      <c r="C9" s="8" t="s">
        <v>5</v>
      </c>
      <c r="D9" s="9" t="s">
        <v>6</v>
      </c>
      <c r="E9" s="9" t="s">
        <v>6</v>
      </c>
      <c r="F9" s="10" t="s">
        <v>7</v>
      </c>
      <c r="G9" s="10" t="s">
        <v>8</v>
      </c>
      <c r="H9" s="10" t="s">
        <v>9</v>
      </c>
    </row>
    <row r="10" spans="1:256" x14ac:dyDescent="0.25">
      <c r="B10" s="37" t="s">
        <v>15</v>
      </c>
      <c r="C10" s="38">
        <v>80</v>
      </c>
      <c r="D10" s="19">
        <f>IF(ISBLANK(B10),"",$C10*VLOOKUP($B10,Lebensmittel!$A$2:$G$14500,3,0)/VLOOKUP($B10,Lebensmittel!$A$2:$G$14500,2,0))</f>
        <v>216.4</v>
      </c>
      <c r="E10" s="19">
        <f>IF(ISBLANK(B10),"",$C10*VLOOKUP($B10,Lebensmittel!$A$2:$G$14500,7,0)/VLOOKUP($B10,Lebensmittel!$A$2:$G$14500,2,0))</f>
        <v>216.4</v>
      </c>
      <c r="F10" s="20">
        <f>IF(ISBLANK(B10),"",$C10*VLOOKUP($B10,Lebensmittel!$A$2:$G$14500,4,0)/VLOOKUP($B10,Lebensmittel!$A$2:$G$14500,2,0))</f>
        <v>4</v>
      </c>
      <c r="G10" s="20">
        <f>IF(ISBLANK(B10),"",$C10*VLOOKUP($B10,Lebensmittel!$A$2:$G$14500,5,0)/VLOOKUP($B10,Lebensmittel!$A$2:$G$14500,2,0))</f>
        <v>40</v>
      </c>
      <c r="H10" s="20">
        <f>IF(ISBLANK(B10),"",$C10*VLOOKUP($B10,Lebensmittel!$A$2:$G$14500,6,0)/VLOOKUP($B10,Lebensmittel!$A$2:$G$14500,2,0))</f>
        <v>4</v>
      </c>
    </row>
    <row r="11" spans="1:256" x14ac:dyDescent="0.25">
      <c r="B11" s="37" t="s">
        <v>16</v>
      </c>
      <c r="C11" s="38">
        <v>36</v>
      </c>
      <c r="D11" s="19">
        <f>IF(ISBLANK(B11),"",$C11*VLOOKUP($B11,Lebensmittel!$A$2:$G$14500,3,0)/VLOOKUP($B11,Lebensmittel!$A$2:$G$14500,2,0))</f>
        <v>117.9</v>
      </c>
      <c r="E11" s="19">
        <f>IF(ISBLANK(B11),"",$C11*VLOOKUP($B11,Lebensmittel!$A$2:$G$14500,7,0)/VLOOKUP($B11,Lebensmittel!$A$2:$G$14500,2,0))</f>
        <v>117.9</v>
      </c>
      <c r="F11" s="20">
        <f>IF(ISBLANK(B11),"",$C11*VLOOKUP($B11,Lebensmittel!$A$2:$G$14500,4,0)/VLOOKUP($B11,Lebensmittel!$A$2:$G$14500,2,0))</f>
        <v>9</v>
      </c>
      <c r="G11" s="20">
        <f>IF(ISBLANK(B11),"",$C11*VLOOKUP($B11,Lebensmittel!$A$2:$G$14500,5,0)/VLOOKUP($B11,Lebensmittel!$A$2:$G$14500,2,0))</f>
        <v>0</v>
      </c>
      <c r="H11" s="20">
        <f>IF(ISBLANK(B11),"",$C11*VLOOKUP($B11,Lebensmittel!$A$2:$G$14500,6,0)/VLOOKUP($B11,Lebensmittel!$A$2:$G$14500,2,0))</f>
        <v>9</v>
      </c>
    </row>
    <row r="12" spans="1:256" x14ac:dyDescent="0.25">
      <c r="B12" s="37" t="s">
        <v>31</v>
      </c>
      <c r="C12" s="38">
        <v>15</v>
      </c>
      <c r="D12" s="19">
        <f>IF(ISBLANK(B12),"",$C12*VLOOKUP($B12,Lebensmittel!$A$2:$G$14500,3,0)/VLOOKUP($B12,Lebensmittel!$A$2:$G$14500,2,0))</f>
        <v>78.599999999999994</v>
      </c>
      <c r="E12" s="19">
        <f>IF(ISBLANK(B12),"",$C12*VLOOKUP($B12,Lebensmittel!$A$2:$G$14500,7,0)/VLOOKUP($B12,Lebensmittel!$A$2:$G$14500,2,0))</f>
        <v>78.599999999999994</v>
      </c>
      <c r="F12" s="20">
        <f>IF(ISBLANK(B12),"",$C12*VLOOKUP($B12,Lebensmittel!$A$2:$G$14500,4,0)/VLOOKUP($B12,Lebensmittel!$A$2:$G$14500,2,0))</f>
        <v>6</v>
      </c>
      <c r="G12" s="20">
        <f>IF(ISBLANK(B12),"",$C12*VLOOKUP($B12,Lebensmittel!$A$2:$G$14500,5,0)/VLOOKUP($B12,Lebensmittel!$A$2:$G$14500,2,0))</f>
        <v>6</v>
      </c>
      <c r="H12" s="20">
        <f>IF(ISBLANK(B12),"",$C12*VLOOKUP($B12,Lebensmittel!$A$2:$G$14500,6,0)/VLOOKUP($B12,Lebensmittel!$A$2:$G$14500,2,0))</f>
        <v>0</v>
      </c>
    </row>
    <row r="13" spans="1:256" x14ac:dyDescent="0.25">
      <c r="B13" s="37" t="s">
        <v>32</v>
      </c>
      <c r="C13" s="38">
        <v>2</v>
      </c>
      <c r="D13" s="19">
        <f>IF(ISBLANK(B13),"",$C13*VLOOKUP($B13,Lebensmittel!$A$2:$G$14500,3,0)/VLOOKUP($B13,Lebensmittel!$A$2:$G$14500,2,0))</f>
        <v>516</v>
      </c>
      <c r="E13" s="19">
        <f>IF(ISBLANK(B13),"",$C13*VLOOKUP($B13,Lebensmittel!$A$2:$G$14500,7,0)/VLOOKUP($B13,Lebensmittel!$A$2:$G$14500,2,0))</f>
        <v>516</v>
      </c>
      <c r="F13" s="20">
        <f>IF(ISBLANK(B13),"",$C13*VLOOKUP($B13,Lebensmittel!$A$2:$G$14500,4,0)/VLOOKUP($B13,Lebensmittel!$A$2:$G$14500,2,0))</f>
        <v>30</v>
      </c>
      <c r="G13" s="20">
        <f>IF(ISBLANK(B13),"",$C13*VLOOKUP($B13,Lebensmittel!$A$2:$G$14500,5,0)/VLOOKUP($B13,Lebensmittel!$A$2:$G$14500,2,0))</f>
        <v>0</v>
      </c>
      <c r="H13" s="20">
        <f>IF(ISBLANK(B13),"",$C13*VLOOKUP($B13,Lebensmittel!$A$2:$G$14500,6,0)/VLOOKUP($B13,Lebensmittel!$A$2:$G$14500,2,0))</f>
        <v>60</v>
      </c>
    </row>
    <row r="14" spans="1:256" x14ac:dyDescent="0.25">
      <c r="B14" s="37"/>
      <c r="C14" s="38"/>
      <c r="D14" s="19" t="str">
        <f>IF(ISBLANK(B14),"",$C14*VLOOKUP($B14,Lebensmittel!$A$2:$G$14500,3,0)/VLOOKUP($B14,Lebensmittel!$A$2:$G$14500,2,0))</f>
        <v/>
      </c>
      <c r="E14" s="19" t="str">
        <f>IF(ISBLANK(B14),"",$C14*VLOOKUP($B14,Lebensmittel!$A$2:$G$14500,7,0)/VLOOKUP($B14,Lebensmittel!$A$2:$G$14500,2,0))</f>
        <v/>
      </c>
      <c r="F14" s="20" t="str">
        <f>IF(ISBLANK(B14),"",$C14*VLOOKUP($B14,Lebensmittel!$A$2:$G$14500,4,0)/VLOOKUP($B14,Lebensmittel!$A$2:$G$14500,2,0))</f>
        <v/>
      </c>
      <c r="G14" s="20" t="str">
        <f>IF(ISBLANK(B14),"",$C14*VLOOKUP($B14,Lebensmittel!$A$2:$G$14500,5,0)/VLOOKUP($B14,Lebensmittel!$A$2:$G$14500,2,0))</f>
        <v/>
      </c>
      <c r="H14" s="20" t="str">
        <f>IF(ISBLANK(B14),"",$C14*VLOOKUP($B14,Lebensmittel!$A$2:$G$14500,6,0)/VLOOKUP($B14,Lebensmittel!$A$2:$G$14500,2,0))</f>
        <v/>
      </c>
    </row>
    <row r="15" spans="1:256" x14ac:dyDescent="0.25">
      <c r="B15" s="37"/>
      <c r="C15" s="38"/>
      <c r="D15" s="19" t="str">
        <f>IF(ISBLANK(B15),"",$C15*VLOOKUP($B15,Lebensmittel!$A$2:$G$14500,3,0)/VLOOKUP($B15,Lebensmittel!$A$2:$G$14500,2,0))</f>
        <v/>
      </c>
      <c r="E15" s="19" t="str">
        <f>IF(ISBLANK(B15),"",$C15*VLOOKUP($B15,Lebensmittel!$A$2:$G$14500,7,0)/VLOOKUP($B15,Lebensmittel!$A$2:$G$14500,2,0))</f>
        <v/>
      </c>
      <c r="F15" s="20" t="str">
        <f>IF(ISBLANK(B15),"",$C15*VLOOKUP($B15,Lebensmittel!$A$2:$G$14500,4,0)/VLOOKUP($B15,Lebensmittel!$A$2:$G$14500,2,0))</f>
        <v/>
      </c>
      <c r="G15" s="20" t="str">
        <f>IF(ISBLANK(B15),"",$C15*VLOOKUP($B15,Lebensmittel!$A$2:$G$14500,5,0)/VLOOKUP($B15,Lebensmittel!$A$2:$G$14500,2,0))</f>
        <v/>
      </c>
      <c r="H15" s="20" t="str">
        <f>IF(ISBLANK(B15),"",$C15*VLOOKUP($B15,Lebensmittel!$A$2:$G$14500,6,0)/VLOOKUP($B15,Lebensmittel!$A$2:$G$14500,2,0))</f>
        <v/>
      </c>
    </row>
    <row r="16" spans="1:256" x14ac:dyDescent="0.25">
      <c r="B16" s="37"/>
      <c r="C16" s="38"/>
      <c r="D16" s="19" t="str">
        <f>IF(ISBLANK(B16),"",$C16*VLOOKUP($B16,Lebensmittel!$A$2:$G$14500,3,0)/VLOOKUP($B16,Lebensmittel!$A$2:$G$14500,2,0))</f>
        <v/>
      </c>
      <c r="E16" s="19" t="str">
        <f>IF(ISBLANK(B16),"",$C16*VLOOKUP($B16,Lebensmittel!$A$2:$G$14500,7,0)/VLOOKUP($B16,Lebensmittel!$A$2:$G$14500,2,0))</f>
        <v/>
      </c>
      <c r="F16" s="20" t="str">
        <f>IF(ISBLANK(B16),"",$C16*VLOOKUP($B16,Lebensmittel!$A$2:$G$14500,4,0)/VLOOKUP($B16,Lebensmittel!$A$2:$G$14500,2,0))</f>
        <v/>
      </c>
      <c r="G16" s="20" t="str">
        <f>IF(ISBLANK(B16),"",$C16*VLOOKUP($B16,Lebensmittel!$A$2:$G$14500,5,0)/VLOOKUP($B16,Lebensmittel!$A$2:$G$14500,2,0))</f>
        <v/>
      </c>
      <c r="H16" s="20" t="str">
        <f>IF(ISBLANK(B16),"",$C16*VLOOKUP($B16,Lebensmittel!$A$2:$G$14500,6,0)/VLOOKUP($B16,Lebensmittel!$A$2:$G$14500,2,0))</f>
        <v/>
      </c>
    </row>
    <row r="17" spans="1:256" x14ac:dyDescent="0.25">
      <c r="B17" s="37"/>
      <c r="C17" s="38"/>
      <c r="D17" s="19" t="str">
        <f>IF(ISBLANK(B17),"",$C17*VLOOKUP($B17,Lebensmittel!$A$2:$G$14500,3,0)/VLOOKUP($B17,Lebensmittel!$A$2:$G$14500,2,0))</f>
        <v/>
      </c>
      <c r="E17" s="19" t="str">
        <f>IF(ISBLANK(B17),"",$C17*VLOOKUP($B17,Lebensmittel!$A$2:$G$14500,7,0)/VLOOKUP($B17,Lebensmittel!$A$2:$G$14500,2,0))</f>
        <v/>
      </c>
      <c r="F17" s="20" t="str">
        <f>IF(ISBLANK(B17),"",$C17*VLOOKUP($B17,Lebensmittel!$A$2:$G$14500,4,0)/VLOOKUP($B17,Lebensmittel!$A$2:$G$14500,2,0))</f>
        <v/>
      </c>
      <c r="G17" s="20" t="str">
        <f>IF(ISBLANK(B17),"",$C17*VLOOKUP($B17,Lebensmittel!$A$2:$G$14500,5,0)/VLOOKUP($B17,Lebensmittel!$A$2:$G$14500,2,0))</f>
        <v/>
      </c>
      <c r="H17" s="20" t="str">
        <f>IF(ISBLANK(B17),"",$C17*VLOOKUP($B17,Lebensmittel!$A$2:$G$14500,6,0)/VLOOKUP($B17,Lebensmittel!$A$2:$G$14500,2,0))</f>
        <v/>
      </c>
    </row>
    <row r="18" spans="1:256" x14ac:dyDescent="0.25">
      <c r="B18" s="37"/>
      <c r="C18" s="38"/>
      <c r="D18" s="19" t="str">
        <f>IF(ISBLANK(B18),"",$C18*VLOOKUP($B18,Lebensmittel!$A$2:$G$14500,3,0)/VLOOKUP($B18,Lebensmittel!$A$2:$G$14500,2,0))</f>
        <v/>
      </c>
      <c r="E18" s="19" t="str">
        <f>IF(ISBLANK(B18),"",$C18*VLOOKUP($B18,Lebensmittel!$A$2:$G$14500,7,0)/VLOOKUP($B18,Lebensmittel!$A$2:$G$14500,2,0))</f>
        <v/>
      </c>
      <c r="F18" s="20" t="str">
        <f>IF(ISBLANK(B18),"",$C18*VLOOKUP($B18,Lebensmittel!$A$2:$G$14500,4,0)/VLOOKUP($B18,Lebensmittel!$A$2:$G$14500,2,0))</f>
        <v/>
      </c>
      <c r="G18" s="20" t="str">
        <f>IF(ISBLANK(B18),"",$C18*VLOOKUP($B18,Lebensmittel!$A$2:$G$14500,5,0)/VLOOKUP($B18,Lebensmittel!$A$2:$G$14500,2,0))</f>
        <v/>
      </c>
      <c r="H18" s="20" t="str">
        <f>IF(ISBLANK(B18),"",$C18*VLOOKUP($B18,Lebensmittel!$A$2:$G$14500,6,0)/VLOOKUP($B18,Lebensmittel!$A$2:$G$14500,2,0))</f>
        <v/>
      </c>
    </row>
    <row r="19" spans="1:256" x14ac:dyDescent="0.25">
      <c r="B19" s="37"/>
      <c r="C19" s="38"/>
      <c r="D19" s="19" t="str">
        <f>IF(ISBLANK(B19),"",$C19*VLOOKUP($B19,Lebensmittel!$A$2:$G$14500,3,0)/VLOOKUP($B19,Lebensmittel!$A$2:$G$14500,2,0))</f>
        <v/>
      </c>
      <c r="E19" s="19" t="str">
        <f>IF(ISBLANK(B19),"",$C19*VLOOKUP($B19,Lebensmittel!$A$2:$G$14500,7,0)/VLOOKUP($B19,Lebensmittel!$A$2:$G$14500,2,0))</f>
        <v/>
      </c>
      <c r="F19" s="20" t="str">
        <f>IF(ISBLANK(B19),"",$C19*VLOOKUP($B19,Lebensmittel!$A$2:$G$14500,4,0)/VLOOKUP($B19,Lebensmittel!$A$2:$G$14500,2,0))</f>
        <v/>
      </c>
      <c r="G19" s="20" t="str">
        <f>IF(ISBLANK(B19),"",$C19*VLOOKUP($B19,Lebensmittel!$A$2:$G$14500,5,0)/VLOOKUP($B19,Lebensmittel!$A$2:$G$14500,2,0))</f>
        <v/>
      </c>
      <c r="H19" s="20" t="str">
        <f>IF(ISBLANK(B19),"",$C19*VLOOKUP($B19,Lebensmittel!$A$2:$G$14500,6,0)/VLOOKUP($B19,Lebensmittel!$A$2:$G$14500,2,0))</f>
        <v/>
      </c>
    </row>
    <row r="20" spans="1:256" x14ac:dyDescent="0.25">
      <c r="B20" s="33" t="s">
        <v>38</v>
      </c>
      <c r="C20" s="34">
        <f t="shared" ref="C20:H20" si="2">SUM(C10:C19)</f>
        <v>133</v>
      </c>
      <c r="D20" s="35">
        <f t="shared" si="2"/>
        <v>928.9</v>
      </c>
      <c r="E20" s="35">
        <f t="shared" si="2"/>
        <v>928.9</v>
      </c>
      <c r="F20" s="36">
        <f t="shared" si="2"/>
        <v>49</v>
      </c>
      <c r="G20" s="36">
        <f t="shared" si="2"/>
        <v>46</v>
      </c>
      <c r="H20" s="36">
        <f t="shared" si="2"/>
        <v>73</v>
      </c>
    </row>
    <row r="22" spans="1:256" ht="18" x14ac:dyDescent="0.25">
      <c r="A22" s="39" t="s">
        <v>39</v>
      </c>
      <c r="B22" s="39"/>
      <c r="C22" s="3"/>
      <c r="D22" s="4"/>
      <c r="E22" s="4"/>
      <c r="F22" s="5"/>
      <c r="G22" s="5"/>
      <c r="H22" s="5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</row>
    <row r="23" spans="1:256" s="7" customFormat="1" ht="15.75" x14ac:dyDescent="0.25">
      <c r="B23" s="2" t="s">
        <v>3</v>
      </c>
      <c r="C23" s="8" t="s">
        <v>5</v>
      </c>
      <c r="D23" s="9" t="s">
        <v>6</v>
      </c>
      <c r="E23" s="9" t="s">
        <v>6</v>
      </c>
      <c r="F23" s="10" t="s">
        <v>7</v>
      </c>
      <c r="G23" s="10" t="s">
        <v>8</v>
      </c>
      <c r="H23" s="10" t="s">
        <v>9</v>
      </c>
    </row>
    <row r="24" spans="1:256" x14ac:dyDescent="0.25">
      <c r="B24" s="37" t="s">
        <v>17</v>
      </c>
      <c r="C24" s="38">
        <v>100</v>
      </c>
      <c r="D24" s="19">
        <f>IF(ISBLANK(B24),"",$C24*VLOOKUP($B24,Lebensmittel!$A$2:$G$14500,3,0)/VLOOKUP($B24,Lebensmittel!$A$2:$G$14500,2,0))</f>
        <v>328</v>
      </c>
      <c r="E24" s="19">
        <f>IF(ISBLANK(B24),"",$C24*VLOOKUP($B24,Lebensmittel!$A$2:$G$14500,7,0)/VLOOKUP($B24,Lebensmittel!$A$2:$G$14500,2,0))</f>
        <v>328</v>
      </c>
      <c r="F24" s="20">
        <f>IF(ISBLANK(B24),"",$C24*VLOOKUP($B24,Lebensmittel!$A$2:$G$14500,4,0)/VLOOKUP($B24,Lebensmittel!$A$2:$G$14500,2,0))</f>
        <v>0</v>
      </c>
      <c r="G24" s="20">
        <f>IF(ISBLANK(B24),"",$C24*VLOOKUP($B24,Lebensmittel!$A$2:$G$14500,5,0)/VLOOKUP($B24,Lebensmittel!$A$2:$G$14500,2,0))</f>
        <v>80</v>
      </c>
      <c r="H24" s="20">
        <f>IF(ISBLANK(B24),"",$C24*VLOOKUP($B24,Lebensmittel!$A$2:$G$14500,6,0)/VLOOKUP($B24,Lebensmittel!$A$2:$G$14500,2,0))</f>
        <v>0</v>
      </c>
    </row>
    <row r="25" spans="1:256" x14ac:dyDescent="0.25">
      <c r="B25" s="37" t="s">
        <v>34</v>
      </c>
      <c r="C25" s="38">
        <v>120</v>
      </c>
      <c r="D25" s="19">
        <f>IF(ISBLANK(B25),"",$C25*VLOOKUP($B25,Lebensmittel!$A$2:$G$14500,3,0)/VLOOKUP($B25,Lebensmittel!$A$2:$G$14500,2,0))</f>
        <v>285</v>
      </c>
      <c r="E25" s="19">
        <f>IF(ISBLANK(B25),"",$C25*VLOOKUP($B25,Lebensmittel!$A$2:$G$14500,7,0)/VLOOKUP($B25,Lebensmittel!$A$2:$G$14500,2,0))</f>
        <v>285</v>
      </c>
      <c r="F25" s="20">
        <f>IF(ISBLANK(B25),"",$C25*VLOOKUP($B25,Lebensmittel!$A$2:$G$14500,4,0)/VLOOKUP($B25,Lebensmittel!$A$2:$G$14500,2,0))</f>
        <v>18</v>
      </c>
      <c r="G25" s="20">
        <f>IF(ISBLANK(B25),"",$C25*VLOOKUP($B25,Lebensmittel!$A$2:$G$14500,5,0)/VLOOKUP($B25,Lebensmittel!$A$2:$G$14500,2,0))</f>
        <v>0</v>
      </c>
      <c r="H25" s="20">
        <f>IF(ISBLANK(B25),"",$C25*VLOOKUP($B25,Lebensmittel!$A$2:$G$14500,6,0)/VLOOKUP($B25,Lebensmittel!$A$2:$G$14500,2,0))</f>
        <v>30</v>
      </c>
    </row>
    <row r="26" spans="1:256" x14ac:dyDescent="0.25">
      <c r="B26" s="37" t="s">
        <v>30</v>
      </c>
      <c r="C26" s="38">
        <v>20</v>
      </c>
      <c r="D26" s="19">
        <f>IF(ISBLANK(B26),"",$C26*VLOOKUP($B26,Lebensmittel!$A$2:$G$14500,3,0)/VLOOKUP($B26,Lebensmittel!$A$2:$G$14500,2,0))</f>
        <v>59.8</v>
      </c>
      <c r="E26" s="19">
        <f>IF(ISBLANK(B26),"",$C26*VLOOKUP($B26,Lebensmittel!$A$2:$G$14500,7,0)/VLOOKUP($B26,Lebensmittel!$A$2:$G$14500,2,0))</f>
        <v>59.8</v>
      </c>
      <c r="F26" s="20">
        <f>IF(ISBLANK(B26),"",$C26*VLOOKUP($B26,Lebensmittel!$A$2:$G$14500,4,0)/VLOOKUP($B26,Lebensmittel!$A$2:$G$14500,2,0))</f>
        <v>3</v>
      </c>
      <c r="G26" s="20">
        <f>IF(ISBLANK(B26),"",$C26*VLOOKUP($B26,Lebensmittel!$A$2:$G$14500,5,0)/VLOOKUP($B26,Lebensmittel!$A$2:$G$14500,2,0))</f>
        <v>8</v>
      </c>
      <c r="H26" s="20">
        <f>IF(ISBLANK(B26),"",$C26*VLOOKUP($B26,Lebensmittel!$A$2:$G$14500,6,0)/VLOOKUP($B26,Lebensmittel!$A$2:$G$14500,2,0))</f>
        <v>0</v>
      </c>
    </row>
    <row r="27" spans="1:256" x14ac:dyDescent="0.25">
      <c r="B27" s="37"/>
      <c r="C27" s="38"/>
      <c r="D27" s="19" t="str">
        <f>IF(ISBLANK(B27),"",$C27*VLOOKUP($B27,Lebensmittel!$A$2:$G$14500,3,0)/VLOOKUP($B27,Lebensmittel!$A$2:$G$14500,2,0))</f>
        <v/>
      </c>
      <c r="E27" s="19" t="str">
        <f>IF(ISBLANK(B27),"",$C27*VLOOKUP($B27,Lebensmittel!$A$2:$G$14500,7,0)/VLOOKUP($B27,Lebensmittel!$A$2:$G$14500,2,0))</f>
        <v/>
      </c>
      <c r="F27" s="20" t="str">
        <f>IF(ISBLANK(B27),"",$C27*VLOOKUP($B27,Lebensmittel!$A$2:$G$14500,4,0)/VLOOKUP($B27,Lebensmittel!$A$2:$G$14500,2,0))</f>
        <v/>
      </c>
      <c r="G27" s="20" t="str">
        <f>IF(ISBLANK(B27),"",$C27*VLOOKUP($B27,Lebensmittel!$A$2:$G$14500,5,0)/VLOOKUP($B27,Lebensmittel!$A$2:$G$14500,2,0))</f>
        <v/>
      </c>
      <c r="H27" s="20" t="str">
        <f>IF(ISBLANK(B27),"",$C27*VLOOKUP($B27,Lebensmittel!$A$2:$G$14500,6,0)/VLOOKUP($B27,Lebensmittel!$A$2:$G$14500,2,0))</f>
        <v/>
      </c>
    </row>
    <row r="28" spans="1:256" x14ac:dyDescent="0.25">
      <c r="B28" s="37"/>
      <c r="C28" s="38"/>
      <c r="D28" s="19" t="str">
        <f>IF(ISBLANK(B28),"",$C28*VLOOKUP($B28,Lebensmittel!$A$2:$G$14500,3,0)/VLOOKUP($B28,Lebensmittel!$A$2:$G$14500,2,0))</f>
        <v/>
      </c>
      <c r="E28" s="19" t="str">
        <f>IF(ISBLANK(B28),"",$C28*VLOOKUP($B28,Lebensmittel!$A$2:$G$14500,7,0)/VLOOKUP($B28,Lebensmittel!$A$2:$G$14500,2,0))</f>
        <v/>
      </c>
      <c r="F28" s="20" t="str">
        <f>IF(ISBLANK(B28),"",$C28*VLOOKUP($B28,Lebensmittel!$A$2:$G$14500,4,0)/VLOOKUP($B28,Lebensmittel!$A$2:$G$14500,2,0))</f>
        <v/>
      </c>
      <c r="G28" s="20" t="str">
        <f>IF(ISBLANK(B28),"",$C28*VLOOKUP($B28,Lebensmittel!$A$2:$G$14500,5,0)/VLOOKUP($B28,Lebensmittel!$A$2:$G$14500,2,0))</f>
        <v/>
      </c>
      <c r="H28" s="20" t="str">
        <f>IF(ISBLANK(B28),"",$C28*VLOOKUP($B28,Lebensmittel!$A$2:$G$14500,6,0)/VLOOKUP($B28,Lebensmittel!$A$2:$G$14500,2,0))</f>
        <v/>
      </c>
    </row>
    <row r="29" spans="1:256" x14ac:dyDescent="0.25">
      <c r="B29" s="37"/>
      <c r="C29" s="38"/>
      <c r="D29" s="19" t="str">
        <f>IF(ISBLANK(B29),"",$C29*VLOOKUP($B29,Lebensmittel!$A$2:$G$14500,3,0)/VLOOKUP($B29,Lebensmittel!$A$2:$G$14500,2,0))</f>
        <v/>
      </c>
      <c r="E29" s="19" t="str">
        <f>IF(ISBLANK(B29),"",$C29*VLOOKUP($B29,Lebensmittel!$A$2:$G$14500,7,0)/VLOOKUP($B29,Lebensmittel!$A$2:$G$14500,2,0))</f>
        <v/>
      </c>
      <c r="F29" s="20" t="str">
        <f>IF(ISBLANK(B29),"",$C29*VLOOKUP($B29,Lebensmittel!$A$2:$G$14500,4,0)/VLOOKUP($B29,Lebensmittel!$A$2:$G$14500,2,0))</f>
        <v/>
      </c>
      <c r="G29" s="20" t="str">
        <f>IF(ISBLANK(B29),"",$C29*VLOOKUP($B29,Lebensmittel!$A$2:$G$14500,5,0)/VLOOKUP($B29,Lebensmittel!$A$2:$G$14500,2,0))</f>
        <v/>
      </c>
      <c r="H29" s="20" t="str">
        <f>IF(ISBLANK(B29),"",$C29*VLOOKUP($B29,Lebensmittel!$A$2:$G$14500,6,0)/VLOOKUP($B29,Lebensmittel!$A$2:$G$14500,2,0))</f>
        <v/>
      </c>
    </row>
    <row r="30" spans="1:256" x14ac:dyDescent="0.25">
      <c r="B30" s="37"/>
      <c r="C30" s="38"/>
      <c r="D30" s="19" t="str">
        <f>IF(ISBLANK(B30),"",$C30*VLOOKUP($B30,Lebensmittel!$A$2:$G$14500,3,0)/VLOOKUP($B30,Lebensmittel!$A$2:$G$14500,2,0))</f>
        <v/>
      </c>
      <c r="E30" s="19" t="str">
        <f>IF(ISBLANK(B30),"",$C30*VLOOKUP($B30,Lebensmittel!$A$2:$G$14500,7,0)/VLOOKUP($B30,Lebensmittel!$A$2:$G$14500,2,0))</f>
        <v/>
      </c>
      <c r="F30" s="20" t="str">
        <f>IF(ISBLANK(B30),"",$C30*VLOOKUP($B30,Lebensmittel!$A$2:$G$14500,4,0)/VLOOKUP($B30,Lebensmittel!$A$2:$G$14500,2,0))</f>
        <v/>
      </c>
      <c r="G30" s="20" t="str">
        <f>IF(ISBLANK(B30),"",$C30*VLOOKUP($B30,Lebensmittel!$A$2:$G$14500,5,0)/VLOOKUP($B30,Lebensmittel!$A$2:$G$14500,2,0))</f>
        <v/>
      </c>
      <c r="H30" s="20" t="str">
        <f>IF(ISBLANK(B30),"",$C30*VLOOKUP($B30,Lebensmittel!$A$2:$G$14500,6,0)/VLOOKUP($B30,Lebensmittel!$A$2:$G$14500,2,0))</f>
        <v/>
      </c>
    </row>
    <row r="31" spans="1:256" x14ac:dyDescent="0.25">
      <c r="B31" s="37"/>
      <c r="C31" s="38"/>
      <c r="D31" s="19" t="str">
        <f>IF(ISBLANK(B31),"",$C31*VLOOKUP($B31,Lebensmittel!$A$2:$G$14500,3,0)/VLOOKUP($B31,Lebensmittel!$A$2:$G$14500,2,0))</f>
        <v/>
      </c>
      <c r="E31" s="19" t="str">
        <f>IF(ISBLANK(B31),"",$C31*VLOOKUP($B31,Lebensmittel!$A$2:$G$14500,7,0)/VLOOKUP($B31,Lebensmittel!$A$2:$G$14500,2,0))</f>
        <v/>
      </c>
      <c r="F31" s="20" t="str">
        <f>IF(ISBLANK(B31),"",$C31*VLOOKUP($B31,Lebensmittel!$A$2:$G$14500,4,0)/VLOOKUP($B31,Lebensmittel!$A$2:$G$14500,2,0))</f>
        <v/>
      </c>
      <c r="G31" s="20" t="str">
        <f>IF(ISBLANK(B31),"",$C31*VLOOKUP($B31,Lebensmittel!$A$2:$G$14500,5,0)/VLOOKUP($B31,Lebensmittel!$A$2:$G$14500,2,0))</f>
        <v/>
      </c>
      <c r="H31" s="20" t="str">
        <f>IF(ISBLANK(B31),"",$C31*VLOOKUP($B31,Lebensmittel!$A$2:$G$14500,6,0)/VLOOKUP($B31,Lebensmittel!$A$2:$G$14500,2,0))</f>
        <v/>
      </c>
    </row>
    <row r="32" spans="1:256" x14ac:dyDescent="0.25">
      <c r="B32" s="37"/>
      <c r="C32" s="38"/>
      <c r="D32" s="19" t="str">
        <f>IF(ISBLANK(B32),"",$C32*VLOOKUP($B32,Lebensmittel!$A$2:$G$14500,3,0)/VLOOKUP($B32,Lebensmittel!$A$2:$G$14500,2,0))</f>
        <v/>
      </c>
      <c r="E32" s="19" t="str">
        <f>IF(ISBLANK(B32),"",$C32*VLOOKUP($B32,Lebensmittel!$A$2:$G$14500,7,0)/VLOOKUP($B32,Lebensmittel!$A$2:$G$14500,2,0))</f>
        <v/>
      </c>
      <c r="F32" s="20" t="str">
        <f>IF(ISBLANK(B32),"",$C32*VLOOKUP($B32,Lebensmittel!$A$2:$G$14500,4,0)/VLOOKUP($B32,Lebensmittel!$A$2:$G$14500,2,0))</f>
        <v/>
      </c>
      <c r="G32" s="20" t="str">
        <f>IF(ISBLANK(B32),"",$C32*VLOOKUP($B32,Lebensmittel!$A$2:$G$14500,5,0)/VLOOKUP($B32,Lebensmittel!$A$2:$G$14500,2,0))</f>
        <v/>
      </c>
      <c r="H32" s="20" t="str">
        <f>IF(ISBLANK(B32),"",$C32*VLOOKUP($B32,Lebensmittel!$A$2:$G$14500,6,0)/VLOOKUP($B32,Lebensmittel!$A$2:$G$14500,2,0))</f>
        <v/>
      </c>
    </row>
    <row r="33" spans="1:256" x14ac:dyDescent="0.25">
      <c r="B33" s="37"/>
      <c r="C33" s="38"/>
      <c r="D33" s="19" t="str">
        <f>IF(ISBLANK(B33),"",$C33*VLOOKUP($B33,Lebensmittel!$A$2:$G$14500,3,0)/VLOOKUP($B33,Lebensmittel!$A$2:$G$14500,2,0))</f>
        <v/>
      </c>
      <c r="E33" s="19" t="str">
        <f>IF(ISBLANK(B33),"",$C33*VLOOKUP($B33,Lebensmittel!$A$2:$G$14500,7,0)/VLOOKUP($B33,Lebensmittel!$A$2:$G$14500,2,0))</f>
        <v/>
      </c>
      <c r="F33" s="20" t="str">
        <f>IF(ISBLANK(B33),"",$C33*VLOOKUP($B33,Lebensmittel!$A$2:$G$14500,4,0)/VLOOKUP($B33,Lebensmittel!$A$2:$G$14500,2,0))</f>
        <v/>
      </c>
      <c r="G33" s="20" t="str">
        <f>IF(ISBLANK(B33),"",$C33*VLOOKUP($B33,Lebensmittel!$A$2:$G$14500,5,0)/VLOOKUP($B33,Lebensmittel!$A$2:$G$14500,2,0))</f>
        <v/>
      </c>
      <c r="H33" s="20" t="str">
        <f>IF(ISBLANK(B33),"",$C33*VLOOKUP($B33,Lebensmittel!$A$2:$G$14500,6,0)/VLOOKUP($B33,Lebensmittel!$A$2:$G$14500,2,0))</f>
        <v/>
      </c>
    </row>
    <row r="34" spans="1:256" x14ac:dyDescent="0.25">
      <c r="B34" s="33" t="s">
        <v>40</v>
      </c>
      <c r="C34" s="34">
        <f t="shared" ref="C34:H34" si="3">SUM(C24:C33)</f>
        <v>240</v>
      </c>
      <c r="D34" s="35">
        <f t="shared" si="3"/>
        <v>672.8</v>
      </c>
      <c r="E34" s="35">
        <f t="shared" si="3"/>
        <v>672.8</v>
      </c>
      <c r="F34" s="36">
        <f t="shared" si="3"/>
        <v>21</v>
      </c>
      <c r="G34" s="36">
        <f t="shared" si="3"/>
        <v>88</v>
      </c>
      <c r="H34" s="36">
        <f t="shared" si="3"/>
        <v>30</v>
      </c>
    </row>
    <row r="36" spans="1:256" ht="18" x14ac:dyDescent="0.25">
      <c r="A36" s="39" t="s">
        <v>41</v>
      </c>
      <c r="B36" s="39"/>
      <c r="C36" s="3"/>
      <c r="D36" s="4"/>
      <c r="E36" s="4"/>
      <c r="F36" s="5"/>
      <c r="G36" s="5"/>
      <c r="H36" s="5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</row>
    <row r="37" spans="1:256" s="7" customFormat="1" ht="15.75" x14ac:dyDescent="0.25">
      <c r="B37" s="2" t="s">
        <v>3</v>
      </c>
      <c r="C37" s="8" t="s">
        <v>5</v>
      </c>
      <c r="D37" s="9" t="s">
        <v>6</v>
      </c>
      <c r="E37" s="9" t="s">
        <v>6</v>
      </c>
      <c r="F37" s="10" t="s">
        <v>7</v>
      </c>
      <c r="G37" s="10" t="s">
        <v>8</v>
      </c>
      <c r="H37" s="10" t="s">
        <v>9</v>
      </c>
    </row>
    <row r="38" spans="1:256" x14ac:dyDescent="0.25">
      <c r="B38" s="37" t="s">
        <v>18</v>
      </c>
      <c r="C38" s="38">
        <v>150</v>
      </c>
      <c r="D38" s="19">
        <f>IF(ISBLANK(B38),"",$C38*VLOOKUP($B38,Lebensmittel!$A$2:$G$14500,3,0)/VLOOKUP($B38,Lebensmittel!$A$2:$G$14500,2,0))</f>
        <v>325.5</v>
      </c>
      <c r="E38" s="19">
        <f>IF(ISBLANK(B38),"",$C38*VLOOKUP($B38,Lebensmittel!$A$2:$G$14500,7,0)/VLOOKUP($B38,Lebensmittel!$A$2:$G$14500,2,0))</f>
        <v>325.5</v>
      </c>
      <c r="F38" s="20">
        <f>IF(ISBLANK(B38),"",$C38*VLOOKUP($B38,Lebensmittel!$A$2:$G$14500,4,0)/VLOOKUP($B38,Lebensmittel!$A$2:$G$14500,2,0))</f>
        <v>22.5</v>
      </c>
      <c r="G38" s="20">
        <f>IF(ISBLANK(B38),"",$C38*VLOOKUP($B38,Lebensmittel!$A$2:$G$14500,5,0)/VLOOKUP($B38,Lebensmittel!$A$2:$G$14500,2,0))</f>
        <v>22.5</v>
      </c>
      <c r="H38" s="20">
        <f>IF(ISBLANK(B38),"",$C38*VLOOKUP($B38,Lebensmittel!$A$2:$G$14500,6,0)/VLOOKUP($B38,Lebensmittel!$A$2:$G$14500,2,0))</f>
        <v>7.5</v>
      </c>
    </row>
    <row r="39" spans="1:256" x14ac:dyDescent="0.25">
      <c r="B39" s="37" t="s">
        <v>31</v>
      </c>
      <c r="C39" s="38">
        <v>15</v>
      </c>
      <c r="D39" s="19">
        <f>IF(ISBLANK(B39),"",$C39*VLOOKUP($B39,Lebensmittel!$A$2:$G$14500,3,0)/VLOOKUP($B39,Lebensmittel!$A$2:$G$14500,2,0))</f>
        <v>78.599999999999994</v>
      </c>
      <c r="E39" s="19">
        <f>IF(ISBLANK(B39),"",$C39*VLOOKUP($B39,Lebensmittel!$A$2:$G$14500,7,0)/VLOOKUP($B39,Lebensmittel!$A$2:$G$14500,2,0))</f>
        <v>78.599999999999994</v>
      </c>
      <c r="F39" s="20">
        <f>IF(ISBLANK(B39),"",$C39*VLOOKUP($B39,Lebensmittel!$A$2:$G$14500,4,0)/VLOOKUP($B39,Lebensmittel!$A$2:$G$14500,2,0))</f>
        <v>6</v>
      </c>
      <c r="G39" s="20">
        <f>IF(ISBLANK(B39),"",$C39*VLOOKUP($B39,Lebensmittel!$A$2:$G$14500,5,0)/VLOOKUP($B39,Lebensmittel!$A$2:$G$14500,2,0))</f>
        <v>6</v>
      </c>
      <c r="H39" s="20">
        <f>IF(ISBLANK(B39),"",$C39*VLOOKUP($B39,Lebensmittel!$A$2:$G$14500,6,0)/VLOOKUP($B39,Lebensmittel!$A$2:$G$14500,2,0))</f>
        <v>0</v>
      </c>
    </row>
    <row r="40" spans="1:256" x14ac:dyDescent="0.25">
      <c r="B40" s="37"/>
      <c r="C40" s="38"/>
      <c r="D40" s="19" t="str">
        <f>IF(ISBLANK(B40),"",$C40*VLOOKUP($B40,Lebensmittel!$A$2:$G$14500,3,0)/VLOOKUP($B40,Lebensmittel!$A$2:$G$14500,2,0))</f>
        <v/>
      </c>
      <c r="E40" s="19" t="str">
        <f>IF(ISBLANK(B40),"",$C40*VLOOKUP($B40,Lebensmittel!$A$2:$G$14500,7,0)/VLOOKUP($B40,Lebensmittel!$A$2:$G$14500,2,0))</f>
        <v/>
      </c>
      <c r="F40" s="20" t="str">
        <f>IF(ISBLANK(B40),"",$C40*VLOOKUP($B40,Lebensmittel!$A$2:$G$14500,4,0)/VLOOKUP($B40,Lebensmittel!$A$2:$G$14500,2,0))</f>
        <v/>
      </c>
      <c r="G40" s="20" t="str">
        <f>IF(ISBLANK(B40),"",$C40*VLOOKUP($B40,Lebensmittel!$A$2:$G$14500,5,0)/VLOOKUP($B40,Lebensmittel!$A$2:$G$14500,2,0))</f>
        <v/>
      </c>
      <c r="H40" s="20" t="str">
        <f>IF(ISBLANK(B40),"",$C40*VLOOKUP($B40,Lebensmittel!$A$2:$G$14500,6,0)/VLOOKUP($B40,Lebensmittel!$A$2:$G$14500,2,0))</f>
        <v/>
      </c>
    </row>
    <row r="41" spans="1:256" x14ac:dyDescent="0.25">
      <c r="B41" s="37"/>
      <c r="C41" s="38"/>
      <c r="D41" s="19" t="str">
        <f>IF(ISBLANK(B41),"",$C41*VLOOKUP($B41,Lebensmittel!$A$2:$G$14500,3,0)/VLOOKUP($B41,Lebensmittel!$A$2:$G$14500,2,0))</f>
        <v/>
      </c>
      <c r="E41" s="19" t="str">
        <f>IF(ISBLANK(B41),"",$C41*VLOOKUP($B41,Lebensmittel!$A$2:$G$14500,7,0)/VLOOKUP($B41,Lebensmittel!$A$2:$G$14500,2,0))</f>
        <v/>
      </c>
      <c r="F41" s="20" t="str">
        <f>IF(ISBLANK(B41),"",$C41*VLOOKUP($B41,Lebensmittel!$A$2:$G$14500,4,0)/VLOOKUP($B41,Lebensmittel!$A$2:$G$14500,2,0))</f>
        <v/>
      </c>
      <c r="G41" s="20" t="str">
        <f>IF(ISBLANK(B41),"",$C41*VLOOKUP($B41,Lebensmittel!$A$2:$G$14500,5,0)/VLOOKUP($B41,Lebensmittel!$A$2:$G$14500,2,0))</f>
        <v/>
      </c>
      <c r="H41" s="20" t="str">
        <f>IF(ISBLANK(B41),"",$C41*VLOOKUP($B41,Lebensmittel!$A$2:$G$14500,6,0)/VLOOKUP($B41,Lebensmittel!$A$2:$G$14500,2,0))</f>
        <v/>
      </c>
    </row>
    <row r="42" spans="1:256" x14ac:dyDescent="0.25">
      <c r="B42" s="37"/>
      <c r="C42" s="38"/>
      <c r="D42" s="19" t="str">
        <f>IF(ISBLANK(B42),"",$C42*VLOOKUP($B42,Lebensmittel!$A$2:$G$14500,3,0)/VLOOKUP($B42,Lebensmittel!$A$2:$G$14500,2,0))</f>
        <v/>
      </c>
      <c r="E42" s="19" t="str">
        <f>IF(ISBLANK(B42),"",$C42*VLOOKUP($B42,Lebensmittel!$A$2:$G$14500,7,0)/VLOOKUP($B42,Lebensmittel!$A$2:$G$14500,2,0))</f>
        <v/>
      </c>
      <c r="F42" s="20" t="str">
        <f>IF(ISBLANK(B42),"",$C42*VLOOKUP($B42,Lebensmittel!$A$2:$G$14500,4,0)/VLOOKUP($B42,Lebensmittel!$A$2:$G$14500,2,0))</f>
        <v/>
      </c>
      <c r="G42" s="20" t="str">
        <f>IF(ISBLANK(B42),"",$C42*VLOOKUP($B42,Lebensmittel!$A$2:$G$14500,5,0)/VLOOKUP($B42,Lebensmittel!$A$2:$G$14500,2,0))</f>
        <v/>
      </c>
      <c r="H42" s="20" t="str">
        <f>IF(ISBLANK(B42),"",$C42*VLOOKUP($B42,Lebensmittel!$A$2:$G$14500,6,0)/VLOOKUP($B42,Lebensmittel!$A$2:$G$14500,2,0))</f>
        <v/>
      </c>
    </row>
    <row r="43" spans="1:256" x14ac:dyDescent="0.25">
      <c r="B43" s="37"/>
      <c r="C43" s="38"/>
      <c r="D43" s="19" t="str">
        <f>IF(ISBLANK(B43),"",$C43*VLOOKUP($B43,Lebensmittel!$A$2:$G$14500,3,0)/VLOOKUP($B43,Lebensmittel!$A$2:$G$14500,2,0))</f>
        <v/>
      </c>
      <c r="E43" s="19" t="str">
        <f>IF(ISBLANK(B43),"",$C43*VLOOKUP($B43,Lebensmittel!$A$2:$G$14500,7,0)/VLOOKUP($B43,Lebensmittel!$A$2:$G$14500,2,0))</f>
        <v/>
      </c>
      <c r="F43" s="20" t="str">
        <f>IF(ISBLANK(B43),"",$C43*VLOOKUP($B43,Lebensmittel!$A$2:$G$14500,4,0)/VLOOKUP($B43,Lebensmittel!$A$2:$G$14500,2,0))</f>
        <v/>
      </c>
      <c r="G43" s="20" t="str">
        <f>IF(ISBLANK(B43),"",$C43*VLOOKUP($B43,Lebensmittel!$A$2:$G$14500,5,0)/VLOOKUP($B43,Lebensmittel!$A$2:$G$14500,2,0))</f>
        <v/>
      </c>
      <c r="H43" s="20" t="str">
        <f>IF(ISBLANK(B43),"",$C43*VLOOKUP($B43,Lebensmittel!$A$2:$G$14500,6,0)/VLOOKUP($B43,Lebensmittel!$A$2:$G$14500,2,0))</f>
        <v/>
      </c>
    </row>
    <row r="44" spans="1:256" x14ac:dyDescent="0.25">
      <c r="B44" s="37"/>
      <c r="C44" s="38"/>
      <c r="D44" s="19" t="str">
        <f>IF(ISBLANK(B44),"",$C44*VLOOKUP($B44,Lebensmittel!$A$2:$G$14500,3,0)/VLOOKUP($B44,Lebensmittel!$A$2:$G$14500,2,0))</f>
        <v/>
      </c>
      <c r="E44" s="19" t="str">
        <f>IF(ISBLANK(B44),"",$C44*VLOOKUP($B44,Lebensmittel!$A$2:$G$14500,7,0)/VLOOKUP($B44,Lebensmittel!$A$2:$G$14500,2,0))</f>
        <v/>
      </c>
      <c r="F44" s="20" t="str">
        <f>IF(ISBLANK(B44),"",$C44*VLOOKUP($B44,Lebensmittel!$A$2:$G$14500,4,0)/VLOOKUP($B44,Lebensmittel!$A$2:$G$14500,2,0))</f>
        <v/>
      </c>
      <c r="G44" s="20" t="str">
        <f>IF(ISBLANK(B44),"",$C44*VLOOKUP($B44,Lebensmittel!$A$2:$G$14500,5,0)/VLOOKUP($B44,Lebensmittel!$A$2:$G$14500,2,0))</f>
        <v/>
      </c>
      <c r="H44" s="20" t="str">
        <f>IF(ISBLANK(B44),"",$C44*VLOOKUP($B44,Lebensmittel!$A$2:$G$14500,6,0)/VLOOKUP($B44,Lebensmittel!$A$2:$G$14500,2,0))</f>
        <v/>
      </c>
    </row>
    <row r="45" spans="1:256" x14ac:dyDescent="0.25">
      <c r="B45" s="37"/>
      <c r="C45" s="38"/>
      <c r="D45" s="19" t="str">
        <f>IF(ISBLANK(B45),"",$C45*VLOOKUP($B45,Lebensmittel!$A$2:$G$14500,3,0)/VLOOKUP($B45,Lebensmittel!$A$2:$G$14500,2,0))</f>
        <v/>
      </c>
      <c r="E45" s="19" t="str">
        <f>IF(ISBLANK(B45),"",$C45*VLOOKUP($B45,Lebensmittel!$A$2:$G$14500,7,0)/VLOOKUP($B45,Lebensmittel!$A$2:$G$14500,2,0))</f>
        <v/>
      </c>
      <c r="F45" s="20" t="str">
        <f>IF(ISBLANK(B45),"",$C45*VLOOKUP($B45,Lebensmittel!$A$2:$G$14500,4,0)/VLOOKUP($B45,Lebensmittel!$A$2:$G$14500,2,0))</f>
        <v/>
      </c>
      <c r="G45" s="20" t="str">
        <f>IF(ISBLANK(B45),"",$C45*VLOOKUP($B45,Lebensmittel!$A$2:$G$14500,5,0)/VLOOKUP($B45,Lebensmittel!$A$2:$G$14500,2,0))</f>
        <v/>
      </c>
      <c r="H45" s="20" t="str">
        <f>IF(ISBLANK(B45),"",$C45*VLOOKUP($B45,Lebensmittel!$A$2:$G$14500,6,0)/VLOOKUP($B45,Lebensmittel!$A$2:$G$14500,2,0))</f>
        <v/>
      </c>
    </row>
    <row r="46" spans="1:256" x14ac:dyDescent="0.25">
      <c r="B46" s="37"/>
      <c r="C46" s="38"/>
      <c r="D46" s="19" t="str">
        <f>IF(ISBLANK(B46),"",$C46*VLOOKUP($B46,Lebensmittel!$A$2:$G$14500,3,0)/VLOOKUP($B46,Lebensmittel!$A$2:$G$14500,2,0))</f>
        <v/>
      </c>
      <c r="E46" s="19" t="str">
        <f>IF(ISBLANK(B46),"",$C46*VLOOKUP($B46,Lebensmittel!$A$2:$G$14500,7,0)/VLOOKUP($B46,Lebensmittel!$A$2:$G$14500,2,0))</f>
        <v/>
      </c>
      <c r="F46" s="20" t="str">
        <f>IF(ISBLANK(B46),"",$C46*VLOOKUP($B46,Lebensmittel!$A$2:$G$14500,4,0)/VLOOKUP($B46,Lebensmittel!$A$2:$G$14500,2,0))</f>
        <v/>
      </c>
      <c r="G46" s="20" t="str">
        <f>IF(ISBLANK(B46),"",$C46*VLOOKUP($B46,Lebensmittel!$A$2:$G$14500,5,0)/VLOOKUP($B46,Lebensmittel!$A$2:$G$14500,2,0))</f>
        <v/>
      </c>
      <c r="H46" s="20" t="str">
        <f>IF(ISBLANK(B46),"",$C46*VLOOKUP($B46,Lebensmittel!$A$2:$G$14500,6,0)/VLOOKUP($B46,Lebensmittel!$A$2:$G$14500,2,0))</f>
        <v/>
      </c>
    </row>
    <row r="47" spans="1:256" x14ac:dyDescent="0.25">
      <c r="B47" s="37"/>
      <c r="C47" s="38"/>
      <c r="D47" s="19" t="str">
        <f>IF(ISBLANK(B47),"",$C47*VLOOKUP($B47,Lebensmittel!$A$2:$G$14500,3,0)/VLOOKUP($B47,Lebensmittel!$A$2:$G$14500,2,0))</f>
        <v/>
      </c>
      <c r="E47" s="19" t="str">
        <f>IF(ISBLANK(B47),"",$C47*VLOOKUP($B47,Lebensmittel!$A$2:$G$14500,7,0)/VLOOKUP($B47,Lebensmittel!$A$2:$G$14500,2,0))</f>
        <v/>
      </c>
      <c r="F47" s="20" t="str">
        <f>IF(ISBLANK(B47),"",$C47*VLOOKUP($B47,Lebensmittel!$A$2:$G$14500,4,0)/VLOOKUP($B47,Lebensmittel!$A$2:$G$14500,2,0))</f>
        <v/>
      </c>
      <c r="G47" s="20" t="str">
        <f>IF(ISBLANK(B47),"",$C47*VLOOKUP($B47,Lebensmittel!$A$2:$G$14500,5,0)/VLOOKUP($B47,Lebensmittel!$A$2:$G$14500,2,0))</f>
        <v/>
      </c>
      <c r="H47" s="20" t="str">
        <f>IF(ISBLANK(B47),"",$C47*VLOOKUP($B47,Lebensmittel!$A$2:$G$14500,6,0)/VLOOKUP($B47,Lebensmittel!$A$2:$G$14500,2,0))</f>
        <v/>
      </c>
    </row>
    <row r="48" spans="1:256" x14ac:dyDescent="0.25">
      <c r="B48" s="33" t="s">
        <v>42</v>
      </c>
      <c r="C48" s="34">
        <f t="shared" ref="C48:H48" si="4">SUM(C38:C47)</f>
        <v>165</v>
      </c>
      <c r="D48" s="35">
        <f t="shared" si="4"/>
        <v>404.1</v>
      </c>
      <c r="E48" s="35">
        <f t="shared" si="4"/>
        <v>404.1</v>
      </c>
      <c r="F48" s="36">
        <f t="shared" si="4"/>
        <v>28.5</v>
      </c>
      <c r="G48" s="36">
        <f t="shared" si="4"/>
        <v>28.5</v>
      </c>
      <c r="H48" s="36">
        <f t="shared" si="4"/>
        <v>7.5</v>
      </c>
    </row>
    <row r="50" spans="1:256" ht="18" x14ac:dyDescent="0.25">
      <c r="A50" s="39" t="s">
        <v>43</v>
      </c>
      <c r="B50" s="39"/>
      <c r="C50" s="3"/>
      <c r="D50" s="4"/>
      <c r="E50" s="4"/>
      <c r="F50" s="5"/>
      <c r="G50" s="5"/>
      <c r="H50" s="5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</row>
    <row r="51" spans="1:256" s="7" customFormat="1" ht="15.75" x14ac:dyDescent="0.25">
      <c r="B51" s="2" t="s">
        <v>3</v>
      </c>
      <c r="C51" s="8" t="s">
        <v>5</v>
      </c>
      <c r="D51" s="9" t="s">
        <v>6</v>
      </c>
      <c r="E51" s="9" t="s">
        <v>6</v>
      </c>
      <c r="F51" s="10" t="s">
        <v>7</v>
      </c>
      <c r="G51" s="10" t="s">
        <v>8</v>
      </c>
      <c r="H51" s="10" t="s">
        <v>9</v>
      </c>
    </row>
    <row r="52" spans="1:256" x14ac:dyDescent="0.25">
      <c r="B52" s="37" t="s">
        <v>15</v>
      </c>
      <c r="C52" s="38">
        <v>80</v>
      </c>
      <c r="D52" s="19">
        <f>IF(ISBLANK(B52),"",$C52*VLOOKUP($B52,Lebensmittel!$A$2:$G$14500,3,0)/VLOOKUP($B52,Lebensmittel!$A$2:$G$14500,2,0))</f>
        <v>216.4</v>
      </c>
      <c r="E52" s="19">
        <f>IF(ISBLANK(B52),"",$C52*VLOOKUP($B52,Lebensmittel!$A$2:$G$14500,7,0)/VLOOKUP($B52,Lebensmittel!$A$2:$G$14500,2,0))</f>
        <v>216.4</v>
      </c>
      <c r="F52" s="20">
        <f>IF(ISBLANK(B52),"",$C52*VLOOKUP($B52,Lebensmittel!$A$2:$G$14500,4,0)/VLOOKUP($B52,Lebensmittel!$A$2:$G$14500,2,0))</f>
        <v>4</v>
      </c>
      <c r="G52" s="20">
        <f>IF(ISBLANK(B52),"",$C52*VLOOKUP($B52,Lebensmittel!$A$2:$G$14500,5,0)/VLOOKUP($B52,Lebensmittel!$A$2:$G$14500,2,0))</f>
        <v>40</v>
      </c>
      <c r="H52" s="20">
        <f>IF(ISBLANK(B52),"",$C52*VLOOKUP($B52,Lebensmittel!$A$2:$G$14500,6,0)/VLOOKUP($B52,Lebensmittel!$A$2:$G$14500,2,0))</f>
        <v>4</v>
      </c>
    </row>
    <row r="53" spans="1:256" x14ac:dyDescent="0.25">
      <c r="B53" s="37" t="s">
        <v>22</v>
      </c>
      <c r="C53" s="38">
        <v>50</v>
      </c>
      <c r="D53" s="19">
        <f>IF(ISBLANK(B53),"",$C53*VLOOKUP($B53,Lebensmittel!$A$2:$G$14500,3,0)/VLOOKUP($B53,Lebensmittel!$A$2:$G$14500,2,0))</f>
        <v>120.75</v>
      </c>
      <c r="E53" s="19">
        <f>IF(ISBLANK(B53),"",$C53*VLOOKUP($B53,Lebensmittel!$A$2:$G$14500,7,0)/VLOOKUP($B53,Lebensmittel!$A$2:$G$14500,2,0))</f>
        <v>120.75</v>
      </c>
      <c r="F53" s="20">
        <f>IF(ISBLANK(B53),"",$C53*VLOOKUP($B53,Lebensmittel!$A$2:$G$14500,4,0)/VLOOKUP($B53,Lebensmittel!$A$2:$G$14500,2,0))</f>
        <v>10</v>
      </c>
      <c r="G53" s="20">
        <f>IF(ISBLANK(B53),"",$C53*VLOOKUP($B53,Lebensmittel!$A$2:$G$14500,5,0)/VLOOKUP($B53,Lebensmittel!$A$2:$G$14500,2,0))</f>
        <v>0</v>
      </c>
      <c r="H53" s="20">
        <f>IF(ISBLANK(B53),"",$C53*VLOOKUP($B53,Lebensmittel!$A$2:$G$14500,6,0)/VLOOKUP($B53,Lebensmittel!$A$2:$G$14500,2,0))</f>
        <v>7.5</v>
      </c>
    </row>
    <row r="54" spans="1:256" x14ac:dyDescent="0.25">
      <c r="B54" s="37" t="s">
        <v>26</v>
      </c>
      <c r="C54" s="38">
        <v>30</v>
      </c>
      <c r="D54" s="19">
        <f>IF(ISBLANK(B54),"",$C54*VLOOKUP($B54,Lebensmittel!$A$2:$G$14500,3,0)/VLOOKUP($B54,Lebensmittel!$A$2:$G$14500,2,0))</f>
        <v>152.4</v>
      </c>
      <c r="E54" s="19">
        <f>IF(ISBLANK(B54),"",$C54*VLOOKUP($B54,Lebensmittel!$A$2:$G$14500,7,0)/VLOOKUP($B54,Lebensmittel!$A$2:$G$14500,2,0))</f>
        <v>152.4</v>
      </c>
      <c r="F54" s="20">
        <f>IF(ISBLANK(B54),"",$C54*VLOOKUP($B54,Lebensmittel!$A$2:$G$14500,4,0)/VLOOKUP($B54,Lebensmittel!$A$2:$G$14500,2,0))</f>
        <v>6</v>
      </c>
      <c r="G54" s="20">
        <f>IF(ISBLANK(B54),"",$C54*VLOOKUP($B54,Lebensmittel!$A$2:$G$14500,5,0)/VLOOKUP($B54,Lebensmittel!$A$2:$G$14500,2,0))</f>
        <v>24</v>
      </c>
      <c r="H54" s="20">
        <f>IF(ISBLANK(B54),"",$C54*VLOOKUP($B54,Lebensmittel!$A$2:$G$14500,6,0)/VLOOKUP($B54,Lebensmittel!$A$2:$G$14500,2,0))</f>
        <v>0</v>
      </c>
    </row>
    <row r="55" spans="1:256" x14ac:dyDescent="0.25">
      <c r="B55" s="37"/>
      <c r="C55" s="38"/>
      <c r="D55" s="19" t="str">
        <f>IF(ISBLANK(B55),"",$C55*VLOOKUP($B55,Lebensmittel!$A$2:$G$14500,3,0)/VLOOKUP($B55,Lebensmittel!$A$2:$G$14500,2,0))</f>
        <v/>
      </c>
      <c r="E55" s="19" t="str">
        <f>IF(ISBLANK(B55),"",$C55*VLOOKUP($B55,Lebensmittel!$A$2:$G$14500,7,0)/VLOOKUP($B55,Lebensmittel!$A$2:$G$14500,2,0))</f>
        <v/>
      </c>
      <c r="F55" s="20" t="str">
        <f>IF(ISBLANK(B55),"",$C55*VLOOKUP($B55,Lebensmittel!$A$2:$G$14500,4,0)/VLOOKUP($B55,Lebensmittel!$A$2:$G$14500,2,0))</f>
        <v/>
      </c>
      <c r="G55" s="20" t="str">
        <f>IF(ISBLANK(B55),"",$C55*VLOOKUP($B55,Lebensmittel!$A$2:$G$14500,5,0)/VLOOKUP($B55,Lebensmittel!$A$2:$G$14500,2,0))</f>
        <v/>
      </c>
      <c r="H55" s="20" t="str">
        <f>IF(ISBLANK(B55),"",$C55*VLOOKUP($B55,Lebensmittel!$A$2:$G$14500,6,0)/VLOOKUP($B55,Lebensmittel!$A$2:$G$14500,2,0))</f>
        <v/>
      </c>
    </row>
    <row r="56" spans="1:256" x14ac:dyDescent="0.25">
      <c r="B56" s="37"/>
      <c r="C56" s="38"/>
      <c r="D56" s="19" t="str">
        <f>IF(ISBLANK(B56),"",$C56*VLOOKUP($B56,Lebensmittel!$A$2:$G$14500,3,0)/VLOOKUP($B56,Lebensmittel!$A$2:$G$14500,2,0))</f>
        <v/>
      </c>
      <c r="E56" s="19" t="str">
        <f>IF(ISBLANK(B56),"",$C56*VLOOKUP($B56,Lebensmittel!$A$2:$G$14500,7,0)/VLOOKUP($B56,Lebensmittel!$A$2:$G$14500,2,0))</f>
        <v/>
      </c>
      <c r="F56" s="20" t="str">
        <f>IF(ISBLANK(B56),"",$C56*VLOOKUP($B56,Lebensmittel!$A$2:$G$14500,4,0)/VLOOKUP($B56,Lebensmittel!$A$2:$G$14500,2,0))</f>
        <v/>
      </c>
      <c r="G56" s="20" t="str">
        <f>IF(ISBLANK(B56),"",$C56*VLOOKUP($B56,Lebensmittel!$A$2:$G$14500,5,0)/VLOOKUP($B56,Lebensmittel!$A$2:$G$14500,2,0))</f>
        <v/>
      </c>
      <c r="H56" s="20" t="str">
        <f>IF(ISBLANK(B56),"",$C56*VLOOKUP($B56,Lebensmittel!$A$2:$G$14500,6,0)/VLOOKUP($B56,Lebensmittel!$A$2:$G$14500,2,0))</f>
        <v/>
      </c>
    </row>
    <row r="57" spans="1:256" x14ac:dyDescent="0.25">
      <c r="B57" s="37"/>
      <c r="C57" s="38"/>
      <c r="D57" s="19" t="str">
        <f>IF(ISBLANK(B57),"",$C57*VLOOKUP($B57,Lebensmittel!$A$2:$G$14500,3,0)/VLOOKUP($B57,Lebensmittel!$A$2:$G$14500,2,0))</f>
        <v/>
      </c>
      <c r="E57" s="19" t="str">
        <f>IF(ISBLANK(B57),"",$C57*VLOOKUP($B57,Lebensmittel!$A$2:$G$14500,7,0)/VLOOKUP($B57,Lebensmittel!$A$2:$G$14500,2,0))</f>
        <v/>
      </c>
      <c r="F57" s="20" t="str">
        <f>IF(ISBLANK(B57),"",$C57*VLOOKUP($B57,Lebensmittel!$A$2:$G$14500,4,0)/VLOOKUP($B57,Lebensmittel!$A$2:$G$14500,2,0))</f>
        <v/>
      </c>
      <c r="G57" s="20" t="str">
        <f>IF(ISBLANK(B57),"",$C57*VLOOKUP($B57,Lebensmittel!$A$2:$G$14500,5,0)/VLOOKUP($B57,Lebensmittel!$A$2:$G$14500,2,0))</f>
        <v/>
      </c>
      <c r="H57" s="20" t="str">
        <f>IF(ISBLANK(B57),"",$C57*VLOOKUP($B57,Lebensmittel!$A$2:$G$14500,6,0)/VLOOKUP($B57,Lebensmittel!$A$2:$G$14500,2,0))</f>
        <v/>
      </c>
    </row>
    <row r="58" spans="1:256" x14ac:dyDescent="0.25">
      <c r="B58" s="37"/>
      <c r="C58" s="38"/>
      <c r="D58" s="19" t="str">
        <f>IF(ISBLANK(B58),"",$C58*VLOOKUP($B58,Lebensmittel!$A$2:$G$14500,3,0)/VLOOKUP($B58,Lebensmittel!$A$2:$G$14500,2,0))</f>
        <v/>
      </c>
      <c r="E58" s="19" t="str">
        <f>IF(ISBLANK(B58),"",$C58*VLOOKUP($B58,Lebensmittel!$A$2:$G$14500,7,0)/VLOOKUP($B58,Lebensmittel!$A$2:$G$14500,2,0))</f>
        <v/>
      </c>
      <c r="F58" s="20" t="str">
        <f>IF(ISBLANK(B58),"",$C58*VLOOKUP($B58,Lebensmittel!$A$2:$G$14500,4,0)/VLOOKUP($B58,Lebensmittel!$A$2:$G$14500,2,0))</f>
        <v/>
      </c>
      <c r="G58" s="20" t="str">
        <f>IF(ISBLANK(B58),"",$C58*VLOOKUP($B58,Lebensmittel!$A$2:$G$14500,5,0)/VLOOKUP($B58,Lebensmittel!$A$2:$G$14500,2,0))</f>
        <v/>
      </c>
      <c r="H58" s="20" t="str">
        <f>IF(ISBLANK(B58),"",$C58*VLOOKUP($B58,Lebensmittel!$A$2:$G$14500,6,0)/VLOOKUP($B58,Lebensmittel!$A$2:$G$14500,2,0))</f>
        <v/>
      </c>
    </row>
    <row r="59" spans="1:256" x14ac:dyDescent="0.25">
      <c r="B59" s="37"/>
      <c r="C59" s="38"/>
      <c r="D59" s="19" t="str">
        <f>IF(ISBLANK(B59),"",$C59*VLOOKUP($B59,Lebensmittel!$A$2:$G$14500,3,0)/VLOOKUP($B59,Lebensmittel!$A$2:$G$14500,2,0))</f>
        <v/>
      </c>
      <c r="E59" s="19" t="str">
        <f>IF(ISBLANK(B59),"",$C59*VLOOKUP($B59,Lebensmittel!$A$2:$G$14500,7,0)/VLOOKUP($B59,Lebensmittel!$A$2:$G$14500,2,0))</f>
        <v/>
      </c>
      <c r="F59" s="20" t="str">
        <f>IF(ISBLANK(B59),"",$C59*VLOOKUP($B59,Lebensmittel!$A$2:$G$14500,4,0)/VLOOKUP($B59,Lebensmittel!$A$2:$G$14500,2,0))</f>
        <v/>
      </c>
      <c r="G59" s="20" t="str">
        <f>IF(ISBLANK(B59),"",$C59*VLOOKUP($B59,Lebensmittel!$A$2:$G$14500,5,0)/VLOOKUP($B59,Lebensmittel!$A$2:$G$14500,2,0))</f>
        <v/>
      </c>
      <c r="H59" s="20" t="str">
        <f>IF(ISBLANK(B59),"",$C59*VLOOKUP($B59,Lebensmittel!$A$2:$G$14500,6,0)/VLOOKUP($B59,Lebensmittel!$A$2:$G$14500,2,0))</f>
        <v/>
      </c>
    </row>
    <row r="60" spans="1:256" x14ac:dyDescent="0.25">
      <c r="B60" s="37"/>
      <c r="C60" s="38"/>
      <c r="D60" s="19" t="str">
        <f>IF(ISBLANK(B60),"",$C60*VLOOKUP($B60,Lebensmittel!$A$2:$G$14500,3,0)/VLOOKUP($B60,Lebensmittel!$A$2:$G$14500,2,0))</f>
        <v/>
      </c>
      <c r="E60" s="19" t="str">
        <f>IF(ISBLANK(B60),"",$C60*VLOOKUP($B60,Lebensmittel!$A$2:$G$14500,7,0)/VLOOKUP($B60,Lebensmittel!$A$2:$G$14500,2,0))</f>
        <v/>
      </c>
      <c r="F60" s="20" t="str">
        <f>IF(ISBLANK(B60),"",$C60*VLOOKUP($B60,Lebensmittel!$A$2:$G$14500,4,0)/VLOOKUP($B60,Lebensmittel!$A$2:$G$14500,2,0))</f>
        <v/>
      </c>
      <c r="G60" s="20" t="str">
        <f>IF(ISBLANK(B60),"",$C60*VLOOKUP($B60,Lebensmittel!$A$2:$G$14500,5,0)/VLOOKUP($B60,Lebensmittel!$A$2:$G$14500,2,0))</f>
        <v/>
      </c>
      <c r="H60" s="20" t="str">
        <f>IF(ISBLANK(B60),"",$C60*VLOOKUP($B60,Lebensmittel!$A$2:$G$14500,6,0)/VLOOKUP($B60,Lebensmittel!$A$2:$G$14500,2,0))</f>
        <v/>
      </c>
    </row>
    <row r="61" spans="1:256" x14ac:dyDescent="0.25">
      <c r="B61" s="37"/>
      <c r="C61" s="38"/>
      <c r="D61" s="19" t="str">
        <f>IF(ISBLANK(B61),"",$C61*VLOOKUP($B61,Lebensmittel!$A$2:$G$14500,3,0)/VLOOKUP($B61,Lebensmittel!$A$2:$G$14500,2,0))</f>
        <v/>
      </c>
      <c r="E61" s="19" t="str">
        <f>IF(ISBLANK(B61),"",$C61*VLOOKUP($B61,Lebensmittel!$A$2:$G$14500,7,0)/VLOOKUP($B61,Lebensmittel!$A$2:$G$14500,2,0))</f>
        <v/>
      </c>
      <c r="F61" s="20" t="str">
        <f>IF(ISBLANK(B61),"",$C61*VLOOKUP($B61,Lebensmittel!$A$2:$G$14500,4,0)/VLOOKUP($B61,Lebensmittel!$A$2:$G$14500,2,0))</f>
        <v/>
      </c>
      <c r="G61" s="20" t="str">
        <f>IF(ISBLANK(B61),"",$C61*VLOOKUP($B61,Lebensmittel!$A$2:$G$14500,5,0)/VLOOKUP($B61,Lebensmittel!$A$2:$G$14500,2,0))</f>
        <v/>
      </c>
      <c r="H61" s="20" t="str">
        <f>IF(ISBLANK(B61),"",$C61*VLOOKUP($B61,Lebensmittel!$A$2:$G$14500,6,0)/VLOOKUP($B61,Lebensmittel!$A$2:$G$14500,2,0))</f>
        <v/>
      </c>
    </row>
    <row r="62" spans="1:256" x14ac:dyDescent="0.25">
      <c r="B62" s="33" t="s">
        <v>44</v>
      </c>
      <c r="C62" s="34">
        <f t="shared" ref="C62:H62" si="5">SUM(C52:C61)</f>
        <v>160</v>
      </c>
      <c r="D62" s="35">
        <f t="shared" si="5"/>
        <v>489.54999999999995</v>
      </c>
      <c r="E62" s="35">
        <f t="shared" si="5"/>
        <v>489.54999999999995</v>
      </c>
      <c r="F62" s="36">
        <f t="shared" si="5"/>
        <v>20</v>
      </c>
      <c r="G62" s="36">
        <f t="shared" si="5"/>
        <v>64</v>
      </c>
      <c r="H62" s="36">
        <f t="shared" si="5"/>
        <v>11.5</v>
      </c>
    </row>
    <row r="64" spans="1:256" ht="18" x14ac:dyDescent="0.25">
      <c r="A64" s="39" t="s">
        <v>45</v>
      </c>
      <c r="B64" s="39"/>
      <c r="C64" s="3"/>
      <c r="D64" s="4"/>
      <c r="E64" s="4"/>
      <c r="F64" s="5"/>
      <c r="G64" s="5"/>
      <c r="H64" s="5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</row>
    <row r="65" spans="2:8" s="7" customFormat="1" ht="15.75" x14ac:dyDescent="0.25">
      <c r="B65" s="2" t="s">
        <v>3</v>
      </c>
      <c r="C65" s="8" t="s">
        <v>5</v>
      </c>
      <c r="D65" s="9" t="s">
        <v>6</v>
      </c>
      <c r="E65" s="9" t="s">
        <v>6</v>
      </c>
      <c r="F65" s="10" t="s">
        <v>7</v>
      </c>
      <c r="G65" s="10" t="s">
        <v>8</v>
      </c>
      <c r="H65" s="10" t="s">
        <v>9</v>
      </c>
    </row>
    <row r="66" spans="2:8" x14ac:dyDescent="0.25">
      <c r="B66" s="37" t="s">
        <v>27</v>
      </c>
      <c r="C66" s="38">
        <v>25</v>
      </c>
      <c r="D66" s="19">
        <f>IF(ISBLANK(B66),"",$C66*VLOOKUP($B66,Lebensmittel!$A$2:$G$14500,3,0)/VLOOKUP($B66,Lebensmittel!$A$2:$G$14500,2,0))</f>
        <v>102.49999999999999</v>
      </c>
      <c r="E66" s="19">
        <f>IF(ISBLANK(B66),"",$C66*VLOOKUP($B66,Lebensmittel!$A$2:$G$14500,7,0)/VLOOKUP($B66,Lebensmittel!$A$2:$G$14500,2,0))</f>
        <v>102.49999999999999</v>
      </c>
      <c r="F66" s="20">
        <f>IF(ISBLANK(B66),"",$C66*VLOOKUP($B66,Lebensmittel!$A$2:$G$14500,4,0)/VLOOKUP($B66,Lebensmittel!$A$2:$G$14500,2,0))</f>
        <v>0</v>
      </c>
      <c r="G66" s="20">
        <f>IF(ISBLANK(B66),"",$C66*VLOOKUP($B66,Lebensmittel!$A$2:$G$14500,5,0)/VLOOKUP($B66,Lebensmittel!$A$2:$G$14500,2,0))</f>
        <v>25</v>
      </c>
      <c r="H66" s="20">
        <f>IF(ISBLANK(B66),"",$C66*VLOOKUP($B66,Lebensmittel!$A$2:$G$14500,6,0)/VLOOKUP($B66,Lebensmittel!$A$2:$G$14500,2,0))</f>
        <v>0</v>
      </c>
    </row>
    <row r="67" spans="2:8" x14ac:dyDescent="0.25">
      <c r="B67" s="37"/>
      <c r="C67" s="38"/>
      <c r="D67" s="19" t="str">
        <f>IF(ISBLANK(B67),"",$C67*VLOOKUP($B67,Lebensmittel!$A$2:$G$14500,3,0)/VLOOKUP($B67,Lebensmittel!$A$2:$G$14500,2,0))</f>
        <v/>
      </c>
      <c r="E67" s="19" t="str">
        <f>IF(ISBLANK(B67),"",$C67*VLOOKUP($B67,Lebensmittel!$A$2:$G$14500,7,0)/VLOOKUP($B67,Lebensmittel!$A$2:$G$14500,2,0))</f>
        <v/>
      </c>
      <c r="F67" s="20" t="str">
        <f>IF(ISBLANK(B67),"",$C67*VLOOKUP($B67,Lebensmittel!$A$2:$G$14500,4,0)/VLOOKUP($B67,Lebensmittel!$A$2:$G$14500,2,0))</f>
        <v/>
      </c>
      <c r="G67" s="20" t="str">
        <f>IF(ISBLANK(B67),"",$C67*VLOOKUP($B67,Lebensmittel!$A$2:$G$14500,5,0)/VLOOKUP($B67,Lebensmittel!$A$2:$G$14500,2,0))</f>
        <v/>
      </c>
      <c r="H67" s="20" t="str">
        <f>IF(ISBLANK(B67),"",$C67*VLOOKUP($B67,Lebensmittel!$A$2:$G$14500,6,0)/VLOOKUP($B67,Lebensmittel!$A$2:$G$14500,2,0))</f>
        <v/>
      </c>
    </row>
    <row r="68" spans="2:8" x14ac:dyDescent="0.25">
      <c r="B68" s="37"/>
      <c r="C68" s="38"/>
      <c r="D68" s="19" t="str">
        <f>IF(ISBLANK(B68),"",$C68*VLOOKUP($B68,Lebensmittel!$A$2:$G$14500,3,0)/VLOOKUP($B68,Lebensmittel!$A$2:$G$14500,2,0))</f>
        <v/>
      </c>
      <c r="E68" s="19" t="str">
        <f>IF(ISBLANK(B68),"",$C68*VLOOKUP($B68,Lebensmittel!$A$2:$G$14500,7,0)/VLOOKUP($B68,Lebensmittel!$A$2:$G$14500,2,0))</f>
        <v/>
      </c>
      <c r="F68" s="20" t="str">
        <f>IF(ISBLANK(B68),"",$C68*VLOOKUP($B68,Lebensmittel!$A$2:$G$14500,4,0)/VLOOKUP($B68,Lebensmittel!$A$2:$G$14500,2,0))</f>
        <v/>
      </c>
      <c r="G68" s="20" t="str">
        <f>IF(ISBLANK(B68),"",$C68*VLOOKUP($B68,Lebensmittel!$A$2:$G$14500,5,0)/VLOOKUP($B68,Lebensmittel!$A$2:$G$14500,2,0))</f>
        <v/>
      </c>
      <c r="H68" s="20" t="str">
        <f>IF(ISBLANK(B68),"",$C68*VLOOKUP($B68,Lebensmittel!$A$2:$G$14500,6,0)/VLOOKUP($B68,Lebensmittel!$A$2:$G$14500,2,0))</f>
        <v/>
      </c>
    </row>
    <row r="69" spans="2:8" x14ac:dyDescent="0.25">
      <c r="B69" s="37"/>
      <c r="C69" s="38"/>
      <c r="D69" s="19" t="str">
        <f>IF(ISBLANK(B69),"",$C69*VLOOKUP($B69,Lebensmittel!$A$2:$G$14500,3,0)/VLOOKUP($B69,Lebensmittel!$A$2:$G$14500,2,0))</f>
        <v/>
      </c>
      <c r="E69" s="19" t="str">
        <f>IF(ISBLANK(B69),"",$C69*VLOOKUP($B69,Lebensmittel!$A$2:$G$14500,7,0)/VLOOKUP($B69,Lebensmittel!$A$2:$G$14500,2,0))</f>
        <v/>
      </c>
      <c r="F69" s="20" t="str">
        <f>IF(ISBLANK(B69),"",$C69*VLOOKUP($B69,Lebensmittel!$A$2:$G$14500,4,0)/VLOOKUP($B69,Lebensmittel!$A$2:$G$14500,2,0))</f>
        <v/>
      </c>
      <c r="G69" s="20" t="str">
        <f>IF(ISBLANK(B69),"",$C69*VLOOKUP($B69,Lebensmittel!$A$2:$G$14500,5,0)/VLOOKUP($B69,Lebensmittel!$A$2:$G$14500,2,0))</f>
        <v/>
      </c>
      <c r="H69" s="20" t="str">
        <f>IF(ISBLANK(B69),"",$C69*VLOOKUP($B69,Lebensmittel!$A$2:$G$14500,6,0)/VLOOKUP($B69,Lebensmittel!$A$2:$G$14500,2,0))</f>
        <v/>
      </c>
    </row>
    <row r="70" spans="2:8" x14ac:dyDescent="0.25">
      <c r="B70" s="37"/>
      <c r="C70" s="38"/>
      <c r="D70" s="19" t="str">
        <f>IF(ISBLANK(B70),"",$C70*VLOOKUP($B70,Lebensmittel!$A$2:$G$14500,3,0)/VLOOKUP($B70,Lebensmittel!$A$2:$G$14500,2,0))</f>
        <v/>
      </c>
      <c r="E70" s="19" t="str">
        <f>IF(ISBLANK(B70),"",$C70*VLOOKUP($B70,Lebensmittel!$A$2:$G$14500,7,0)/VLOOKUP($B70,Lebensmittel!$A$2:$G$14500,2,0))</f>
        <v/>
      </c>
      <c r="F70" s="20" t="str">
        <f>IF(ISBLANK(B70),"",$C70*VLOOKUP($B70,Lebensmittel!$A$2:$G$14500,4,0)/VLOOKUP($B70,Lebensmittel!$A$2:$G$14500,2,0))</f>
        <v/>
      </c>
      <c r="G70" s="20" t="str">
        <f>IF(ISBLANK(B70),"",$C70*VLOOKUP($B70,Lebensmittel!$A$2:$G$14500,5,0)/VLOOKUP($B70,Lebensmittel!$A$2:$G$14500,2,0))</f>
        <v/>
      </c>
      <c r="H70" s="20" t="str">
        <f>IF(ISBLANK(B70),"",$C70*VLOOKUP($B70,Lebensmittel!$A$2:$G$14500,6,0)/VLOOKUP($B70,Lebensmittel!$A$2:$G$14500,2,0))</f>
        <v/>
      </c>
    </row>
    <row r="71" spans="2:8" x14ac:dyDescent="0.25">
      <c r="B71" s="37"/>
      <c r="C71" s="38"/>
      <c r="D71" s="19" t="str">
        <f>IF(ISBLANK(B71),"",$C71*VLOOKUP($B71,Lebensmittel!$A$2:$G$14500,3,0)/VLOOKUP($B71,Lebensmittel!$A$2:$G$14500,2,0))</f>
        <v/>
      </c>
      <c r="E71" s="19" t="str">
        <f>IF(ISBLANK(B71),"",$C71*VLOOKUP($B71,Lebensmittel!$A$2:$G$14500,7,0)/VLOOKUP($B71,Lebensmittel!$A$2:$G$14500,2,0))</f>
        <v/>
      </c>
      <c r="F71" s="20" t="str">
        <f>IF(ISBLANK(B71),"",$C71*VLOOKUP($B71,Lebensmittel!$A$2:$G$14500,4,0)/VLOOKUP($B71,Lebensmittel!$A$2:$G$14500,2,0))</f>
        <v/>
      </c>
      <c r="G71" s="20" t="str">
        <f>IF(ISBLANK(B71),"",$C71*VLOOKUP($B71,Lebensmittel!$A$2:$G$14500,5,0)/VLOOKUP($B71,Lebensmittel!$A$2:$G$14500,2,0))</f>
        <v/>
      </c>
      <c r="H71" s="20" t="str">
        <f>IF(ISBLANK(B71),"",$C71*VLOOKUP($B71,Lebensmittel!$A$2:$G$14500,6,0)/VLOOKUP($B71,Lebensmittel!$A$2:$G$14500,2,0))</f>
        <v/>
      </c>
    </row>
    <row r="72" spans="2:8" x14ac:dyDescent="0.25">
      <c r="B72" s="37"/>
      <c r="C72" s="38"/>
      <c r="D72" s="19" t="str">
        <f>IF(ISBLANK(B72),"",$C72*VLOOKUP($B72,Lebensmittel!$A$2:$G$14500,3,0)/VLOOKUP($B72,Lebensmittel!$A$2:$G$14500,2,0))</f>
        <v/>
      </c>
      <c r="E72" s="19" t="str">
        <f>IF(ISBLANK(B72),"",$C72*VLOOKUP($B72,Lebensmittel!$A$2:$G$14500,7,0)/VLOOKUP($B72,Lebensmittel!$A$2:$G$14500,2,0))</f>
        <v/>
      </c>
      <c r="F72" s="20" t="str">
        <f>IF(ISBLANK(B72),"",$C72*VLOOKUP($B72,Lebensmittel!$A$2:$G$14500,4,0)/VLOOKUP($B72,Lebensmittel!$A$2:$G$14500,2,0))</f>
        <v/>
      </c>
      <c r="G72" s="20" t="str">
        <f>IF(ISBLANK(B72),"",$C72*VLOOKUP($B72,Lebensmittel!$A$2:$G$14500,5,0)/VLOOKUP($B72,Lebensmittel!$A$2:$G$14500,2,0))</f>
        <v/>
      </c>
      <c r="H72" s="20" t="str">
        <f>IF(ISBLANK(B72),"",$C72*VLOOKUP($B72,Lebensmittel!$A$2:$G$14500,6,0)/VLOOKUP($B72,Lebensmittel!$A$2:$G$14500,2,0))</f>
        <v/>
      </c>
    </row>
    <row r="73" spans="2:8" x14ac:dyDescent="0.25">
      <c r="B73" s="37"/>
      <c r="C73" s="38"/>
      <c r="D73" s="19" t="str">
        <f>IF(ISBLANK(B73),"",$C73*VLOOKUP($B73,Lebensmittel!$A$2:$G$14500,3,0)/VLOOKUP($B73,Lebensmittel!$A$2:$G$14500,2,0))</f>
        <v/>
      </c>
      <c r="E73" s="19" t="str">
        <f>IF(ISBLANK(B73),"",$C73*VLOOKUP($B73,Lebensmittel!$A$2:$G$14500,7,0)/VLOOKUP($B73,Lebensmittel!$A$2:$G$14500,2,0))</f>
        <v/>
      </c>
      <c r="F73" s="20" t="str">
        <f>IF(ISBLANK(B73),"",$C73*VLOOKUP($B73,Lebensmittel!$A$2:$G$14500,4,0)/VLOOKUP($B73,Lebensmittel!$A$2:$G$14500,2,0))</f>
        <v/>
      </c>
      <c r="G73" s="20" t="str">
        <f>IF(ISBLANK(B73),"",$C73*VLOOKUP($B73,Lebensmittel!$A$2:$G$14500,5,0)/VLOOKUP($B73,Lebensmittel!$A$2:$G$14500,2,0))</f>
        <v/>
      </c>
      <c r="H73" s="20" t="str">
        <f>IF(ISBLANK(B73),"",$C73*VLOOKUP($B73,Lebensmittel!$A$2:$G$14500,6,0)/VLOOKUP($B73,Lebensmittel!$A$2:$G$14500,2,0))</f>
        <v/>
      </c>
    </row>
    <row r="74" spans="2:8" x14ac:dyDescent="0.25">
      <c r="B74" s="37"/>
      <c r="C74" s="38"/>
      <c r="D74" s="19" t="str">
        <f>IF(ISBLANK(B74),"",$C74*VLOOKUP($B74,Lebensmittel!$A$2:$G$14500,3,0)/VLOOKUP($B74,Lebensmittel!$A$2:$G$14500,2,0))</f>
        <v/>
      </c>
      <c r="E74" s="19" t="str">
        <f>IF(ISBLANK(B74),"",$C74*VLOOKUP($B74,Lebensmittel!$A$2:$G$14500,7,0)/VLOOKUP($B74,Lebensmittel!$A$2:$G$14500,2,0))</f>
        <v/>
      </c>
      <c r="F74" s="20" t="str">
        <f>IF(ISBLANK(B74),"",$C74*VLOOKUP($B74,Lebensmittel!$A$2:$G$14500,4,0)/VLOOKUP($B74,Lebensmittel!$A$2:$G$14500,2,0))</f>
        <v/>
      </c>
      <c r="G74" s="20" t="str">
        <f>IF(ISBLANK(B74),"",$C74*VLOOKUP($B74,Lebensmittel!$A$2:$G$14500,5,0)/VLOOKUP($B74,Lebensmittel!$A$2:$G$14500,2,0))</f>
        <v/>
      </c>
      <c r="H74" s="20" t="str">
        <f>IF(ISBLANK(B74),"",$C74*VLOOKUP($B74,Lebensmittel!$A$2:$G$14500,6,0)/VLOOKUP($B74,Lebensmittel!$A$2:$G$14500,2,0))</f>
        <v/>
      </c>
    </row>
    <row r="75" spans="2:8" x14ac:dyDescent="0.25">
      <c r="B75" s="37"/>
      <c r="C75" s="38"/>
      <c r="D75" s="19" t="str">
        <f>IF(ISBLANK(B75),"",$C75*VLOOKUP($B75,Lebensmittel!$A$2:$G$14500,3,0)/VLOOKUP($B75,Lebensmittel!$A$2:$G$14500,2,0))</f>
        <v/>
      </c>
      <c r="E75" s="19" t="str">
        <f>IF(ISBLANK(B75),"",$C75*VLOOKUP($B75,Lebensmittel!$A$2:$G$14500,7,0)/VLOOKUP($B75,Lebensmittel!$A$2:$G$14500,2,0))</f>
        <v/>
      </c>
      <c r="F75" s="20" t="str">
        <f>IF(ISBLANK(B75),"",$C75*VLOOKUP($B75,Lebensmittel!$A$2:$G$14500,4,0)/VLOOKUP($B75,Lebensmittel!$A$2:$G$14500,2,0))</f>
        <v/>
      </c>
      <c r="G75" s="20" t="str">
        <f>IF(ISBLANK(B75),"",$C75*VLOOKUP($B75,Lebensmittel!$A$2:$G$14500,5,0)/VLOOKUP($B75,Lebensmittel!$A$2:$G$14500,2,0))</f>
        <v/>
      </c>
      <c r="H75" s="20" t="str">
        <f>IF(ISBLANK(B75),"",$C75*VLOOKUP($B75,Lebensmittel!$A$2:$G$14500,6,0)/VLOOKUP($B75,Lebensmittel!$A$2:$G$14500,2,0))</f>
        <v/>
      </c>
    </row>
    <row r="76" spans="2:8" x14ac:dyDescent="0.25">
      <c r="B76" s="33" t="s">
        <v>46</v>
      </c>
      <c r="C76" s="34">
        <f t="shared" ref="C76:H76" si="6">SUM(C66:C75)</f>
        <v>25</v>
      </c>
      <c r="D76" s="35">
        <f t="shared" si="6"/>
        <v>102.49999999999999</v>
      </c>
      <c r="E76" s="35">
        <f t="shared" si="6"/>
        <v>102.49999999999999</v>
      </c>
      <c r="F76" s="36">
        <f t="shared" si="6"/>
        <v>0</v>
      </c>
      <c r="G76" s="36">
        <f t="shared" si="6"/>
        <v>25</v>
      </c>
      <c r="H76" s="36">
        <f t="shared" si="6"/>
        <v>0</v>
      </c>
    </row>
  </sheetData>
  <mergeCells count="9">
    <mergeCell ref="A1:C1"/>
    <mergeCell ref="A3:B3"/>
    <mergeCell ref="A4:B4"/>
    <mergeCell ref="D6:H6"/>
    <mergeCell ref="A22:B22"/>
    <mergeCell ref="A36:B36"/>
    <mergeCell ref="A50:B50"/>
    <mergeCell ref="A64:B64"/>
    <mergeCell ref="A8:B8"/>
  </mergeCells>
  <dataValidations count="1">
    <dataValidation type="list" allowBlank="1" showInputMessage="1" sqref="B10:B19 B24:B33 B38:B47 B52:B61 B66:B75">
      <formula1>Country_list</formula1>
    </dataValidation>
  </dataValidations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997"/>
  <sheetViews>
    <sheetView zoomScale="130" zoomScaleNormal="130" workbookViewId="0"/>
  </sheetViews>
  <sheetFormatPr baseColWidth="10" defaultColWidth="9.140625" defaultRowHeight="15" x14ac:dyDescent="0.25"/>
  <cols>
    <col min="1" max="1" width="57.140625" customWidth="1"/>
    <col min="2" max="4" width="14.28515625" customWidth="1"/>
    <col min="5" max="5" width="21.42578125" customWidth="1"/>
    <col min="6" max="7" width="14.28515625" customWidth="1"/>
    <col min="8" max="8" width="10.5703125" customWidth="1"/>
    <col min="9" max="9" width="10.7109375" style="1" customWidth="1"/>
    <col min="10" max="10" width="10.28515625" style="1" bestFit="1" customWidth="1"/>
    <col min="11" max="11" width="57.140625" style="1" customWidth="1"/>
  </cols>
  <sheetData>
    <row r="1" spans="1:11" ht="15.75" x14ac:dyDescent="0.25">
      <c r="A1" s="14" t="s">
        <v>3</v>
      </c>
      <c r="B1" s="15" t="s">
        <v>5</v>
      </c>
      <c r="C1" s="16" t="s">
        <v>10</v>
      </c>
      <c r="D1" s="17" t="s">
        <v>7</v>
      </c>
      <c r="E1" s="17" t="s">
        <v>11</v>
      </c>
      <c r="F1" s="17" t="s">
        <v>12</v>
      </c>
      <c r="G1" s="17" t="s">
        <v>13</v>
      </c>
      <c r="H1" s="17" t="s">
        <v>14</v>
      </c>
      <c r="I1" s="21" t="s">
        <v>0</v>
      </c>
      <c r="J1" s="21" t="s">
        <v>1</v>
      </c>
      <c r="K1" s="21" t="s">
        <v>2</v>
      </c>
    </row>
    <row r="2" spans="1:11" s="18" customFormat="1" ht="14.25" x14ac:dyDescent="0.2">
      <c r="A2" s="18" t="s">
        <v>15</v>
      </c>
      <c r="B2" s="18">
        <v>100</v>
      </c>
      <c r="C2" s="19">
        <f>G2</f>
        <v>270.5</v>
      </c>
      <c r="D2" s="20">
        <v>5</v>
      </c>
      <c r="E2" s="20">
        <v>50</v>
      </c>
      <c r="F2" s="20">
        <v>5</v>
      </c>
      <c r="G2" s="19">
        <f t="shared" ref="G2" si="0">D2*9+E2*4.1+F2*4.1</f>
        <v>270.5</v>
      </c>
      <c r="H2" s="18">
        <v>1</v>
      </c>
      <c r="I2" s="21">
        <f t="shared" ref="I2:I65" ca="1" si="1">IFERROR(SEARCH(INDIRECT(CELL("address")),A2),0)</f>
        <v>0</v>
      </c>
      <c r="J2" s="21" t="str">
        <f ca="1">IF(I2=0,"",COUNTIF($I$2:I2,"&gt;0"))</f>
        <v/>
      </c>
      <c r="K2" s="21" t="str">
        <f t="shared" ref="K2:K65" ca="1" si="2">IFERROR(INDEX(A:A,MATCH(ROW(I1),J:J,0)),"")</f>
        <v/>
      </c>
    </row>
    <row r="3" spans="1:11" s="18" customFormat="1" ht="14.25" x14ac:dyDescent="0.2">
      <c r="A3" s="18" t="s">
        <v>16</v>
      </c>
      <c r="B3" s="18">
        <v>100</v>
      </c>
      <c r="C3" s="19">
        <f t="shared" ref="C3:C21" si="3">G3</f>
        <v>327.5</v>
      </c>
      <c r="D3" s="20">
        <v>25</v>
      </c>
      <c r="E3" s="20"/>
      <c r="F3" s="20">
        <v>25</v>
      </c>
      <c r="G3" s="19">
        <f t="shared" ref="G3:G66" si="4">D3*9+E3*4.1+F3*4.1</f>
        <v>327.5</v>
      </c>
      <c r="H3" s="22">
        <f t="shared" ref="H3:H65" si="5">H2+1</f>
        <v>2</v>
      </c>
      <c r="I3" s="21">
        <f t="shared" ca="1" si="1"/>
        <v>0</v>
      </c>
      <c r="J3" s="21" t="str">
        <f ca="1">IF(I3=0,"",COUNTIF($I$2:I3,"&gt;0"))</f>
        <v/>
      </c>
      <c r="K3" s="21" t="str">
        <f t="shared" ca="1" si="2"/>
        <v/>
      </c>
    </row>
    <row r="4" spans="1:11" s="18" customFormat="1" ht="14.25" x14ac:dyDescent="0.2">
      <c r="A4" s="18" t="s">
        <v>17</v>
      </c>
      <c r="B4" s="18">
        <v>100</v>
      </c>
      <c r="C4" s="19">
        <f t="shared" si="3"/>
        <v>328</v>
      </c>
      <c r="D4" s="20"/>
      <c r="E4" s="20">
        <v>80</v>
      </c>
      <c r="F4" s="20"/>
      <c r="G4" s="19">
        <f t="shared" si="4"/>
        <v>328</v>
      </c>
      <c r="H4" s="22">
        <f t="shared" si="5"/>
        <v>3</v>
      </c>
      <c r="I4" s="21">
        <f t="shared" ca="1" si="1"/>
        <v>0</v>
      </c>
      <c r="J4" s="21" t="str">
        <f ca="1">IF(I4=0,"",COUNTIF($I$2:I4,"&gt;0"))</f>
        <v/>
      </c>
      <c r="K4" s="21" t="str">
        <f t="shared" ca="1" si="2"/>
        <v/>
      </c>
    </row>
    <row r="5" spans="1:11" s="18" customFormat="1" ht="14.25" x14ac:dyDescent="0.2">
      <c r="A5" s="18" t="s">
        <v>18</v>
      </c>
      <c r="B5" s="18">
        <v>100</v>
      </c>
      <c r="C5" s="19">
        <f t="shared" si="3"/>
        <v>217</v>
      </c>
      <c r="D5" s="20">
        <v>15</v>
      </c>
      <c r="E5" s="20">
        <v>15</v>
      </c>
      <c r="F5" s="20">
        <v>5</v>
      </c>
      <c r="G5" s="19">
        <f t="shared" si="4"/>
        <v>217</v>
      </c>
      <c r="H5" s="22">
        <f t="shared" si="5"/>
        <v>4</v>
      </c>
      <c r="I5" s="21">
        <f t="shared" ca="1" si="1"/>
        <v>0</v>
      </c>
      <c r="J5" s="21" t="str">
        <f ca="1">IF(I5=0,"",COUNTIF($I$2:I5,"&gt;0"))</f>
        <v/>
      </c>
      <c r="K5" s="21" t="str">
        <f t="shared" ca="1" si="2"/>
        <v/>
      </c>
    </row>
    <row r="6" spans="1:11" s="18" customFormat="1" ht="14.25" x14ac:dyDescent="0.2">
      <c r="A6" s="18" t="s">
        <v>19</v>
      </c>
      <c r="B6" s="18">
        <v>100</v>
      </c>
      <c r="C6" s="19">
        <f t="shared" si="3"/>
        <v>41</v>
      </c>
      <c r="D6" s="20"/>
      <c r="E6" s="20">
        <v>10</v>
      </c>
      <c r="F6" s="20"/>
      <c r="G6" s="19">
        <f t="shared" si="4"/>
        <v>41</v>
      </c>
      <c r="H6" s="22">
        <f t="shared" si="5"/>
        <v>5</v>
      </c>
      <c r="I6" s="21">
        <f t="shared" ca="1" si="1"/>
        <v>0</v>
      </c>
      <c r="J6" s="21" t="str">
        <f ca="1">IF(I6=0,"",COUNTIF($I$2:I6,"&gt;0"))</f>
        <v/>
      </c>
      <c r="K6" s="21" t="str">
        <f t="shared" ca="1" si="2"/>
        <v/>
      </c>
    </row>
    <row r="7" spans="1:11" s="18" customFormat="1" ht="14.25" x14ac:dyDescent="0.2">
      <c r="A7" s="18" t="s">
        <v>20</v>
      </c>
      <c r="B7" s="18">
        <v>100</v>
      </c>
      <c r="C7" s="19">
        <f t="shared" si="3"/>
        <v>49.2</v>
      </c>
      <c r="D7" s="20"/>
      <c r="E7" s="20">
        <v>10</v>
      </c>
      <c r="F7" s="20">
        <v>2</v>
      </c>
      <c r="G7" s="19">
        <f t="shared" si="4"/>
        <v>49.2</v>
      </c>
      <c r="H7" s="22">
        <f t="shared" si="5"/>
        <v>6</v>
      </c>
      <c r="I7" s="21">
        <f t="shared" ca="1" si="1"/>
        <v>0</v>
      </c>
      <c r="J7" s="21" t="str">
        <f ca="1">IF(I7=0,"",COUNTIF($I$2:I7,"&gt;0"))</f>
        <v/>
      </c>
      <c r="K7" s="21" t="str">
        <f t="shared" ca="1" si="2"/>
        <v/>
      </c>
    </row>
    <row r="8" spans="1:11" s="18" customFormat="1" ht="14.25" x14ac:dyDescent="0.2">
      <c r="A8" s="18" t="s">
        <v>21</v>
      </c>
      <c r="B8" s="18">
        <v>100</v>
      </c>
      <c r="C8" s="19">
        <f t="shared" si="3"/>
        <v>61.499999999999993</v>
      </c>
      <c r="D8" s="20"/>
      <c r="E8" s="20">
        <v>15</v>
      </c>
      <c r="F8" s="20"/>
      <c r="G8" s="19">
        <f t="shared" si="4"/>
        <v>61.499999999999993</v>
      </c>
      <c r="H8" s="22">
        <f t="shared" si="5"/>
        <v>7</v>
      </c>
      <c r="I8" s="21">
        <f t="shared" ca="1" si="1"/>
        <v>0</v>
      </c>
      <c r="J8" s="21" t="str">
        <f ca="1">IF(I8=0,"",COUNTIF($I$2:I8,"&gt;0"))</f>
        <v/>
      </c>
      <c r="K8" s="21" t="str">
        <f t="shared" ca="1" si="2"/>
        <v/>
      </c>
    </row>
    <row r="9" spans="1:11" s="18" customFormat="1" ht="14.25" x14ac:dyDescent="0.2">
      <c r="A9" s="18" t="s">
        <v>22</v>
      </c>
      <c r="B9" s="18">
        <v>100</v>
      </c>
      <c r="C9" s="19">
        <f t="shared" si="3"/>
        <v>241.5</v>
      </c>
      <c r="D9" s="20">
        <v>20</v>
      </c>
      <c r="E9" s="20"/>
      <c r="F9" s="20">
        <v>15</v>
      </c>
      <c r="G9" s="19">
        <f t="shared" si="4"/>
        <v>241.5</v>
      </c>
      <c r="H9" s="22">
        <f t="shared" si="5"/>
        <v>8</v>
      </c>
      <c r="I9" s="21">
        <f t="shared" ca="1" si="1"/>
        <v>0</v>
      </c>
      <c r="J9" s="21" t="str">
        <f ca="1">IF(I9=0,"",COUNTIF($I$2:I9,"&gt;0"))</f>
        <v/>
      </c>
      <c r="K9" s="21" t="str">
        <f t="shared" ca="1" si="2"/>
        <v/>
      </c>
    </row>
    <row r="10" spans="1:11" s="18" customFormat="1" ht="14.25" x14ac:dyDescent="0.2">
      <c r="A10" s="18" t="s">
        <v>23</v>
      </c>
      <c r="B10" s="18">
        <v>100</v>
      </c>
      <c r="C10" s="19">
        <f t="shared" si="3"/>
        <v>147.5</v>
      </c>
      <c r="D10" s="20">
        <v>5</v>
      </c>
      <c r="E10" s="20"/>
      <c r="F10" s="20">
        <v>25</v>
      </c>
      <c r="G10" s="19">
        <f t="shared" si="4"/>
        <v>147.5</v>
      </c>
      <c r="H10" s="22">
        <f t="shared" si="5"/>
        <v>9</v>
      </c>
      <c r="I10" s="21">
        <f t="shared" ca="1" si="1"/>
        <v>0</v>
      </c>
      <c r="J10" s="21" t="str">
        <f ca="1">IF(I10=0,"",COUNTIF($I$2:I10,"&gt;0"))</f>
        <v/>
      </c>
      <c r="K10" s="21" t="str">
        <f t="shared" ca="1" si="2"/>
        <v/>
      </c>
    </row>
    <row r="11" spans="1:11" s="18" customFormat="1" ht="14.25" x14ac:dyDescent="0.2">
      <c r="A11" s="18" t="s">
        <v>24</v>
      </c>
      <c r="B11" s="18">
        <v>100</v>
      </c>
      <c r="C11" s="19">
        <f t="shared" si="3"/>
        <v>106.5</v>
      </c>
      <c r="D11" s="20">
        <v>5</v>
      </c>
      <c r="E11" s="20"/>
      <c r="F11" s="20">
        <v>15</v>
      </c>
      <c r="G11" s="19">
        <f t="shared" si="4"/>
        <v>106.5</v>
      </c>
      <c r="H11" s="22">
        <f t="shared" si="5"/>
        <v>10</v>
      </c>
      <c r="I11" s="21">
        <f t="shared" ca="1" si="1"/>
        <v>0</v>
      </c>
      <c r="J11" s="21" t="str">
        <f ca="1">IF(I11=0,"",COUNTIF($I$2:I11,"&gt;0"))</f>
        <v/>
      </c>
      <c r="K11" s="21" t="str">
        <f t="shared" ca="1" si="2"/>
        <v/>
      </c>
    </row>
    <row r="12" spans="1:11" s="18" customFormat="1" ht="14.25" x14ac:dyDescent="0.2">
      <c r="A12" s="18" t="s">
        <v>25</v>
      </c>
      <c r="B12" s="18">
        <v>100</v>
      </c>
      <c r="C12" s="19">
        <f t="shared" si="3"/>
        <v>287</v>
      </c>
      <c r="D12" s="20"/>
      <c r="E12" s="20">
        <v>70</v>
      </c>
      <c r="F12" s="20"/>
      <c r="G12" s="19">
        <f t="shared" si="4"/>
        <v>287</v>
      </c>
      <c r="H12" s="22">
        <f t="shared" si="5"/>
        <v>11</v>
      </c>
      <c r="I12" s="21">
        <f t="shared" ca="1" si="1"/>
        <v>0</v>
      </c>
      <c r="J12" s="21" t="str">
        <f ca="1">IF(I12=0,"",COUNTIF($I$2:I12,"&gt;0"))</f>
        <v/>
      </c>
      <c r="K12" s="21" t="str">
        <f t="shared" ca="1" si="2"/>
        <v/>
      </c>
    </row>
    <row r="13" spans="1:11" s="18" customFormat="1" ht="14.25" x14ac:dyDescent="0.2">
      <c r="A13" s="18" t="s">
        <v>26</v>
      </c>
      <c r="B13" s="18">
        <v>100</v>
      </c>
      <c r="C13" s="19">
        <f t="shared" si="3"/>
        <v>508</v>
      </c>
      <c r="D13" s="20">
        <v>20</v>
      </c>
      <c r="E13" s="20">
        <v>80</v>
      </c>
      <c r="F13" s="20"/>
      <c r="G13" s="19">
        <f t="shared" si="4"/>
        <v>508</v>
      </c>
      <c r="H13" s="22">
        <f t="shared" si="5"/>
        <v>12</v>
      </c>
      <c r="I13" s="21">
        <f t="shared" ca="1" si="1"/>
        <v>0</v>
      </c>
      <c r="J13" s="21" t="str">
        <f ca="1">IF(I13=0,"",COUNTIF($I$2:I13,"&gt;0"))</f>
        <v/>
      </c>
      <c r="K13" s="21" t="str">
        <f t="shared" ca="1" si="2"/>
        <v/>
      </c>
    </row>
    <row r="14" spans="1:11" s="18" customFormat="1" ht="14.25" x14ac:dyDescent="0.2">
      <c r="A14" s="18" t="s">
        <v>27</v>
      </c>
      <c r="B14" s="18">
        <v>100</v>
      </c>
      <c r="C14" s="19">
        <f t="shared" si="3"/>
        <v>409.99999999999994</v>
      </c>
      <c r="D14" s="20"/>
      <c r="E14" s="20">
        <v>100</v>
      </c>
      <c r="F14" s="20"/>
      <c r="G14" s="19">
        <f t="shared" si="4"/>
        <v>409.99999999999994</v>
      </c>
      <c r="H14" s="22">
        <f t="shared" si="5"/>
        <v>13</v>
      </c>
      <c r="I14" s="21">
        <f t="shared" ca="1" si="1"/>
        <v>0</v>
      </c>
      <c r="J14" s="21" t="str">
        <f ca="1">IF(I14=0,"",COUNTIF($I$2:I14,"&gt;0"))</f>
        <v/>
      </c>
      <c r="K14" s="21" t="str">
        <f t="shared" ca="1" si="2"/>
        <v/>
      </c>
    </row>
    <row r="15" spans="1:11" s="18" customFormat="1" ht="14.25" x14ac:dyDescent="0.2">
      <c r="A15" s="18" t="s">
        <v>28</v>
      </c>
      <c r="B15" s="18">
        <v>100</v>
      </c>
      <c r="C15" s="19">
        <f t="shared" si="3"/>
        <v>340</v>
      </c>
      <c r="D15" s="20">
        <v>15</v>
      </c>
      <c r="E15" s="20">
        <v>50</v>
      </c>
      <c r="F15" s="20"/>
      <c r="G15" s="19">
        <f t="shared" si="4"/>
        <v>340</v>
      </c>
      <c r="H15" s="22">
        <f t="shared" si="5"/>
        <v>14</v>
      </c>
      <c r="I15" s="21">
        <f t="shared" ca="1" si="1"/>
        <v>0</v>
      </c>
      <c r="J15" s="21" t="str">
        <f ca="1">IF(I15=0,"",COUNTIF($I$2:I15,"&gt;0"))</f>
        <v/>
      </c>
      <c r="K15" s="21" t="str">
        <f t="shared" ca="1" si="2"/>
        <v/>
      </c>
    </row>
    <row r="16" spans="1:11" s="18" customFormat="1" ht="14.25" x14ac:dyDescent="0.2">
      <c r="A16" s="18" t="s">
        <v>29</v>
      </c>
      <c r="B16" s="18">
        <v>100</v>
      </c>
      <c r="C16" s="19">
        <f t="shared" si="3"/>
        <v>328</v>
      </c>
      <c r="D16" s="20"/>
      <c r="E16" s="20">
        <v>80</v>
      </c>
      <c r="F16" s="20"/>
      <c r="G16" s="19">
        <f t="shared" si="4"/>
        <v>328</v>
      </c>
      <c r="H16" s="22">
        <f t="shared" si="5"/>
        <v>15</v>
      </c>
      <c r="I16" s="21">
        <f t="shared" ca="1" si="1"/>
        <v>0</v>
      </c>
      <c r="J16" s="21" t="str">
        <f ca="1">IF(I16=0,"",COUNTIF($I$2:I16,"&gt;0"))</f>
        <v/>
      </c>
      <c r="K16" s="21" t="str">
        <f t="shared" ca="1" si="2"/>
        <v/>
      </c>
    </row>
    <row r="17" spans="1:11" s="18" customFormat="1" ht="14.25" x14ac:dyDescent="0.2">
      <c r="A17" s="18" t="s">
        <v>30</v>
      </c>
      <c r="B17" s="18">
        <v>100</v>
      </c>
      <c r="C17" s="19">
        <f t="shared" si="3"/>
        <v>299</v>
      </c>
      <c r="D17" s="20">
        <v>15</v>
      </c>
      <c r="E17" s="20">
        <v>40</v>
      </c>
      <c r="F17" s="20"/>
      <c r="G17" s="19">
        <f t="shared" si="4"/>
        <v>299</v>
      </c>
      <c r="H17" s="22">
        <f t="shared" si="5"/>
        <v>16</v>
      </c>
      <c r="I17" s="21">
        <f t="shared" ca="1" si="1"/>
        <v>0</v>
      </c>
      <c r="J17" s="21" t="str">
        <f ca="1">IF(I17=0,"",COUNTIF($I$2:I17,"&gt;0"))</f>
        <v/>
      </c>
      <c r="K17" s="21" t="str">
        <f t="shared" ca="1" si="2"/>
        <v/>
      </c>
    </row>
    <row r="18" spans="1:11" s="18" customFormat="1" ht="14.25" x14ac:dyDescent="0.2">
      <c r="A18" s="18" t="s">
        <v>31</v>
      </c>
      <c r="B18" s="18">
        <v>100</v>
      </c>
      <c r="C18" s="19">
        <f t="shared" si="3"/>
        <v>524</v>
      </c>
      <c r="D18" s="20">
        <v>40</v>
      </c>
      <c r="E18" s="20">
        <v>40</v>
      </c>
      <c r="F18" s="20"/>
      <c r="G18" s="19">
        <f t="shared" si="4"/>
        <v>524</v>
      </c>
      <c r="H18" s="22">
        <f t="shared" si="5"/>
        <v>17</v>
      </c>
      <c r="I18" s="21">
        <f t="shared" ca="1" si="1"/>
        <v>0</v>
      </c>
      <c r="J18" s="21" t="str">
        <f ca="1">IF(I18=0,"",COUNTIF($I$2:I18,"&gt;0"))</f>
        <v/>
      </c>
      <c r="K18" s="21" t="str">
        <f t="shared" ca="1" si="2"/>
        <v/>
      </c>
    </row>
    <row r="19" spans="1:11" s="18" customFormat="1" ht="14.25" x14ac:dyDescent="0.2">
      <c r="A19" s="18" t="s">
        <v>32</v>
      </c>
      <c r="B19" s="18">
        <v>1</v>
      </c>
      <c r="C19" s="19">
        <f t="shared" si="3"/>
        <v>258</v>
      </c>
      <c r="D19" s="20">
        <v>15</v>
      </c>
      <c r="E19" s="20"/>
      <c r="F19" s="20">
        <v>30</v>
      </c>
      <c r="G19" s="19">
        <f t="shared" si="4"/>
        <v>258</v>
      </c>
      <c r="H19" s="22">
        <f t="shared" si="5"/>
        <v>18</v>
      </c>
      <c r="I19" s="21">
        <f t="shared" ca="1" si="1"/>
        <v>0</v>
      </c>
      <c r="J19" s="21" t="str">
        <f ca="1">IF(I19=0,"",COUNTIF($I$2:I19,"&gt;0"))</f>
        <v/>
      </c>
      <c r="K19" s="21" t="str">
        <f t="shared" ca="1" si="2"/>
        <v/>
      </c>
    </row>
    <row r="20" spans="1:11" s="18" customFormat="1" ht="14.25" x14ac:dyDescent="0.2">
      <c r="A20" s="18" t="s">
        <v>33</v>
      </c>
      <c r="B20" s="18">
        <v>100</v>
      </c>
      <c r="C20" s="19">
        <f t="shared" si="3"/>
        <v>393</v>
      </c>
      <c r="D20" s="20">
        <v>30</v>
      </c>
      <c r="E20" s="20"/>
      <c r="F20" s="20">
        <v>30</v>
      </c>
      <c r="G20" s="19">
        <f t="shared" si="4"/>
        <v>393</v>
      </c>
      <c r="H20" s="22">
        <f t="shared" si="5"/>
        <v>19</v>
      </c>
      <c r="I20" s="21">
        <f t="shared" ca="1" si="1"/>
        <v>0</v>
      </c>
      <c r="J20" s="21" t="str">
        <f ca="1">IF(I20=0,"",COUNTIF($I$2:I20,"&gt;0"))</f>
        <v/>
      </c>
      <c r="K20" s="21" t="str">
        <f t="shared" ca="1" si="2"/>
        <v/>
      </c>
    </row>
    <row r="21" spans="1:11" s="18" customFormat="1" ht="14.25" x14ac:dyDescent="0.2">
      <c r="A21" s="18" t="s">
        <v>34</v>
      </c>
      <c r="B21" s="18">
        <v>100</v>
      </c>
      <c r="C21" s="19">
        <f t="shared" si="3"/>
        <v>237.5</v>
      </c>
      <c r="D21" s="20">
        <v>15</v>
      </c>
      <c r="E21" s="20"/>
      <c r="F21" s="20">
        <v>25</v>
      </c>
      <c r="G21" s="19">
        <f t="shared" si="4"/>
        <v>237.5</v>
      </c>
      <c r="H21" s="22">
        <f t="shared" si="5"/>
        <v>20</v>
      </c>
      <c r="I21" s="21">
        <f t="shared" ca="1" si="1"/>
        <v>0</v>
      </c>
      <c r="J21" s="21" t="str">
        <f ca="1">IF(I21=0,"",COUNTIF($I$2:I21,"&gt;0"))</f>
        <v/>
      </c>
      <c r="K21" s="21" t="str">
        <f t="shared" ca="1" si="2"/>
        <v/>
      </c>
    </row>
    <row r="22" spans="1:11" s="18" customFormat="1" ht="14.25" x14ac:dyDescent="0.2">
      <c r="A22" s="18" t="str">
        <f t="shared" ref="A22:A66" si="6">CONCATENATE("Eintrag ",H22)</f>
        <v>Eintrag 21</v>
      </c>
      <c r="B22" s="18">
        <v>100</v>
      </c>
      <c r="C22" s="19">
        <v>100</v>
      </c>
      <c r="D22" s="20">
        <v>10</v>
      </c>
      <c r="E22" s="20">
        <v>10</v>
      </c>
      <c r="F22" s="20">
        <v>10</v>
      </c>
      <c r="G22" s="19">
        <f t="shared" si="4"/>
        <v>172</v>
      </c>
      <c r="H22" s="22">
        <f t="shared" si="5"/>
        <v>21</v>
      </c>
      <c r="I22" s="21">
        <f t="shared" ca="1" si="1"/>
        <v>0</v>
      </c>
      <c r="J22" s="21" t="str">
        <f ca="1">IF(I22=0,"",COUNTIF($I$2:I22,"&gt;0"))</f>
        <v/>
      </c>
      <c r="K22" s="21" t="str">
        <f t="shared" ca="1" si="2"/>
        <v/>
      </c>
    </row>
    <row r="23" spans="1:11" s="18" customFormat="1" ht="14.25" x14ac:dyDescent="0.2">
      <c r="A23" s="18" t="str">
        <f t="shared" si="6"/>
        <v>Eintrag 22</v>
      </c>
      <c r="B23" s="18">
        <v>100</v>
      </c>
      <c r="C23" s="19">
        <v>100</v>
      </c>
      <c r="D23" s="20">
        <v>10</v>
      </c>
      <c r="E23" s="20">
        <v>10</v>
      </c>
      <c r="F23" s="20">
        <v>10</v>
      </c>
      <c r="G23" s="19">
        <f t="shared" si="4"/>
        <v>172</v>
      </c>
      <c r="H23" s="22">
        <f t="shared" si="5"/>
        <v>22</v>
      </c>
      <c r="I23" s="21">
        <f t="shared" ca="1" si="1"/>
        <v>0</v>
      </c>
      <c r="J23" s="21" t="str">
        <f ca="1">IF(I23=0,"",COUNTIF($I$2:I23,"&gt;0"))</f>
        <v/>
      </c>
      <c r="K23" s="21" t="str">
        <f t="shared" ca="1" si="2"/>
        <v/>
      </c>
    </row>
    <row r="24" spans="1:11" s="18" customFormat="1" ht="14.25" x14ac:dyDescent="0.2">
      <c r="A24" s="18" t="str">
        <f t="shared" si="6"/>
        <v>Eintrag 23</v>
      </c>
      <c r="B24" s="18">
        <v>100</v>
      </c>
      <c r="C24" s="19">
        <v>100</v>
      </c>
      <c r="D24" s="20">
        <v>10</v>
      </c>
      <c r="E24" s="20">
        <v>10</v>
      </c>
      <c r="F24" s="20">
        <v>10</v>
      </c>
      <c r="G24" s="19">
        <f t="shared" si="4"/>
        <v>172</v>
      </c>
      <c r="H24" s="22">
        <f t="shared" si="5"/>
        <v>23</v>
      </c>
      <c r="I24" s="21">
        <f t="shared" ca="1" si="1"/>
        <v>0</v>
      </c>
      <c r="J24" s="21" t="str">
        <f ca="1">IF(I24=0,"",COUNTIF($I$2:I24,"&gt;0"))</f>
        <v/>
      </c>
      <c r="K24" s="21" t="str">
        <f t="shared" ca="1" si="2"/>
        <v/>
      </c>
    </row>
    <row r="25" spans="1:11" s="18" customFormat="1" ht="14.25" x14ac:dyDescent="0.2">
      <c r="A25" s="18" t="str">
        <f t="shared" si="6"/>
        <v>Eintrag 24</v>
      </c>
      <c r="B25" s="18">
        <v>100</v>
      </c>
      <c r="C25" s="19">
        <v>100</v>
      </c>
      <c r="D25" s="20">
        <v>10</v>
      </c>
      <c r="E25" s="20">
        <v>10</v>
      </c>
      <c r="F25" s="20">
        <v>10</v>
      </c>
      <c r="G25" s="19">
        <f t="shared" si="4"/>
        <v>172</v>
      </c>
      <c r="H25" s="22">
        <f t="shared" si="5"/>
        <v>24</v>
      </c>
      <c r="I25" s="21">
        <f t="shared" ca="1" si="1"/>
        <v>0</v>
      </c>
      <c r="J25" s="21" t="str">
        <f ca="1">IF(I25=0,"",COUNTIF($I$2:I25,"&gt;0"))</f>
        <v/>
      </c>
      <c r="K25" s="21" t="str">
        <f t="shared" ca="1" si="2"/>
        <v/>
      </c>
    </row>
    <row r="26" spans="1:11" s="18" customFormat="1" ht="14.25" x14ac:dyDescent="0.2">
      <c r="A26" s="18" t="str">
        <f t="shared" si="6"/>
        <v>Eintrag 25</v>
      </c>
      <c r="B26" s="18">
        <v>100</v>
      </c>
      <c r="C26" s="19">
        <v>100</v>
      </c>
      <c r="D26" s="20">
        <v>10</v>
      </c>
      <c r="E26" s="20">
        <v>10</v>
      </c>
      <c r="F26" s="20">
        <v>10</v>
      </c>
      <c r="G26" s="19">
        <f t="shared" si="4"/>
        <v>172</v>
      </c>
      <c r="H26" s="22">
        <f t="shared" si="5"/>
        <v>25</v>
      </c>
      <c r="I26" s="21">
        <f t="shared" ca="1" si="1"/>
        <v>0</v>
      </c>
      <c r="J26" s="21" t="str">
        <f ca="1">IF(I26=0,"",COUNTIF($I$2:I26,"&gt;0"))</f>
        <v/>
      </c>
      <c r="K26" s="21" t="str">
        <f t="shared" ca="1" si="2"/>
        <v/>
      </c>
    </row>
    <row r="27" spans="1:11" s="18" customFormat="1" ht="14.25" x14ac:dyDescent="0.2">
      <c r="A27" s="18" t="str">
        <f t="shared" si="6"/>
        <v>Eintrag 26</v>
      </c>
      <c r="B27" s="18">
        <v>100</v>
      </c>
      <c r="C27" s="19">
        <v>100</v>
      </c>
      <c r="D27" s="20">
        <v>10</v>
      </c>
      <c r="E27" s="20">
        <v>10</v>
      </c>
      <c r="F27" s="20">
        <v>10</v>
      </c>
      <c r="G27" s="19">
        <f t="shared" si="4"/>
        <v>172</v>
      </c>
      <c r="H27" s="22">
        <f t="shared" si="5"/>
        <v>26</v>
      </c>
      <c r="I27" s="21">
        <f t="shared" ca="1" si="1"/>
        <v>0</v>
      </c>
      <c r="J27" s="21" t="str">
        <f ca="1">IF(I27=0,"",COUNTIF($I$2:I27,"&gt;0"))</f>
        <v/>
      </c>
      <c r="K27" s="21" t="str">
        <f t="shared" ca="1" si="2"/>
        <v/>
      </c>
    </row>
    <row r="28" spans="1:11" s="18" customFormat="1" ht="14.25" x14ac:dyDescent="0.2">
      <c r="A28" s="18" t="str">
        <f t="shared" si="6"/>
        <v>Eintrag 27</v>
      </c>
      <c r="B28" s="18">
        <v>100</v>
      </c>
      <c r="C28" s="19">
        <v>100</v>
      </c>
      <c r="D28" s="20">
        <v>10</v>
      </c>
      <c r="E28" s="20">
        <v>10</v>
      </c>
      <c r="F28" s="20">
        <v>10</v>
      </c>
      <c r="G28" s="19">
        <f t="shared" si="4"/>
        <v>172</v>
      </c>
      <c r="H28" s="22">
        <f t="shared" si="5"/>
        <v>27</v>
      </c>
      <c r="I28" s="21">
        <f t="shared" ca="1" si="1"/>
        <v>0</v>
      </c>
      <c r="J28" s="21" t="str">
        <f ca="1">IF(I28=0,"",COUNTIF($I$2:I28,"&gt;0"))</f>
        <v/>
      </c>
      <c r="K28" s="21" t="str">
        <f t="shared" ca="1" si="2"/>
        <v/>
      </c>
    </row>
    <row r="29" spans="1:11" s="18" customFormat="1" ht="14.25" x14ac:dyDescent="0.2">
      <c r="A29" s="18" t="str">
        <f t="shared" si="6"/>
        <v>Eintrag 28</v>
      </c>
      <c r="B29" s="18">
        <v>100</v>
      </c>
      <c r="C29" s="19">
        <v>100</v>
      </c>
      <c r="D29" s="20">
        <v>10</v>
      </c>
      <c r="E29" s="20">
        <v>10</v>
      </c>
      <c r="F29" s="20">
        <v>10</v>
      </c>
      <c r="G29" s="19">
        <f t="shared" si="4"/>
        <v>172</v>
      </c>
      <c r="H29" s="22">
        <f t="shared" si="5"/>
        <v>28</v>
      </c>
      <c r="I29" s="21">
        <f t="shared" ca="1" si="1"/>
        <v>0</v>
      </c>
      <c r="J29" s="21" t="str">
        <f ca="1">IF(I29=0,"",COUNTIF($I$2:I29,"&gt;0"))</f>
        <v/>
      </c>
      <c r="K29" s="21" t="str">
        <f t="shared" ca="1" si="2"/>
        <v/>
      </c>
    </row>
    <row r="30" spans="1:11" s="18" customFormat="1" ht="14.25" x14ac:dyDescent="0.2">
      <c r="A30" s="18" t="str">
        <f t="shared" si="6"/>
        <v>Eintrag 29</v>
      </c>
      <c r="B30" s="18">
        <v>100</v>
      </c>
      <c r="C30" s="19">
        <v>100</v>
      </c>
      <c r="D30" s="20">
        <v>10</v>
      </c>
      <c r="E30" s="20">
        <v>10</v>
      </c>
      <c r="F30" s="20">
        <v>10</v>
      </c>
      <c r="G30" s="19">
        <f t="shared" si="4"/>
        <v>172</v>
      </c>
      <c r="H30" s="22">
        <f t="shared" si="5"/>
        <v>29</v>
      </c>
      <c r="I30" s="21">
        <f t="shared" ca="1" si="1"/>
        <v>0</v>
      </c>
      <c r="J30" s="21" t="str">
        <f ca="1">IF(I30=0,"",COUNTIF($I$2:I30,"&gt;0"))</f>
        <v/>
      </c>
      <c r="K30" s="21" t="str">
        <f t="shared" ca="1" si="2"/>
        <v/>
      </c>
    </row>
    <row r="31" spans="1:11" s="18" customFormat="1" ht="14.25" x14ac:dyDescent="0.2">
      <c r="A31" s="18" t="str">
        <f t="shared" si="6"/>
        <v>Eintrag 30</v>
      </c>
      <c r="B31" s="18">
        <v>100</v>
      </c>
      <c r="C31" s="19">
        <v>100</v>
      </c>
      <c r="D31" s="20">
        <v>10</v>
      </c>
      <c r="E31" s="20">
        <v>10</v>
      </c>
      <c r="F31" s="20">
        <v>10</v>
      </c>
      <c r="G31" s="19">
        <f t="shared" si="4"/>
        <v>172</v>
      </c>
      <c r="H31" s="22">
        <f t="shared" si="5"/>
        <v>30</v>
      </c>
      <c r="I31" s="21">
        <f t="shared" ca="1" si="1"/>
        <v>0</v>
      </c>
      <c r="J31" s="21" t="str">
        <f ca="1">IF(I31=0,"",COUNTIF($I$2:I31,"&gt;0"))</f>
        <v/>
      </c>
      <c r="K31" s="21" t="str">
        <f t="shared" ca="1" si="2"/>
        <v/>
      </c>
    </row>
    <row r="32" spans="1:11" s="18" customFormat="1" ht="14.25" x14ac:dyDescent="0.2">
      <c r="A32" s="18" t="str">
        <f t="shared" si="6"/>
        <v>Eintrag 31</v>
      </c>
      <c r="B32" s="18">
        <v>100</v>
      </c>
      <c r="C32" s="19">
        <v>100</v>
      </c>
      <c r="D32" s="20">
        <v>10</v>
      </c>
      <c r="E32" s="20">
        <v>10</v>
      </c>
      <c r="F32" s="20">
        <v>10</v>
      </c>
      <c r="G32" s="19">
        <f t="shared" si="4"/>
        <v>172</v>
      </c>
      <c r="H32" s="22">
        <f t="shared" si="5"/>
        <v>31</v>
      </c>
      <c r="I32" s="21">
        <f t="shared" ca="1" si="1"/>
        <v>0</v>
      </c>
      <c r="J32" s="21" t="str">
        <f ca="1">IF(I32=0,"",COUNTIF($I$2:I32,"&gt;0"))</f>
        <v/>
      </c>
      <c r="K32" s="21" t="str">
        <f t="shared" ca="1" si="2"/>
        <v/>
      </c>
    </row>
    <row r="33" spans="1:11" s="18" customFormat="1" ht="14.25" x14ac:dyDescent="0.2">
      <c r="A33" s="18" t="str">
        <f t="shared" si="6"/>
        <v>Eintrag 32</v>
      </c>
      <c r="B33" s="18">
        <v>100</v>
      </c>
      <c r="C33" s="19">
        <v>100</v>
      </c>
      <c r="D33" s="20">
        <v>10</v>
      </c>
      <c r="E33" s="20">
        <v>10</v>
      </c>
      <c r="F33" s="20">
        <v>10</v>
      </c>
      <c r="G33" s="19">
        <f t="shared" si="4"/>
        <v>172</v>
      </c>
      <c r="H33" s="22">
        <f t="shared" si="5"/>
        <v>32</v>
      </c>
      <c r="I33" s="21">
        <f t="shared" ca="1" si="1"/>
        <v>0</v>
      </c>
      <c r="J33" s="21" t="str">
        <f ca="1">IF(I33=0,"",COUNTIF($I$2:I33,"&gt;0"))</f>
        <v/>
      </c>
      <c r="K33" s="21" t="str">
        <f t="shared" ca="1" si="2"/>
        <v/>
      </c>
    </row>
    <row r="34" spans="1:11" s="18" customFormat="1" ht="14.25" x14ac:dyDescent="0.2">
      <c r="A34" s="18" t="str">
        <f t="shared" si="6"/>
        <v>Eintrag 33</v>
      </c>
      <c r="B34" s="18">
        <v>100</v>
      </c>
      <c r="C34" s="19">
        <v>100</v>
      </c>
      <c r="D34" s="20">
        <v>10</v>
      </c>
      <c r="E34" s="20">
        <v>10</v>
      </c>
      <c r="F34" s="20">
        <v>10</v>
      </c>
      <c r="G34" s="19">
        <f t="shared" si="4"/>
        <v>172</v>
      </c>
      <c r="H34" s="22">
        <f t="shared" si="5"/>
        <v>33</v>
      </c>
      <c r="I34" s="21">
        <f t="shared" ca="1" si="1"/>
        <v>0</v>
      </c>
      <c r="J34" s="21" t="str">
        <f ca="1">IF(I34=0,"",COUNTIF($I$2:I34,"&gt;0"))</f>
        <v/>
      </c>
      <c r="K34" s="21" t="str">
        <f t="shared" ca="1" si="2"/>
        <v/>
      </c>
    </row>
    <row r="35" spans="1:11" s="18" customFormat="1" ht="14.25" x14ac:dyDescent="0.2">
      <c r="A35" s="18" t="str">
        <f t="shared" si="6"/>
        <v>Eintrag 34</v>
      </c>
      <c r="B35" s="18">
        <v>100</v>
      </c>
      <c r="C35" s="19">
        <v>100</v>
      </c>
      <c r="D35" s="20">
        <v>10</v>
      </c>
      <c r="E35" s="20">
        <v>10</v>
      </c>
      <c r="F35" s="20">
        <v>10</v>
      </c>
      <c r="G35" s="19">
        <f t="shared" si="4"/>
        <v>172</v>
      </c>
      <c r="H35" s="22">
        <f t="shared" si="5"/>
        <v>34</v>
      </c>
      <c r="I35" s="21">
        <f t="shared" ca="1" si="1"/>
        <v>0</v>
      </c>
      <c r="J35" s="21" t="str">
        <f ca="1">IF(I35=0,"",COUNTIF($I$2:I35,"&gt;0"))</f>
        <v/>
      </c>
      <c r="K35" s="21" t="str">
        <f t="shared" ca="1" si="2"/>
        <v/>
      </c>
    </row>
    <row r="36" spans="1:11" s="18" customFormat="1" ht="14.25" x14ac:dyDescent="0.2">
      <c r="A36" s="18" t="str">
        <f t="shared" si="6"/>
        <v>Eintrag 35</v>
      </c>
      <c r="B36" s="18">
        <v>100</v>
      </c>
      <c r="C36" s="19">
        <v>100</v>
      </c>
      <c r="D36" s="20">
        <v>10</v>
      </c>
      <c r="E36" s="20">
        <v>10</v>
      </c>
      <c r="F36" s="20">
        <v>10</v>
      </c>
      <c r="G36" s="19">
        <f t="shared" si="4"/>
        <v>172</v>
      </c>
      <c r="H36" s="22">
        <f t="shared" si="5"/>
        <v>35</v>
      </c>
      <c r="I36" s="21">
        <f t="shared" ca="1" si="1"/>
        <v>0</v>
      </c>
      <c r="J36" s="21" t="str">
        <f ca="1">IF(I36=0,"",COUNTIF($I$2:I36,"&gt;0"))</f>
        <v/>
      </c>
      <c r="K36" s="21" t="str">
        <f t="shared" ca="1" si="2"/>
        <v/>
      </c>
    </row>
    <row r="37" spans="1:11" s="18" customFormat="1" ht="14.25" x14ac:dyDescent="0.2">
      <c r="A37" s="18" t="str">
        <f t="shared" si="6"/>
        <v>Eintrag 36</v>
      </c>
      <c r="B37" s="18">
        <v>100</v>
      </c>
      <c r="C37" s="19">
        <v>100</v>
      </c>
      <c r="D37" s="20">
        <v>10</v>
      </c>
      <c r="E37" s="20">
        <v>10</v>
      </c>
      <c r="F37" s="20">
        <v>10</v>
      </c>
      <c r="G37" s="19">
        <f t="shared" si="4"/>
        <v>172</v>
      </c>
      <c r="H37" s="22">
        <f t="shared" si="5"/>
        <v>36</v>
      </c>
      <c r="I37" s="21">
        <f t="shared" ca="1" si="1"/>
        <v>0</v>
      </c>
      <c r="J37" s="21" t="str">
        <f ca="1">IF(I37=0,"",COUNTIF($I$2:I37,"&gt;0"))</f>
        <v/>
      </c>
      <c r="K37" s="21" t="str">
        <f t="shared" ca="1" si="2"/>
        <v/>
      </c>
    </row>
    <row r="38" spans="1:11" s="18" customFormat="1" ht="14.25" x14ac:dyDescent="0.2">
      <c r="A38" s="18" t="str">
        <f t="shared" si="6"/>
        <v>Eintrag 37</v>
      </c>
      <c r="B38" s="18">
        <v>100</v>
      </c>
      <c r="C38" s="19">
        <v>100</v>
      </c>
      <c r="D38" s="20">
        <v>10</v>
      </c>
      <c r="E38" s="20">
        <v>10</v>
      </c>
      <c r="F38" s="20">
        <v>10</v>
      </c>
      <c r="G38" s="19">
        <f t="shared" si="4"/>
        <v>172</v>
      </c>
      <c r="H38" s="22">
        <f t="shared" si="5"/>
        <v>37</v>
      </c>
      <c r="I38" s="21">
        <f t="shared" ca="1" si="1"/>
        <v>0</v>
      </c>
      <c r="J38" s="21" t="str">
        <f ca="1">IF(I38=0,"",COUNTIF($I$2:I38,"&gt;0"))</f>
        <v/>
      </c>
      <c r="K38" s="21" t="str">
        <f t="shared" ca="1" si="2"/>
        <v/>
      </c>
    </row>
    <row r="39" spans="1:11" s="18" customFormat="1" ht="14.25" x14ac:dyDescent="0.2">
      <c r="A39" s="18" t="str">
        <f t="shared" si="6"/>
        <v>Eintrag 38</v>
      </c>
      <c r="B39" s="18">
        <v>100</v>
      </c>
      <c r="C39" s="19">
        <v>100</v>
      </c>
      <c r="D39" s="20">
        <v>10</v>
      </c>
      <c r="E39" s="20">
        <v>10</v>
      </c>
      <c r="F39" s="20">
        <v>10</v>
      </c>
      <c r="G39" s="19">
        <f t="shared" si="4"/>
        <v>172</v>
      </c>
      <c r="H39" s="22">
        <f t="shared" si="5"/>
        <v>38</v>
      </c>
      <c r="I39" s="21">
        <f t="shared" ca="1" si="1"/>
        <v>0</v>
      </c>
      <c r="J39" s="21" t="str">
        <f ca="1">IF(I39=0,"",COUNTIF($I$2:I39,"&gt;0"))</f>
        <v/>
      </c>
      <c r="K39" s="21" t="str">
        <f t="shared" ca="1" si="2"/>
        <v/>
      </c>
    </row>
    <row r="40" spans="1:11" s="18" customFormat="1" ht="14.25" x14ac:dyDescent="0.2">
      <c r="A40" s="18" t="str">
        <f t="shared" si="6"/>
        <v>Eintrag 39</v>
      </c>
      <c r="B40" s="18">
        <v>100</v>
      </c>
      <c r="C40" s="19">
        <v>100</v>
      </c>
      <c r="D40" s="20">
        <v>10</v>
      </c>
      <c r="E40" s="20">
        <v>10</v>
      </c>
      <c r="F40" s="20">
        <v>10</v>
      </c>
      <c r="G40" s="19">
        <f t="shared" si="4"/>
        <v>172</v>
      </c>
      <c r="H40" s="22">
        <f t="shared" si="5"/>
        <v>39</v>
      </c>
      <c r="I40" s="21">
        <f t="shared" ca="1" si="1"/>
        <v>0</v>
      </c>
      <c r="J40" s="21" t="str">
        <f ca="1">IF(I40=0,"",COUNTIF($I$2:I40,"&gt;0"))</f>
        <v/>
      </c>
      <c r="K40" s="21" t="str">
        <f t="shared" ca="1" si="2"/>
        <v/>
      </c>
    </row>
    <row r="41" spans="1:11" s="18" customFormat="1" ht="14.25" x14ac:dyDescent="0.2">
      <c r="A41" s="18" t="str">
        <f t="shared" si="6"/>
        <v>Eintrag 40</v>
      </c>
      <c r="B41" s="18">
        <v>100</v>
      </c>
      <c r="C41" s="19">
        <v>100</v>
      </c>
      <c r="D41" s="20">
        <v>10</v>
      </c>
      <c r="E41" s="20">
        <v>10</v>
      </c>
      <c r="F41" s="20">
        <v>10</v>
      </c>
      <c r="G41" s="19">
        <f t="shared" si="4"/>
        <v>172</v>
      </c>
      <c r="H41" s="22">
        <f t="shared" si="5"/>
        <v>40</v>
      </c>
      <c r="I41" s="21">
        <f t="shared" ca="1" si="1"/>
        <v>0</v>
      </c>
      <c r="J41" s="21" t="str">
        <f ca="1">IF(I41=0,"",COUNTIF($I$2:I41,"&gt;0"))</f>
        <v/>
      </c>
      <c r="K41" s="21" t="str">
        <f t="shared" ca="1" si="2"/>
        <v/>
      </c>
    </row>
    <row r="42" spans="1:11" s="18" customFormat="1" ht="14.25" x14ac:dyDescent="0.2">
      <c r="A42" s="18" t="str">
        <f t="shared" si="6"/>
        <v>Eintrag 41</v>
      </c>
      <c r="B42" s="18">
        <v>100</v>
      </c>
      <c r="C42" s="19">
        <v>100</v>
      </c>
      <c r="D42" s="20">
        <v>10</v>
      </c>
      <c r="E42" s="20">
        <v>10</v>
      </c>
      <c r="F42" s="20">
        <v>10</v>
      </c>
      <c r="G42" s="19">
        <f t="shared" si="4"/>
        <v>172</v>
      </c>
      <c r="H42" s="22">
        <f t="shared" si="5"/>
        <v>41</v>
      </c>
      <c r="I42" s="21">
        <f t="shared" ca="1" si="1"/>
        <v>0</v>
      </c>
      <c r="J42" s="21" t="str">
        <f ca="1">IF(I42=0,"",COUNTIF($I$2:I42,"&gt;0"))</f>
        <v/>
      </c>
      <c r="K42" s="21" t="str">
        <f t="shared" ca="1" si="2"/>
        <v/>
      </c>
    </row>
    <row r="43" spans="1:11" s="18" customFormat="1" ht="14.25" x14ac:dyDescent="0.2">
      <c r="A43" s="18" t="str">
        <f t="shared" si="6"/>
        <v>Eintrag 42</v>
      </c>
      <c r="B43" s="18">
        <v>100</v>
      </c>
      <c r="C43" s="19">
        <v>100</v>
      </c>
      <c r="D43" s="20">
        <v>10</v>
      </c>
      <c r="E43" s="20">
        <v>10</v>
      </c>
      <c r="F43" s="20">
        <v>10</v>
      </c>
      <c r="G43" s="19">
        <f t="shared" si="4"/>
        <v>172</v>
      </c>
      <c r="H43" s="22">
        <f t="shared" si="5"/>
        <v>42</v>
      </c>
      <c r="I43" s="21">
        <f t="shared" ca="1" si="1"/>
        <v>0</v>
      </c>
      <c r="J43" s="21" t="str">
        <f ca="1">IF(I43=0,"",COUNTIF($I$2:I43,"&gt;0"))</f>
        <v/>
      </c>
      <c r="K43" s="21" t="str">
        <f t="shared" ca="1" si="2"/>
        <v/>
      </c>
    </row>
    <row r="44" spans="1:11" s="18" customFormat="1" ht="14.25" x14ac:dyDescent="0.2">
      <c r="A44" s="18" t="str">
        <f t="shared" si="6"/>
        <v>Eintrag 43</v>
      </c>
      <c r="B44" s="18">
        <v>100</v>
      </c>
      <c r="C44" s="19">
        <v>100</v>
      </c>
      <c r="D44" s="20">
        <v>10</v>
      </c>
      <c r="E44" s="20">
        <v>10</v>
      </c>
      <c r="F44" s="20">
        <v>10</v>
      </c>
      <c r="G44" s="19">
        <f t="shared" si="4"/>
        <v>172</v>
      </c>
      <c r="H44" s="22">
        <f t="shared" si="5"/>
        <v>43</v>
      </c>
      <c r="I44" s="21">
        <f t="shared" ca="1" si="1"/>
        <v>0</v>
      </c>
      <c r="J44" s="21" t="str">
        <f ca="1">IF(I44=0,"",COUNTIF($I$2:I44,"&gt;0"))</f>
        <v/>
      </c>
      <c r="K44" s="21" t="str">
        <f t="shared" ca="1" si="2"/>
        <v/>
      </c>
    </row>
    <row r="45" spans="1:11" s="18" customFormat="1" ht="14.25" x14ac:dyDescent="0.2">
      <c r="A45" s="18" t="str">
        <f t="shared" si="6"/>
        <v>Eintrag 44</v>
      </c>
      <c r="B45" s="18">
        <v>100</v>
      </c>
      <c r="C45" s="19">
        <v>100</v>
      </c>
      <c r="D45" s="20">
        <v>10</v>
      </c>
      <c r="E45" s="20">
        <v>10</v>
      </c>
      <c r="F45" s="20">
        <v>10</v>
      </c>
      <c r="G45" s="19">
        <f t="shared" si="4"/>
        <v>172</v>
      </c>
      <c r="H45" s="22">
        <f t="shared" si="5"/>
        <v>44</v>
      </c>
      <c r="I45" s="21">
        <f t="shared" ca="1" si="1"/>
        <v>0</v>
      </c>
      <c r="J45" s="21" t="str">
        <f ca="1">IF(I45=0,"",COUNTIF($I$2:I45,"&gt;0"))</f>
        <v/>
      </c>
      <c r="K45" s="21" t="str">
        <f t="shared" ca="1" si="2"/>
        <v/>
      </c>
    </row>
    <row r="46" spans="1:11" s="18" customFormat="1" ht="14.25" x14ac:dyDescent="0.2">
      <c r="A46" s="18" t="str">
        <f t="shared" si="6"/>
        <v>Eintrag 45</v>
      </c>
      <c r="B46" s="18">
        <v>100</v>
      </c>
      <c r="C46" s="19">
        <v>100</v>
      </c>
      <c r="D46" s="20">
        <v>10</v>
      </c>
      <c r="E46" s="20">
        <v>10</v>
      </c>
      <c r="F46" s="20">
        <v>10</v>
      </c>
      <c r="G46" s="19">
        <f t="shared" si="4"/>
        <v>172</v>
      </c>
      <c r="H46" s="22">
        <f t="shared" si="5"/>
        <v>45</v>
      </c>
      <c r="I46" s="21">
        <f t="shared" ca="1" si="1"/>
        <v>0</v>
      </c>
      <c r="J46" s="21" t="str">
        <f ca="1">IF(I46=0,"",COUNTIF($I$2:I46,"&gt;0"))</f>
        <v/>
      </c>
      <c r="K46" s="21" t="str">
        <f t="shared" ca="1" si="2"/>
        <v/>
      </c>
    </row>
    <row r="47" spans="1:11" s="18" customFormat="1" ht="14.25" x14ac:dyDescent="0.2">
      <c r="A47" s="18" t="str">
        <f t="shared" si="6"/>
        <v>Eintrag 46</v>
      </c>
      <c r="B47" s="18">
        <v>100</v>
      </c>
      <c r="C47" s="19">
        <v>100</v>
      </c>
      <c r="D47" s="20">
        <v>10</v>
      </c>
      <c r="E47" s="20">
        <v>10</v>
      </c>
      <c r="F47" s="20">
        <v>10</v>
      </c>
      <c r="G47" s="19">
        <f t="shared" si="4"/>
        <v>172</v>
      </c>
      <c r="H47" s="22">
        <f t="shared" si="5"/>
        <v>46</v>
      </c>
      <c r="I47" s="21">
        <f t="shared" ca="1" si="1"/>
        <v>0</v>
      </c>
      <c r="J47" s="21" t="str">
        <f ca="1">IF(I47=0,"",COUNTIF($I$2:I47,"&gt;0"))</f>
        <v/>
      </c>
      <c r="K47" s="21" t="str">
        <f t="shared" ca="1" si="2"/>
        <v/>
      </c>
    </row>
    <row r="48" spans="1:11" s="18" customFormat="1" ht="14.25" x14ac:dyDescent="0.2">
      <c r="A48" s="18" t="str">
        <f t="shared" si="6"/>
        <v>Eintrag 47</v>
      </c>
      <c r="B48" s="18">
        <v>100</v>
      </c>
      <c r="C48" s="19">
        <v>100</v>
      </c>
      <c r="D48" s="20">
        <v>10</v>
      </c>
      <c r="E48" s="20">
        <v>10</v>
      </c>
      <c r="F48" s="20">
        <v>10</v>
      </c>
      <c r="G48" s="19">
        <f t="shared" si="4"/>
        <v>172</v>
      </c>
      <c r="H48" s="22">
        <f t="shared" si="5"/>
        <v>47</v>
      </c>
      <c r="I48" s="21">
        <f t="shared" ca="1" si="1"/>
        <v>0</v>
      </c>
      <c r="J48" s="21" t="str">
        <f ca="1">IF(I48=0,"",COUNTIF($I$2:I48,"&gt;0"))</f>
        <v/>
      </c>
      <c r="K48" s="21" t="str">
        <f t="shared" ca="1" si="2"/>
        <v/>
      </c>
    </row>
    <row r="49" spans="1:11" s="18" customFormat="1" ht="14.25" x14ac:dyDescent="0.2">
      <c r="A49" s="18" t="str">
        <f t="shared" si="6"/>
        <v>Eintrag 48</v>
      </c>
      <c r="B49" s="18">
        <v>100</v>
      </c>
      <c r="C49" s="19">
        <v>100</v>
      </c>
      <c r="D49" s="20">
        <v>10</v>
      </c>
      <c r="E49" s="20">
        <v>10</v>
      </c>
      <c r="F49" s="20">
        <v>10</v>
      </c>
      <c r="G49" s="19">
        <f t="shared" si="4"/>
        <v>172</v>
      </c>
      <c r="H49" s="22">
        <f t="shared" si="5"/>
        <v>48</v>
      </c>
      <c r="I49" s="21">
        <f t="shared" ca="1" si="1"/>
        <v>0</v>
      </c>
      <c r="J49" s="21" t="str">
        <f ca="1">IF(I49=0,"",COUNTIF($I$2:I49,"&gt;0"))</f>
        <v/>
      </c>
      <c r="K49" s="21" t="str">
        <f t="shared" ca="1" si="2"/>
        <v/>
      </c>
    </row>
    <row r="50" spans="1:11" s="18" customFormat="1" ht="14.25" x14ac:dyDescent="0.2">
      <c r="A50" s="18" t="str">
        <f t="shared" si="6"/>
        <v>Eintrag 49</v>
      </c>
      <c r="B50" s="18">
        <v>100</v>
      </c>
      <c r="C50" s="19">
        <v>100</v>
      </c>
      <c r="D50" s="20">
        <v>10</v>
      </c>
      <c r="E50" s="20">
        <v>10</v>
      </c>
      <c r="F50" s="20">
        <v>10</v>
      </c>
      <c r="G50" s="19">
        <f t="shared" si="4"/>
        <v>172</v>
      </c>
      <c r="H50" s="22">
        <f t="shared" si="5"/>
        <v>49</v>
      </c>
      <c r="I50" s="21">
        <f t="shared" ca="1" si="1"/>
        <v>0</v>
      </c>
      <c r="J50" s="21" t="str">
        <f ca="1">IF(I50=0,"",COUNTIF($I$2:I50,"&gt;0"))</f>
        <v/>
      </c>
      <c r="K50" s="21" t="str">
        <f t="shared" ca="1" si="2"/>
        <v/>
      </c>
    </row>
    <row r="51" spans="1:11" s="18" customFormat="1" ht="14.25" x14ac:dyDescent="0.2">
      <c r="A51" s="18" t="str">
        <f t="shared" si="6"/>
        <v>Eintrag 50</v>
      </c>
      <c r="B51" s="18">
        <v>100</v>
      </c>
      <c r="C51" s="19">
        <v>100</v>
      </c>
      <c r="D51" s="20">
        <v>10</v>
      </c>
      <c r="E51" s="20">
        <v>10</v>
      </c>
      <c r="F51" s="20">
        <v>10</v>
      </c>
      <c r="G51" s="19">
        <f t="shared" si="4"/>
        <v>172</v>
      </c>
      <c r="H51" s="22">
        <f t="shared" si="5"/>
        <v>50</v>
      </c>
      <c r="I51" s="21">
        <f t="shared" ca="1" si="1"/>
        <v>0</v>
      </c>
      <c r="J51" s="21" t="str">
        <f ca="1">IF(I51=0,"",COUNTIF($I$2:I51,"&gt;0"))</f>
        <v/>
      </c>
      <c r="K51" s="21" t="str">
        <f t="shared" ca="1" si="2"/>
        <v/>
      </c>
    </row>
    <row r="52" spans="1:11" s="18" customFormat="1" ht="14.25" x14ac:dyDescent="0.2">
      <c r="A52" s="18" t="str">
        <f t="shared" si="6"/>
        <v>Eintrag 51</v>
      </c>
      <c r="B52" s="18">
        <v>100</v>
      </c>
      <c r="C52" s="19">
        <v>100</v>
      </c>
      <c r="D52" s="20">
        <v>10</v>
      </c>
      <c r="E52" s="20">
        <v>10</v>
      </c>
      <c r="F52" s="20">
        <v>10</v>
      </c>
      <c r="G52" s="19">
        <f t="shared" si="4"/>
        <v>172</v>
      </c>
      <c r="H52" s="22">
        <f t="shared" si="5"/>
        <v>51</v>
      </c>
      <c r="I52" s="21">
        <f t="shared" ca="1" si="1"/>
        <v>0</v>
      </c>
      <c r="J52" s="21" t="str">
        <f ca="1">IF(I52=0,"",COUNTIF($I$2:I52,"&gt;0"))</f>
        <v/>
      </c>
      <c r="K52" s="21" t="str">
        <f t="shared" ca="1" si="2"/>
        <v/>
      </c>
    </row>
    <row r="53" spans="1:11" s="18" customFormat="1" ht="14.25" x14ac:dyDescent="0.2">
      <c r="A53" s="18" t="str">
        <f t="shared" si="6"/>
        <v>Eintrag 52</v>
      </c>
      <c r="B53" s="18">
        <v>100</v>
      </c>
      <c r="C53" s="19">
        <v>100</v>
      </c>
      <c r="D53" s="20">
        <v>10</v>
      </c>
      <c r="E53" s="20">
        <v>10</v>
      </c>
      <c r="F53" s="20">
        <v>10</v>
      </c>
      <c r="G53" s="19">
        <f t="shared" si="4"/>
        <v>172</v>
      </c>
      <c r="H53" s="22">
        <f t="shared" si="5"/>
        <v>52</v>
      </c>
      <c r="I53" s="21">
        <f t="shared" ca="1" si="1"/>
        <v>0</v>
      </c>
      <c r="J53" s="21" t="str">
        <f ca="1">IF(I53=0,"",COUNTIF($I$2:I53,"&gt;0"))</f>
        <v/>
      </c>
      <c r="K53" s="21" t="str">
        <f t="shared" ca="1" si="2"/>
        <v/>
      </c>
    </row>
    <row r="54" spans="1:11" s="18" customFormat="1" ht="14.25" x14ac:dyDescent="0.2">
      <c r="A54" s="18" t="str">
        <f t="shared" si="6"/>
        <v>Eintrag 53</v>
      </c>
      <c r="B54" s="18">
        <v>100</v>
      </c>
      <c r="C54" s="19">
        <v>100</v>
      </c>
      <c r="D54" s="20">
        <v>10</v>
      </c>
      <c r="E54" s="20">
        <v>10</v>
      </c>
      <c r="F54" s="20">
        <v>10</v>
      </c>
      <c r="G54" s="19">
        <f t="shared" si="4"/>
        <v>172</v>
      </c>
      <c r="H54" s="22">
        <f t="shared" si="5"/>
        <v>53</v>
      </c>
      <c r="I54" s="21">
        <f t="shared" ca="1" si="1"/>
        <v>0</v>
      </c>
      <c r="J54" s="21" t="str">
        <f ca="1">IF(I54=0,"",COUNTIF($I$2:I54,"&gt;0"))</f>
        <v/>
      </c>
      <c r="K54" s="21" t="str">
        <f t="shared" ca="1" si="2"/>
        <v/>
      </c>
    </row>
    <row r="55" spans="1:11" s="18" customFormat="1" ht="14.25" x14ac:dyDescent="0.2">
      <c r="A55" s="18" t="str">
        <f t="shared" si="6"/>
        <v>Eintrag 54</v>
      </c>
      <c r="B55" s="18">
        <v>100</v>
      </c>
      <c r="C55" s="19">
        <v>100</v>
      </c>
      <c r="D55" s="20">
        <v>10</v>
      </c>
      <c r="E55" s="20">
        <v>10</v>
      </c>
      <c r="F55" s="20">
        <v>10</v>
      </c>
      <c r="G55" s="19">
        <f t="shared" si="4"/>
        <v>172</v>
      </c>
      <c r="H55" s="22">
        <f t="shared" si="5"/>
        <v>54</v>
      </c>
      <c r="I55" s="21">
        <f t="shared" ca="1" si="1"/>
        <v>0</v>
      </c>
      <c r="J55" s="21" t="str">
        <f ca="1">IF(I55=0,"",COUNTIF($I$2:I55,"&gt;0"))</f>
        <v/>
      </c>
      <c r="K55" s="21" t="str">
        <f t="shared" ca="1" si="2"/>
        <v/>
      </c>
    </row>
    <row r="56" spans="1:11" s="18" customFormat="1" ht="14.25" x14ac:dyDescent="0.2">
      <c r="A56" s="18" t="str">
        <f t="shared" si="6"/>
        <v>Eintrag 55</v>
      </c>
      <c r="B56" s="18">
        <v>100</v>
      </c>
      <c r="C56" s="19">
        <v>100</v>
      </c>
      <c r="D56" s="20">
        <v>10</v>
      </c>
      <c r="E56" s="20">
        <v>10</v>
      </c>
      <c r="F56" s="20">
        <v>10</v>
      </c>
      <c r="G56" s="19">
        <f t="shared" si="4"/>
        <v>172</v>
      </c>
      <c r="H56" s="22">
        <f t="shared" si="5"/>
        <v>55</v>
      </c>
      <c r="I56" s="21">
        <f t="shared" ca="1" si="1"/>
        <v>0</v>
      </c>
      <c r="J56" s="21" t="str">
        <f ca="1">IF(I56=0,"",COUNTIF($I$2:I56,"&gt;0"))</f>
        <v/>
      </c>
      <c r="K56" s="21" t="str">
        <f t="shared" ca="1" si="2"/>
        <v/>
      </c>
    </row>
    <row r="57" spans="1:11" s="18" customFormat="1" ht="14.25" x14ac:dyDescent="0.2">
      <c r="A57" s="18" t="str">
        <f t="shared" si="6"/>
        <v>Eintrag 56</v>
      </c>
      <c r="B57" s="18">
        <v>100</v>
      </c>
      <c r="C57" s="19">
        <v>100</v>
      </c>
      <c r="D57" s="20">
        <v>10</v>
      </c>
      <c r="E57" s="20">
        <v>10</v>
      </c>
      <c r="F57" s="20">
        <v>10</v>
      </c>
      <c r="G57" s="19">
        <f t="shared" si="4"/>
        <v>172</v>
      </c>
      <c r="H57" s="22">
        <f t="shared" si="5"/>
        <v>56</v>
      </c>
      <c r="I57" s="21">
        <f t="shared" ca="1" si="1"/>
        <v>0</v>
      </c>
      <c r="J57" s="21" t="str">
        <f ca="1">IF(I57=0,"",COUNTIF($I$2:I57,"&gt;0"))</f>
        <v/>
      </c>
      <c r="K57" s="21" t="str">
        <f t="shared" ca="1" si="2"/>
        <v/>
      </c>
    </row>
    <row r="58" spans="1:11" s="18" customFormat="1" ht="14.25" x14ac:dyDescent="0.2">
      <c r="A58" s="18" t="str">
        <f t="shared" si="6"/>
        <v>Eintrag 57</v>
      </c>
      <c r="B58" s="18">
        <v>100</v>
      </c>
      <c r="C58" s="19">
        <v>100</v>
      </c>
      <c r="D58" s="20">
        <v>10</v>
      </c>
      <c r="E58" s="20">
        <v>10</v>
      </c>
      <c r="F58" s="20">
        <v>10</v>
      </c>
      <c r="G58" s="19">
        <f t="shared" si="4"/>
        <v>172</v>
      </c>
      <c r="H58" s="22">
        <f t="shared" si="5"/>
        <v>57</v>
      </c>
      <c r="I58" s="21">
        <f t="shared" ca="1" si="1"/>
        <v>0</v>
      </c>
      <c r="J58" s="21" t="str">
        <f ca="1">IF(I58=0,"",COUNTIF($I$2:I58,"&gt;0"))</f>
        <v/>
      </c>
      <c r="K58" s="21" t="str">
        <f t="shared" ca="1" si="2"/>
        <v/>
      </c>
    </row>
    <row r="59" spans="1:11" s="18" customFormat="1" ht="14.25" x14ac:dyDescent="0.2">
      <c r="A59" s="18" t="str">
        <f t="shared" si="6"/>
        <v>Eintrag 58</v>
      </c>
      <c r="B59" s="18">
        <v>100</v>
      </c>
      <c r="C59" s="19">
        <v>100</v>
      </c>
      <c r="D59" s="20">
        <v>10</v>
      </c>
      <c r="E59" s="20">
        <v>10</v>
      </c>
      <c r="F59" s="20">
        <v>10</v>
      </c>
      <c r="G59" s="19">
        <f t="shared" si="4"/>
        <v>172</v>
      </c>
      <c r="H59" s="22">
        <f t="shared" si="5"/>
        <v>58</v>
      </c>
      <c r="I59" s="21">
        <f t="shared" ca="1" si="1"/>
        <v>0</v>
      </c>
      <c r="J59" s="21" t="str">
        <f ca="1">IF(I59=0,"",COUNTIF($I$2:I59,"&gt;0"))</f>
        <v/>
      </c>
      <c r="K59" s="21" t="str">
        <f t="shared" ca="1" si="2"/>
        <v/>
      </c>
    </row>
    <row r="60" spans="1:11" s="18" customFormat="1" ht="14.25" x14ac:dyDescent="0.2">
      <c r="A60" s="18" t="str">
        <f t="shared" si="6"/>
        <v>Eintrag 59</v>
      </c>
      <c r="B60" s="18">
        <v>100</v>
      </c>
      <c r="C60" s="19">
        <v>100</v>
      </c>
      <c r="D60" s="20">
        <v>10</v>
      </c>
      <c r="E60" s="20">
        <v>10</v>
      </c>
      <c r="F60" s="20">
        <v>10</v>
      </c>
      <c r="G60" s="19">
        <f t="shared" si="4"/>
        <v>172</v>
      </c>
      <c r="H60" s="22">
        <f t="shared" si="5"/>
        <v>59</v>
      </c>
      <c r="I60" s="21">
        <f t="shared" ca="1" si="1"/>
        <v>0</v>
      </c>
      <c r="J60" s="21" t="str">
        <f ca="1">IF(I60=0,"",COUNTIF($I$2:I60,"&gt;0"))</f>
        <v/>
      </c>
      <c r="K60" s="21" t="str">
        <f t="shared" ca="1" si="2"/>
        <v/>
      </c>
    </row>
    <row r="61" spans="1:11" s="18" customFormat="1" ht="14.25" x14ac:dyDescent="0.2">
      <c r="A61" s="18" t="str">
        <f t="shared" si="6"/>
        <v>Eintrag 60</v>
      </c>
      <c r="B61" s="18">
        <v>100</v>
      </c>
      <c r="C61" s="19">
        <v>100</v>
      </c>
      <c r="D61" s="20">
        <v>10</v>
      </c>
      <c r="E61" s="20">
        <v>10</v>
      </c>
      <c r="F61" s="20">
        <v>10</v>
      </c>
      <c r="G61" s="19">
        <f t="shared" si="4"/>
        <v>172</v>
      </c>
      <c r="H61" s="22">
        <f t="shared" si="5"/>
        <v>60</v>
      </c>
      <c r="I61" s="21">
        <f t="shared" ca="1" si="1"/>
        <v>0</v>
      </c>
      <c r="J61" s="21" t="str">
        <f ca="1">IF(I61=0,"",COUNTIF($I$2:I61,"&gt;0"))</f>
        <v/>
      </c>
      <c r="K61" s="21" t="str">
        <f t="shared" ca="1" si="2"/>
        <v/>
      </c>
    </row>
    <row r="62" spans="1:11" s="18" customFormat="1" ht="14.25" x14ac:dyDescent="0.2">
      <c r="A62" s="18" t="str">
        <f t="shared" si="6"/>
        <v>Eintrag 61</v>
      </c>
      <c r="B62" s="18">
        <v>100</v>
      </c>
      <c r="C62" s="19">
        <v>100</v>
      </c>
      <c r="D62" s="20">
        <v>10</v>
      </c>
      <c r="E62" s="20">
        <v>10</v>
      </c>
      <c r="F62" s="20">
        <v>10</v>
      </c>
      <c r="G62" s="19">
        <f t="shared" si="4"/>
        <v>172</v>
      </c>
      <c r="H62" s="22">
        <f t="shared" si="5"/>
        <v>61</v>
      </c>
      <c r="I62" s="21">
        <f t="shared" ca="1" si="1"/>
        <v>0</v>
      </c>
      <c r="J62" s="21" t="str">
        <f ca="1">IF(I62=0,"",COUNTIF($I$2:I62,"&gt;0"))</f>
        <v/>
      </c>
      <c r="K62" s="21" t="str">
        <f t="shared" ca="1" si="2"/>
        <v/>
      </c>
    </row>
    <row r="63" spans="1:11" s="18" customFormat="1" ht="14.25" x14ac:dyDescent="0.2">
      <c r="A63" s="18" t="str">
        <f t="shared" si="6"/>
        <v>Eintrag 62</v>
      </c>
      <c r="B63" s="18">
        <v>100</v>
      </c>
      <c r="C63" s="19">
        <v>100</v>
      </c>
      <c r="D63" s="20">
        <v>10</v>
      </c>
      <c r="E63" s="20">
        <v>10</v>
      </c>
      <c r="F63" s="20">
        <v>10</v>
      </c>
      <c r="G63" s="19">
        <f t="shared" si="4"/>
        <v>172</v>
      </c>
      <c r="H63" s="22">
        <f t="shared" si="5"/>
        <v>62</v>
      </c>
      <c r="I63" s="21">
        <f t="shared" ca="1" si="1"/>
        <v>0</v>
      </c>
      <c r="J63" s="21" t="str">
        <f ca="1">IF(I63=0,"",COUNTIF($I$2:I63,"&gt;0"))</f>
        <v/>
      </c>
      <c r="K63" s="21" t="str">
        <f t="shared" ca="1" si="2"/>
        <v/>
      </c>
    </row>
    <row r="64" spans="1:11" s="18" customFormat="1" ht="14.25" x14ac:dyDescent="0.2">
      <c r="A64" s="18" t="str">
        <f t="shared" si="6"/>
        <v>Eintrag 63</v>
      </c>
      <c r="B64" s="18">
        <v>100</v>
      </c>
      <c r="C64" s="19">
        <v>100</v>
      </c>
      <c r="D64" s="20">
        <v>10</v>
      </c>
      <c r="E64" s="20">
        <v>10</v>
      </c>
      <c r="F64" s="20">
        <v>10</v>
      </c>
      <c r="G64" s="19">
        <f t="shared" si="4"/>
        <v>172</v>
      </c>
      <c r="H64" s="22">
        <f t="shared" si="5"/>
        <v>63</v>
      </c>
      <c r="I64" s="21">
        <f t="shared" ca="1" si="1"/>
        <v>0</v>
      </c>
      <c r="J64" s="21" t="str">
        <f ca="1">IF(I64=0,"",COUNTIF($I$2:I64,"&gt;0"))</f>
        <v/>
      </c>
      <c r="K64" s="21" t="str">
        <f t="shared" ca="1" si="2"/>
        <v/>
      </c>
    </row>
    <row r="65" spans="1:11" s="18" customFormat="1" ht="14.25" x14ac:dyDescent="0.2">
      <c r="A65" s="18" t="str">
        <f t="shared" si="6"/>
        <v>Eintrag 64</v>
      </c>
      <c r="B65" s="18">
        <v>100</v>
      </c>
      <c r="C65" s="19">
        <v>100</v>
      </c>
      <c r="D65" s="20">
        <v>10</v>
      </c>
      <c r="E65" s="20">
        <v>10</v>
      </c>
      <c r="F65" s="20">
        <v>10</v>
      </c>
      <c r="G65" s="19">
        <f t="shared" si="4"/>
        <v>172</v>
      </c>
      <c r="H65" s="22">
        <f t="shared" si="5"/>
        <v>64</v>
      </c>
      <c r="I65" s="21">
        <f t="shared" ca="1" si="1"/>
        <v>0</v>
      </c>
      <c r="J65" s="21" t="str">
        <f ca="1">IF(I65=0,"",COUNTIF($I$2:I65,"&gt;0"))</f>
        <v/>
      </c>
      <c r="K65" s="21" t="str">
        <f t="shared" ca="1" si="2"/>
        <v/>
      </c>
    </row>
    <row r="66" spans="1:11" s="18" customFormat="1" ht="14.25" x14ac:dyDescent="0.2">
      <c r="A66" s="18" t="str">
        <f t="shared" si="6"/>
        <v>Eintrag 65</v>
      </c>
      <c r="B66" s="18">
        <v>100</v>
      </c>
      <c r="C66" s="19">
        <v>100</v>
      </c>
      <c r="D66" s="20">
        <v>10</v>
      </c>
      <c r="E66" s="20">
        <v>10</v>
      </c>
      <c r="F66" s="20">
        <v>10</v>
      </c>
      <c r="G66" s="19">
        <f t="shared" si="4"/>
        <v>172</v>
      </c>
      <c r="H66" s="22">
        <f t="shared" ref="H66:H129" si="7">H65+1</f>
        <v>65</v>
      </c>
      <c r="I66" s="21">
        <f t="shared" ref="I66:I129" ca="1" si="8">IFERROR(SEARCH(INDIRECT(CELL("address")),A66),0)</f>
        <v>0</v>
      </c>
      <c r="J66" s="21" t="str">
        <f ca="1">IF(I66=0,"",COUNTIF($I$2:I66,"&gt;0"))</f>
        <v/>
      </c>
      <c r="K66" s="21" t="str">
        <f t="shared" ref="K66:K129" ca="1" si="9">IFERROR(INDEX(A:A,MATCH(ROW(I65),J:J,0)),"")</f>
        <v/>
      </c>
    </row>
    <row r="67" spans="1:11" s="18" customFormat="1" ht="14.25" x14ac:dyDescent="0.2">
      <c r="A67" s="18" t="str">
        <f t="shared" ref="A67:A130" si="10">CONCATENATE("Eintrag ",H67)</f>
        <v>Eintrag 66</v>
      </c>
      <c r="B67" s="18">
        <v>100</v>
      </c>
      <c r="C67" s="19">
        <v>100</v>
      </c>
      <c r="D67" s="20">
        <v>10</v>
      </c>
      <c r="E67" s="20">
        <v>10</v>
      </c>
      <c r="F67" s="20">
        <v>10</v>
      </c>
      <c r="G67" s="19">
        <f t="shared" ref="G67:G130" si="11">D67*9+E67*4.1+F67*4.1</f>
        <v>172</v>
      </c>
      <c r="H67" s="22">
        <f t="shared" si="7"/>
        <v>66</v>
      </c>
      <c r="I67" s="21">
        <f t="shared" ca="1" si="8"/>
        <v>0</v>
      </c>
      <c r="J67" s="21" t="str">
        <f ca="1">IF(I67=0,"",COUNTIF($I$2:I67,"&gt;0"))</f>
        <v/>
      </c>
      <c r="K67" s="21" t="str">
        <f t="shared" ca="1" si="9"/>
        <v/>
      </c>
    </row>
    <row r="68" spans="1:11" s="18" customFormat="1" ht="14.25" x14ac:dyDescent="0.2">
      <c r="A68" s="18" t="str">
        <f t="shared" si="10"/>
        <v>Eintrag 67</v>
      </c>
      <c r="B68" s="18">
        <v>100</v>
      </c>
      <c r="C68" s="19">
        <v>100</v>
      </c>
      <c r="D68" s="20">
        <v>10</v>
      </c>
      <c r="E68" s="20">
        <v>10</v>
      </c>
      <c r="F68" s="20">
        <v>10</v>
      </c>
      <c r="G68" s="19">
        <f t="shared" si="11"/>
        <v>172</v>
      </c>
      <c r="H68" s="22">
        <f t="shared" si="7"/>
        <v>67</v>
      </c>
      <c r="I68" s="21">
        <f t="shared" ca="1" si="8"/>
        <v>0</v>
      </c>
      <c r="J68" s="21" t="str">
        <f ca="1">IF(I68=0,"",COUNTIF($I$2:I68,"&gt;0"))</f>
        <v/>
      </c>
      <c r="K68" s="21" t="str">
        <f t="shared" ca="1" si="9"/>
        <v/>
      </c>
    </row>
    <row r="69" spans="1:11" s="18" customFormat="1" ht="14.25" x14ac:dyDescent="0.2">
      <c r="A69" s="18" t="str">
        <f t="shared" si="10"/>
        <v>Eintrag 68</v>
      </c>
      <c r="B69" s="18">
        <v>100</v>
      </c>
      <c r="C69" s="19">
        <v>100</v>
      </c>
      <c r="D69" s="20">
        <v>10</v>
      </c>
      <c r="E69" s="20">
        <v>10</v>
      </c>
      <c r="F69" s="20">
        <v>10</v>
      </c>
      <c r="G69" s="19">
        <f t="shared" si="11"/>
        <v>172</v>
      </c>
      <c r="H69" s="22">
        <f t="shared" si="7"/>
        <v>68</v>
      </c>
      <c r="I69" s="21">
        <f t="shared" ca="1" si="8"/>
        <v>0</v>
      </c>
      <c r="J69" s="21" t="str">
        <f ca="1">IF(I69=0,"",COUNTIF($I$2:I69,"&gt;0"))</f>
        <v/>
      </c>
      <c r="K69" s="21" t="str">
        <f t="shared" ca="1" si="9"/>
        <v/>
      </c>
    </row>
    <row r="70" spans="1:11" s="18" customFormat="1" ht="14.25" x14ac:dyDescent="0.2">
      <c r="A70" s="18" t="str">
        <f t="shared" si="10"/>
        <v>Eintrag 69</v>
      </c>
      <c r="B70" s="18">
        <v>100</v>
      </c>
      <c r="C70" s="19">
        <v>100</v>
      </c>
      <c r="D70" s="20">
        <v>10</v>
      </c>
      <c r="E70" s="20">
        <v>10</v>
      </c>
      <c r="F70" s="20">
        <v>10</v>
      </c>
      <c r="G70" s="19">
        <f t="shared" si="11"/>
        <v>172</v>
      </c>
      <c r="H70" s="22">
        <f t="shared" si="7"/>
        <v>69</v>
      </c>
      <c r="I70" s="21">
        <f t="shared" ca="1" si="8"/>
        <v>0</v>
      </c>
      <c r="J70" s="21" t="str">
        <f ca="1">IF(I70=0,"",COUNTIF($I$2:I70,"&gt;0"))</f>
        <v/>
      </c>
      <c r="K70" s="21" t="str">
        <f t="shared" ca="1" si="9"/>
        <v/>
      </c>
    </row>
    <row r="71" spans="1:11" s="18" customFormat="1" ht="14.25" x14ac:dyDescent="0.2">
      <c r="A71" s="18" t="str">
        <f t="shared" si="10"/>
        <v>Eintrag 70</v>
      </c>
      <c r="B71" s="18">
        <v>100</v>
      </c>
      <c r="C71" s="19">
        <v>100</v>
      </c>
      <c r="D71" s="20">
        <v>10</v>
      </c>
      <c r="E71" s="20">
        <v>10</v>
      </c>
      <c r="F71" s="20">
        <v>10</v>
      </c>
      <c r="G71" s="19">
        <f t="shared" si="11"/>
        <v>172</v>
      </c>
      <c r="H71" s="22">
        <f t="shared" si="7"/>
        <v>70</v>
      </c>
      <c r="I71" s="21">
        <f t="shared" ca="1" si="8"/>
        <v>0</v>
      </c>
      <c r="J71" s="21" t="str">
        <f ca="1">IF(I71=0,"",COUNTIF($I$2:I71,"&gt;0"))</f>
        <v/>
      </c>
      <c r="K71" s="21" t="str">
        <f t="shared" ca="1" si="9"/>
        <v/>
      </c>
    </row>
    <row r="72" spans="1:11" s="18" customFormat="1" ht="14.25" x14ac:dyDescent="0.2">
      <c r="A72" s="18" t="str">
        <f t="shared" si="10"/>
        <v>Eintrag 71</v>
      </c>
      <c r="B72" s="18">
        <v>100</v>
      </c>
      <c r="C72" s="19">
        <v>100</v>
      </c>
      <c r="D72" s="20">
        <v>10</v>
      </c>
      <c r="E72" s="20">
        <v>10</v>
      </c>
      <c r="F72" s="20">
        <v>10</v>
      </c>
      <c r="G72" s="19">
        <f t="shared" si="11"/>
        <v>172</v>
      </c>
      <c r="H72" s="22">
        <f t="shared" si="7"/>
        <v>71</v>
      </c>
      <c r="I72" s="21">
        <f t="shared" ca="1" si="8"/>
        <v>0</v>
      </c>
      <c r="J72" s="21" t="str">
        <f ca="1">IF(I72=0,"",COUNTIF($I$2:I72,"&gt;0"))</f>
        <v/>
      </c>
      <c r="K72" s="21" t="str">
        <f t="shared" ca="1" si="9"/>
        <v/>
      </c>
    </row>
    <row r="73" spans="1:11" s="18" customFormat="1" ht="14.25" x14ac:dyDescent="0.2">
      <c r="A73" s="18" t="str">
        <f t="shared" si="10"/>
        <v>Eintrag 72</v>
      </c>
      <c r="B73" s="18">
        <v>100</v>
      </c>
      <c r="C73" s="19">
        <v>100</v>
      </c>
      <c r="D73" s="20">
        <v>10</v>
      </c>
      <c r="E73" s="20">
        <v>10</v>
      </c>
      <c r="F73" s="20">
        <v>10</v>
      </c>
      <c r="G73" s="19">
        <f t="shared" si="11"/>
        <v>172</v>
      </c>
      <c r="H73" s="22">
        <f t="shared" si="7"/>
        <v>72</v>
      </c>
      <c r="I73" s="21">
        <f t="shared" ca="1" si="8"/>
        <v>0</v>
      </c>
      <c r="J73" s="21" t="str">
        <f ca="1">IF(I73=0,"",COUNTIF($I$2:I73,"&gt;0"))</f>
        <v/>
      </c>
      <c r="K73" s="21" t="str">
        <f t="shared" ca="1" si="9"/>
        <v/>
      </c>
    </row>
    <row r="74" spans="1:11" s="18" customFormat="1" ht="14.25" x14ac:dyDescent="0.2">
      <c r="A74" s="18" t="str">
        <f t="shared" si="10"/>
        <v>Eintrag 73</v>
      </c>
      <c r="B74" s="18">
        <v>100</v>
      </c>
      <c r="C74" s="19">
        <v>100</v>
      </c>
      <c r="D74" s="20">
        <v>10</v>
      </c>
      <c r="E74" s="20">
        <v>10</v>
      </c>
      <c r="F74" s="20">
        <v>10</v>
      </c>
      <c r="G74" s="19">
        <f t="shared" si="11"/>
        <v>172</v>
      </c>
      <c r="H74" s="22">
        <f t="shared" si="7"/>
        <v>73</v>
      </c>
      <c r="I74" s="21">
        <f t="shared" ca="1" si="8"/>
        <v>0</v>
      </c>
      <c r="J74" s="21" t="str">
        <f ca="1">IF(I74=0,"",COUNTIF($I$2:I74,"&gt;0"))</f>
        <v/>
      </c>
      <c r="K74" s="21" t="str">
        <f t="shared" ca="1" si="9"/>
        <v/>
      </c>
    </row>
    <row r="75" spans="1:11" s="18" customFormat="1" ht="14.25" x14ac:dyDescent="0.2">
      <c r="A75" s="18" t="str">
        <f t="shared" si="10"/>
        <v>Eintrag 74</v>
      </c>
      <c r="B75" s="18">
        <v>100</v>
      </c>
      <c r="C75" s="19">
        <v>100</v>
      </c>
      <c r="D75" s="20">
        <v>10</v>
      </c>
      <c r="E75" s="20">
        <v>10</v>
      </c>
      <c r="F75" s="20">
        <v>10</v>
      </c>
      <c r="G75" s="19">
        <f t="shared" si="11"/>
        <v>172</v>
      </c>
      <c r="H75" s="22">
        <f t="shared" si="7"/>
        <v>74</v>
      </c>
      <c r="I75" s="21">
        <f t="shared" ca="1" si="8"/>
        <v>0</v>
      </c>
      <c r="J75" s="21" t="str">
        <f ca="1">IF(I75=0,"",COUNTIF($I$2:I75,"&gt;0"))</f>
        <v/>
      </c>
      <c r="K75" s="21" t="str">
        <f t="shared" ca="1" si="9"/>
        <v/>
      </c>
    </row>
    <row r="76" spans="1:11" s="18" customFormat="1" ht="14.25" x14ac:dyDescent="0.2">
      <c r="A76" s="18" t="str">
        <f t="shared" si="10"/>
        <v>Eintrag 75</v>
      </c>
      <c r="B76" s="18">
        <v>100</v>
      </c>
      <c r="C76" s="19">
        <v>100</v>
      </c>
      <c r="D76" s="20">
        <v>10</v>
      </c>
      <c r="E76" s="20">
        <v>10</v>
      </c>
      <c r="F76" s="20">
        <v>10</v>
      </c>
      <c r="G76" s="19">
        <f t="shared" si="11"/>
        <v>172</v>
      </c>
      <c r="H76" s="22">
        <f t="shared" si="7"/>
        <v>75</v>
      </c>
      <c r="I76" s="21">
        <f t="shared" ca="1" si="8"/>
        <v>0</v>
      </c>
      <c r="J76" s="21" t="str">
        <f ca="1">IF(I76=0,"",COUNTIF($I$2:I76,"&gt;0"))</f>
        <v/>
      </c>
      <c r="K76" s="21" t="str">
        <f t="shared" ca="1" si="9"/>
        <v/>
      </c>
    </row>
    <row r="77" spans="1:11" s="18" customFormat="1" ht="14.25" x14ac:dyDescent="0.2">
      <c r="A77" s="18" t="str">
        <f t="shared" si="10"/>
        <v>Eintrag 76</v>
      </c>
      <c r="B77" s="18">
        <v>100</v>
      </c>
      <c r="C77" s="19">
        <v>100</v>
      </c>
      <c r="D77" s="20">
        <v>10</v>
      </c>
      <c r="E77" s="20">
        <v>10</v>
      </c>
      <c r="F77" s="20">
        <v>10</v>
      </c>
      <c r="G77" s="19">
        <f t="shared" si="11"/>
        <v>172</v>
      </c>
      <c r="H77" s="22">
        <f t="shared" si="7"/>
        <v>76</v>
      </c>
      <c r="I77" s="21">
        <f t="shared" ca="1" si="8"/>
        <v>0</v>
      </c>
      <c r="J77" s="21" t="str">
        <f ca="1">IF(I77=0,"",COUNTIF($I$2:I77,"&gt;0"))</f>
        <v/>
      </c>
      <c r="K77" s="21" t="str">
        <f t="shared" ca="1" si="9"/>
        <v/>
      </c>
    </row>
    <row r="78" spans="1:11" s="18" customFormat="1" ht="14.25" x14ac:dyDescent="0.2">
      <c r="A78" s="18" t="str">
        <f t="shared" si="10"/>
        <v>Eintrag 77</v>
      </c>
      <c r="B78" s="18">
        <v>100</v>
      </c>
      <c r="C78" s="19">
        <v>100</v>
      </c>
      <c r="D78" s="20">
        <v>10</v>
      </c>
      <c r="E78" s="20">
        <v>10</v>
      </c>
      <c r="F78" s="20">
        <v>10</v>
      </c>
      <c r="G78" s="19">
        <f t="shared" si="11"/>
        <v>172</v>
      </c>
      <c r="H78" s="22">
        <f t="shared" si="7"/>
        <v>77</v>
      </c>
      <c r="I78" s="21">
        <f t="shared" ca="1" si="8"/>
        <v>0</v>
      </c>
      <c r="J78" s="21" t="str">
        <f ca="1">IF(I78=0,"",COUNTIF($I$2:I78,"&gt;0"))</f>
        <v/>
      </c>
      <c r="K78" s="21" t="str">
        <f t="shared" ca="1" si="9"/>
        <v/>
      </c>
    </row>
    <row r="79" spans="1:11" s="18" customFormat="1" ht="14.25" x14ac:dyDescent="0.2">
      <c r="A79" s="18" t="str">
        <f t="shared" si="10"/>
        <v>Eintrag 78</v>
      </c>
      <c r="B79" s="18">
        <v>100</v>
      </c>
      <c r="C79" s="19">
        <v>100</v>
      </c>
      <c r="D79" s="20">
        <v>10</v>
      </c>
      <c r="E79" s="20">
        <v>10</v>
      </c>
      <c r="F79" s="20">
        <v>10</v>
      </c>
      <c r="G79" s="19">
        <f t="shared" si="11"/>
        <v>172</v>
      </c>
      <c r="H79" s="22">
        <f t="shared" si="7"/>
        <v>78</v>
      </c>
      <c r="I79" s="21">
        <f t="shared" ca="1" si="8"/>
        <v>0</v>
      </c>
      <c r="J79" s="21" t="str">
        <f ca="1">IF(I79=0,"",COUNTIF($I$2:I79,"&gt;0"))</f>
        <v/>
      </c>
      <c r="K79" s="21" t="str">
        <f t="shared" ca="1" si="9"/>
        <v/>
      </c>
    </row>
    <row r="80" spans="1:11" s="18" customFormat="1" ht="14.25" x14ac:dyDescent="0.2">
      <c r="A80" s="18" t="str">
        <f t="shared" si="10"/>
        <v>Eintrag 79</v>
      </c>
      <c r="B80" s="18">
        <v>100</v>
      </c>
      <c r="C80" s="19">
        <v>100</v>
      </c>
      <c r="D80" s="20">
        <v>10</v>
      </c>
      <c r="E80" s="20">
        <v>10</v>
      </c>
      <c r="F80" s="20">
        <v>10</v>
      </c>
      <c r="G80" s="19">
        <f t="shared" si="11"/>
        <v>172</v>
      </c>
      <c r="H80" s="22">
        <f t="shared" si="7"/>
        <v>79</v>
      </c>
      <c r="I80" s="21">
        <f t="shared" ca="1" si="8"/>
        <v>0</v>
      </c>
      <c r="J80" s="21" t="str">
        <f ca="1">IF(I80=0,"",COUNTIF($I$2:I80,"&gt;0"))</f>
        <v/>
      </c>
      <c r="K80" s="21" t="str">
        <f t="shared" ca="1" si="9"/>
        <v/>
      </c>
    </row>
    <row r="81" spans="1:11" s="18" customFormat="1" ht="14.25" x14ac:dyDescent="0.2">
      <c r="A81" s="18" t="str">
        <f t="shared" si="10"/>
        <v>Eintrag 80</v>
      </c>
      <c r="B81" s="18">
        <v>100</v>
      </c>
      <c r="C81" s="19">
        <v>100</v>
      </c>
      <c r="D81" s="20">
        <v>10</v>
      </c>
      <c r="E81" s="20">
        <v>10</v>
      </c>
      <c r="F81" s="20">
        <v>10</v>
      </c>
      <c r="G81" s="19">
        <f t="shared" si="11"/>
        <v>172</v>
      </c>
      <c r="H81" s="22">
        <f t="shared" si="7"/>
        <v>80</v>
      </c>
      <c r="I81" s="21">
        <f t="shared" ca="1" si="8"/>
        <v>0</v>
      </c>
      <c r="J81" s="21" t="str">
        <f ca="1">IF(I81=0,"",COUNTIF($I$2:I81,"&gt;0"))</f>
        <v/>
      </c>
      <c r="K81" s="21" t="str">
        <f t="shared" ca="1" si="9"/>
        <v/>
      </c>
    </row>
    <row r="82" spans="1:11" s="18" customFormat="1" ht="14.25" x14ac:dyDescent="0.2">
      <c r="A82" s="18" t="str">
        <f t="shared" si="10"/>
        <v>Eintrag 81</v>
      </c>
      <c r="B82" s="18">
        <v>100</v>
      </c>
      <c r="C82" s="19">
        <v>100</v>
      </c>
      <c r="D82" s="20">
        <v>10</v>
      </c>
      <c r="E82" s="20">
        <v>10</v>
      </c>
      <c r="F82" s="20">
        <v>10</v>
      </c>
      <c r="G82" s="19">
        <f t="shared" si="11"/>
        <v>172</v>
      </c>
      <c r="H82" s="22">
        <f t="shared" si="7"/>
        <v>81</v>
      </c>
      <c r="I82" s="21">
        <f t="shared" ca="1" si="8"/>
        <v>0</v>
      </c>
      <c r="J82" s="21" t="str">
        <f ca="1">IF(I82=0,"",COUNTIF($I$2:I82,"&gt;0"))</f>
        <v/>
      </c>
      <c r="K82" s="21" t="str">
        <f t="shared" ca="1" si="9"/>
        <v/>
      </c>
    </row>
    <row r="83" spans="1:11" s="18" customFormat="1" ht="14.25" x14ac:dyDescent="0.2">
      <c r="A83" s="18" t="str">
        <f t="shared" si="10"/>
        <v>Eintrag 82</v>
      </c>
      <c r="B83" s="18">
        <v>100</v>
      </c>
      <c r="C83" s="19">
        <v>100</v>
      </c>
      <c r="D83" s="20">
        <v>10</v>
      </c>
      <c r="E83" s="20">
        <v>10</v>
      </c>
      <c r="F83" s="20">
        <v>10</v>
      </c>
      <c r="G83" s="19">
        <f t="shared" si="11"/>
        <v>172</v>
      </c>
      <c r="H83" s="22">
        <f t="shared" si="7"/>
        <v>82</v>
      </c>
      <c r="I83" s="21">
        <f t="shared" ca="1" si="8"/>
        <v>0</v>
      </c>
      <c r="J83" s="21" t="str">
        <f ca="1">IF(I83=0,"",COUNTIF($I$2:I83,"&gt;0"))</f>
        <v/>
      </c>
      <c r="K83" s="21" t="str">
        <f t="shared" ca="1" si="9"/>
        <v/>
      </c>
    </row>
    <row r="84" spans="1:11" s="18" customFormat="1" ht="14.25" x14ac:dyDescent="0.2">
      <c r="A84" s="18" t="str">
        <f t="shared" si="10"/>
        <v>Eintrag 83</v>
      </c>
      <c r="B84" s="18">
        <v>100</v>
      </c>
      <c r="C84" s="19">
        <v>100</v>
      </c>
      <c r="D84" s="20">
        <v>10</v>
      </c>
      <c r="E84" s="20">
        <v>10</v>
      </c>
      <c r="F84" s="20">
        <v>10</v>
      </c>
      <c r="G84" s="19">
        <f t="shared" si="11"/>
        <v>172</v>
      </c>
      <c r="H84" s="22">
        <f t="shared" si="7"/>
        <v>83</v>
      </c>
      <c r="I84" s="21">
        <f t="shared" ca="1" si="8"/>
        <v>0</v>
      </c>
      <c r="J84" s="21" t="str">
        <f ca="1">IF(I84=0,"",COUNTIF($I$2:I84,"&gt;0"))</f>
        <v/>
      </c>
      <c r="K84" s="21" t="str">
        <f t="shared" ca="1" si="9"/>
        <v/>
      </c>
    </row>
    <row r="85" spans="1:11" s="18" customFormat="1" ht="14.25" x14ac:dyDescent="0.2">
      <c r="A85" s="18" t="str">
        <f t="shared" si="10"/>
        <v>Eintrag 84</v>
      </c>
      <c r="B85" s="18">
        <v>100</v>
      </c>
      <c r="C85" s="19">
        <v>100</v>
      </c>
      <c r="D85" s="20">
        <v>10</v>
      </c>
      <c r="E85" s="20">
        <v>10</v>
      </c>
      <c r="F85" s="20">
        <v>10</v>
      </c>
      <c r="G85" s="19">
        <f t="shared" si="11"/>
        <v>172</v>
      </c>
      <c r="H85" s="22">
        <f t="shared" si="7"/>
        <v>84</v>
      </c>
      <c r="I85" s="21">
        <f t="shared" ca="1" si="8"/>
        <v>0</v>
      </c>
      <c r="J85" s="21" t="str">
        <f ca="1">IF(I85=0,"",COUNTIF($I$2:I85,"&gt;0"))</f>
        <v/>
      </c>
      <c r="K85" s="21" t="str">
        <f t="shared" ca="1" si="9"/>
        <v/>
      </c>
    </row>
    <row r="86" spans="1:11" s="18" customFormat="1" ht="14.25" x14ac:dyDescent="0.2">
      <c r="A86" s="18" t="str">
        <f t="shared" si="10"/>
        <v>Eintrag 85</v>
      </c>
      <c r="B86" s="18">
        <v>100</v>
      </c>
      <c r="C86" s="19">
        <v>100</v>
      </c>
      <c r="D86" s="20">
        <v>10</v>
      </c>
      <c r="E86" s="20">
        <v>10</v>
      </c>
      <c r="F86" s="20">
        <v>10</v>
      </c>
      <c r="G86" s="19">
        <f t="shared" si="11"/>
        <v>172</v>
      </c>
      <c r="H86" s="22">
        <f t="shared" si="7"/>
        <v>85</v>
      </c>
      <c r="I86" s="21">
        <f t="shared" ca="1" si="8"/>
        <v>0</v>
      </c>
      <c r="J86" s="21" t="str">
        <f ca="1">IF(I86=0,"",COUNTIF($I$2:I86,"&gt;0"))</f>
        <v/>
      </c>
      <c r="K86" s="21" t="str">
        <f t="shared" ca="1" si="9"/>
        <v/>
      </c>
    </row>
    <row r="87" spans="1:11" s="18" customFormat="1" ht="14.25" x14ac:dyDescent="0.2">
      <c r="A87" s="18" t="str">
        <f t="shared" si="10"/>
        <v>Eintrag 86</v>
      </c>
      <c r="B87" s="18">
        <v>100</v>
      </c>
      <c r="C87" s="19">
        <v>100</v>
      </c>
      <c r="D87" s="20">
        <v>10</v>
      </c>
      <c r="E87" s="20">
        <v>10</v>
      </c>
      <c r="F87" s="20">
        <v>10</v>
      </c>
      <c r="G87" s="19">
        <f t="shared" si="11"/>
        <v>172</v>
      </c>
      <c r="H87" s="22">
        <f t="shared" si="7"/>
        <v>86</v>
      </c>
      <c r="I87" s="21">
        <f t="shared" ca="1" si="8"/>
        <v>0</v>
      </c>
      <c r="J87" s="21" t="str">
        <f ca="1">IF(I87=0,"",COUNTIF($I$2:I87,"&gt;0"))</f>
        <v/>
      </c>
      <c r="K87" s="21" t="str">
        <f t="shared" ca="1" si="9"/>
        <v/>
      </c>
    </row>
    <row r="88" spans="1:11" s="18" customFormat="1" ht="14.25" x14ac:dyDescent="0.2">
      <c r="A88" s="18" t="str">
        <f t="shared" si="10"/>
        <v>Eintrag 87</v>
      </c>
      <c r="B88" s="18">
        <v>100</v>
      </c>
      <c r="C88" s="19">
        <v>100</v>
      </c>
      <c r="D88" s="20">
        <v>10</v>
      </c>
      <c r="E88" s="20">
        <v>10</v>
      </c>
      <c r="F88" s="20">
        <v>10</v>
      </c>
      <c r="G88" s="19">
        <f t="shared" si="11"/>
        <v>172</v>
      </c>
      <c r="H88" s="22">
        <f t="shared" si="7"/>
        <v>87</v>
      </c>
      <c r="I88" s="21">
        <f t="shared" ca="1" si="8"/>
        <v>0</v>
      </c>
      <c r="J88" s="21" t="str">
        <f ca="1">IF(I88=0,"",COUNTIF($I$2:I88,"&gt;0"))</f>
        <v/>
      </c>
      <c r="K88" s="21" t="str">
        <f t="shared" ca="1" si="9"/>
        <v/>
      </c>
    </row>
    <row r="89" spans="1:11" s="18" customFormat="1" ht="14.25" x14ac:dyDescent="0.2">
      <c r="A89" s="18" t="str">
        <f t="shared" si="10"/>
        <v>Eintrag 88</v>
      </c>
      <c r="B89" s="18">
        <v>100</v>
      </c>
      <c r="C89" s="19">
        <v>100</v>
      </c>
      <c r="D89" s="20">
        <v>10</v>
      </c>
      <c r="E89" s="20">
        <v>10</v>
      </c>
      <c r="F89" s="20">
        <v>10</v>
      </c>
      <c r="G89" s="19">
        <f t="shared" si="11"/>
        <v>172</v>
      </c>
      <c r="H89" s="22">
        <f t="shared" si="7"/>
        <v>88</v>
      </c>
      <c r="I89" s="21">
        <f t="shared" ca="1" si="8"/>
        <v>0</v>
      </c>
      <c r="J89" s="21" t="str">
        <f ca="1">IF(I89=0,"",COUNTIF($I$2:I89,"&gt;0"))</f>
        <v/>
      </c>
      <c r="K89" s="21" t="str">
        <f t="shared" ca="1" si="9"/>
        <v/>
      </c>
    </row>
    <row r="90" spans="1:11" s="18" customFormat="1" ht="14.25" x14ac:dyDescent="0.2">
      <c r="A90" s="18" t="str">
        <f t="shared" si="10"/>
        <v>Eintrag 89</v>
      </c>
      <c r="B90" s="18">
        <v>100</v>
      </c>
      <c r="C90" s="19">
        <v>100</v>
      </c>
      <c r="D90" s="20">
        <v>10</v>
      </c>
      <c r="E90" s="20">
        <v>10</v>
      </c>
      <c r="F90" s="20">
        <v>10</v>
      </c>
      <c r="G90" s="19">
        <f t="shared" si="11"/>
        <v>172</v>
      </c>
      <c r="H90" s="22">
        <f t="shared" si="7"/>
        <v>89</v>
      </c>
      <c r="I90" s="21">
        <f t="shared" ca="1" si="8"/>
        <v>0</v>
      </c>
      <c r="J90" s="21" t="str">
        <f ca="1">IF(I90=0,"",COUNTIF($I$2:I90,"&gt;0"))</f>
        <v/>
      </c>
      <c r="K90" s="21" t="str">
        <f t="shared" ca="1" si="9"/>
        <v/>
      </c>
    </row>
    <row r="91" spans="1:11" s="18" customFormat="1" ht="14.25" x14ac:dyDescent="0.2">
      <c r="A91" s="18" t="str">
        <f t="shared" si="10"/>
        <v>Eintrag 90</v>
      </c>
      <c r="B91" s="18">
        <v>100</v>
      </c>
      <c r="C91" s="19">
        <v>100</v>
      </c>
      <c r="D91" s="20">
        <v>10</v>
      </c>
      <c r="E91" s="20">
        <v>10</v>
      </c>
      <c r="F91" s="20">
        <v>10</v>
      </c>
      <c r="G91" s="19">
        <f t="shared" si="11"/>
        <v>172</v>
      </c>
      <c r="H91" s="22">
        <f t="shared" si="7"/>
        <v>90</v>
      </c>
      <c r="I91" s="21">
        <f t="shared" ca="1" si="8"/>
        <v>0</v>
      </c>
      <c r="J91" s="21" t="str">
        <f ca="1">IF(I91=0,"",COUNTIF($I$2:I91,"&gt;0"))</f>
        <v/>
      </c>
      <c r="K91" s="21" t="str">
        <f t="shared" ca="1" si="9"/>
        <v/>
      </c>
    </row>
    <row r="92" spans="1:11" s="18" customFormat="1" ht="14.25" x14ac:dyDescent="0.2">
      <c r="A92" s="18" t="str">
        <f t="shared" si="10"/>
        <v>Eintrag 91</v>
      </c>
      <c r="B92" s="18">
        <v>100</v>
      </c>
      <c r="C92" s="19">
        <v>100</v>
      </c>
      <c r="D92" s="20">
        <v>10</v>
      </c>
      <c r="E92" s="20">
        <v>10</v>
      </c>
      <c r="F92" s="20">
        <v>10</v>
      </c>
      <c r="G92" s="19">
        <f t="shared" si="11"/>
        <v>172</v>
      </c>
      <c r="H92" s="22">
        <f t="shared" si="7"/>
        <v>91</v>
      </c>
      <c r="I92" s="21">
        <f t="shared" ca="1" si="8"/>
        <v>0</v>
      </c>
      <c r="J92" s="21" t="str">
        <f ca="1">IF(I92=0,"",COUNTIF($I$2:I92,"&gt;0"))</f>
        <v/>
      </c>
      <c r="K92" s="21" t="str">
        <f t="shared" ca="1" si="9"/>
        <v/>
      </c>
    </row>
    <row r="93" spans="1:11" s="18" customFormat="1" ht="14.25" x14ac:dyDescent="0.2">
      <c r="A93" s="18" t="str">
        <f t="shared" si="10"/>
        <v>Eintrag 92</v>
      </c>
      <c r="B93" s="18">
        <v>100</v>
      </c>
      <c r="C93" s="19">
        <v>100</v>
      </c>
      <c r="D93" s="20">
        <v>10</v>
      </c>
      <c r="E93" s="20">
        <v>10</v>
      </c>
      <c r="F93" s="20">
        <v>10</v>
      </c>
      <c r="G93" s="19">
        <f t="shared" si="11"/>
        <v>172</v>
      </c>
      <c r="H93" s="22">
        <f t="shared" si="7"/>
        <v>92</v>
      </c>
      <c r="I93" s="21">
        <f t="shared" ca="1" si="8"/>
        <v>0</v>
      </c>
      <c r="J93" s="21" t="str">
        <f ca="1">IF(I93=0,"",COUNTIF($I$2:I93,"&gt;0"))</f>
        <v/>
      </c>
      <c r="K93" s="21" t="str">
        <f t="shared" ca="1" si="9"/>
        <v/>
      </c>
    </row>
    <row r="94" spans="1:11" s="18" customFormat="1" ht="14.25" x14ac:dyDescent="0.2">
      <c r="A94" s="18" t="str">
        <f t="shared" si="10"/>
        <v>Eintrag 93</v>
      </c>
      <c r="B94" s="18">
        <v>100</v>
      </c>
      <c r="C94" s="19">
        <v>100</v>
      </c>
      <c r="D94" s="20">
        <v>10</v>
      </c>
      <c r="E94" s="20">
        <v>10</v>
      </c>
      <c r="F94" s="20">
        <v>10</v>
      </c>
      <c r="G94" s="19">
        <f t="shared" si="11"/>
        <v>172</v>
      </c>
      <c r="H94" s="22">
        <f t="shared" si="7"/>
        <v>93</v>
      </c>
      <c r="I94" s="21">
        <f t="shared" ca="1" si="8"/>
        <v>0</v>
      </c>
      <c r="J94" s="21" t="str">
        <f ca="1">IF(I94=0,"",COUNTIF($I$2:I94,"&gt;0"))</f>
        <v/>
      </c>
      <c r="K94" s="21" t="str">
        <f t="shared" ca="1" si="9"/>
        <v/>
      </c>
    </row>
    <row r="95" spans="1:11" s="18" customFormat="1" ht="14.25" x14ac:dyDescent="0.2">
      <c r="A95" s="18" t="str">
        <f t="shared" si="10"/>
        <v>Eintrag 94</v>
      </c>
      <c r="B95" s="18">
        <v>100</v>
      </c>
      <c r="C95" s="19">
        <v>100</v>
      </c>
      <c r="D95" s="20">
        <v>10</v>
      </c>
      <c r="E95" s="20">
        <v>10</v>
      </c>
      <c r="F95" s="20">
        <v>10</v>
      </c>
      <c r="G95" s="19">
        <f t="shared" si="11"/>
        <v>172</v>
      </c>
      <c r="H95" s="22">
        <f t="shared" si="7"/>
        <v>94</v>
      </c>
      <c r="I95" s="21">
        <f t="shared" ca="1" si="8"/>
        <v>0</v>
      </c>
      <c r="J95" s="21" t="str">
        <f ca="1">IF(I95=0,"",COUNTIF($I$2:I95,"&gt;0"))</f>
        <v/>
      </c>
      <c r="K95" s="21" t="str">
        <f t="shared" ca="1" si="9"/>
        <v/>
      </c>
    </row>
    <row r="96" spans="1:11" s="18" customFormat="1" ht="14.25" x14ac:dyDescent="0.2">
      <c r="A96" s="18" t="str">
        <f t="shared" si="10"/>
        <v>Eintrag 95</v>
      </c>
      <c r="B96" s="18">
        <v>100</v>
      </c>
      <c r="C96" s="19">
        <v>100</v>
      </c>
      <c r="D96" s="20">
        <v>10</v>
      </c>
      <c r="E96" s="20">
        <v>10</v>
      </c>
      <c r="F96" s="20">
        <v>10</v>
      </c>
      <c r="G96" s="19">
        <f t="shared" si="11"/>
        <v>172</v>
      </c>
      <c r="H96" s="22">
        <f t="shared" si="7"/>
        <v>95</v>
      </c>
      <c r="I96" s="21">
        <f t="shared" ca="1" si="8"/>
        <v>0</v>
      </c>
      <c r="J96" s="21" t="str">
        <f ca="1">IF(I96=0,"",COUNTIF($I$2:I96,"&gt;0"))</f>
        <v/>
      </c>
      <c r="K96" s="21" t="str">
        <f t="shared" ca="1" si="9"/>
        <v/>
      </c>
    </row>
    <row r="97" spans="1:11" s="18" customFormat="1" ht="14.25" x14ac:dyDescent="0.2">
      <c r="A97" s="18" t="str">
        <f t="shared" si="10"/>
        <v>Eintrag 96</v>
      </c>
      <c r="B97" s="18">
        <v>100</v>
      </c>
      <c r="C97" s="19">
        <v>100</v>
      </c>
      <c r="D97" s="20">
        <v>10</v>
      </c>
      <c r="E97" s="20">
        <v>10</v>
      </c>
      <c r="F97" s="20">
        <v>10</v>
      </c>
      <c r="G97" s="19">
        <f t="shared" si="11"/>
        <v>172</v>
      </c>
      <c r="H97" s="22">
        <f t="shared" si="7"/>
        <v>96</v>
      </c>
      <c r="I97" s="21">
        <f t="shared" ca="1" si="8"/>
        <v>0</v>
      </c>
      <c r="J97" s="21" t="str">
        <f ca="1">IF(I97=0,"",COUNTIF($I$2:I97,"&gt;0"))</f>
        <v/>
      </c>
      <c r="K97" s="21" t="str">
        <f t="shared" ca="1" si="9"/>
        <v/>
      </c>
    </row>
    <row r="98" spans="1:11" s="18" customFormat="1" ht="14.25" x14ac:dyDescent="0.2">
      <c r="A98" s="18" t="str">
        <f t="shared" si="10"/>
        <v>Eintrag 97</v>
      </c>
      <c r="B98" s="18">
        <v>100</v>
      </c>
      <c r="C98" s="19">
        <v>100</v>
      </c>
      <c r="D98" s="20">
        <v>10</v>
      </c>
      <c r="E98" s="20">
        <v>10</v>
      </c>
      <c r="F98" s="20">
        <v>10</v>
      </c>
      <c r="G98" s="19">
        <f t="shared" si="11"/>
        <v>172</v>
      </c>
      <c r="H98" s="22">
        <f t="shared" si="7"/>
        <v>97</v>
      </c>
      <c r="I98" s="21">
        <f t="shared" ca="1" si="8"/>
        <v>0</v>
      </c>
      <c r="J98" s="21" t="str">
        <f ca="1">IF(I98=0,"",COUNTIF($I$2:I98,"&gt;0"))</f>
        <v/>
      </c>
      <c r="K98" s="21" t="str">
        <f t="shared" ca="1" si="9"/>
        <v/>
      </c>
    </row>
    <row r="99" spans="1:11" s="18" customFormat="1" ht="14.25" x14ac:dyDescent="0.2">
      <c r="A99" s="18" t="str">
        <f t="shared" si="10"/>
        <v>Eintrag 98</v>
      </c>
      <c r="B99" s="18">
        <v>100</v>
      </c>
      <c r="C99" s="19">
        <v>100</v>
      </c>
      <c r="D99" s="20">
        <v>10</v>
      </c>
      <c r="E99" s="20">
        <v>10</v>
      </c>
      <c r="F99" s="20">
        <v>10</v>
      </c>
      <c r="G99" s="19">
        <f t="shared" si="11"/>
        <v>172</v>
      </c>
      <c r="H99" s="22">
        <f t="shared" si="7"/>
        <v>98</v>
      </c>
      <c r="I99" s="21">
        <f t="shared" ca="1" si="8"/>
        <v>0</v>
      </c>
      <c r="J99" s="21" t="str">
        <f ca="1">IF(I99=0,"",COUNTIF($I$2:I99,"&gt;0"))</f>
        <v/>
      </c>
      <c r="K99" s="21" t="str">
        <f t="shared" ca="1" si="9"/>
        <v/>
      </c>
    </row>
    <row r="100" spans="1:11" s="18" customFormat="1" ht="14.25" x14ac:dyDescent="0.2">
      <c r="A100" s="18" t="str">
        <f t="shared" si="10"/>
        <v>Eintrag 99</v>
      </c>
      <c r="B100" s="18">
        <v>100</v>
      </c>
      <c r="C100" s="19">
        <v>100</v>
      </c>
      <c r="D100" s="20">
        <v>10</v>
      </c>
      <c r="E100" s="20">
        <v>10</v>
      </c>
      <c r="F100" s="20">
        <v>10</v>
      </c>
      <c r="G100" s="19">
        <f t="shared" si="11"/>
        <v>172</v>
      </c>
      <c r="H100" s="22">
        <f t="shared" si="7"/>
        <v>99</v>
      </c>
      <c r="I100" s="21">
        <f t="shared" ca="1" si="8"/>
        <v>0</v>
      </c>
      <c r="J100" s="21" t="str">
        <f ca="1">IF(I100=0,"",COUNTIF($I$2:I100,"&gt;0"))</f>
        <v/>
      </c>
      <c r="K100" s="21" t="str">
        <f t="shared" ca="1" si="9"/>
        <v/>
      </c>
    </row>
    <row r="101" spans="1:11" s="18" customFormat="1" ht="14.25" x14ac:dyDescent="0.2">
      <c r="A101" s="18" t="str">
        <f t="shared" si="10"/>
        <v>Eintrag 100</v>
      </c>
      <c r="B101" s="18">
        <v>100</v>
      </c>
      <c r="C101" s="19">
        <v>100</v>
      </c>
      <c r="D101" s="20">
        <v>10</v>
      </c>
      <c r="E101" s="20">
        <v>10</v>
      </c>
      <c r="F101" s="20">
        <v>10</v>
      </c>
      <c r="G101" s="19">
        <f t="shared" si="11"/>
        <v>172</v>
      </c>
      <c r="H101" s="22">
        <f t="shared" si="7"/>
        <v>100</v>
      </c>
      <c r="I101" s="21">
        <f t="shared" ca="1" si="8"/>
        <v>0</v>
      </c>
      <c r="J101" s="21" t="str">
        <f ca="1">IF(I101=0,"",COUNTIF($I$2:I101,"&gt;0"))</f>
        <v/>
      </c>
      <c r="K101" s="21" t="str">
        <f t="shared" ca="1" si="9"/>
        <v/>
      </c>
    </row>
    <row r="102" spans="1:11" s="18" customFormat="1" ht="14.25" x14ac:dyDescent="0.2">
      <c r="A102" s="18" t="str">
        <f t="shared" si="10"/>
        <v>Eintrag 101</v>
      </c>
      <c r="B102" s="18">
        <v>100</v>
      </c>
      <c r="C102" s="19">
        <v>100</v>
      </c>
      <c r="D102" s="20">
        <v>10</v>
      </c>
      <c r="E102" s="20">
        <v>10</v>
      </c>
      <c r="F102" s="20">
        <v>10</v>
      </c>
      <c r="G102" s="19">
        <f t="shared" si="11"/>
        <v>172</v>
      </c>
      <c r="H102" s="22">
        <f t="shared" si="7"/>
        <v>101</v>
      </c>
      <c r="I102" s="21">
        <f t="shared" ca="1" si="8"/>
        <v>0</v>
      </c>
      <c r="J102" s="21" t="str">
        <f ca="1">IF(I102=0,"",COUNTIF($I$2:I102,"&gt;0"))</f>
        <v/>
      </c>
      <c r="K102" s="21" t="str">
        <f t="shared" ca="1" si="9"/>
        <v/>
      </c>
    </row>
    <row r="103" spans="1:11" s="18" customFormat="1" ht="14.25" x14ac:dyDescent="0.2">
      <c r="A103" s="18" t="str">
        <f t="shared" si="10"/>
        <v>Eintrag 102</v>
      </c>
      <c r="B103" s="18">
        <v>100</v>
      </c>
      <c r="C103" s="19">
        <v>100</v>
      </c>
      <c r="D103" s="20">
        <v>10</v>
      </c>
      <c r="E103" s="20">
        <v>10</v>
      </c>
      <c r="F103" s="20">
        <v>10</v>
      </c>
      <c r="G103" s="19">
        <f t="shared" si="11"/>
        <v>172</v>
      </c>
      <c r="H103" s="22">
        <f t="shared" si="7"/>
        <v>102</v>
      </c>
      <c r="I103" s="21">
        <f t="shared" ca="1" si="8"/>
        <v>0</v>
      </c>
      <c r="J103" s="21" t="str">
        <f ca="1">IF(I103=0,"",COUNTIF($I$2:I103,"&gt;0"))</f>
        <v/>
      </c>
      <c r="K103" s="21" t="str">
        <f t="shared" ca="1" si="9"/>
        <v/>
      </c>
    </row>
    <row r="104" spans="1:11" s="18" customFormat="1" ht="14.25" x14ac:dyDescent="0.2">
      <c r="A104" s="18" t="str">
        <f t="shared" si="10"/>
        <v>Eintrag 103</v>
      </c>
      <c r="B104" s="18">
        <v>100</v>
      </c>
      <c r="C104" s="19">
        <v>100</v>
      </c>
      <c r="D104" s="20">
        <v>10</v>
      </c>
      <c r="E104" s="20">
        <v>10</v>
      </c>
      <c r="F104" s="20">
        <v>10</v>
      </c>
      <c r="G104" s="19">
        <f t="shared" si="11"/>
        <v>172</v>
      </c>
      <c r="H104" s="22">
        <f t="shared" si="7"/>
        <v>103</v>
      </c>
      <c r="I104" s="21">
        <f t="shared" ca="1" si="8"/>
        <v>0</v>
      </c>
      <c r="J104" s="21" t="str">
        <f ca="1">IF(I104=0,"",COUNTIF($I$2:I104,"&gt;0"))</f>
        <v/>
      </c>
      <c r="K104" s="21" t="str">
        <f t="shared" ca="1" si="9"/>
        <v/>
      </c>
    </row>
    <row r="105" spans="1:11" s="18" customFormat="1" ht="14.25" x14ac:dyDescent="0.2">
      <c r="A105" s="18" t="str">
        <f t="shared" si="10"/>
        <v>Eintrag 104</v>
      </c>
      <c r="B105" s="18">
        <v>100</v>
      </c>
      <c r="C105" s="19">
        <v>100</v>
      </c>
      <c r="D105" s="20">
        <v>10</v>
      </c>
      <c r="E105" s="20">
        <v>10</v>
      </c>
      <c r="F105" s="20">
        <v>10</v>
      </c>
      <c r="G105" s="19">
        <f t="shared" si="11"/>
        <v>172</v>
      </c>
      <c r="H105" s="22">
        <f t="shared" si="7"/>
        <v>104</v>
      </c>
      <c r="I105" s="21">
        <f t="shared" ca="1" si="8"/>
        <v>0</v>
      </c>
      <c r="J105" s="21" t="str">
        <f ca="1">IF(I105=0,"",COUNTIF($I$2:I105,"&gt;0"))</f>
        <v/>
      </c>
      <c r="K105" s="21" t="str">
        <f t="shared" ca="1" si="9"/>
        <v/>
      </c>
    </row>
    <row r="106" spans="1:11" s="18" customFormat="1" ht="14.25" x14ac:dyDescent="0.2">
      <c r="A106" s="18" t="str">
        <f t="shared" si="10"/>
        <v>Eintrag 105</v>
      </c>
      <c r="B106" s="18">
        <v>100</v>
      </c>
      <c r="C106" s="19">
        <v>100</v>
      </c>
      <c r="D106" s="20">
        <v>10</v>
      </c>
      <c r="E106" s="20">
        <v>10</v>
      </c>
      <c r="F106" s="20">
        <v>10</v>
      </c>
      <c r="G106" s="19">
        <f t="shared" si="11"/>
        <v>172</v>
      </c>
      <c r="H106" s="22">
        <f t="shared" si="7"/>
        <v>105</v>
      </c>
      <c r="I106" s="21">
        <f t="shared" ca="1" si="8"/>
        <v>0</v>
      </c>
      <c r="J106" s="21" t="str">
        <f ca="1">IF(I106=0,"",COUNTIF($I$2:I106,"&gt;0"))</f>
        <v/>
      </c>
      <c r="K106" s="21" t="str">
        <f t="shared" ca="1" si="9"/>
        <v/>
      </c>
    </row>
    <row r="107" spans="1:11" s="18" customFormat="1" ht="14.25" x14ac:dyDescent="0.2">
      <c r="A107" s="18" t="str">
        <f t="shared" si="10"/>
        <v>Eintrag 106</v>
      </c>
      <c r="B107" s="18">
        <v>100</v>
      </c>
      <c r="C107" s="19">
        <v>100</v>
      </c>
      <c r="D107" s="20">
        <v>10</v>
      </c>
      <c r="E107" s="20">
        <v>10</v>
      </c>
      <c r="F107" s="20">
        <v>10</v>
      </c>
      <c r="G107" s="19">
        <f t="shared" si="11"/>
        <v>172</v>
      </c>
      <c r="H107" s="22">
        <f t="shared" si="7"/>
        <v>106</v>
      </c>
      <c r="I107" s="21">
        <f t="shared" ca="1" si="8"/>
        <v>0</v>
      </c>
      <c r="J107" s="21" t="str">
        <f ca="1">IF(I107=0,"",COUNTIF($I$2:I107,"&gt;0"))</f>
        <v/>
      </c>
      <c r="K107" s="21" t="str">
        <f t="shared" ca="1" si="9"/>
        <v/>
      </c>
    </row>
    <row r="108" spans="1:11" s="18" customFormat="1" ht="14.25" x14ac:dyDescent="0.2">
      <c r="A108" s="18" t="str">
        <f t="shared" si="10"/>
        <v>Eintrag 107</v>
      </c>
      <c r="B108" s="18">
        <v>100</v>
      </c>
      <c r="C108" s="19">
        <v>100</v>
      </c>
      <c r="D108" s="20">
        <v>10</v>
      </c>
      <c r="E108" s="20">
        <v>10</v>
      </c>
      <c r="F108" s="20">
        <v>10</v>
      </c>
      <c r="G108" s="19">
        <f t="shared" si="11"/>
        <v>172</v>
      </c>
      <c r="H108" s="22">
        <f t="shared" si="7"/>
        <v>107</v>
      </c>
      <c r="I108" s="21">
        <f t="shared" ca="1" si="8"/>
        <v>0</v>
      </c>
      <c r="J108" s="21" t="str">
        <f ca="1">IF(I108=0,"",COUNTIF($I$2:I108,"&gt;0"))</f>
        <v/>
      </c>
      <c r="K108" s="21" t="str">
        <f t="shared" ca="1" si="9"/>
        <v/>
      </c>
    </row>
    <row r="109" spans="1:11" s="18" customFormat="1" ht="14.25" x14ac:dyDescent="0.2">
      <c r="A109" s="18" t="str">
        <f t="shared" si="10"/>
        <v>Eintrag 108</v>
      </c>
      <c r="B109" s="18">
        <v>100</v>
      </c>
      <c r="C109" s="19">
        <v>100</v>
      </c>
      <c r="D109" s="20">
        <v>10</v>
      </c>
      <c r="E109" s="20">
        <v>10</v>
      </c>
      <c r="F109" s="20">
        <v>10</v>
      </c>
      <c r="G109" s="19">
        <f t="shared" si="11"/>
        <v>172</v>
      </c>
      <c r="H109" s="22">
        <f t="shared" si="7"/>
        <v>108</v>
      </c>
      <c r="I109" s="21">
        <f t="shared" ca="1" si="8"/>
        <v>0</v>
      </c>
      <c r="J109" s="21" t="str">
        <f ca="1">IF(I109=0,"",COUNTIF($I$2:I109,"&gt;0"))</f>
        <v/>
      </c>
      <c r="K109" s="21" t="str">
        <f t="shared" ca="1" si="9"/>
        <v/>
      </c>
    </row>
    <row r="110" spans="1:11" s="18" customFormat="1" ht="14.25" x14ac:dyDescent="0.2">
      <c r="A110" s="18" t="str">
        <f t="shared" si="10"/>
        <v>Eintrag 109</v>
      </c>
      <c r="B110" s="18">
        <v>100</v>
      </c>
      <c r="C110" s="19">
        <v>100</v>
      </c>
      <c r="D110" s="20">
        <v>10</v>
      </c>
      <c r="E110" s="20">
        <v>10</v>
      </c>
      <c r="F110" s="20">
        <v>10</v>
      </c>
      <c r="G110" s="19">
        <f t="shared" si="11"/>
        <v>172</v>
      </c>
      <c r="H110" s="22">
        <f t="shared" si="7"/>
        <v>109</v>
      </c>
      <c r="I110" s="21">
        <f t="shared" ca="1" si="8"/>
        <v>0</v>
      </c>
      <c r="J110" s="21" t="str">
        <f ca="1">IF(I110=0,"",COUNTIF($I$2:I110,"&gt;0"))</f>
        <v/>
      </c>
      <c r="K110" s="21" t="str">
        <f t="shared" ca="1" si="9"/>
        <v/>
      </c>
    </row>
    <row r="111" spans="1:11" s="18" customFormat="1" ht="14.25" x14ac:dyDescent="0.2">
      <c r="A111" s="18" t="str">
        <f t="shared" si="10"/>
        <v>Eintrag 110</v>
      </c>
      <c r="B111" s="18">
        <v>100</v>
      </c>
      <c r="C111" s="19">
        <v>100</v>
      </c>
      <c r="D111" s="20">
        <v>10</v>
      </c>
      <c r="E111" s="20">
        <v>10</v>
      </c>
      <c r="F111" s="20">
        <v>10</v>
      </c>
      <c r="G111" s="19">
        <f t="shared" si="11"/>
        <v>172</v>
      </c>
      <c r="H111" s="22">
        <f t="shared" si="7"/>
        <v>110</v>
      </c>
      <c r="I111" s="21">
        <f t="shared" ca="1" si="8"/>
        <v>0</v>
      </c>
      <c r="J111" s="21" t="str">
        <f ca="1">IF(I111=0,"",COUNTIF($I$2:I111,"&gt;0"))</f>
        <v/>
      </c>
      <c r="K111" s="21" t="str">
        <f t="shared" ca="1" si="9"/>
        <v/>
      </c>
    </row>
    <row r="112" spans="1:11" s="18" customFormat="1" ht="14.25" x14ac:dyDescent="0.2">
      <c r="A112" s="18" t="str">
        <f t="shared" si="10"/>
        <v>Eintrag 111</v>
      </c>
      <c r="B112" s="18">
        <v>100</v>
      </c>
      <c r="C112" s="19">
        <v>100</v>
      </c>
      <c r="D112" s="20">
        <v>10</v>
      </c>
      <c r="E112" s="20">
        <v>10</v>
      </c>
      <c r="F112" s="20">
        <v>10</v>
      </c>
      <c r="G112" s="19">
        <f t="shared" si="11"/>
        <v>172</v>
      </c>
      <c r="H112" s="22">
        <f t="shared" si="7"/>
        <v>111</v>
      </c>
      <c r="I112" s="21">
        <f t="shared" ca="1" si="8"/>
        <v>0</v>
      </c>
      <c r="J112" s="21" t="str">
        <f ca="1">IF(I112=0,"",COUNTIF($I$2:I112,"&gt;0"))</f>
        <v/>
      </c>
      <c r="K112" s="21" t="str">
        <f t="shared" ca="1" si="9"/>
        <v/>
      </c>
    </row>
    <row r="113" spans="1:11" s="18" customFormat="1" ht="14.25" x14ac:dyDescent="0.2">
      <c r="A113" s="18" t="str">
        <f t="shared" si="10"/>
        <v>Eintrag 112</v>
      </c>
      <c r="B113" s="18">
        <v>100</v>
      </c>
      <c r="C113" s="19">
        <v>100</v>
      </c>
      <c r="D113" s="20">
        <v>10</v>
      </c>
      <c r="E113" s="20">
        <v>10</v>
      </c>
      <c r="F113" s="20">
        <v>10</v>
      </c>
      <c r="G113" s="19">
        <f t="shared" si="11"/>
        <v>172</v>
      </c>
      <c r="H113" s="22">
        <f t="shared" si="7"/>
        <v>112</v>
      </c>
      <c r="I113" s="21">
        <f t="shared" ca="1" si="8"/>
        <v>0</v>
      </c>
      <c r="J113" s="21" t="str">
        <f ca="1">IF(I113=0,"",COUNTIF($I$2:I113,"&gt;0"))</f>
        <v/>
      </c>
      <c r="K113" s="21" t="str">
        <f t="shared" ca="1" si="9"/>
        <v/>
      </c>
    </row>
    <row r="114" spans="1:11" s="18" customFormat="1" ht="14.25" x14ac:dyDescent="0.2">
      <c r="A114" s="18" t="str">
        <f t="shared" si="10"/>
        <v>Eintrag 113</v>
      </c>
      <c r="B114" s="18">
        <v>100</v>
      </c>
      <c r="C114" s="19">
        <v>100</v>
      </c>
      <c r="D114" s="20">
        <v>10</v>
      </c>
      <c r="E114" s="20">
        <v>10</v>
      </c>
      <c r="F114" s="20">
        <v>10</v>
      </c>
      <c r="G114" s="19">
        <f t="shared" si="11"/>
        <v>172</v>
      </c>
      <c r="H114" s="22">
        <f t="shared" si="7"/>
        <v>113</v>
      </c>
      <c r="I114" s="21">
        <f t="shared" ca="1" si="8"/>
        <v>0</v>
      </c>
      <c r="J114" s="21" t="str">
        <f ca="1">IF(I114=0,"",COUNTIF($I$2:I114,"&gt;0"))</f>
        <v/>
      </c>
      <c r="K114" s="21" t="str">
        <f t="shared" ca="1" si="9"/>
        <v/>
      </c>
    </row>
    <row r="115" spans="1:11" s="18" customFormat="1" ht="14.25" x14ac:dyDescent="0.2">
      <c r="A115" s="18" t="str">
        <f t="shared" si="10"/>
        <v>Eintrag 114</v>
      </c>
      <c r="B115" s="18">
        <v>100</v>
      </c>
      <c r="C115" s="19">
        <v>100</v>
      </c>
      <c r="D115" s="20">
        <v>10</v>
      </c>
      <c r="E115" s="20">
        <v>10</v>
      </c>
      <c r="F115" s="20">
        <v>10</v>
      </c>
      <c r="G115" s="19">
        <f t="shared" si="11"/>
        <v>172</v>
      </c>
      <c r="H115" s="22">
        <f t="shared" si="7"/>
        <v>114</v>
      </c>
      <c r="I115" s="21">
        <f t="shared" ca="1" si="8"/>
        <v>0</v>
      </c>
      <c r="J115" s="21" t="str">
        <f ca="1">IF(I115=0,"",COUNTIF($I$2:I115,"&gt;0"))</f>
        <v/>
      </c>
      <c r="K115" s="21" t="str">
        <f t="shared" ca="1" si="9"/>
        <v/>
      </c>
    </row>
    <row r="116" spans="1:11" s="18" customFormat="1" ht="14.25" x14ac:dyDescent="0.2">
      <c r="A116" s="18" t="str">
        <f t="shared" si="10"/>
        <v>Eintrag 115</v>
      </c>
      <c r="B116" s="18">
        <v>100</v>
      </c>
      <c r="C116" s="19">
        <v>100</v>
      </c>
      <c r="D116" s="20">
        <v>10</v>
      </c>
      <c r="E116" s="20">
        <v>10</v>
      </c>
      <c r="F116" s="20">
        <v>10</v>
      </c>
      <c r="G116" s="19">
        <f t="shared" si="11"/>
        <v>172</v>
      </c>
      <c r="H116" s="22">
        <f t="shared" si="7"/>
        <v>115</v>
      </c>
      <c r="I116" s="21">
        <f t="shared" ca="1" si="8"/>
        <v>0</v>
      </c>
      <c r="J116" s="21" t="str">
        <f ca="1">IF(I116=0,"",COUNTIF($I$2:I116,"&gt;0"))</f>
        <v/>
      </c>
      <c r="K116" s="21" t="str">
        <f t="shared" ca="1" si="9"/>
        <v/>
      </c>
    </row>
    <row r="117" spans="1:11" s="18" customFormat="1" ht="14.25" x14ac:dyDescent="0.2">
      <c r="A117" s="18" t="str">
        <f t="shared" si="10"/>
        <v>Eintrag 116</v>
      </c>
      <c r="B117" s="18">
        <v>100</v>
      </c>
      <c r="C117" s="19">
        <v>100</v>
      </c>
      <c r="D117" s="20">
        <v>10</v>
      </c>
      <c r="E117" s="20">
        <v>10</v>
      </c>
      <c r="F117" s="20">
        <v>10</v>
      </c>
      <c r="G117" s="19">
        <f t="shared" si="11"/>
        <v>172</v>
      </c>
      <c r="H117" s="22">
        <f t="shared" si="7"/>
        <v>116</v>
      </c>
      <c r="I117" s="21">
        <f t="shared" ca="1" si="8"/>
        <v>0</v>
      </c>
      <c r="J117" s="21" t="str">
        <f ca="1">IF(I117=0,"",COUNTIF($I$2:I117,"&gt;0"))</f>
        <v/>
      </c>
      <c r="K117" s="21" t="str">
        <f t="shared" ca="1" si="9"/>
        <v/>
      </c>
    </row>
    <row r="118" spans="1:11" s="18" customFormat="1" ht="14.25" x14ac:dyDescent="0.2">
      <c r="A118" s="18" t="str">
        <f t="shared" si="10"/>
        <v>Eintrag 117</v>
      </c>
      <c r="B118" s="18">
        <v>100</v>
      </c>
      <c r="C118" s="19">
        <v>100</v>
      </c>
      <c r="D118" s="20">
        <v>10</v>
      </c>
      <c r="E118" s="20">
        <v>10</v>
      </c>
      <c r="F118" s="20">
        <v>10</v>
      </c>
      <c r="G118" s="19">
        <f t="shared" si="11"/>
        <v>172</v>
      </c>
      <c r="H118" s="22">
        <f t="shared" si="7"/>
        <v>117</v>
      </c>
      <c r="I118" s="21">
        <f t="shared" ca="1" si="8"/>
        <v>0</v>
      </c>
      <c r="J118" s="21" t="str">
        <f ca="1">IF(I118=0,"",COUNTIF($I$2:I118,"&gt;0"))</f>
        <v/>
      </c>
      <c r="K118" s="21" t="str">
        <f t="shared" ca="1" si="9"/>
        <v/>
      </c>
    </row>
    <row r="119" spans="1:11" s="18" customFormat="1" ht="14.25" x14ac:dyDescent="0.2">
      <c r="A119" s="18" t="str">
        <f t="shared" si="10"/>
        <v>Eintrag 118</v>
      </c>
      <c r="B119" s="18">
        <v>100</v>
      </c>
      <c r="C119" s="19">
        <v>100</v>
      </c>
      <c r="D119" s="20">
        <v>10</v>
      </c>
      <c r="E119" s="20">
        <v>10</v>
      </c>
      <c r="F119" s="20">
        <v>10</v>
      </c>
      <c r="G119" s="19">
        <f t="shared" si="11"/>
        <v>172</v>
      </c>
      <c r="H119" s="22">
        <f t="shared" si="7"/>
        <v>118</v>
      </c>
      <c r="I119" s="21">
        <f t="shared" ca="1" si="8"/>
        <v>0</v>
      </c>
      <c r="J119" s="21" t="str">
        <f ca="1">IF(I119=0,"",COUNTIF($I$2:I119,"&gt;0"))</f>
        <v/>
      </c>
      <c r="K119" s="21" t="str">
        <f t="shared" ca="1" si="9"/>
        <v/>
      </c>
    </row>
    <row r="120" spans="1:11" s="18" customFormat="1" ht="14.25" x14ac:dyDescent="0.2">
      <c r="A120" s="18" t="str">
        <f t="shared" si="10"/>
        <v>Eintrag 119</v>
      </c>
      <c r="B120" s="18">
        <v>100</v>
      </c>
      <c r="C120" s="19">
        <v>100</v>
      </c>
      <c r="D120" s="20">
        <v>10</v>
      </c>
      <c r="E120" s="20">
        <v>10</v>
      </c>
      <c r="F120" s="20">
        <v>10</v>
      </c>
      <c r="G120" s="19">
        <f t="shared" si="11"/>
        <v>172</v>
      </c>
      <c r="H120" s="22">
        <f t="shared" si="7"/>
        <v>119</v>
      </c>
      <c r="I120" s="21">
        <f t="shared" ca="1" si="8"/>
        <v>0</v>
      </c>
      <c r="J120" s="21" t="str">
        <f ca="1">IF(I120=0,"",COUNTIF($I$2:I120,"&gt;0"))</f>
        <v/>
      </c>
      <c r="K120" s="21" t="str">
        <f t="shared" ca="1" si="9"/>
        <v/>
      </c>
    </row>
    <row r="121" spans="1:11" s="18" customFormat="1" ht="14.25" x14ac:dyDescent="0.2">
      <c r="A121" s="18" t="str">
        <f t="shared" si="10"/>
        <v>Eintrag 120</v>
      </c>
      <c r="B121" s="18">
        <v>100</v>
      </c>
      <c r="C121" s="19">
        <v>100</v>
      </c>
      <c r="D121" s="20">
        <v>10</v>
      </c>
      <c r="E121" s="20">
        <v>10</v>
      </c>
      <c r="F121" s="20">
        <v>10</v>
      </c>
      <c r="G121" s="19">
        <f t="shared" si="11"/>
        <v>172</v>
      </c>
      <c r="H121" s="22">
        <f t="shared" si="7"/>
        <v>120</v>
      </c>
      <c r="I121" s="21">
        <f t="shared" ca="1" si="8"/>
        <v>0</v>
      </c>
      <c r="J121" s="21" t="str">
        <f ca="1">IF(I121=0,"",COUNTIF($I$2:I121,"&gt;0"))</f>
        <v/>
      </c>
      <c r="K121" s="21" t="str">
        <f t="shared" ca="1" si="9"/>
        <v/>
      </c>
    </row>
    <row r="122" spans="1:11" s="18" customFormat="1" ht="14.25" x14ac:dyDescent="0.2">
      <c r="A122" s="18" t="str">
        <f t="shared" si="10"/>
        <v>Eintrag 121</v>
      </c>
      <c r="B122" s="18">
        <v>100</v>
      </c>
      <c r="C122" s="19">
        <v>100</v>
      </c>
      <c r="D122" s="20">
        <v>10</v>
      </c>
      <c r="E122" s="20">
        <v>10</v>
      </c>
      <c r="F122" s="20">
        <v>10</v>
      </c>
      <c r="G122" s="19">
        <f t="shared" si="11"/>
        <v>172</v>
      </c>
      <c r="H122" s="22">
        <f t="shared" si="7"/>
        <v>121</v>
      </c>
      <c r="I122" s="21">
        <f t="shared" ca="1" si="8"/>
        <v>0</v>
      </c>
      <c r="J122" s="21" t="str">
        <f ca="1">IF(I122=0,"",COUNTIF($I$2:I122,"&gt;0"))</f>
        <v/>
      </c>
      <c r="K122" s="21" t="str">
        <f t="shared" ca="1" si="9"/>
        <v/>
      </c>
    </row>
    <row r="123" spans="1:11" s="18" customFormat="1" ht="14.25" x14ac:dyDescent="0.2">
      <c r="A123" s="18" t="str">
        <f t="shared" si="10"/>
        <v>Eintrag 122</v>
      </c>
      <c r="B123" s="18">
        <v>100</v>
      </c>
      <c r="C123" s="19">
        <v>100</v>
      </c>
      <c r="D123" s="20">
        <v>10</v>
      </c>
      <c r="E123" s="20">
        <v>10</v>
      </c>
      <c r="F123" s="20">
        <v>10</v>
      </c>
      <c r="G123" s="19">
        <f t="shared" si="11"/>
        <v>172</v>
      </c>
      <c r="H123" s="22">
        <f t="shared" si="7"/>
        <v>122</v>
      </c>
      <c r="I123" s="21">
        <f t="shared" ca="1" si="8"/>
        <v>0</v>
      </c>
      <c r="J123" s="21" t="str">
        <f ca="1">IF(I123=0,"",COUNTIF($I$2:I123,"&gt;0"))</f>
        <v/>
      </c>
      <c r="K123" s="21" t="str">
        <f t="shared" ca="1" si="9"/>
        <v/>
      </c>
    </row>
    <row r="124" spans="1:11" s="18" customFormat="1" ht="14.25" x14ac:dyDescent="0.2">
      <c r="A124" s="18" t="str">
        <f t="shared" si="10"/>
        <v>Eintrag 123</v>
      </c>
      <c r="B124" s="18">
        <v>100</v>
      </c>
      <c r="C124" s="19">
        <v>100</v>
      </c>
      <c r="D124" s="20">
        <v>10</v>
      </c>
      <c r="E124" s="20">
        <v>10</v>
      </c>
      <c r="F124" s="20">
        <v>10</v>
      </c>
      <c r="G124" s="19">
        <f t="shared" si="11"/>
        <v>172</v>
      </c>
      <c r="H124" s="22">
        <f t="shared" si="7"/>
        <v>123</v>
      </c>
      <c r="I124" s="21">
        <f t="shared" ca="1" si="8"/>
        <v>0</v>
      </c>
      <c r="J124" s="21" t="str">
        <f ca="1">IF(I124=0,"",COUNTIF($I$2:I124,"&gt;0"))</f>
        <v/>
      </c>
      <c r="K124" s="21" t="str">
        <f t="shared" ca="1" si="9"/>
        <v/>
      </c>
    </row>
    <row r="125" spans="1:11" s="18" customFormat="1" ht="14.25" x14ac:dyDescent="0.2">
      <c r="A125" s="18" t="str">
        <f t="shared" si="10"/>
        <v>Eintrag 124</v>
      </c>
      <c r="B125" s="18">
        <v>100</v>
      </c>
      <c r="C125" s="19">
        <v>100</v>
      </c>
      <c r="D125" s="20">
        <v>10</v>
      </c>
      <c r="E125" s="20">
        <v>10</v>
      </c>
      <c r="F125" s="20">
        <v>10</v>
      </c>
      <c r="G125" s="19">
        <f t="shared" si="11"/>
        <v>172</v>
      </c>
      <c r="H125" s="22">
        <f t="shared" si="7"/>
        <v>124</v>
      </c>
      <c r="I125" s="21">
        <f t="shared" ca="1" si="8"/>
        <v>0</v>
      </c>
      <c r="J125" s="21" t="str">
        <f ca="1">IF(I125=0,"",COUNTIF($I$2:I125,"&gt;0"))</f>
        <v/>
      </c>
      <c r="K125" s="21" t="str">
        <f t="shared" ca="1" si="9"/>
        <v/>
      </c>
    </row>
    <row r="126" spans="1:11" s="18" customFormat="1" ht="14.25" x14ac:dyDescent="0.2">
      <c r="A126" s="18" t="str">
        <f t="shared" si="10"/>
        <v>Eintrag 125</v>
      </c>
      <c r="B126" s="18">
        <v>100</v>
      </c>
      <c r="C126" s="19">
        <v>100</v>
      </c>
      <c r="D126" s="20">
        <v>10</v>
      </c>
      <c r="E126" s="20">
        <v>10</v>
      </c>
      <c r="F126" s="20">
        <v>10</v>
      </c>
      <c r="G126" s="19">
        <f t="shared" si="11"/>
        <v>172</v>
      </c>
      <c r="H126" s="22">
        <f t="shared" si="7"/>
        <v>125</v>
      </c>
      <c r="I126" s="21">
        <f t="shared" ca="1" si="8"/>
        <v>0</v>
      </c>
      <c r="J126" s="21" t="str">
        <f ca="1">IF(I126=0,"",COUNTIF($I$2:I126,"&gt;0"))</f>
        <v/>
      </c>
      <c r="K126" s="21" t="str">
        <f t="shared" ca="1" si="9"/>
        <v/>
      </c>
    </row>
    <row r="127" spans="1:11" s="18" customFormat="1" ht="14.25" x14ac:dyDescent="0.2">
      <c r="A127" s="18" t="str">
        <f t="shared" si="10"/>
        <v>Eintrag 126</v>
      </c>
      <c r="B127" s="18">
        <v>100</v>
      </c>
      <c r="C127" s="19">
        <v>100</v>
      </c>
      <c r="D127" s="20">
        <v>10</v>
      </c>
      <c r="E127" s="20">
        <v>10</v>
      </c>
      <c r="F127" s="20">
        <v>10</v>
      </c>
      <c r="G127" s="19">
        <f t="shared" si="11"/>
        <v>172</v>
      </c>
      <c r="H127" s="22">
        <f t="shared" si="7"/>
        <v>126</v>
      </c>
      <c r="I127" s="21">
        <f t="shared" ca="1" si="8"/>
        <v>0</v>
      </c>
      <c r="J127" s="21" t="str">
        <f ca="1">IF(I127=0,"",COUNTIF($I$2:I127,"&gt;0"))</f>
        <v/>
      </c>
      <c r="K127" s="21" t="str">
        <f t="shared" ca="1" si="9"/>
        <v/>
      </c>
    </row>
    <row r="128" spans="1:11" s="18" customFormat="1" ht="14.25" x14ac:dyDescent="0.2">
      <c r="A128" s="18" t="str">
        <f t="shared" si="10"/>
        <v>Eintrag 127</v>
      </c>
      <c r="B128" s="18">
        <v>100</v>
      </c>
      <c r="C128" s="19">
        <v>100</v>
      </c>
      <c r="D128" s="20">
        <v>10</v>
      </c>
      <c r="E128" s="20">
        <v>10</v>
      </c>
      <c r="F128" s="20">
        <v>10</v>
      </c>
      <c r="G128" s="19">
        <f t="shared" si="11"/>
        <v>172</v>
      </c>
      <c r="H128" s="22">
        <f t="shared" si="7"/>
        <v>127</v>
      </c>
      <c r="I128" s="21">
        <f t="shared" ca="1" si="8"/>
        <v>0</v>
      </c>
      <c r="J128" s="21" t="str">
        <f ca="1">IF(I128=0,"",COUNTIF($I$2:I128,"&gt;0"))</f>
        <v/>
      </c>
      <c r="K128" s="21" t="str">
        <f t="shared" ca="1" si="9"/>
        <v/>
      </c>
    </row>
    <row r="129" spans="1:11" s="18" customFormat="1" ht="14.25" x14ac:dyDescent="0.2">
      <c r="A129" s="18" t="str">
        <f t="shared" si="10"/>
        <v>Eintrag 128</v>
      </c>
      <c r="B129" s="18">
        <v>100</v>
      </c>
      <c r="C129" s="19">
        <v>100</v>
      </c>
      <c r="D129" s="20">
        <v>10</v>
      </c>
      <c r="E129" s="20">
        <v>10</v>
      </c>
      <c r="F129" s="20">
        <v>10</v>
      </c>
      <c r="G129" s="19">
        <f t="shared" si="11"/>
        <v>172</v>
      </c>
      <c r="H129" s="22">
        <f t="shared" si="7"/>
        <v>128</v>
      </c>
      <c r="I129" s="21">
        <f t="shared" ca="1" si="8"/>
        <v>0</v>
      </c>
      <c r="J129" s="21" t="str">
        <f ca="1">IF(I129=0,"",COUNTIF($I$2:I129,"&gt;0"))</f>
        <v/>
      </c>
      <c r="K129" s="21" t="str">
        <f t="shared" ca="1" si="9"/>
        <v/>
      </c>
    </row>
    <row r="130" spans="1:11" s="18" customFormat="1" ht="14.25" x14ac:dyDescent="0.2">
      <c r="A130" s="18" t="str">
        <f t="shared" si="10"/>
        <v>Eintrag 129</v>
      </c>
      <c r="B130" s="18">
        <v>100</v>
      </c>
      <c r="C130" s="19">
        <v>100</v>
      </c>
      <c r="D130" s="20">
        <v>10</v>
      </c>
      <c r="E130" s="20">
        <v>10</v>
      </c>
      <c r="F130" s="20">
        <v>10</v>
      </c>
      <c r="G130" s="19">
        <f t="shared" si="11"/>
        <v>172</v>
      </c>
      <c r="H130" s="22">
        <f t="shared" ref="H130:H193" si="12">H129+1</f>
        <v>129</v>
      </c>
      <c r="I130" s="21">
        <f t="shared" ref="I130:I193" ca="1" si="13">IFERROR(SEARCH(INDIRECT(CELL("address")),A130),0)</f>
        <v>0</v>
      </c>
      <c r="J130" s="21" t="str">
        <f ca="1">IF(I130=0,"",COUNTIF($I$2:I130,"&gt;0"))</f>
        <v/>
      </c>
      <c r="K130" s="21" t="str">
        <f t="shared" ref="K130:K193" ca="1" si="14">IFERROR(INDEX(A:A,MATCH(ROW(I129),J:J,0)),"")</f>
        <v/>
      </c>
    </row>
    <row r="131" spans="1:11" s="18" customFormat="1" ht="14.25" x14ac:dyDescent="0.2">
      <c r="A131" s="18" t="str">
        <f t="shared" ref="A131:A194" si="15">CONCATENATE("Eintrag ",H131)</f>
        <v>Eintrag 130</v>
      </c>
      <c r="B131" s="18">
        <v>100</v>
      </c>
      <c r="C131" s="19">
        <v>100</v>
      </c>
      <c r="D131" s="20">
        <v>10</v>
      </c>
      <c r="E131" s="20">
        <v>10</v>
      </c>
      <c r="F131" s="20">
        <v>10</v>
      </c>
      <c r="G131" s="19">
        <f t="shared" ref="G131:G194" si="16">D131*9+E131*4.1+F131*4.1</f>
        <v>172</v>
      </c>
      <c r="H131" s="22">
        <f t="shared" si="12"/>
        <v>130</v>
      </c>
      <c r="I131" s="21">
        <f t="shared" ca="1" si="13"/>
        <v>0</v>
      </c>
      <c r="J131" s="21" t="str">
        <f ca="1">IF(I131=0,"",COUNTIF($I$2:I131,"&gt;0"))</f>
        <v/>
      </c>
      <c r="K131" s="21" t="str">
        <f t="shared" ca="1" si="14"/>
        <v/>
      </c>
    </row>
    <row r="132" spans="1:11" s="18" customFormat="1" ht="14.25" x14ac:dyDescent="0.2">
      <c r="A132" s="18" t="str">
        <f t="shared" si="15"/>
        <v>Eintrag 131</v>
      </c>
      <c r="B132" s="18">
        <v>100</v>
      </c>
      <c r="C132" s="19">
        <v>100</v>
      </c>
      <c r="D132" s="20">
        <v>10</v>
      </c>
      <c r="E132" s="20">
        <v>10</v>
      </c>
      <c r="F132" s="20">
        <v>10</v>
      </c>
      <c r="G132" s="19">
        <f t="shared" si="16"/>
        <v>172</v>
      </c>
      <c r="H132" s="22">
        <f t="shared" si="12"/>
        <v>131</v>
      </c>
      <c r="I132" s="21">
        <f t="shared" ca="1" si="13"/>
        <v>0</v>
      </c>
      <c r="J132" s="21" t="str">
        <f ca="1">IF(I132=0,"",COUNTIF($I$2:I132,"&gt;0"))</f>
        <v/>
      </c>
      <c r="K132" s="21" t="str">
        <f t="shared" ca="1" si="14"/>
        <v/>
      </c>
    </row>
    <row r="133" spans="1:11" s="18" customFormat="1" ht="14.25" x14ac:dyDescent="0.2">
      <c r="A133" s="18" t="str">
        <f t="shared" si="15"/>
        <v>Eintrag 132</v>
      </c>
      <c r="B133" s="18">
        <v>100</v>
      </c>
      <c r="C133" s="19">
        <v>100</v>
      </c>
      <c r="D133" s="20">
        <v>10</v>
      </c>
      <c r="E133" s="20">
        <v>10</v>
      </c>
      <c r="F133" s="20">
        <v>10</v>
      </c>
      <c r="G133" s="19">
        <f t="shared" si="16"/>
        <v>172</v>
      </c>
      <c r="H133" s="22">
        <f t="shared" si="12"/>
        <v>132</v>
      </c>
      <c r="I133" s="21">
        <f t="shared" ca="1" si="13"/>
        <v>0</v>
      </c>
      <c r="J133" s="21" t="str">
        <f ca="1">IF(I133=0,"",COUNTIF($I$2:I133,"&gt;0"))</f>
        <v/>
      </c>
      <c r="K133" s="21" t="str">
        <f t="shared" ca="1" si="14"/>
        <v/>
      </c>
    </row>
    <row r="134" spans="1:11" s="18" customFormat="1" ht="14.25" x14ac:dyDescent="0.2">
      <c r="A134" s="18" t="str">
        <f t="shared" si="15"/>
        <v>Eintrag 133</v>
      </c>
      <c r="B134" s="18">
        <v>100</v>
      </c>
      <c r="C134" s="19">
        <v>100</v>
      </c>
      <c r="D134" s="20">
        <v>10</v>
      </c>
      <c r="E134" s="20">
        <v>10</v>
      </c>
      <c r="F134" s="20">
        <v>10</v>
      </c>
      <c r="G134" s="19">
        <f t="shared" si="16"/>
        <v>172</v>
      </c>
      <c r="H134" s="22">
        <f t="shared" si="12"/>
        <v>133</v>
      </c>
      <c r="I134" s="21">
        <f t="shared" ca="1" si="13"/>
        <v>0</v>
      </c>
      <c r="J134" s="21" t="str">
        <f ca="1">IF(I134=0,"",COUNTIF($I$2:I134,"&gt;0"))</f>
        <v/>
      </c>
      <c r="K134" s="21" t="str">
        <f t="shared" ca="1" si="14"/>
        <v/>
      </c>
    </row>
    <row r="135" spans="1:11" s="18" customFormat="1" ht="14.25" x14ac:dyDescent="0.2">
      <c r="A135" s="18" t="str">
        <f t="shared" si="15"/>
        <v>Eintrag 134</v>
      </c>
      <c r="B135" s="18">
        <v>100</v>
      </c>
      <c r="C135" s="19">
        <v>100</v>
      </c>
      <c r="D135" s="20">
        <v>10</v>
      </c>
      <c r="E135" s="20">
        <v>10</v>
      </c>
      <c r="F135" s="20">
        <v>10</v>
      </c>
      <c r="G135" s="19">
        <f t="shared" si="16"/>
        <v>172</v>
      </c>
      <c r="H135" s="22">
        <f t="shared" si="12"/>
        <v>134</v>
      </c>
      <c r="I135" s="21">
        <f t="shared" ca="1" si="13"/>
        <v>0</v>
      </c>
      <c r="J135" s="21" t="str">
        <f ca="1">IF(I135=0,"",COUNTIF($I$2:I135,"&gt;0"))</f>
        <v/>
      </c>
      <c r="K135" s="21" t="str">
        <f t="shared" ca="1" si="14"/>
        <v/>
      </c>
    </row>
    <row r="136" spans="1:11" s="18" customFormat="1" ht="14.25" x14ac:dyDescent="0.2">
      <c r="A136" s="18" t="str">
        <f t="shared" si="15"/>
        <v>Eintrag 135</v>
      </c>
      <c r="B136" s="18">
        <v>100</v>
      </c>
      <c r="C136" s="19">
        <v>100</v>
      </c>
      <c r="D136" s="20">
        <v>10</v>
      </c>
      <c r="E136" s="20">
        <v>10</v>
      </c>
      <c r="F136" s="20">
        <v>10</v>
      </c>
      <c r="G136" s="19">
        <f t="shared" si="16"/>
        <v>172</v>
      </c>
      <c r="H136" s="22">
        <f t="shared" si="12"/>
        <v>135</v>
      </c>
      <c r="I136" s="21">
        <f t="shared" ca="1" si="13"/>
        <v>0</v>
      </c>
      <c r="J136" s="21" t="str">
        <f ca="1">IF(I136=0,"",COUNTIF($I$2:I136,"&gt;0"))</f>
        <v/>
      </c>
      <c r="K136" s="21" t="str">
        <f t="shared" ca="1" si="14"/>
        <v/>
      </c>
    </row>
    <row r="137" spans="1:11" s="18" customFormat="1" ht="14.25" x14ac:dyDescent="0.2">
      <c r="A137" s="18" t="str">
        <f t="shared" si="15"/>
        <v>Eintrag 136</v>
      </c>
      <c r="B137" s="18">
        <v>100</v>
      </c>
      <c r="C137" s="19">
        <v>100</v>
      </c>
      <c r="D137" s="20">
        <v>10</v>
      </c>
      <c r="E137" s="20">
        <v>10</v>
      </c>
      <c r="F137" s="20">
        <v>10</v>
      </c>
      <c r="G137" s="19">
        <f t="shared" si="16"/>
        <v>172</v>
      </c>
      <c r="H137" s="22">
        <f t="shared" si="12"/>
        <v>136</v>
      </c>
      <c r="I137" s="21">
        <f t="shared" ca="1" si="13"/>
        <v>0</v>
      </c>
      <c r="J137" s="21" t="str">
        <f ca="1">IF(I137=0,"",COUNTIF($I$2:I137,"&gt;0"))</f>
        <v/>
      </c>
      <c r="K137" s="21" t="str">
        <f t="shared" ca="1" si="14"/>
        <v/>
      </c>
    </row>
    <row r="138" spans="1:11" s="18" customFormat="1" ht="14.25" x14ac:dyDescent="0.2">
      <c r="A138" s="18" t="str">
        <f t="shared" si="15"/>
        <v>Eintrag 137</v>
      </c>
      <c r="B138" s="18">
        <v>100</v>
      </c>
      <c r="C138" s="19">
        <v>100</v>
      </c>
      <c r="D138" s="20">
        <v>10</v>
      </c>
      <c r="E138" s="20">
        <v>10</v>
      </c>
      <c r="F138" s="20">
        <v>10</v>
      </c>
      <c r="G138" s="19">
        <f t="shared" si="16"/>
        <v>172</v>
      </c>
      <c r="H138" s="22">
        <f t="shared" si="12"/>
        <v>137</v>
      </c>
      <c r="I138" s="21">
        <f t="shared" ca="1" si="13"/>
        <v>0</v>
      </c>
      <c r="J138" s="21" t="str">
        <f ca="1">IF(I138=0,"",COUNTIF($I$2:I138,"&gt;0"))</f>
        <v/>
      </c>
      <c r="K138" s="21" t="str">
        <f t="shared" ca="1" si="14"/>
        <v/>
      </c>
    </row>
    <row r="139" spans="1:11" s="18" customFormat="1" ht="14.25" x14ac:dyDescent="0.2">
      <c r="A139" s="18" t="str">
        <f t="shared" si="15"/>
        <v>Eintrag 138</v>
      </c>
      <c r="B139" s="18">
        <v>100</v>
      </c>
      <c r="C139" s="19">
        <v>100</v>
      </c>
      <c r="D139" s="20">
        <v>10</v>
      </c>
      <c r="E139" s="20">
        <v>10</v>
      </c>
      <c r="F139" s="20">
        <v>10</v>
      </c>
      <c r="G139" s="19">
        <f t="shared" si="16"/>
        <v>172</v>
      </c>
      <c r="H139" s="22">
        <f t="shared" si="12"/>
        <v>138</v>
      </c>
      <c r="I139" s="21">
        <f t="shared" ca="1" si="13"/>
        <v>0</v>
      </c>
      <c r="J139" s="21" t="str">
        <f ca="1">IF(I139=0,"",COUNTIF($I$2:I139,"&gt;0"))</f>
        <v/>
      </c>
      <c r="K139" s="21" t="str">
        <f t="shared" ca="1" si="14"/>
        <v/>
      </c>
    </row>
    <row r="140" spans="1:11" s="18" customFormat="1" ht="14.25" x14ac:dyDescent="0.2">
      <c r="A140" s="18" t="str">
        <f t="shared" si="15"/>
        <v>Eintrag 139</v>
      </c>
      <c r="B140" s="18">
        <v>100</v>
      </c>
      <c r="C140" s="19">
        <v>100</v>
      </c>
      <c r="D140" s="20">
        <v>10</v>
      </c>
      <c r="E140" s="20">
        <v>10</v>
      </c>
      <c r="F140" s="20">
        <v>10</v>
      </c>
      <c r="G140" s="19">
        <f t="shared" si="16"/>
        <v>172</v>
      </c>
      <c r="H140" s="22">
        <f t="shared" si="12"/>
        <v>139</v>
      </c>
      <c r="I140" s="21">
        <f t="shared" ca="1" si="13"/>
        <v>0</v>
      </c>
      <c r="J140" s="21" t="str">
        <f ca="1">IF(I140=0,"",COUNTIF($I$2:I140,"&gt;0"))</f>
        <v/>
      </c>
      <c r="K140" s="21" t="str">
        <f t="shared" ca="1" si="14"/>
        <v/>
      </c>
    </row>
    <row r="141" spans="1:11" s="18" customFormat="1" ht="14.25" x14ac:dyDescent="0.2">
      <c r="A141" s="18" t="str">
        <f t="shared" si="15"/>
        <v>Eintrag 140</v>
      </c>
      <c r="B141" s="18">
        <v>100</v>
      </c>
      <c r="C141" s="19">
        <v>100</v>
      </c>
      <c r="D141" s="20">
        <v>10</v>
      </c>
      <c r="E141" s="20">
        <v>10</v>
      </c>
      <c r="F141" s="20">
        <v>10</v>
      </c>
      <c r="G141" s="19">
        <f t="shared" si="16"/>
        <v>172</v>
      </c>
      <c r="H141" s="22">
        <f t="shared" si="12"/>
        <v>140</v>
      </c>
      <c r="I141" s="21">
        <f t="shared" ca="1" si="13"/>
        <v>0</v>
      </c>
      <c r="J141" s="21" t="str">
        <f ca="1">IF(I141=0,"",COUNTIF($I$2:I141,"&gt;0"))</f>
        <v/>
      </c>
      <c r="K141" s="21" t="str">
        <f t="shared" ca="1" si="14"/>
        <v/>
      </c>
    </row>
    <row r="142" spans="1:11" s="18" customFormat="1" ht="14.25" x14ac:dyDescent="0.2">
      <c r="A142" s="18" t="str">
        <f t="shared" si="15"/>
        <v>Eintrag 141</v>
      </c>
      <c r="B142" s="18">
        <v>100</v>
      </c>
      <c r="C142" s="19">
        <v>100</v>
      </c>
      <c r="D142" s="20">
        <v>10</v>
      </c>
      <c r="E142" s="20">
        <v>10</v>
      </c>
      <c r="F142" s="20">
        <v>10</v>
      </c>
      <c r="G142" s="19">
        <f t="shared" si="16"/>
        <v>172</v>
      </c>
      <c r="H142" s="22">
        <f t="shared" si="12"/>
        <v>141</v>
      </c>
      <c r="I142" s="21">
        <f t="shared" ca="1" si="13"/>
        <v>0</v>
      </c>
      <c r="J142" s="21" t="str">
        <f ca="1">IF(I142=0,"",COUNTIF($I$2:I142,"&gt;0"))</f>
        <v/>
      </c>
      <c r="K142" s="21" t="str">
        <f t="shared" ca="1" si="14"/>
        <v/>
      </c>
    </row>
    <row r="143" spans="1:11" s="18" customFormat="1" ht="14.25" x14ac:dyDescent="0.2">
      <c r="A143" s="18" t="str">
        <f t="shared" si="15"/>
        <v>Eintrag 142</v>
      </c>
      <c r="B143" s="18">
        <v>100</v>
      </c>
      <c r="C143" s="19">
        <v>100</v>
      </c>
      <c r="D143" s="20">
        <v>10</v>
      </c>
      <c r="E143" s="20">
        <v>10</v>
      </c>
      <c r="F143" s="20">
        <v>10</v>
      </c>
      <c r="G143" s="19">
        <f t="shared" si="16"/>
        <v>172</v>
      </c>
      <c r="H143" s="22">
        <f t="shared" si="12"/>
        <v>142</v>
      </c>
      <c r="I143" s="21">
        <f t="shared" ca="1" si="13"/>
        <v>0</v>
      </c>
      <c r="J143" s="21" t="str">
        <f ca="1">IF(I143=0,"",COUNTIF($I$2:I143,"&gt;0"))</f>
        <v/>
      </c>
      <c r="K143" s="21" t="str">
        <f t="shared" ca="1" si="14"/>
        <v/>
      </c>
    </row>
    <row r="144" spans="1:11" s="18" customFormat="1" ht="14.25" x14ac:dyDescent="0.2">
      <c r="A144" s="18" t="str">
        <f t="shared" si="15"/>
        <v>Eintrag 143</v>
      </c>
      <c r="B144" s="18">
        <v>100</v>
      </c>
      <c r="C144" s="19">
        <v>100</v>
      </c>
      <c r="D144" s="20">
        <v>10</v>
      </c>
      <c r="E144" s="20">
        <v>10</v>
      </c>
      <c r="F144" s="20">
        <v>10</v>
      </c>
      <c r="G144" s="19">
        <f t="shared" si="16"/>
        <v>172</v>
      </c>
      <c r="H144" s="22">
        <f t="shared" si="12"/>
        <v>143</v>
      </c>
      <c r="I144" s="21">
        <f t="shared" ca="1" si="13"/>
        <v>0</v>
      </c>
      <c r="J144" s="21" t="str">
        <f ca="1">IF(I144=0,"",COUNTIF($I$2:I144,"&gt;0"))</f>
        <v/>
      </c>
      <c r="K144" s="21" t="str">
        <f t="shared" ca="1" si="14"/>
        <v/>
      </c>
    </row>
    <row r="145" spans="1:11" s="18" customFormat="1" ht="14.25" x14ac:dyDescent="0.2">
      <c r="A145" s="18" t="str">
        <f t="shared" si="15"/>
        <v>Eintrag 144</v>
      </c>
      <c r="B145" s="18">
        <v>100</v>
      </c>
      <c r="C145" s="19">
        <v>100</v>
      </c>
      <c r="D145" s="20">
        <v>10</v>
      </c>
      <c r="E145" s="20">
        <v>10</v>
      </c>
      <c r="F145" s="20">
        <v>10</v>
      </c>
      <c r="G145" s="19">
        <f t="shared" si="16"/>
        <v>172</v>
      </c>
      <c r="H145" s="22">
        <f t="shared" si="12"/>
        <v>144</v>
      </c>
      <c r="I145" s="21">
        <f t="shared" ca="1" si="13"/>
        <v>0</v>
      </c>
      <c r="J145" s="21" t="str">
        <f ca="1">IF(I145=0,"",COUNTIF($I$2:I145,"&gt;0"))</f>
        <v/>
      </c>
      <c r="K145" s="21" t="str">
        <f t="shared" ca="1" si="14"/>
        <v/>
      </c>
    </row>
    <row r="146" spans="1:11" s="18" customFormat="1" ht="14.25" x14ac:dyDescent="0.2">
      <c r="A146" s="18" t="str">
        <f t="shared" si="15"/>
        <v>Eintrag 145</v>
      </c>
      <c r="B146" s="18">
        <v>100</v>
      </c>
      <c r="C146" s="19">
        <v>100</v>
      </c>
      <c r="D146" s="20">
        <v>10</v>
      </c>
      <c r="E146" s="20">
        <v>10</v>
      </c>
      <c r="F146" s="20">
        <v>10</v>
      </c>
      <c r="G146" s="19">
        <f t="shared" si="16"/>
        <v>172</v>
      </c>
      <c r="H146" s="22">
        <f t="shared" si="12"/>
        <v>145</v>
      </c>
      <c r="I146" s="21">
        <f t="shared" ca="1" si="13"/>
        <v>0</v>
      </c>
      <c r="J146" s="21" t="str">
        <f ca="1">IF(I146=0,"",COUNTIF($I$2:I146,"&gt;0"))</f>
        <v/>
      </c>
      <c r="K146" s="21" t="str">
        <f t="shared" ca="1" si="14"/>
        <v/>
      </c>
    </row>
    <row r="147" spans="1:11" s="18" customFormat="1" ht="14.25" x14ac:dyDescent="0.2">
      <c r="A147" s="18" t="str">
        <f t="shared" si="15"/>
        <v>Eintrag 146</v>
      </c>
      <c r="B147" s="18">
        <v>100</v>
      </c>
      <c r="C147" s="19">
        <v>100</v>
      </c>
      <c r="D147" s="20">
        <v>10</v>
      </c>
      <c r="E147" s="20">
        <v>10</v>
      </c>
      <c r="F147" s="20">
        <v>10</v>
      </c>
      <c r="G147" s="19">
        <f t="shared" si="16"/>
        <v>172</v>
      </c>
      <c r="H147" s="22">
        <f t="shared" si="12"/>
        <v>146</v>
      </c>
      <c r="I147" s="21">
        <f t="shared" ca="1" si="13"/>
        <v>0</v>
      </c>
      <c r="J147" s="21" t="str">
        <f ca="1">IF(I147=0,"",COUNTIF($I$2:I147,"&gt;0"))</f>
        <v/>
      </c>
      <c r="K147" s="21" t="str">
        <f t="shared" ca="1" si="14"/>
        <v/>
      </c>
    </row>
    <row r="148" spans="1:11" s="18" customFormat="1" ht="14.25" x14ac:dyDescent="0.2">
      <c r="A148" s="18" t="str">
        <f t="shared" si="15"/>
        <v>Eintrag 147</v>
      </c>
      <c r="B148" s="18">
        <v>100</v>
      </c>
      <c r="C148" s="19">
        <v>100</v>
      </c>
      <c r="D148" s="20">
        <v>10</v>
      </c>
      <c r="E148" s="20">
        <v>10</v>
      </c>
      <c r="F148" s="20">
        <v>10</v>
      </c>
      <c r="G148" s="19">
        <f t="shared" si="16"/>
        <v>172</v>
      </c>
      <c r="H148" s="22">
        <f t="shared" si="12"/>
        <v>147</v>
      </c>
      <c r="I148" s="21">
        <f t="shared" ca="1" si="13"/>
        <v>0</v>
      </c>
      <c r="J148" s="21" t="str">
        <f ca="1">IF(I148=0,"",COUNTIF($I$2:I148,"&gt;0"))</f>
        <v/>
      </c>
      <c r="K148" s="21" t="str">
        <f t="shared" ca="1" si="14"/>
        <v/>
      </c>
    </row>
    <row r="149" spans="1:11" s="18" customFormat="1" ht="14.25" x14ac:dyDescent="0.2">
      <c r="A149" s="18" t="str">
        <f t="shared" si="15"/>
        <v>Eintrag 148</v>
      </c>
      <c r="B149" s="18">
        <v>100</v>
      </c>
      <c r="C149" s="19">
        <v>100</v>
      </c>
      <c r="D149" s="20">
        <v>10</v>
      </c>
      <c r="E149" s="20">
        <v>10</v>
      </c>
      <c r="F149" s="20">
        <v>10</v>
      </c>
      <c r="G149" s="19">
        <f t="shared" si="16"/>
        <v>172</v>
      </c>
      <c r="H149" s="22">
        <f t="shared" si="12"/>
        <v>148</v>
      </c>
      <c r="I149" s="21">
        <f t="shared" ca="1" si="13"/>
        <v>0</v>
      </c>
      <c r="J149" s="21" t="str">
        <f ca="1">IF(I149=0,"",COUNTIF($I$2:I149,"&gt;0"))</f>
        <v/>
      </c>
      <c r="K149" s="21" t="str">
        <f t="shared" ca="1" si="14"/>
        <v/>
      </c>
    </row>
    <row r="150" spans="1:11" s="18" customFormat="1" ht="14.25" x14ac:dyDescent="0.2">
      <c r="A150" s="18" t="str">
        <f t="shared" si="15"/>
        <v>Eintrag 149</v>
      </c>
      <c r="B150" s="18">
        <v>100</v>
      </c>
      <c r="C150" s="19">
        <v>100</v>
      </c>
      <c r="D150" s="20">
        <v>10</v>
      </c>
      <c r="E150" s="20">
        <v>10</v>
      </c>
      <c r="F150" s="20">
        <v>10</v>
      </c>
      <c r="G150" s="19">
        <f t="shared" si="16"/>
        <v>172</v>
      </c>
      <c r="H150" s="22">
        <f t="shared" si="12"/>
        <v>149</v>
      </c>
      <c r="I150" s="21">
        <f t="shared" ca="1" si="13"/>
        <v>0</v>
      </c>
      <c r="J150" s="21" t="str">
        <f ca="1">IF(I150=0,"",COUNTIF($I$2:I150,"&gt;0"))</f>
        <v/>
      </c>
      <c r="K150" s="21" t="str">
        <f t="shared" ca="1" si="14"/>
        <v/>
      </c>
    </row>
    <row r="151" spans="1:11" s="18" customFormat="1" ht="14.25" x14ac:dyDescent="0.2">
      <c r="A151" s="18" t="str">
        <f t="shared" si="15"/>
        <v>Eintrag 150</v>
      </c>
      <c r="B151" s="18">
        <v>100</v>
      </c>
      <c r="C151" s="19">
        <v>100</v>
      </c>
      <c r="D151" s="20">
        <v>10</v>
      </c>
      <c r="E151" s="20">
        <v>10</v>
      </c>
      <c r="F151" s="20">
        <v>10</v>
      </c>
      <c r="G151" s="19">
        <f t="shared" si="16"/>
        <v>172</v>
      </c>
      <c r="H151" s="22">
        <f t="shared" si="12"/>
        <v>150</v>
      </c>
      <c r="I151" s="21">
        <f t="shared" ca="1" si="13"/>
        <v>0</v>
      </c>
      <c r="J151" s="21" t="str">
        <f ca="1">IF(I151=0,"",COUNTIF($I$2:I151,"&gt;0"))</f>
        <v/>
      </c>
      <c r="K151" s="21" t="str">
        <f t="shared" ca="1" si="14"/>
        <v/>
      </c>
    </row>
    <row r="152" spans="1:11" s="18" customFormat="1" ht="14.25" x14ac:dyDescent="0.2">
      <c r="A152" s="18" t="str">
        <f t="shared" si="15"/>
        <v>Eintrag 151</v>
      </c>
      <c r="B152" s="18">
        <v>100</v>
      </c>
      <c r="C152" s="19">
        <v>100</v>
      </c>
      <c r="D152" s="20">
        <v>10</v>
      </c>
      <c r="E152" s="20">
        <v>10</v>
      </c>
      <c r="F152" s="20">
        <v>10</v>
      </c>
      <c r="G152" s="19">
        <f t="shared" si="16"/>
        <v>172</v>
      </c>
      <c r="H152" s="22">
        <f t="shared" si="12"/>
        <v>151</v>
      </c>
      <c r="I152" s="21">
        <f t="shared" ca="1" si="13"/>
        <v>0</v>
      </c>
      <c r="J152" s="21" t="str">
        <f ca="1">IF(I152=0,"",COUNTIF($I$2:I152,"&gt;0"))</f>
        <v/>
      </c>
      <c r="K152" s="21" t="str">
        <f t="shared" ca="1" si="14"/>
        <v/>
      </c>
    </row>
    <row r="153" spans="1:11" s="18" customFormat="1" ht="14.25" x14ac:dyDescent="0.2">
      <c r="A153" s="18" t="str">
        <f t="shared" si="15"/>
        <v>Eintrag 152</v>
      </c>
      <c r="B153" s="18">
        <v>100</v>
      </c>
      <c r="C153" s="19">
        <v>100</v>
      </c>
      <c r="D153" s="20">
        <v>10</v>
      </c>
      <c r="E153" s="20">
        <v>10</v>
      </c>
      <c r="F153" s="20">
        <v>10</v>
      </c>
      <c r="G153" s="19">
        <f t="shared" si="16"/>
        <v>172</v>
      </c>
      <c r="H153" s="22">
        <f t="shared" si="12"/>
        <v>152</v>
      </c>
      <c r="I153" s="21">
        <f t="shared" ca="1" si="13"/>
        <v>0</v>
      </c>
      <c r="J153" s="21" t="str">
        <f ca="1">IF(I153=0,"",COUNTIF($I$2:I153,"&gt;0"))</f>
        <v/>
      </c>
      <c r="K153" s="21" t="str">
        <f t="shared" ca="1" si="14"/>
        <v/>
      </c>
    </row>
    <row r="154" spans="1:11" s="18" customFormat="1" ht="14.25" x14ac:dyDescent="0.2">
      <c r="A154" s="18" t="str">
        <f t="shared" si="15"/>
        <v>Eintrag 153</v>
      </c>
      <c r="B154" s="18">
        <v>100</v>
      </c>
      <c r="C154" s="19">
        <v>100</v>
      </c>
      <c r="D154" s="20">
        <v>10</v>
      </c>
      <c r="E154" s="20">
        <v>10</v>
      </c>
      <c r="F154" s="20">
        <v>10</v>
      </c>
      <c r="G154" s="19">
        <f t="shared" si="16"/>
        <v>172</v>
      </c>
      <c r="H154" s="22">
        <f t="shared" si="12"/>
        <v>153</v>
      </c>
      <c r="I154" s="21">
        <f t="shared" ca="1" si="13"/>
        <v>0</v>
      </c>
      <c r="J154" s="21" t="str">
        <f ca="1">IF(I154=0,"",COUNTIF($I$2:I154,"&gt;0"))</f>
        <v/>
      </c>
      <c r="K154" s="21" t="str">
        <f t="shared" ca="1" si="14"/>
        <v/>
      </c>
    </row>
    <row r="155" spans="1:11" s="18" customFormat="1" ht="14.25" x14ac:dyDescent="0.2">
      <c r="A155" s="18" t="str">
        <f t="shared" si="15"/>
        <v>Eintrag 154</v>
      </c>
      <c r="B155" s="18">
        <v>100</v>
      </c>
      <c r="C155" s="19">
        <v>100</v>
      </c>
      <c r="D155" s="20">
        <v>10</v>
      </c>
      <c r="E155" s="20">
        <v>10</v>
      </c>
      <c r="F155" s="20">
        <v>10</v>
      </c>
      <c r="G155" s="19">
        <f t="shared" si="16"/>
        <v>172</v>
      </c>
      <c r="H155" s="22">
        <f t="shared" si="12"/>
        <v>154</v>
      </c>
      <c r="I155" s="21">
        <f t="shared" ca="1" si="13"/>
        <v>0</v>
      </c>
      <c r="J155" s="21" t="str">
        <f ca="1">IF(I155=0,"",COUNTIF($I$2:I155,"&gt;0"))</f>
        <v/>
      </c>
      <c r="K155" s="21" t="str">
        <f t="shared" ca="1" si="14"/>
        <v/>
      </c>
    </row>
    <row r="156" spans="1:11" s="18" customFormat="1" ht="14.25" x14ac:dyDescent="0.2">
      <c r="A156" s="18" t="str">
        <f t="shared" si="15"/>
        <v>Eintrag 155</v>
      </c>
      <c r="B156" s="18">
        <v>100</v>
      </c>
      <c r="C156" s="19">
        <v>100</v>
      </c>
      <c r="D156" s="20">
        <v>10</v>
      </c>
      <c r="E156" s="20">
        <v>10</v>
      </c>
      <c r="F156" s="20">
        <v>10</v>
      </c>
      <c r="G156" s="19">
        <f t="shared" si="16"/>
        <v>172</v>
      </c>
      <c r="H156" s="22">
        <f t="shared" si="12"/>
        <v>155</v>
      </c>
      <c r="I156" s="21">
        <f t="shared" ca="1" si="13"/>
        <v>0</v>
      </c>
      <c r="J156" s="21" t="str">
        <f ca="1">IF(I156=0,"",COUNTIF($I$2:I156,"&gt;0"))</f>
        <v/>
      </c>
      <c r="K156" s="21" t="str">
        <f t="shared" ca="1" si="14"/>
        <v/>
      </c>
    </row>
    <row r="157" spans="1:11" s="18" customFormat="1" ht="14.25" x14ac:dyDescent="0.2">
      <c r="A157" s="18" t="str">
        <f t="shared" si="15"/>
        <v>Eintrag 156</v>
      </c>
      <c r="B157" s="18">
        <v>100</v>
      </c>
      <c r="C157" s="19">
        <v>100</v>
      </c>
      <c r="D157" s="20">
        <v>10</v>
      </c>
      <c r="E157" s="20">
        <v>10</v>
      </c>
      <c r="F157" s="20">
        <v>10</v>
      </c>
      <c r="G157" s="19">
        <f t="shared" si="16"/>
        <v>172</v>
      </c>
      <c r="H157" s="22">
        <f t="shared" si="12"/>
        <v>156</v>
      </c>
      <c r="I157" s="21">
        <f t="shared" ca="1" si="13"/>
        <v>0</v>
      </c>
      <c r="J157" s="21" t="str">
        <f ca="1">IF(I157=0,"",COUNTIF($I$2:I157,"&gt;0"))</f>
        <v/>
      </c>
      <c r="K157" s="21" t="str">
        <f t="shared" ca="1" si="14"/>
        <v/>
      </c>
    </row>
    <row r="158" spans="1:11" s="18" customFormat="1" ht="14.25" x14ac:dyDescent="0.2">
      <c r="A158" s="18" t="str">
        <f t="shared" si="15"/>
        <v>Eintrag 157</v>
      </c>
      <c r="B158" s="18">
        <v>100</v>
      </c>
      <c r="C158" s="19">
        <v>100</v>
      </c>
      <c r="D158" s="20">
        <v>10</v>
      </c>
      <c r="E158" s="20">
        <v>10</v>
      </c>
      <c r="F158" s="20">
        <v>10</v>
      </c>
      <c r="G158" s="19">
        <f t="shared" si="16"/>
        <v>172</v>
      </c>
      <c r="H158" s="22">
        <f t="shared" si="12"/>
        <v>157</v>
      </c>
      <c r="I158" s="21">
        <f t="shared" ca="1" si="13"/>
        <v>0</v>
      </c>
      <c r="J158" s="21" t="str">
        <f ca="1">IF(I158=0,"",COUNTIF($I$2:I158,"&gt;0"))</f>
        <v/>
      </c>
      <c r="K158" s="21" t="str">
        <f t="shared" ca="1" si="14"/>
        <v/>
      </c>
    </row>
    <row r="159" spans="1:11" s="18" customFormat="1" ht="14.25" x14ac:dyDescent="0.2">
      <c r="A159" s="18" t="str">
        <f t="shared" si="15"/>
        <v>Eintrag 158</v>
      </c>
      <c r="B159" s="18">
        <v>100</v>
      </c>
      <c r="C159" s="19">
        <v>100</v>
      </c>
      <c r="D159" s="20">
        <v>10</v>
      </c>
      <c r="E159" s="20">
        <v>10</v>
      </c>
      <c r="F159" s="20">
        <v>10</v>
      </c>
      <c r="G159" s="19">
        <f t="shared" si="16"/>
        <v>172</v>
      </c>
      <c r="H159" s="22">
        <f t="shared" si="12"/>
        <v>158</v>
      </c>
      <c r="I159" s="21">
        <f t="shared" ca="1" si="13"/>
        <v>0</v>
      </c>
      <c r="J159" s="21" t="str">
        <f ca="1">IF(I159=0,"",COUNTIF($I$2:I159,"&gt;0"))</f>
        <v/>
      </c>
      <c r="K159" s="21" t="str">
        <f t="shared" ca="1" si="14"/>
        <v/>
      </c>
    </row>
    <row r="160" spans="1:11" s="18" customFormat="1" ht="14.25" x14ac:dyDescent="0.2">
      <c r="A160" s="18" t="str">
        <f t="shared" si="15"/>
        <v>Eintrag 159</v>
      </c>
      <c r="B160" s="18">
        <v>100</v>
      </c>
      <c r="C160" s="19">
        <v>100</v>
      </c>
      <c r="D160" s="20">
        <v>10</v>
      </c>
      <c r="E160" s="20">
        <v>10</v>
      </c>
      <c r="F160" s="20">
        <v>10</v>
      </c>
      <c r="G160" s="19">
        <f t="shared" si="16"/>
        <v>172</v>
      </c>
      <c r="H160" s="22">
        <f t="shared" si="12"/>
        <v>159</v>
      </c>
      <c r="I160" s="21">
        <f t="shared" ca="1" si="13"/>
        <v>0</v>
      </c>
      <c r="J160" s="21" t="str">
        <f ca="1">IF(I160=0,"",COUNTIF($I$2:I160,"&gt;0"))</f>
        <v/>
      </c>
      <c r="K160" s="21" t="str">
        <f t="shared" ca="1" si="14"/>
        <v/>
      </c>
    </row>
    <row r="161" spans="1:11" s="18" customFormat="1" ht="14.25" x14ac:dyDescent="0.2">
      <c r="A161" s="18" t="str">
        <f t="shared" si="15"/>
        <v>Eintrag 160</v>
      </c>
      <c r="B161" s="18">
        <v>100</v>
      </c>
      <c r="C161" s="19">
        <v>100</v>
      </c>
      <c r="D161" s="20">
        <v>10</v>
      </c>
      <c r="E161" s="20">
        <v>10</v>
      </c>
      <c r="F161" s="20">
        <v>10</v>
      </c>
      <c r="G161" s="19">
        <f t="shared" si="16"/>
        <v>172</v>
      </c>
      <c r="H161" s="22">
        <f t="shared" si="12"/>
        <v>160</v>
      </c>
      <c r="I161" s="21">
        <f t="shared" ca="1" si="13"/>
        <v>0</v>
      </c>
      <c r="J161" s="21" t="str">
        <f ca="1">IF(I161=0,"",COUNTIF($I$2:I161,"&gt;0"))</f>
        <v/>
      </c>
      <c r="K161" s="21" t="str">
        <f t="shared" ca="1" si="14"/>
        <v/>
      </c>
    </row>
    <row r="162" spans="1:11" s="18" customFormat="1" ht="14.25" x14ac:dyDescent="0.2">
      <c r="A162" s="18" t="str">
        <f t="shared" si="15"/>
        <v>Eintrag 161</v>
      </c>
      <c r="B162" s="18">
        <v>100</v>
      </c>
      <c r="C162" s="19">
        <v>100</v>
      </c>
      <c r="D162" s="20">
        <v>10</v>
      </c>
      <c r="E162" s="20">
        <v>10</v>
      </c>
      <c r="F162" s="20">
        <v>10</v>
      </c>
      <c r="G162" s="19">
        <f t="shared" si="16"/>
        <v>172</v>
      </c>
      <c r="H162" s="22">
        <f t="shared" si="12"/>
        <v>161</v>
      </c>
      <c r="I162" s="21">
        <f t="shared" ca="1" si="13"/>
        <v>0</v>
      </c>
      <c r="J162" s="21" t="str">
        <f ca="1">IF(I162=0,"",COUNTIF($I$2:I162,"&gt;0"))</f>
        <v/>
      </c>
      <c r="K162" s="21" t="str">
        <f t="shared" ca="1" si="14"/>
        <v/>
      </c>
    </row>
    <row r="163" spans="1:11" s="18" customFormat="1" ht="14.25" x14ac:dyDescent="0.2">
      <c r="A163" s="18" t="str">
        <f t="shared" si="15"/>
        <v>Eintrag 162</v>
      </c>
      <c r="B163" s="18">
        <v>100</v>
      </c>
      <c r="C163" s="19">
        <v>100</v>
      </c>
      <c r="D163" s="20">
        <v>10</v>
      </c>
      <c r="E163" s="20">
        <v>10</v>
      </c>
      <c r="F163" s="20">
        <v>10</v>
      </c>
      <c r="G163" s="19">
        <f t="shared" si="16"/>
        <v>172</v>
      </c>
      <c r="H163" s="22">
        <f t="shared" si="12"/>
        <v>162</v>
      </c>
      <c r="I163" s="21">
        <f t="shared" ca="1" si="13"/>
        <v>0</v>
      </c>
      <c r="J163" s="21" t="str">
        <f ca="1">IF(I163=0,"",COUNTIF($I$2:I163,"&gt;0"))</f>
        <v/>
      </c>
      <c r="K163" s="21" t="str">
        <f t="shared" ca="1" si="14"/>
        <v/>
      </c>
    </row>
    <row r="164" spans="1:11" s="18" customFormat="1" ht="14.25" x14ac:dyDescent="0.2">
      <c r="A164" s="18" t="str">
        <f t="shared" si="15"/>
        <v>Eintrag 163</v>
      </c>
      <c r="B164" s="18">
        <v>100</v>
      </c>
      <c r="C164" s="19">
        <v>100</v>
      </c>
      <c r="D164" s="20">
        <v>10</v>
      </c>
      <c r="E164" s="20">
        <v>10</v>
      </c>
      <c r="F164" s="20">
        <v>10</v>
      </c>
      <c r="G164" s="19">
        <f t="shared" si="16"/>
        <v>172</v>
      </c>
      <c r="H164" s="22">
        <f t="shared" si="12"/>
        <v>163</v>
      </c>
      <c r="I164" s="21">
        <f t="shared" ca="1" si="13"/>
        <v>0</v>
      </c>
      <c r="J164" s="21" t="str">
        <f ca="1">IF(I164=0,"",COUNTIF($I$2:I164,"&gt;0"))</f>
        <v/>
      </c>
      <c r="K164" s="21" t="str">
        <f t="shared" ca="1" si="14"/>
        <v/>
      </c>
    </row>
    <row r="165" spans="1:11" s="18" customFormat="1" ht="14.25" x14ac:dyDescent="0.2">
      <c r="A165" s="18" t="str">
        <f t="shared" si="15"/>
        <v>Eintrag 164</v>
      </c>
      <c r="B165" s="18">
        <v>100</v>
      </c>
      <c r="C165" s="19">
        <v>100</v>
      </c>
      <c r="D165" s="20">
        <v>10</v>
      </c>
      <c r="E165" s="20">
        <v>10</v>
      </c>
      <c r="F165" s="20">
        <v>10</v>
      </c>
      <c r="G165" s="19">
        <f t="shared" si="16"/>
        <v>172</v>
      </c>
      <c r="H165" s="22">
        <f t="shared" si="12"/>
        <v>164</v>
      </c>
      <c r="I165" s="21">
        <f t="shared" ca="1" si="13"/>
        <v>0</v>
      </c>
      <c r="J165" s="21" t="str">
        <f ca="1">IF(I165=0,"",COUNTIF($I$2:I165,"&gt;0"))</f>
        <v/>
      </c>
      <c r="K165" s="21" t="str">
        <f t="shared" ca="1" si="14"/>
        <v/>
      </c>
    </row>
    <row r="166" spans="1:11" s="18" customFormat="1" ht="14.25" x14ac:dyDescent="0.2">
      <c r="A166" s="18" t="str">
        <f t="shared" si="15"/>
        <v>Eintrag 165</v>
      </c>
      <c r="B166" s="18">
        <v>100</v>
      </c>
      <c r="C166" s="19">
        <v>100</v>
      </c>
      <c r="D166" s="20">
        <v>10</v>
      </c>
      <c r="E166" s="20">
        <v>10</v>
      </c>
      <c r="F166" s="20">
        <v>10</v>
      </c>
      <c r="G166" s="19">
        <f t="shared" si="16"/>
        <v>172</v>
      </c>
      <c r="H166" s="22">
        <f t="shared" si="12"/>
        <v>165</v>
      </c>
      <c r="I166" s="21">
        <f t="shared" ca="1" si="13"/>
        <v>0</v>
      </c>
      <c r="J166" s="21" t="str">
        <f ca="1">IF(I166=0,"",COUNTIF($I$2:I166,"&gt;0"))</f>
        <v/>
      </c>
      <c r="K166" s="21" t="str">
        <f t="shared" ca="1" si="14"/>
        <v/>
      </c>
    </row>
    <row r="167" spans="1:11" s="18" customFormat="1" ht="14.25" x14ac:dyDescent="0.2">
      <c r="A167" s="18" t="str">
        <f t="shared" si="15"/>
        <v>Eintrag 166</v>
      </c>
      <c r="B167" s="18">
        <v>100</v>
      </c>
      <c r="C167" s="19">
        <v>100</v>
      </c>
      <c r="D167" s="20">
        <v>10</v>
      </c>
      <c r="E167" s="20">
        <v>10</v>
      </c>
      <c r="F167" s="20">
        <v>10</v>
      </c>
      <c r="G167" s="19">
        <f t="shared" si="16"/>
        <v>172</v>
      </c>
      <c r="H167" s="22">
        <f t="shared" si="12"/>
        <v>166</v>
      </c>
      <c r="I167" s="21">
        <f t="shared" ca="1" si="13"/>
        <v>0</v>
      </c>
      <c r="J167" s="21" t="str">
        <f ca="1">IF(I167=0,"",COUNTIF($I$2:I167,"&gt;0"))</f>
        <v/>
      </c>
      <c r="K167" s="21" t="str">
        <f t="shared" ca="1" si="14"/>
        <v/>
      </c>
    </row>
    <row r="168" spans="1:11" s="18" customFormat="1" ht="14.25" x14ac:dyDescent="0.2">
      <c r="A168" s="18" t="str">
        <f t="shared" si="15"/>
        <v>Eintrag 167</v>
      </c>
      <c r="B168" s="18">
        <v>100</v>
      </c>
      <c r="C168" s="19">
        <v>100</v>
      </c>
      <c r="D168" s="20">
        <v>10</v>
      </c>
      <c r="E168" s="20">
        <v>10</v>
      </c>
      <c r="F168" s="20">
        <v>10</v>
      </c>
      <c r="G168" s="19">
        <f t="shared" si="16"/>
        <v>172</v>
      </c>
      <c r="H168" s="22">
        <f t="shared" si="12"/>
        <v>167</v>
      </c>
      <c r="I168" s="21">
        <f t="shared" ca="1" si="13"/>
        <v>0</v>
      </c>
      <c r="J168" s="21" t="str">
        <f ca="1">IF(I168=0,"",COUNTIF($I$2:I168,"&gt;0"))</f>
        <v/>
      </c>
      <c r="K168" s="21" t="str">
        <f t="shared" ca="1" si="14"/>
        <v/>
      </c>
    </row>
    <row r="169" spans="1:11" s="18" customFormat="1" ht="14.25" x14ac:dyDescent="0.2">
      <c r="A169" s="18" t="str">
        <f t="shared" si="15"/>
        <v>Eintrag 168</v>
      </c>
      <c r="B169" s="18">
        <v>100</v>
      </c>
      <c r="C169" s="19">
        <v>100</v>
      </c>
      <c r="D169" s="20">
        <v>10</v>
      </c>
      <c r="E169" s="20">
        <v>10</v>
      </c>
      <c r="F169" s="20">
        <v>10</v>
      </c>
      <c r="G169" s="19">
        <f t="shared" si="16"/>
        <v>172</v>
      </c>
      <c r="H169" s="22">
        <f t="shared" si="12"/>
        <v>168</v>
      </c>
      <c r="I169" s="21">
        <f t="shared" ca="1" si="13"/>
        <v>0</v>
      </c>
      <c r="J169" s="21" t="str">
        <f ca="1">IF(I169=0,"",COUNTIF($I$2:I169,"&gt;0"))</f>
        <v/>
      </c>
      <c r="K169" s="21" t="str">
        <f t="shared" ca="1" si="14"/>
        <v/>
      </c>
    </row>
    <row r="170" spans="1:11" s="18" customFormat="1" ht="14.25" x14ac:dyDescent="0.2">
      <c r="A170" s="18" t="str">
        <f t="shared" si="15"/>
        <v>Eintrag 169</v>
      </c>
      <c r="B170" s="18">
        <v>100</v>
      </c>
      <c r="C170" s="19">
        <v>100</v>
      </c>
      <c r="D170" s="20">
        <v>10</v>
      </c>
      <c r="E170" s="20">
        <v>10</v>
      </c>
      <c r="F170" s="20">
        <v>10</v>
      </c>
      <c r="G170" s="19">
        <f t="shared" si="16"/>
        <v>172</v>
      </c>
      <c r="H170" s="22">
        <f t="shared" si="12"/>
        <v>169</v>
      </c>
      <c r="I170" s="21">
        <f t="shared" ca="1" si="13"/>
        <v>0</v>
      </c>
      <c r="J170" s="21" t="str">
        <f ca="1">IF(I170=0,"",COUNTIF($I$2:I170,"&gt;0"))</f>
        <v/>
      </c>
      <c r="K170" s="21" t="str">
        <f t="shared" ca="1" si="14"/>
        <v/>
      </c>
    </row>
    <row r="171" spans="1:11" s="18" customFormat="1" ht="14.25" x14ac:dyDescent="0.2">
      <c r="A171" s="18" t="str">
        <f t="shared" si="15"/>
        <v>Eintrag 170</v>
      </c>
      <c r="B171" s="18">
        <v>100</v>
      </c>
      <c r="C171" s="19">
        <v>100</v>
      </c>
      <c r="D171" s="20">
        <v>10</v>
      </c>
      <c r="E171" s="20">
        <v>10</v>
      </c>
      <c r="F171" s="20">
        <v>10</v>
      </c>
      <c r="G171" s="19">
        <f t="shared" si="16"/>
        <v>172</v>
      </c>
      <c r="H171" s="22">
        <f t="shared" si="12"/>
        <v>170</v>
      </c>
      <c r="I171" s="21">
        <f t="shared" ca="1" si="13"/>
        <v>0</v>
      </c>
      <c r="J171" s="21" t="str">
        <f ca="1">IF(I171=0,"",COUNTIF($I$2:I171,"&gt;0"))</f>
        <v/>
      </c>
      <c r="K171" s="21" t="str">
        <f t="shared" ca="1" si="14"/>
        <v/>
      </c>
    </row>
    <row r="172" spans="1:11" s="18" customFormat="1" ht="14.25" x14ac:dyDescent="0.2">
      <c r="A172" s="18" t="str">
        <f t="shared" si="15"/>
        <v>Eintrag 171</v>
      </c>
      <c r="B172" s="18">
        <v>100</v>
      </c>
      <c r="C172" s="19">
        <v>100</v>
      </c>
      <c r="D172" s="20">
        <v>10</v>
      </c>
      <c r="E172" s="20">
        <v>10</v>
      </c>
      <c r="F172" s="20">
        <v>10</v>
      </c>
      <c r="G172" s="19">
        <f t="shared" si="16"/>
        <v>172</v>
      </c>
      <c r="H172" s="22">
        <f t="shared" si="12"/>
        <v>171</v>
      </c>
      <c r="I172" s="21">
        <f t="shared" ca="1" si="13"/>
        <v>0</v>
      </c>
      <c r="J172" s="21" t="str">
        <f ca="1">IF(I172=0,"",COUNTIF($I$2:I172,"&gt;0"))</f>
        <v/>
      </c>
      <c r="K172" s="21" t="str">
        <f t="shared" ca="1" si="14"/>
        <v/>
      </c>
    </row>
    <row r="173" spans="1:11" s="18" customFormat="1" ht="14.25" x14ac:dyDescent="0.2">
      <c r="A173" s="18" t="str">
        <f t="shared" si="15"/>
        <v>Eintrag 172</v>
      </c>
      <c r="B173" s="18">
        <v>100</v>
      </c>
      <c r="C173" s="19">
        <v>100</v>
      </c>
      <c r="D173" s="20">
        <v>10</v>
      </c>
      <c r="E173" s="20">
        <v>10</v>
      </c>
      <c r="F173" s="20">
        <v>10</v>
      </c>
      <c r="G173" s="19">
        <f t="shared" si="16"/>
        <v>172</v>
      </c>
      <c r="H173" s="22">
        <f t="shared" si="12"/>
        <v>172</v>
      </c>
      <c r="I173" s="21">
        <f t="shared" ca="1" si="13"/>
        <v>0</v>
      </c>
      <c r="J173" s="21" t="str">
        <f ca="1">IF(I173=0,"",COUNTIF($I$2:I173,"&gt;0"))</f>
        <v/>
      </c>
      <c r="K173" s="21" t="str">
        <f t="shared" ca="1" si="14"/>
        <v/>
      </c>
    </row>
    <row r="174" spans="1:11" s="18" customFormat="1" ht="14.25" x14ac:dyDescent="0.2">
      <c r="A174" s="18" t="str">
        <f t="shared" si="15"/>
        <v>Eintrag 173</v>
      </c>
      <c r="B174" s="18">
        <v>100</v>
      </c>
      <c r="C174" s="19">
        <v>100</v>
      </c>
      <c r="D174" s="20">
        <v>10</v>
      </c>
      <c r="E174" s="20">
        <v>10</v>
      </c>
      <c r="F174" s="20">
        <v>10</v>
      </c>
      <c r="G174" s="19">
        <f t="shared" si="16"/>
        <v>172</v>
      </c>
      <c r="H174" s="22">
        <f t="shared" si="12"/>
        <v>173</v>
      </c>
      <c r="I174" s="21">
        <f t="shared" ca="1" si="13"/>
        <v>0</v>
      </c>
      <c r="J174" s="21" t="str">
        <f ca="1">IF(I174=0,"",COUNTIF($I$2:I174,"&gt;0"))</f>
        <v/>
      </c>
      <c r="K174" s="21" t="str">
        <f t="shared" ca="1" si="14"/>
        <v/>
      </c>
    </row>
    <row r="175" spans="1:11" s="18" customFormat="1" ht="14.25" x14ac:dyDescent="0.2">
      <c r="A175" s="18" t="str">
        <f t="shared" si="15"/>
        <v>Eintrag 174</v>
      </c>
      <c r="B175" s="18">
        <v>100</v>
      </c>
      <c r="C175" s="19">
        <v>100</v>
      </c>
      <c r="D175" s="20">
        <v>10</v>
      </c>
      <c r="E175" s="20">
        <v>10</v>
      </c>
      <c r="F175" s="20">
        <v>10</v>
      </c>
      <c r="G175" s="19">
        <f t="shared" si="16"/>
        <v>172</v>
      </c>
      <c r="H175" s="22">
        <f t="shared" si="12"/>
        <v>174</v>
      </c>
      <c r="I175" s="21">
        <f t="shared" ca="1" si="13"/>
        <v>0</v>
      </c>
      <c r="J175" s="21" t="str">
        <f ca="1">IF(I175=0,"",COUNTIF($I$2:I175,"&gt;0"))</f>
        <v/>
      </c>
      <c r="K175" s="21" t="str">
        <f t="shared" ca="1" si="14"/>
        <v/>
      </c>
    </row>
    <row r="176" spans="1:11" s="18" customFormat="1" ht="14.25" x14ac:dyDescent="0.2">
      <c r="A176" s="18" t="str">
        <f t="shared" si="15"/>
        <v>Eintrag 175</v>
      </c>
      <c r="B176" s="18">
        <v>100</v>
      </c>
      <c r="C176" s="19">
        <v>100</v>
      </c>
      <c r="D176" s="20">
        <v>10</v>
      </c>
      <c r="E176" s="20">
        <v>10</v>
      </c>
      <c r="F176" s="20">
        <v>10</v>
      </c>
      <c r="G176" s="19">
        <f t="shared" si="16"/>
        <v>172</v>
      </c>
      <c r="H176" s="22">
        <f t="shared" si="12"/>
        <v>175</v>
      </c>
      <c r="I176" s="21">
        <f t="shared" ca="1" si="13"/>
        <v>0</v>
      </c>
      <c r="J176" s="21" t="str">
        <f ca="1">IF(I176=0,"",COUNTIF($I$2:I176,"&gt;0"))</f>
        <v/>
      </c>
      <c r="K176" s="21" t="str">
        <f t="shared" ca="1" si="14"/>
        <v/>
      </c>
    </row>
    <row r="177" spans="1:11" s="18" customFormat="1" ht="14.25" x14ac:dyDescent="0.2">
      <c r="A177" s="18" t="str">
        <f t="shared" si="15"/>
        <v>Eintrag 176</v>
      </c>
      <c r="B177" s="18">
        <v>100</v>
      </c>
      <c r="C177" s="19">
        <v>100</v>
      </c>
      <c r="D177" s="20">
        <v>10</v>
      </c>
      <c r="E177" s="20">
        <v>10</v>
      </c>
      <c r="F177" s="20">
        <v>10</v>
      </c>
      <c r="G177" s="19">
        <f t="shared" si="16"/>
        <v>172</v>
      </c>
      <c r="H177" s="22">
        <f t="shared" si="12"/>
        <v>176</v>
      </c>
      <c r="I177" s="21">
        <f t="shared" ca="1" si="13"/>
        <v>0</v>
      </c>
      <c r="J177" s="21" t="str">
        <f ca="1">IF(I177=0,"",COUNTIF($I$2:I177,"&gt;0"))</f>
        <v/>
      </c>
      <c r="K177" s="21" t="str">
        <f t="shared" ca="1" si="14"/>
        <v/>
      </c>
    </row>
    <row r="178" spans="1:11" s="18" customFormat="1" ht="14.25" x14ac:dyDescent="0.2">
      <c r="A178" s="18" t="str">
        <f t="shared" si="15"/>
        <v>Eintrag 177</v>
      </c>
      <c r="B178" s="18">
        <v>100</v>
      </c>
      <c r="C178" s="19">
        <v>100</v>
      </c>
      <c r="D178" s="20">
        <v>10</v>
      </c>
      <c r="E178" s="20">
        <v>10</v>
      </c>
      <c r="F178" s="20">
        <v>10</v>
      </c>
      <c r="G178" s="19">
        <f t="shared" si="16"/>
        <v>172</v>
      </c>
      <c r="H178" s="22">
        <f t="shared" si="12"/>
        <v>177</v>
      </c>
      <c r="I178" s="21">
        <f t="shared" ca="1" si="13"/>
        <v>0</v>
      </c>
      <c r="J178" s="21" t="str">
        <f ca="1">IF(I178=0,"",COUNTIF($I$2:I178,"&gt;0"))</f>
        <v/>
      </c>
      <c r="K178" s="21" t="str">
        <f t="shared" ca="1" si="14"/>
        <v/>
      </c>
    </row>
    <row r="179" spans="1:11" s="18" customFormat="1" ht="14.25" x14ac:dyDescent="0.2">
      <c r="A179" s="18" t="str">
        <f t="shared" si="15"/>
        <v>Eintrag 178</v>
      </c>
      <c r="B179" s="18">
        <v>100</v>
      </c>
      <c r="C179" s="19">
        <v>100</v>
      </c>
      <c r="D179" s="20">
        <v>10</v>
      </c>
      <c r="E179" s="20">
        <v>10</v>
      </c>
      <c r="F179" s="20">
        <v>10</v>
      </c>
      <c r="G179" s="19">
        <f t="shared" si="16"/>
        <v>172</v>
      </c>
      <c r="H179" s="22">
        <f t="shared" si="12"/>
        <v>178</v>
      </c>
      <c r="I179" s="21">
        <f t="shared" ca="1" si="13"/>
        <v>0</v>
      </c>
      <c r="J179" s="21" t="str">
        <f ca="1">IF(I179=0,"",COUNTIF($I$2:I179,"&gt;0"))</f>
        <v/>
      </c>
      <c r="K179" s="21" t="str">
        <f t="shared" ca="1" si="14"/>
        <v/>
      </c>
    </row>
    <row r="180" spans="1:11" s="18" customFormat="1" ht="14.25" x14ac:dyDescent="0.2">
      <c r="A180" s="18" t="str">
        <f t="shared" si="15"/>
        <v>Eintrag 179</v>
      </c>
      <c r="B180" s="18">
        <v>100</v>
      </c>
      <c r="C180" s="19">
        <v>100</v>
      </c>
      <c r="D180" s="20">
        <v>10</v>
      </c>
      <c r="E180" s="20">
        <v>10</v>
      </c>
      <c r="F180" s="20">
        <v>10</v>
      </c>
      <c r="G180" s="19">
        <f t="shared" si="16"/>
        <v>172</v>
      </c>
      <c r="H180" s="22">
        <f t="shared" si="12"/>
        <v>179</v>
      </c>
      <c r="I180" s="21">
        <f t="shared" ca="1" si="13"/>
        <v>0</v>
      </c>
      <c r="J180" s="21" t="str">
        <f ca="1">IF(I180=0,"",COUNTIF($I$2:I180,"&gt;0"))</f>
        <v/>
      </c>
      <c r="K180" s="21" t="str">
        <f t="shared" ca="1" si="14"/>
        <v/>
      </c>
    </row>
    <row r="181" spans="1:11" s="18" customFormat="1" ht="14.25" x14ac:dyDescent="0.2">
      <c r="A181" s="18" t="str">
        <f t="shared" si="15"/>
        <v>Eintrag 180</v>
      </c>
      <c r="B181" s="18">
        <v>100</v>
      </c>
      <c r="C181" s="19">
        <v>100</v>
      </c>
      <c r="D181" s="20">
        <v>10</v>
      </c>
      <c r="E181" s="20">
        <v>10</v>
      </c>
      <c r="F181" s="20">
        <v>10</v>
      </c>
      <c r="G181" s="19">
        <f t="shared" si="16"/>
        <v>172</v>
      </c>
      <c r="H181" s="22">
        <f t="shared" si="12"/>
        <v>180</v>
      </c>
      <c r="I181" s="21">
        <f t="shared" ca="1" si="13"/>
        <v>0</v>
      </c>
      <c r="J181" s="21" t="str">
        <f ca="1">IF(I181=0,"",COUNTIF($I$2:I181,"&gt;0"))</f>
        <v/>
      </c>
      <c r="K181" s="21" t="str">
        <f t="shared" ca="1" si="14"/>
        <v/>
      </c>
    </row>
    <row r="182" spans="1:11" s="18" customFormat="1" ht="14.25" x14ac:dyDescent="0.2">
      <c r="A182" s="18" t="str">
        <f t="shared" si="15"/>
        <v>Eintrag 181</v>
      </c>
      <c r="B182" s="18">
        <v>100</v>
      </c>
      <c r="C182" s="19">
        <v>100</v>
      </c>
      <c r="D182" s="20">
        <v>10</v>
      </c>
      <c r="E182" s="20">
        <v>10</v>
      </c>
      <c r="F182" s="20">
        <v>10</v>
      </c>
      <c r="G182" s="19">
        <f t="shared" si="16"/>
        <v>172</v>
      </c>
      <c r="H182" s="22">
        <f t="shared" si="12"/>
        <v>181</v>
      </c>
      <c r="I182" s="21">
        <f t="shared" ca="1" si="13"/>
        <v>0</v>
      </c>
      <c r="J182" s="21" t="str">
        <f ca="1">IF(I182=0,"",COUNTIF($I$2:I182,"&gt;0"))</f>
        <v/>
      </c>
      <c r="K182" s="21" t="str">
        <f t="shared" ca="1" si="14"/>
        <v/>
      </c>
    </row>
    <row r="183" spans="1:11" s="18" customFormat="1" ht="14.25" x14ac:dyDescent="0.2">
      <c r="A183" s="18" t="str">
        <f t="shared" si="15"/>
        <v>Eintrag 182</v>
      </c>
      <c r="B183" s="18">
        <v>100</v>
      </c>
      <c r="C183" s="19">
        <v>100</v>
      </c>
      <c r="D183" s="20">
        <v>10</v>
      </c>
      <c r="E183" s="20">
        <v>10</v>
      </c>
      <c r="F183" s="20">
        <v>10</v>
      </c>
      <c r="G183" s="19">
        <f t="shared" si="16"/>
        <v>172</v>
      </c>
      <c r="H183" s="22">
        <f t="shared" si="12"/>
        <v>182</v>
      </c>
      <c r="I183" s="21">
        <f t="shared" ca="1" si="13"/>
        <v>0</v>
      </c>
      <c r="J183" s="21" t="str">
        <f ca="1">IF(I183=0,"",COUNTIF($I$2:I183,"&gt;0"))</f>
        <v/>
      </c>
      <c r="K183" s="21" t="str">
        <f t="shared" ca="1" si="14"/>
        <v/>
      </c>
    </row>
    <row r="184" spans="1:11" s="18" customFormat="1" ht="14.25" x14ac:dyDescent="0.2">
      <c r="A184" s="18" t="str">
        <f t="shared" si="15"/>
        <v>Eintrag 183</v>
      </c>
      <c r="B184" s="18">
        <v>100</v>
      </c>
      <c r="C184" s="19">
        <v>100</v>
      </c>
      <c r="D184" s="20">
        <v>10</v>
      </c>
      <c r="E184" s="20">
        <v>10</v>
      </c>
      <c r="F184" s="20">
        <v>10</v>
      </c>
      <c r="G184" s="19">
        <f t="shared" si="16"/>
        <v>172</v>
      </c>
      <c r="H184" s="22">
        <f t="shared" si="12"/>
        <v>183</v>
      </c>
      <c r="I184" s="21">
        <f t="shared" ca="1" si="13"/>
        <v>0</v>
      </c>
      <c r="J184" s="21" t="str">
        <f ca="1">IF(I184=0,"",COUNTIF($I$2:I184,"&gt;0"))</f>
        <v/>
      </c>
      <c r="K184" s="21" t="str">
        <f t="shared" ca="1" si="14"/>
        <v/>
      </c>
    </row>
    <row r="185" spans="1:11" s="18" customFormat="1" ht="14.25" x14ac:dyDescent="0.2">
      <c r="A185" s="18" t="str">
        <f t="shared" si="15"/>
        <v>Eintrag 184</v>
      </c>
      <c r="B185" s="18">
        <v>100</v>
      </c>
      <c r="C185" s="19">
        <v>100</v>
      </c>
      <c r="D185" s="20">
        <v>10</v>
      </c>
      <c r="E185" s="20">
        <v>10</v>
      </c>
      <c r="F185" s="20">
        <v>10</v>
      </c>
      <c r="G185" s="19">
        <f t="shared" si="16"/>
        <v>172</v>
      </c>
      <c r="H185" s="22">
        <f t="shared" si="12"/>
        <v>184</v>
      </c>
      <c r="I185" s="21">
        <f t="shared" ca="1" si="13"/>
        <v>0</v>
      </c>
      <c r="J185" s="21" t="str">
        <f ca="1">IF(I185=0,"",COUNTIF($I$2:I185,"&gt;0"))</f>
        <v/>
      </c>
      <c r="K185" s="21" t="str">
        <f t="shared" ca="1" si="14"/>
        <v/>
      </c>
    </row>
    <row r="186" spans="1:11" s="18" customFormat="1" ht="14.25" x14ac:dyDescent="0.2">
      <c r="A186" s="18" t="str">
        <f t="shared" si="15"/>
        <v>Eintrag 185</v>
      </c>
      <c r="B186" s="18">
        <v>100</v>
      </c>
      <c r="C186" s="19">
        <v>100</v>
      </c>
      <c r="D186" s="20">
        <v>10</v>
      </c>
      <c r="E186" s="20">
        <v>10</v>
      </c>
      <c r="F186" s="20">
        <v>10</v>
      </c>
      <c r="G186" s="19">
        <f t="shared" si="16"/>
        <v>172</v>
      </c>
      <c r="H186" s="22">
        <f t="shared" si="12"/>
        <v>185</v>
      </c>
      <c r="I186" s="21">
        <f t="shared" ca="1" si="13"/>
        <v>0</v>
      </c>
      <c r="J186" s="21" t="str">
        <f ca="1">IF(I186=0,"",COUNTIF($I$2:I186,"&gt;0"))</f>
        <v/>
      </c>
      <c r="K186" s="21" t="str">
        <f t="shared" ca="1" si="14"/>
        <v/>
      </c>
    </row>
    <row r="187" spans="1:11" s="18" customFormat="1" ht="14.25" x14ac:dyDescent="0.2">
      <c r="A187" s="18" t="str">
        <f t="shared" si="15"/>
        <v>Eintrag 186</v>
      </c>
      <c r="B187" s="18">
        <v>100</v>
      </c>
      <c r="C187" s="19">
        <v>100</v>
      </c>
      <c r="D187" s="20">
        <v>10</v>
      </c>
      <c r="E187" s="20">
        <v>10</v>
      </c>
      <c r="F187" s="20">
        <v>10</v>
      </c>
      <c r="G187" s="19">
        <f t="shared" si="16"/>
        <v>172</v>
      </c>
      <c r="H187" s="22">
        <f t="shared" si="12"/>
        <v>186</v>
      </c>
      <c r="I187" s="21">
        <f t="shared" ca="1" si="13"/>
        <v>0</v>
      </c>
      <c r="J187" s="21" t="str">
        <f ca="1">IF(I187=0,"",COUNTIF($I$2:I187,"&gt;0"))</f>
        <v/>
      </c>
      <c r="K187" s="21" t="str">
        <f t="shared" ca="1" si="14"/>
        <v/>
      </c>
    </row>
    <row r="188" spans="1:11" s="18" customFormat="1" ht="14.25" x14ac:dyDescent="0.2">
      <c r="A188" s="18" t="str">
        <f t="shared" si="15"/>
        <v>Eintrag 187</v>
      </c>
      <c r="B188" s="18">
        <v>100</v>
      </c>
      <c r="C188" s="19">
        <v>100</v>
      </c>
      <c r="D188" s="20">
        <v>10</v>
      </c>
      <c r="E188" s="20">
        <v>10</v>
      </c>
      <c r="F188" s="20">
        <v>10</v>
      </c>
      <c r="G188" s="19">
        <f t="shared" si="16"/>
        <v>172</v>
      </c>
      <c r="H188" s="22">
        <f t="shared" si="12"/>
        <v>187</v>
      </c>
      <c r="I188" s="21">
        <f t="shared" ca="1" si="13"/>
        <v>0</v>
      </c>
      <c r="J188" s="21" t="str">
        <f ca="1">IF(I188=0,"",COUNTIF($I$2:I188,"&gt;0"))</f>
        <v/>
      </c>
      <c r="K188" s="21" t="str">
        <f t="shared" ca="1" si="14"/>
        <v/>
      </c>
    </row>
    <row r="189" spans="1:11" s="18" customFormat="1" ht="14.25" x14ac:dyDescent="0.2">
      <c r="A189" s="18" t="str">
        <f t="shared" si="15"/>
        <v>Eintrag 188</v>
      </c>
      <c r="B189" s="18">
        <v>100</v>
      </c>
      <c r="C189" s="19">
        <v>100</v>
      </c>
      <c r="D189" s="20">
        <v>10</v>
      </c>
      <c r="E189" s="20">
        <v>10</v>
      </c>
      <c r="F189" s="20">
        <v>10</v>
      </c>
      <c r="G189" s="19">
        <f t="shared" si="16"/>
        <v>172</v>
      </c>
      <c r="H189" s="22">
        <f t="shared" si="12"/>
        <v>188</v>
      </c>
      <c r="I189" s="21">
        <f t="shared" ca="1" si="13"/>
        <v>0</v>
      </c>
      <c r="J189" s="21" t="str">
        <f ca="1">IF(I189=0,"",COUNTIF($I$2:I189,"&gt;0"))</f>
        <v/>
      </c>
      <c r="K189" s="21" t="str">
        <f t="shared" ca="1" si="14"/>
        <v/>
      </c>
    </row>
    <row r="190" spans="1:11" s="18" customFormat="1" ht="14.25" x14ac:dyDescent="0.2">
      <c r="A190" s="18" t="str">
        <f t="shared" si="15"/>
        <v>Eintrag 189</v>
      </c>
      <c r="B190" s="18">
        <v>100</v>
      </c>
      <c r="C190" s="19">
        <v>100</v>
      </c>
      <c r="D190" s="20">
        <v>10</v>
      </c>
      <c r="E190" s="20">
        <v>10</v>
      </c>
      <c r="F190" s="20">
        <v>10</v>
      </c>
      <c r="G190" s="19">
        <f t="shared" si="16"/>
        <v>172</v>
      </c>
      <c r="H190" s="22">
        <f t="shared" si="12"/>
        <v>189</v>
      </c>
      <c r="I190" s="21">
        <f t="shared" ca="1" si="13"/>
        <v>0</v>
      </c>
      <c r="J190" s="21" t="str">
        <f ca="1">IF(I190=0,"",COUNTIF($I$2:I190,"&gt;0"))</f>
        <v/>
      </c>
      <c r="K190" s="21" t="str">
        <f t="shared" ca="1" si="14"/>
        <v/>
      </c>
    </row>
    <row r="191" spans="1:11" s="18" customFormat="1" ht="14.25" x14ac:dyDescent="0.2">
      <c r="A191" s="18" t="str">
        <f t="shared" si="15"/>
        <v>Eintrag 190</v>
      </c>
      <c r="B191" s="18">
        <v>100</v>
      </c>
      <c r="C191" s="19">
        <v>100</v>
      </c>
      <c r="D191" s="20">
        <v>10</v>
      </c>
      <c r="E191" s="20">
        <v>10</v>
      </c>
      <c r="F191" s="20">
        <v>10</v>
      </c>
      <c r="G191" s="19">
        <f t="shared" si="16"/>
        <v>172</v>
      </c>
      <c r="H191" s="22">
        <f t="shared" si="12"/>
        <v>190</v>
      </c>
      <c r="I191" s="21">
        <f t="shared" ca="1" si="13"/>
        <v>0</v>
      </c>
      <c r="J191" s="21" t="str">
        <f ca="1">IF(I191=0,"",COUNTIF($I$2:I191,"&gt;0"))</f>
        <v/>
      </c>
      <c r="K191" s="21" t="str">
        <f t="shared" ca="1" si="14"/>
        <v/>
      </c>
    </row>
    <row r="192" spans="1:11" s="18" customFormat="1" ht="14.25" x14ac:dyDescent="0.2">
      <c r="A192" s="18" t="str">
        <f t="shared" si="15"/>
        <v>Eintrag 191</v>
      </c>
      <c r="B192" s="18">
        <v>100</v>
      </c>
      <c r="C192" s="19">
        <v>100</v>
      </c>
      <c r="D192" s="20">
        <v>10</v>
      </c>
      <c r="E192" s="20">
        <v>10</v>
      </c>
      <c r="F192" s="20">
        <v>10</v>
      </c>
      <c r="G192" s="19">
        <f t="shared" si="16"/>
        <v>172</v>
      </c>
      <c r="H192" s="22">
        <f t="shared" si="12"/>
        <v>191</v>
      </c>
      <c r="I192" s="21">
        <f t="shared" ca="1" si="13"/>
        <v>0</v>
      </c>
      <c r="J192" s="21" t="str">
        <f ca="1">IF(I192=0,"",COUNTIF($I$2:I192,"&gt;0"))</f>
        <v/>
      </c>
      <c r="K192" s="21" t="str">
        <f t="shared" ca="1" si="14"/>
        <v/>
      </c>
    </row>
    <row r="193" spans="1:11" s="18" customFormat="1" ht="14.25" x14ac:dyDescent="0.2">
      <c r="A193" s="18" t="str">
        <f t="shared" si="15"/>
        <v>Eintrag 192</v>
      </c>
      <c r="B193" s="18">
        <v>100</v>
      </c>
      <c r="C193" s="19">
        <v>100</v>
      </c>
      <c r="D193" s="20">
        <v>10</v>
      </c>
      <c r="E193" s="20">
        <v>10</v>
      </c>
      <c r="F193" s="20">
        <v>10</v>
      </c>
      <c r="G193" s="19">
        <f t="shared" si="16"/>
        <v>172</v>
      </c>
      <c r="H193" s="22">
        <f t="shared" si="12"/>
        <v>192</v>
      </c>
      <c r="I193" s="21">
        <f t="shared" ca="1" si="13"/>
        <v>0</v>
      </c>
      <c r="J193" s="21" t="str">
        <f ca="1">IF(I193=0,"",COUNTIF($I$2:I193,"&gt;0"))</f>
        <v/>
      </c>
      <c r="K193" s="21" t="str">
        <f t="shared" ca="1" si="14"/>
        <v/>
      </c>
    </row>
    <row r="194" spans="1:11" s="18" customFormat="1" ht="14.25" x14ac:dyDescent="0.2">
      <c r="A194" s="18" t="str">
        <f t="shared" si="15"/>
        <v>Eintrag 193</v>
      </c>
      <c r="B194" s="18">
        <v>100</v>
      </c>
      <c r="C194" s="19">
        <v>100</v>
      </c>
      <c r="D194" s="20">
        <v>10</v>
      </c>
      <c r="E194" s="20">
        <v>10</v>
      </c>
      <c r="F194" s="20">
        <v>10</v>
      </c>
      <c r="G194" s="19">
        <f t="shared" si="16"/>
        <v>172</v>
      </c>
      <c r="H194" s="22">
        <f t="shared" ref="H194:H292" si="17">H193+1</f>
        <v>193</v>
      </c>
      <c r="I194" s="21">
        <f t="shared" ref="I194:I357" ca="1" si="18">IFERROR(SEARCH(INDIRECT(CELL("address")),A194),0)</f>
        <v>0</v>
      </c>
      <c r="J194" s="21" t="str">
        <f ca="1">IF(I194=0,"",COUNTIF($I$2:I194,"&gt;0"))</f>
        <v/>
      </c>
      <c r="K194" s="21" t="str">
        <f t="shared" ref="K194:K257" ca="1" si="19">IFERROR(INDEX(A:A,MATCH(ROW(I193),J:J,0)),"")</f>
        <v/>
      </c>
    </row>
    <row r="195" spans="1:11" s="18" customFormat="1" ht="14.25" x14ac:dyDescent="0.2">
      <c r="A195" s="18" t="str">
        <f t="shared" ref="A195:A358" si="20">CONCATENATE("Eintrag ",H195)</f>
        <v>Eintrag 194</v>
      </c>
      <c r="B195" s="18">
        <v>100</v>
      </c>
      <c r="C195" s="19">
        <v>100</v>
      </c>
      <c r="D195" s="20">
        <v>10</v>
      </c>
      <c r="E195" s="20">
        <v>10</v>
      </c>
      <c r="F195" s="20">
        <v>10</v>
      </c>
      <c r="G195" s="19">
        <f t="shared" ref="G195:G258" si="21">D195*9+E195*4.1+F195*4.1</f>
        <v>172</v>
      </c>
      <c r="H195" s="22">
        <f t="shared" si="17"/>
        <v>194</v>
      </c>
      <c r="I195" s="21">
        <f t="shared" ca="1" si="18"/>
        <v>0</v>
      </c>
      <c r="J195" s="21" t="str">
        <f ca="1">IF(I195=0,"",COUNTIF($I$2:I195,"&gt;0"))</f>
        <v/>
      </c>
      <c r="K195" s="21" t="str">
        <f t="shared" ca="1" si="19"/>
        <v/>
      </c>
    </row>
    <row r="196" spans="1:11" s="18" customFormat="1" ht="14.25" x14ac:dyDescent="0.2">
      <c r="A196" s="18" t="str">
        <f t="shared" si="20"/>
        <v>Eintrag 195</v>
      </c>
      <c r="B196" s="18">
        <v>100</v>
      </c>
      <c r="C196" s="19">
        <v>100</v>
      </c>
      <c r="D196" s="20">
        <v>10</v>
      </c>
      <c r="E196" s="20">
        <v>10</v>
      </c>
      <c r="F196" s="20">
        <v>10</v>
      </c>
      <c r="G196" s="19">
        <f t="shared" si="21"/>
        <v>172</v>
      </c>
      <c r="H196" s="22">
        <f t="shared" si="17"/>
        <v>195</v>
      </c>
      <c r="I196" s="21">
        <f t="shared" ca="1" si="18"/>
        <v>0</v>
      </c>
      <c r="J196" s="21" t="str">
        <f ca="1">IF(I196=0,"",COUNTIF($I$2:I196,"&gt;0"))</f>
        <v/>
      </c>
      <c r="K196" s="21" t="str">
        <f t="shared" ca="1" si="19"/>
        <v/>
      </c>
    </row>
    <row r="197" spans="1:11" s="18" customFormat="1" ht="14.25" x14ac:dyDescent="0.2">
      <c r="A197" s="18" t="str">
        <f t="shared" si="20"/>
        <v>Eintrag 196</v>
      </c>
      <c r="B197" s="18">
        <v>100</v>
      </c>
      <c r="C197" s="19">
        <v>100</v>
      </c>
      <c r="D197" s="20">
        <v>10</v>
      </c>
      <c r="E197" s="20">
        <v>10</v>
      </c>
      <c r="F197" s="20">
        <v>10</v>
      </c>
      <c r="G197" s="19">
        <f t="shared" si="21"/>
        <v>172</v>
      </c>
      <c r="H197" s="22">
        <f t="shared" si="17"/>
        <v>196</v>
      </c>
      <c r="I197" s="21">
        <f t="shared" ca="1" si="18"/>
        <v>0</v>
      </c>
      <c r="J197" s="21" t="str">
        <f ca="1">IF(I197=0,"",COUNTIF($I$2:I197,"&gt;0"))</f>
        <v/>
      </c>
      <c r="K197" s="21" t="str">
        <f t="shared" ca="1" si="19"/>
        <v/>
      </c>
    </row>
    <row r="198" spans="1:11" s="18" customFormat="1" ht="14.25" x14ac:dyDescent="0.2">
      <c r="A198" s="18" t="str">
        <f t="shared" si="20"/>
        <v>Eintrag 197</v>
      </c>
      <c r="B198" s="18">
        <v>100</v>
      </c>
      <c r="C198" s="19">
        <v>100</v>
      </c>
      <c r="D198" s="20">
        <v>10</v>
      </c>
      <c r="E198" s="20">
        <v>10</v>
      </c>
      <c r="F198" s="20">
        <v>10</v>
      </c>
      <c r="G198" s="19">
        <f t="shared" si="21"/>
        <v>172</v>
      </c>
      <c r="H198" s="22">
        <f t="shared" si="17"/>
        <v>197</v>
      </c>
      <c r="I198" s="21">
        <f t="shared" ca="1" si="18"/>
        <v>0</v>
      </c>
      <c r="J198" s="21" t="str">
        <f ca="1">IF(I198=0,"",COUNTIF($I$2:I198,"&gt;0"))</f>
        <v/>
      </c>
      <c r="K198" s="21" t="str">
        <f t="shared" ca="1" si="19"/>
        <v/>
      </c>
    </row>
    <row r="199" spans="1:11" s="18" customFormat="1" ht="14.25" x14ac:dyDescent="0.2">
      <c r="A199" s="18" t="str">
        <f t="shared" si="20"/>
        <v>Eintrag 198</v>
      </c>
      <c r="B199" s="18">
        <v>100</v>
      </c>
      <c r="C199" s="19">
        <v>100</v>
      </c>
      <c r="D199" s="20">
        <v>10</v>
      </c>
      <c r="E199" s="20">
        <v>10</v>
      </c>
      <c r="F199" s="20">
        <v>10</v>
      </c>
      <c r="G199" s="19">
        <f t="shared" si="21"/>
        <v>172</v>
      </c>
      <c r="H199" s="22">
        <f t="shared" si="17"/>
        <v>198</v>
      </c>
      <c r="I199" s="21">
        <f t="shared" ca="1" si="18"/>
        <v>0</v>
      </c>
      <c r="J199" s="21" t="str">
        <f ca="1">IF(I199=0,"",COUNTIF($I$2:I199,"&gt;0"))</f>
        <v/>
      </c>
      <c r="K199" s="21" t="str">
        <f t="shared" ca="1" si="19"/>
        <v/>
      </c>
    </row>
    <row r="200" spans="1:11" s="18" customFormat="1" ht="14.25" x14ac:dyDescent="0.2">
      <c r="A200" s="18" t="str">
        <f t="shared" si="20"/>
        <v>Eintrag 199</v>
      </c>
      <c r="B200" s="18">
        <v>100</v>
      </c>
      <c r="C200" s="19">
        <v>100</v>
      </c>
      <c r="D200" s="20">
        <v>10</v>
      </c>
      <c r="E200" s="20">
        <v>10</v>
      </c>
      <c r="F200" s="20">
        <v>10</v>
      </c>
      <c r="G200" s="19">
        <f t="shared" si="21"/>
        <v>172</v>
      </c>
      <c r="H200" s="22">
        <f t="shared" si="17"/>
        <v>199</v>
      </c>
      <c r="I200" s="21">
        <f t="shared" ca="1" si="18"/>
        <v>0</v>
      </c>
      <c r="J200" s="21" t="str">
        <f ca="1">IF(I200=0,"",COUNTIF($I$2:I200,"&gt;0"))</f>
        <v/>
      </c>
      <c r="K200" s="21" t="str">
        <f t="shared" ca="1" si="19"/>
        <v/>
      </c>
    </row>
    <row r="201" spans="1:11" s="18" customFormat="1" ht="14.25" x14ac:dyDescent="0.2">
      <c r="A201" s="18" t="str">
        <f t="shared" si="20"/>
        <v>Eintrag 200</v>
      </c>
      <c r="B201" s="18">
        <v>100</v>
      </c>
      <c r="C201" s="19">
        <v>100</v>
      </c>
      <c r="D201" s="20">
        <v>10</v>
      </c>
      <c r="E201" s="20">
        <v>10</v>
      </c>
      <c r="F201" s="20">
        <v>10</v>
      </c>
      <c r="G201" s="19">
        <f t="shared" si="21"/>
        <v>172</v>
      </c>
      <c r="H201" s="22">
        <f t="shared" si="17"/>
        <v>200</v>
      </c>
      <c r="I201" s="21">
        <f t="shared" ca="1" si="18"/>
        <v>0</v>
      </c>
      <c r="J201" s="21" t="str">
        <f ca="1">IF(I201=0,"",COUNTIF($I$2:I201,"&gt;0"))</f>
        <v/>
      </c>
      <c r="K201" s="21" t="str">
        <f t="shared" ca="1" si="19"/>
        <v/>
      </c>
    </row>
    <row r="202" spans="1:11" s="18" customFormat="1" ht="14.25" x14ac:dyDescent="0.2">
      <c r="A202" s="18" t="str">
        <f t="shared" si="20"/>
        <v>Eintrag 201</v>
      </c>
      <c r="B202" s="18">
        <v>100</v>
      </c>
      <c r="C202" s="19">
        <v>100</v>
      </c>
      <c r="D202" s="20">
        <v>10</v>
      </c>
      <c r="E202" s="20">
        <v>10</v>
      </c>
      <c r="F202" s="20">
        <v>10</v>
      </c>
      <c r="G202" s="19">
        <f t="shared" si="21"/>
        <v>172</v>
      </c>
      <c r="H202" s="22">
        <f t="shared" si="17"/>
        <v>201</v>
      </c>
      <c r="I202" s="21">
        <f t="shared" ca="1" si="18"/>
        <v>0</v>
      </c>
      <c r="J202" s="21" t="str">
        <f ca="1">IF(I202=0,"",COUNTIF($I$2:I202,"&gt;0"))</f>
        <v/>
      </c>
      <c r="K202" s="21" t="str">
        <f t="shared" ca="1" si="19"/>
        <v/>
      </c>
    </row>
    <row r="203" spans="1:11" s="18" customFormat="1" ht="14.25" x14ac:dyDescent="0.2">
      <c r="A203" s="18" t="str">
        <f t="shared" si="20"/>
        <v>Eintrag 202</v>
      </c>
      <c r="B203" s="18">
        <v>100</v>
      </c>
      <c r="C203" s="19">
        <v>100</v>
      </c>
      <c r="D203" s="20">
        <v>10</v>
      </c>
      <c r="E203" s="20">
        <v>10</v>
      </c>
      <c r="F203" s="20">
        <v>10</v>
      </c>
      <c r="G203" s="19">
        <f t="shared" si="21"/>
        <v>172</v>
      </c>
      <c r="H203" s="22">
        <f t="shared" si="17"/>
        <v>202</v>
      </c>
      <c r="I203" s="21">
        <f t="shared" ca="1" si="18"/>
        <v>0</v>
      </c>
      <c r="J203" s="21" t="str">
        <f ca="1">IF(I203=0,"",COUNTIF($I$2:I203,"&gt;0"))</f>
        <v/>
      </c>
      <c r="K203" s="21" t="str">
        <f t="shared" ca="1" si="19"/>
        <v/>
      </c>
    </row>
    <row r="204" spans="1:11" s="18" customFormat="1" ht="14.25" x14ac:dyDescent="0.2">
      <c r="A204" s="18" t="str">
        <f t="shared" si="20"/>
        <v>Eintrag 203</v>
      </c>
      <c r="B204" s="18">
        <v>100</v>
      </c>
      <c r="C204" s="19">
        <v>100</v>
      </c>
      <c r="D204" s="20">
        <v>10</v>
      </c>
      <c r="E204" s="20">
        <v>10</v>
      </c>
      <c r="F204" s="20">
        <v>10</v>
      </c>
      <c r="G204" s="19">
        <f t="shared" si="21"/>
        <v>172</v>
      </c>
      <c r="H204" s="22">
        <f t="shared" si="17"/>
        <v>203</v>
      </c>
      <c r="I204" s="21">
        <f t="shared" ca="1" si="18"/>
        <v>0</v>
      </c>
      <c r="J204" s="21" t="str">
        <f ca="1">IF(I204=0,"",COUNTIF($I$2:I204,"&gt;0"))</f>
        <v/>
      </c>
      <c r="K204" s="21" t="str">
        <f t="shared" ca="1" si="19"/>
        <v/>
      </c>
    </row>
    <row r="205" spans="1:11" s="18" customFormat="1" ht="14.25" x14ac:dyDescent="0.2">
      <c r="A205" s="18" t="str">
        <f t="shared" si="20"/>
        <v>Eintrag 204</v>
      </c>
      <c r="B205" s="18">
        <v>100</v>
      </c>
      <c r="C205" s="19">
        <v>100</v>
      </c>
      <c r="D205" s="20">
        <v>10</v>
      </c>
      <c r="E205" s="20">
        <v>10</v>
      </c>
      <c r="F205" s="20">
        <v>10</v>
      </c>
      <c r="G205" s="19">
        <f t="shared" si="21"/>
        <v>172</v>
      </c>
      <c r="H205" s="22">
        <f t="shared" si="17"/>
        <v>204</v>
      </c>
      <c r="I205" s="21">
        <f t="shared" ca="1" si="18"/>
        <v>0</v>
      </c>
      <c r="J205" s="21" t="str">
        <f ca="1">IF(I205=0,"",COUNTIF($I$2:I205,"&gt;0"))</f>
        <v/>
      </c>
      <c r="K205" s="21" t="str">
        <f t="shared" ca="1" si="19"/>
        <v/>
      </c>
    </row>
    <row r="206" spans="1:11" s="18" customFormat="1" ht="14.25" x14ac:dyDescent="0.2">
      <c r="A206" s="18" t="str">
        <f t="shared" si="20"/>
        <v>Eintrag 205</v>
      </c>
      <c r="B206" s="18">
        <v>100</v>
      </c>
      <c r="C206" s="19">
        <v>100</v>
      </c>
      <c r="D206" s="20">
        <v>10</v>
      </c>
      <c r="E206" s="20">
        <v>10</v>
      </c>
      <c r="F206" s="20">
        <v>10</v>
      </c>
      <c r="G206" s="19">
        <f t="shared" si="21"/>
        <v>172</v>
      </c>
      <c r="H206" s="22">
        <f t="shared" si="17"/>
        <v>205</v>
      </c>
      <c r="I206" s="21">
        <f t="shared" ca="1" si="18"/>
        <v>0</v>
      </c>
      <c r="J206" s="21" t="str">
        <f ca="1">IF(I206=0,"",COUNTIF($I$2:I206,"&gt;0"))</f>
        <v/>
      </c>
      <c r="K206" s="21" t="str">
        <f t="shared" ca="1" si="19"/>
        <v/>
      </c>
    </row>
    <row r="207" spans="1:11" s="18" customFormat="1" ht="14.25" x14ac:dyDescent="0.2">
      <c r="A207" s="18" t="str">
        <f t="shared" si="20"/>
        <v>Eintrag 206</v>
      </c>
      <c r="B207" s="18">
        <v>100</v>
      </c>
      <c r="C207" s="19">
        <v>100</v>
      </c>
      <c r="D207" s="20">
        <v>10</v>
      </c>
      <c r="E207" s="20">
        <v>10</v>
      </c>
      <c r="F207" s="20">
        <v>10</v>
      </c>
      <c r="G207" s="19">
        <f t="shared" si="21"/>
        <v>172</v>
      </c>
      <c r="H207" s="22">
        <f t="shared" si="17"/>
        <v>206</v>
      </c>
      <c r="I207" s="21">
        <f t="shared" ca="1" si="18"/>
        <v>0</v>
      </c>
      <c r="J207" s="21" t="str">
        <f ca="1">IF(I207=0,"",COUNTIF($I$2:I207,"&gt;0"))</f>
        <v/>
      </c>
      <c r="K207" s="21" t="str">
        <f t="shared" ca="1" si="19"/>
        <v/>
      </c>
    </row>
    <row r="208" spans="1:11" s="18" customFormat="1" ht="14.25" x14ac:dyDescent="0.2">
      <c r="A208" s="18" t="str">
        <f t="shared" si="20"/>
        <v>Eintrag 207</v>
      </c>
      <c r="B208" s="18">
        <v>100</v>
      </c>
      <c r="C208" s="19">
        <v>100</v>
      </c>
      <c r="D208" s="20">
        <v>10</v>
      </c>
      <c r="E208" s="20">
        <v>10</v>
      </c>
      <c r="F208" s="20">
        <v>10</v>
      </c>
      <c r="G208" s="19">
        <f t="shared" si="21"/>
        <v>172</v>
      </c>
      <c r="H208" s="22">
        <f t="shared" si="17"/>
        <v>207</v>
      </c>
      <c r="I208" s="21">
        <f t="shared" ca="1" si="18"/>
        <v>0</v>
      </c>
      <c r="J208" s="21" t="str">
        <f ca="1">IF(I208=0,"",COUNTIF($I$2:I208,"&gt;0"))</f>
        <v/>
      </c>
      <c r="K208" s="21" t="str">
        <f t="shared" ca="1" si="19"/>
        <v/>
      </c>
    </row>
    <row r="209" spans="1:11" s="18" customFormat="1" ht="14.25" x14ac:dyDescent="0.2">
      <c r="A209" s="18" t="str">
        <f t="shared" si="20"/>
        <v>Eintrag 208</v>
      </c>
      <c r="B209" s="18">
        <v>100</v>
      </c>
      <c r="C209" s="19">
        <v>100</v>
      </c>
      <c r="D209" s="20">
        <v>10</v>
      </c>
      <c r="E209" s="20">
        <v>10</v>
      </c>
      <c r="F209" s="20">
        <v>10</v>
      </c>
      <c r="G209" s="19">
        <f t="shared" si="21"/>
        <v>172</v>
      </c>
      <c r="H209" s="22">
        <f t="shared" si="17"/>
        <v>208</v>
      </c>
      <c r="I209" s="21">
        <f t="shared" ca="1" si="18"/>
        <v>0</v>
      </c>
      <c r="J209" s="21" t="str">
        <f ca="1">IF(I209=0,"",COUNTIF($I$2:I209,"&gt;0"))</f>
        <v/>
      </c>
      <c r="K209" s="21" t="str">
        <f t="shared" ca="1" si="19"/>
        <v/>
      </c>
    </row>
    <row r="210" spans="1:11" s="18" customFormat="1" ht="14.25" x14ac:dyDescent="0.2">
      <c r="A210" s="18" t="str">
        <f t="shared" si="20"/>
        <v>Eintrag 209</v>
      </c>
      <c r="B210" s="18">
        <v>100</v>
      </c>
      <c r="C210" s="19">
        <v>100</v>
      </c>
      <c r="D210" s="20">
        <v>10</v>
      </c>
      <c r="E210" s="20">
        <v>10</v>
      </c>
      <c r="F210" s="20">
        <v>10</v>
      </c>
      <c r="G210" s="19">
        <f t="shared" si="21"/>
        <v>172</v>
      </c>
      <c r="H210" s="22">
        <f t="shared" si="17"/>
        <v>209</v>
      </c>
      <c r="I210" s="21">
        <f t="shared" ca="1" si="18"/>
        <v>0</v>
      </c>
      <c r="J210" s="21" t="str">
        <f ca="1">IF(I210=0,"",COUNTIF($I$2:I210,"&gt;0"))</f>
        <v/>
      </c>
      <c r="K210" s="21" t="str">
        <f t="shared" ca="1" si="19"/>
        <v/>
      </c>
    </row>
    <row r="211" spans="1:11" s="18" customFormat="1" ht="14.25" x14ac:dyDescent="0.2">
      <c r="A211" s="18" t="str">
        <f t="shared" si="20"/>
        <v>Eintrag 210</v>
      </c>
      <c r="B211" s="18">
        <v>100</v>
      </c>
      <c r="C211" s="19">
        <v>100</v>
      </c>
      <c r="D211" s="20">
        <v>10</v>
      </c>
      <c r="E211" s="20">
        <v>10</v>
      </c>
      <c r="F211" s="20">
        <v>10</v>
      </c>
      <c r="G211" s="19">
        <f t="shared" si="21"/>
        <v>172</v>
      </c>
      <c r="H211" s="22">
        <f t="shared" si="17"/>
        <v>210</v>
      </c>
      <c r="I211" s="21">
        <f t="shared" ca="1" si="18"/>
        <v>0</v>
      </c>
      <c r="J211" s="21" t="str">
        <f ca="1">IF(I211=0,"",COUNTIF($I$2:I211,"&gt;0"))</f>
        <v/>
      </c>
      <c r="K211" s="21" t="str">
        <f t="shared" ca="1" si="19"/>
        <v/>
      </c>
    </row>
    <row r="212" spans="1:11" s="18" customFormat="1" ht="14.25" x14ac:dyDescent="0.2">
      <c r="A212" s="18" t="str">
        <f t="shared" si="20"/>
        <v>Eintrag 211</v>
      </c>
      <c r="B212" s="18">
        <v>100</v>
      </c>
      <c r="C212" s="19">
        <v>100</v>
      </c>
      <c r="D212" s="20">
        <v>10</v>
      </c>
      <c r="E212" s="20">
        <v>10</v>
      </c>
      <c r="F212" s="20">
        <v>10</v>
      </c>
      <c r="G212" s="19">
        <f t="shared" si="21"/>
        <v>172</v>
      </c>
      <c r="H212" s="22">
        <f t="shared" si="17"/>
        <v>211</v>
      </c>
      <c r="I212" s="21">
        <f t="shared" ca="1" si="18"/>
        <v>0</v>
      </c>
      <c r="J212" s="21" t="str">
        <f ca="1">IF(I212=0,"",COUNTIF($I$2:I212,"&gt;0"))</f>
        <v/>
      </c>
      <c r="K212" s="21" t="str">
        <f t="shared" ca="1" si="19"/>
        <v/>
      </c>
    </row>
    <row r="213" spans="1:11" s="18" customFormat="1" ht="14.25" x14ac:dyDescent="0.2">
      <c r="A213" s="18" t="str">
        <f t="shared" si="20"/>
        <v>Eintrag 212</v>
      </c>
      <c r="B213" s="18">
        <v>100</v>
      </c>
      <c r="C213" s="19">
        <v>100</v>
      </c>
      <c r="D213" s="20">
        <v>10</v>
      </c>
      <c r="E213" s="20">
        <v>10</v>
      </c>
      <c r="F213" s="20">
        <v>10</v>
      </c>
      <c r="G213" s="19">
        <f t="shared" si="21"/>
        <v>172</v>
      </c>
      <c r="H213" s="22">
        <f t="shared" si="17"/>
        <v>212</v>
      </c>
      <c r="I213" s="21">
        <f t="shared" ca="1" si="18"/>
        <v>0</v>
      </c>
      <c r="J213" s="21" t="str">
        <f ca="1">IF(I213=0,"",COUNTIF($I$2:I213,"&gt;0"))</f>
        <v/>
      </c>
      <c r="K213" s="21" t="str">
        <f t="shared" ca="1" si="19"/>
        <v/>
      </c>
    </row>
    <row r="214" spans="1:11" s="18" customFormat="1" ht="14.25" x14ac:dyDescent="0.2">
      <c r="A214" s="18" t="str">
        <f t="shared" si="20"/>
        <v>Eintrag 213</v>
      </c>
      <c r="B214" s="18">
        <v>100</v>
      </c>
      <c r="C214" s="19">
        <v>100</v>
      </c>
      <c r="D214" s="20">
        <v>10</v>
      </c>
      <c r="E214" s="20">
        <v>10</v>
      </c>
      <c r="F214" s="20">
        <v>10</v>
      </c>
      <c r="G214" s="19">
        <f t="shared" si="21"/>
        <v>172</v>
      </c>
      <c r="H214" s="22">
        <f t="shared" si="17"/>
        <v>213</v>
      </c>
      <c r="I214" s="21">
        <f t="shared" ca="1" si="18"/>
        <v>0</v>
      </c>
      <c r="J214" s="21" t="str">
        <f ca="1">IF(I214=0,"",COUNTIF($I$2:I214,"&gt;0"))</f>
        <v/>
      </c>
      <c r="K214" s="21" t="str">
        <f t="shared" ca="1" si="19"/>
        <v/>
      </c>
    </row>
    <row r="215" spans="1:11" s="18" customFormat="1" ht="14.25" x14ac:dyDescent="0.2">
      <c r="A215" s="18" t="str">
        <f t="shared" si="20"/>
        <v>Eintrag 214</v>
      </c>
      <c r="B215" s="18">
        <v>100</v>
      </c>
      <c r="C215" s="19">
        <v>100</v>
      </c>
      <c r="D215" s="20">
        <v>10</v>
      </c>
      <c r="E215" s="20">
        <v>10</v>
      </c>
      <c r="F215" s="20">
        <v>10</v>
      </c>
      <c r="G215" s="19">
        <f t="shared" si="21"/>
        <v>172</v>
      </c>
      <c r="H215" s="22">
        <f t="shared" si="17"/>
        <v>214</v>
      </c>
      <c r="I215" s="21">
        <f t="shared" ca="1" si="18"/>
        <v>0</v>
      </c>
      <c r="J215" s="21" t="str">
        <f ca="1">IF(I215=0,"",COUNTIF($I$2:I215,"&gt;0"))</f>
        <v/>
      </c>
      <c r="K215" s="21" t="str">
        <f t="shared" ca="1" si="19"/>
        <v/>
      </c>
    </row>
    <row r="216" spans="1:11" s="18" customFormat="1" ht="14.25" x14ac:dyDescent="0.2">
      <c r="A216" s="18" t="str">
        <f t="shared" si="20"/>
        <v>Eintrag 215</v>
      </c>
      <c r="B216" s="18">
        <v>100</v>
      </c>
      <c r="C216" s="19">
        <v>100</v>
      </c>
      <c r="D216" s="20">
        <v>10</v>
      </c>
      <c r="E216" s="20">
        <v>10</v>
      </c>
      <c r="F216" s="20">
        <v>10</v>
      </c>
      <c r="G216" s="19">
        <f t="shared" si="21"/>
        <v>172</v>
      </c>
      <c r="H216" s="22">
        <f t="shared" si="17"/>
        <v>215</v>
      </c>
      <c r="I216" s="21">
        <f t="shared" ca="1" si="18"/>
        <v>0</v>
      </c>
      <c r="J216" s="21" t="str">
        <f ca="1">IF(I216=0,"",COUNTIF($I$2:I216,"&gt;0"))</f>
        <v/>
      </c>
      <c r="K216" s="21" t="str">
        <f t="shared" ca="1" si="19"/>
        <v/>
      </c>
    </row>
    <row r="217" spans="1:11" s="18" customFormat="1" ht="14.25" x14ac:dyDescent="0.2">
      <c r="A217" s="18" t="str">
        <f t="shared" si="20"/>
        <v>Eintrag 216</v>
      </c>
      <c r="B217" s="18">
        <v>100</v>
      </c>
      <c r="C217" s="19">
        <v>100</v>
      </c>
      <c r="D217" s="20">
        <v>10</v>
      </c>
      <c r="E217" s="20">
        <v>10</v>
      </c>
      <c r="F217" s="20">
        <v>10</v>
      </c>
      <c r="G217" s="19">
        <f t="shared" si="21"/>
        <v>172</v>
      </c>
      <c r="H217" s="22">
        <f t="shared" si="17"/>
        <v>216</v>
      </c>
      <c r="I217" s="21">
        <f t="shared" ca="1" si="18"/>
        <v>0</v>
      </c>
      <c r="J217" s="21" t="str">
        <f ca="1">IF(I217=0,"",COUNTIF($I$2:I217,"&gt;0"))</f>
        <v/>
      </c>
      <c r="K217" s="21" t="str">
        <f t="shared" ca="1" si="19"/>
        <v/>
      </c>
    </row>
    <row r="218" spans="1:11" s="18" customFormat="1" ht="14.25" x14ac:dyDescent="0.2">
      <c r="A218" s="18" t="str">
        <f t="shared" si="20"/>
        <v>Eintrag 217</v>
      </c>
      <c r="B218" s="18">
        <v>100</v>
      </c>
      <c r="C218" s="19">
        <v>100</v>
      </c>
      <c r="D218" s="20">
        <v>10</v>
      </c>
      <c r="E218" s="20">
        <v>10</v>
      </c>
      <c r="F218" s="20">
        <v>10</v>
      </c>
      <c r="G218" s="19">
        <f t="shared" si="21"/>
        <v>172</v>
      </c>
      <c r="H218" s="22">
        <f t="shared" si="17"/>
        <v>217</v>
      </c>
      <c r="I218" s="21">
        <f t="shared" ca="1" si="18"/>
        <v>0</v>
      </c>
      <c r="J218" s="21" t="str">
        <f ca="1">IF(I218=0,"",COUNTIF($I$2:I218,"&gt;0"))</f>
        <v/>
      </c>
      <c r="K218" s="21" t="str">
        <f t="shared" ca="1" si="19"/>
        <v/>
      </c>
    </row>
    <row r="219" spans="1:11" s="18" customFormat="1" ht="14.25" x14ac:dyDescent="0.2">
      <c r="A219" s="18" t="str">
        <f t="shared" si="20"/>
        <v>Eintrag 218</v>
      </c>
      <c r="B219" s="18">
        <v>100</v>
      </c>
      <c r="C219" s="19">
        <v>100</v>
      </c>
      <c r="D219" s="20">
        <v>10</v>
      </c>
      <c r="E219" s="20">
        <v>10</v>
      </c>
      <c r="F219" s="20">
        <v>10</v>
      </c>
      <c r="G219" s="19">
        <f t="shared" si="21"/>
        <v>172</v>
      </c>
      <c r="H219" s="22">
        <f t="shared" si="17"/>
        <v>218</v>
      </c>
      <c r="I219" s="21">
        <f t="shared" ca="1" si="18"/>
        <v>0</v>
      </c>
      <c r="J219" s="21" t="str">
        <f ca="1">IF(I219=0,"",COUNTIF($I$2:I219,"&gt;0"))</f>
        <v/>
      </c>
      <c r="K219" s="21" t="str">
        <f t="shared" ca="1" si="19"/>
        <v/>
      </c>
    </row>
    <row r="220" spans="1:11" s="18" customFormat="1" ht="14.25" x14ac:dyDescent="0.2">
      <c r="A220" s="18" t="str">
        <f t="shared" si="20"/>
        <v>Eintrag 219</v>
      </c>
      <c r="B220" s="18">
        <v>100</v>
      </c>
      <c r="C220" s="19">
        <v>100</v>
      </c>
      <c r="D220" s="20">
        <v>10</v>
      </c>
      <c r="E220" s="20">
        <v>10</v>
      </c>
      <c r="F220" s="20">
        <v>10</v>
      </c>
      <c r="G220" s="19">
        <f t="shared" si="21"/>
        <v>172</v>
      </c>
      <c r="H220" s="22">
        <f t="shared" si="17"/>
        <v>219</v>
      </c>
      <c r="I220" s="21">
        <f t="shared" ca="1" si="18"/>
        <v>0</v>
      </c>
      <c r="J220" s="21" t="str">
        <f ca="1">IF(I220=0,"",COUNTIF($I$2:I220,"&gt;0"))</f>
        <v/>
      </c>
      <c r="K220" s="21" t="str">
        <f t="shared" ca="1" si="19"/>
        <v/>
      </c>
    </row>
    <row r="221" spans="1:11" s="18" customFormat="1" ht="14.25" x14ac:dyDescent="0.2">
      <c r="A221" s="18" t="str">
        <f t="shared" si="20"/>
        <v>Eintrag 220</v>
      </c>
      <c r="B221" s="18">
        <v>100</v>
      </c>
      <c r="C221" s="19">
        <v>100</v>
      </c>
      <c r="D221" s="20">
        <v>10</v>
      </c>
      <c r="E221" s="20">
        <v>10</v>
      </c>
      <c r="F221" s="20">
        <v>10</v>
      </c>
      <c r="G221" s="19">
        <f t="shared" si="21"/>
        <v>172</v>
      </c>
      <c r="H221" s="22">
        <f t="shared" si="17"/>
        <v>220</v>
      </c>
      <c r="I221" s="21">
        <f t="shared" ca="1" si="18"/>
        <v>0</v>
      </c>
      <c r="J221" s="21" t="str">
        <f ca="1">IF(I221=0,"",COUNTIF($I$2:I221,"&gt;0"))</f>
        <v/>
      </c>
      <c r="K221" s="21" t="str">
        <f t="shared" ca="1" si="19"/>
        <v/>
      </c>
    </row>
    <row r="222" spans="1:11" s="18" customFormat="1" ht="14.25" x14ac:dyDescent="0.2">
      <c r="A222" s="18" t="str">
        <f t="shared" si="20"/>
        <v>Eintrag 221</v>
      </c>
      <c r="B222" s="18">
        <v>100</v>
      </c>
      <c r="C222" s="19">
        <v>100</v>
      </c>
      <c r="D222" s="20">
        <v>10</v>
      </c>
      <c r="E222" s="20">
        <v>10</v>
      </c>
      <c r="F222" s="20">
        <v>10</v>
      </c>
      <c r="G222" s="19">
        <f t="shared" si="21"/>
        <v>172</v>
      </c>
      <c r="H222" s="22">
        <f t="shared" si="17"/>
        <v>221</v>
      </c>
      <c r="I222" s="21">
        <f t="shared" ca="1" si="18"/>
        <v>0</v>
      </c>
      <c r="J222" s="21" t="str">
        <f ca="1">IF(I222=0,"",COUNTIF($I$2:I222,"&gt;0"))</f>
        <v/>
      </c>
      <c r="K222" s="21" t="str">
        <f t="shared" ca="1" si="19"/>
        <v/>
      </c>
    </row>
    <row r="223" spans="1:11" s="18" customFormat="1" ht="14.25" x14ac:dyDescent="0.2">
      <c r="A223" s="18" t="str">
        <f t="shared" si="20"/>
        <v>Eintrag 222</v>
      </c>
      <c r="B223" s="18">
        <v>100</v>
      </c>
      <c r="C223" s="19">
        <v>100</v>
      </c>
      <c r="D223" s="20">
        <v>10</v>
      </c>
      <c r="E223" s="20">
        <v>10</v>
      </c>
      <c r="F223" s="20">
        <v>10</v>
      </c>
      <c r="G223" s="19">
        <f t="shared" si="21"/>
        <v>172</v>
      </c>
      <c r="H223" s="22">
        <f t="shared" si="17"/>
        <v>222</v>
      </c>
      <c r="I223" s="21">
        <f t="shared" ca="1" si="18"/>
        <v>0</v>
      </c>
      <c r="J223" s="21" t="str">
        <f ca="1">IF(I223=0,"",COUNTIF($I$2:I223,"&gt;0"))</f>
        <v/>
      </c>
      <c r="K223" s="21" t="str">
        <f t="shared" ca="1" si="19"/>
        <v/>
      </c>
    </row>
    <row r="224" spans="1:11" s="18" customFormat="1" ht="14.25" x14ac:dyDescent="0.2">
      <c r="A224" s="18" t="str">
        <f t="shared" si="20"/>
        <v>Eintrag 223</v>
      </c>
      <c r="B224" s="18">
        <v>100</v>
      </c>
      <c r="C224" s="19">
        <v>100</v>
      </c>
      <c r="D224" s="20">
        <v>10</v>
      </c>
      <c r="E224" s="20">
        <v>10</v>
      </c>
      <c r="F224" s="20">
        <v>10</v>
      </c>
      <c r="G224" s="19">
        <f t="shared" si="21"/>
        <v>172</v>
      </c>
      <c r="H224" s="22">
        <f t="shared" si="17"/>
        <v>223</v>
      </c>
      <c r="I224" s="21">
        <f t="shared" ca="1" si="18"/>
        <v>0</v>
      </c>
      <c r="J224" s="21" t="str">
        <f ca="1">IF(I224=0,"",COUNTIF($I$2:I224,"&gt;0"))</f>
        <v/>
      </c>
      <c r="K224" s="21" t="str">
        <f t="shared" ca="1" si="19"/>
        <v/>
      </c>
    </row>
    <row r="225" spans="1:11" s="18" customFormat="1" ht="14.25" x14ac:dyDescent="0.2">
      <c r="A225" s="18" t="str">
        <f t="shared" si="20"/>
        <v>Eintrag 224</v>
      </c>
      <c r="B225" s="18">
        <v>100</v>
      </c>
      <c r="C225" s="19">
        <v>100</v>
      </c>
      <c r="D225" s="20">
        <v>10</v>
      </c>
      <c r="E225" s="20">
        <v>10</v>
      </c>
      <c r="F225" s="20">
        <v>10</v>
      </c>
      <c r="G225" s="19">
        <f t="shared" si="21"/>
        <v>172</v>
      </c>
      <c r="H225" s="22">
        <f t="shared" si="17"/>
        <v>224</v>
      </c>
      <c r="I225" s="21">
        <f t="shared" ca="1" si="18"/>
        <v>0</v>
      </c>
      <c r="J225" s="21" t="str">
        <f ca="1">IF(I225=0,"",COUNTIF($I$2:I225,"&gt;0"))</f>
        <v/>
      </c>
      <c r="K225" s="21" t="str">
        <f t="shared" ca="1" si="19"/>
        <v/>
      </c>
    </row>
    <row r="226" spans="1:11" s="18" customFormat="1" ht="14.25" x14ac:dyDescent="0.2">
      <c r="A226" s="18" t="str">
        <f t="shared" si="20"/>
        <v>Eintrag 225</v>
      </c>
      <c r="B226" s="18">
        <v>100</v>
      </c>
      <c r="C226" s="19">
        <v>100</v>
      </c>
      <c r="D226" s="20">
        <v>10</v>
      </c>
      <c r="E226" s="20">
        <v>10</v>
      </c>
      <c r="F226" s="20">
        <v>10</v>
      </c>
      <c r="G226" s="19">
        <f t="shared" si="21"/>
        <v>172</v>
      </c>
      <c r="H226" s="22">
        <f t="shared" si="17"/>
        <v>225</v>
      </c>
      <c r="I226" s="21">
        <f t="shared" ca="1" si="18"/>
        <v>0</v>
      </c>
      <c r="J226" s="21" t="str">
        <f ca="1">IF(I226=0,"",COUNTIF($I$2:I226,"&gt;0"))</f>
        <v/>
      </c>
      <c r="K226" s="21" t="str">
        <f t="shared" ca="1" si="19"/>
        <v/>
      </c>
    </row>
    <row r="227" spans="1:11" s="18" customFormat="1" ht="14.25" x14ac:dyDescent="0.2">
      <c r="A227" s="18" t="str">
        <f t="shared" si="20"/>
        <v>Eintrag 226</v>
      </c>
      <c r="B227" s="18">
        <v>100</v>
      </c>
      <c r="C227" s="19">
        <v>100</v>
      </c>
      <c r="D227" s="20">
        <v>10</v>
      </c>
      <c r="E227" s="20">
        <v>10</v>
      </c>
      <c r="F227" s="20">
        <v>10</v>
      </c>
      <c r="G227" s="19">
        <f t="shared" si="21"/>
        <v>172</v>
      </c>
      <c r="H227" s="22">
        <f t="shared" si="17"/>
        <v>226</v>
      </c>
      <c r="I227" s="21">
        <f t="shared" ca="1" si="18"/>
        <v>0</v>
      </c>
      <c r="J227" s="21" t="str">
        <f ca="1">IF(I227=0,"",COUNTIF($I$2:I227,"&gt;0"))</f>
        <v/>
      </c>
      <c r="K227" s="21" t="str">
        <f t="shared" ca="1" si="19"/>
        <v/>
      </c>
    </row>
    <row r="228" spans="1:11" s="18" customFormat="1" ht="14.25" x14ac:dyDescent="0.2">
      <c r="A228" s="18" t="str">
        <f t="shared" si="20"/>
        <v>Eintrag 227</v>
      </c>
      <c r="B228" s="18">
        <v>100</v>
      </c>
      <c r="C228" s="19">
        <v>100</v>
      </c>
      <c r="D228" s="20">
        <v>10</v>
      </c>
      <c r="E228" s="20">
        <v>10</v>
      </c>
      <c r="F228" s="20">
        <v>10</v>
      </c>
      <c r="G228" s="19">
        <f t="shared" si="21"/>
        <v>172</v>
      </c>
      <c r="H228" s="22">
        <f t="shared" si="17"/>
        <v>227</v>
      </c>
      <c r="I228" s="21">
        <f t="shared" ca="1" si="18"/>
        <v>0</v>
      </c>
      <c r="J228" s="21" t="str">
        <f ca="1">IF(I228=0,"",COUNTIF($I$2:I228,"&gt;0"))</f>
        <v/>
      </c>
      <c r="K228" s="21" t="str">
        <f t="shared" ca="1" si="19"/>
        <v/>
      </c>
    </row>
    <row r="229" spans="1:11" s="18" customFormat="1" ht="14.25" x14ac:dyDescent="0.2">
      <c r="A229" s="18" t="str">
        <f t="shared" si="20"/>
        <v>Eintrag 228</v>
      </c>
      <c r="B229" s="18">
        <v>100</v>
      </c>
      <c r="C229" s="19">
        <v>100</v>
      </c>
      <c r="D229" s="20">
        <v>10</v>
      </c>
      <c r="E229" s="20">
        <v>10</v>
      </c>
      <c r="F229" s="20">
        <v>10</v>
      </c>
      <c r="G229" s="19">
        <f t="shared" si="21"/>
        <v>172</v>
      </c>
      <c r="H229" s="22">
        <f t="shared" si="17"/>
        <v>228</v>
      </c>
      <c r="I229" s="21">
        <f t="shared" ca="1" si="18"/>
        <v>0</v>
      </c>
      <c r="J229" s="21" t="str">
        <f ca="1">IF(I229=0,"",COUNTIF($I$2:I229,"&gt;0"))</f>
        <v/>
      </c>
      <c r="K229" s="21" t="str">
        <f t="shared" ca="1" si="19"/>
        <v/>
      </c>
    </row>
    <row r="230" spans="1:11" s="18" customFormat="1" ht="14.25" x14ac:dyDescent="0.2">
      <c r="A230" s="18" t="str">
        <f t="shared" si="20"/>
        <v>Eintrag 229</v>
      </c>
      <c r="B230" s="18">
        <v>100</v>
      </c>
      <c r="C230" s="19">
        <v>100</v>
      </c>
      <c r="D230" s="20">
        <v>10</v>
      </c>
      <c r="E230" s="20">
        <v>10</v>
      </c>
      <c r="F230" s="20">
        <v>10</v>
      </c>
      <c r="G230" s="19">
        <f t="shared" si="21"/>
        <v>172</v>
      </c>
      <c r="H230" s="22">
        <f t="shared" si="17"/>
        <v>229</v>
      </c>
      <c r="I230" s="21">
        <f t="shared" ca="1" si="18"/>
        <v>0</v>
      </c>
      <c r="J230" s="21" t="str">
        <f ca="1">IF(I230=0,"",COUNTIF($I$2:I230,"&gt;0"))</f>
        <v/>
      </c>
      <c r="K230" s="21" t="str">
        <f t="shared" ca="1" si="19"/>
        <v/>
      </c>
    </row>
    <row r="231" spans="1:11" s="18" customFormat="1" ht="14.25" x14ac:dyDescent="0.2">
      <c r="A231" s="18" t="str">
        <f t="shared" si="20"/>
        <v>Eintrag 230</v>
      </c>
      <c r="B231" s="18">
        <v>100</v>
      </c>
      <c r="C231" s="19">
        <v>100</v>
      </c>
      <c r="D231" s="20">
        <v>10</v>
      </c>
      <c r="E231" s="20">
        <v>10</v>
      </c>
      <c r="F231" s="20">
        <v>10</v>
      </c>
      <c r="G231" s="19">
        <f t="shared" si="21"/>
        <v>172</v>
      </c>
      <c r="H231" s="22">
        <f t="shared" si="17"/>
        <v>230</v>
      </c>
      <c r="I231" s="21">
        <f t="shared" ca="1" si="18"/>
        <v>0</v>
      </c>
      <c r="J231" s="21" t="str">
        <f ca="1">IF(I231=0,"",COUNTIF($I$2:I231,"&gt;0"))</f>
        <v/>
      </c>
      <c r="K231" s="21" t="str">
        <f t="shared" ca="1" si="19"/>
        <v/>
      </c>
    </row>
    <row r="232" spans="1:11" s="18" customFormat="1" ht="14.25" x14ac:dyDescent="0.2">
      <c r="A232" s="18" t="str">
        <f t="shared" si="20"/>
        <v>Eintrag 231</v>
      </c>
      <c r="B232" s="18">
        <v>100</v>
      </c>
      <c r="C232" s="19">
        <v>100</v>
      </c>
      <c r="D232" s="20">
        <v>10</v>
      </c>
      <c r="E232" s="20">
        <v>10</v>
      </c>
      <c r="F232" s="20">
        <v>10</v>
      </c>
      <c r="G232" s="19">
        <f t="shared" si="21"/>
        <v>172</v>
      </c>
      <c r="H232" s="22">
        <f t="shared" si="17"/>
        <v>231</v>
      </c>
      <c r="I232" s="21">
        <f t="shared" ca="1" si="18"/>
        <v>0</v>
      </c>
      <c r="J232" s="21" t="str">
        <f ca="1">IF(I232=0,"",COUNTIF($I$2:I232,"&gt;0"))</f>
        <v/>
      </c>
      <c r="K232" s="21" t="str">
        <f t="shared" ca="1" si="19"/>
        <v/>
      </c>
    </row>
    <row r="233" spans="1:11" s="18" customFormat="1" ht="14.25" x14ac:dyDescent="0.2">
      <c r="A233" s="18" t="str">
        <f t="shared" si="20"/>
        <v>Eintrag 232</v>
      </c>
      <c r="B233" s="18">
        <v>100</v>
      </c>
      <c r="C233" s="19">
        <v>100</v>
      </c>
      <c r="D233" s="20">
        <v>10</v>
      </c>
      <c r="E233" s="20">
        <v>10</v>
      </c>
      <c r="F233" s="20">
        <v>10</v>
      </c>
      <c r="G233" s="19">
        <f t="shared" si="21"/>
        <v>172</v>
      </c>
      <c r="H233" s="22">
        <f t="shared" si="17"/>
        <v>232</v>
      </c>
      <c r="I233" s="21">
        <f t="shared" ca="1" si="18"/>
        <v>0</v>
      </c>
      <c r="J233" s="21" t="str">
        <f ca="1">IF(I233=0,"",COUNTIF($I$2:I233,"&gt;0"))</f>
        <v/>
      </c>
      <c r="K233" s="21" t="str">
        <f t="shared" ca="1" si="19"/>
        <v/>
      </c>
    </row>
    <row r="234" spans="1:11" s="18" customFormat="1" ht="14.25" x14ac:dyDescent="0.2">
      <c r="A234" s="18" t="str">
        <f t="shared" si="20"/>
        <v>Eintrag 233</v>
      </c>
      <c r="B234" s="18">
        <v>100</v>
      </c>
      <c r="C234" s="19">
        <v>100</v>
      </c>
      <c r="D234" s="20">
        <v>10</v>
      </c>
      <c r="E234" s="20">
        <v>10</v>
      </c>
      <c r="F234" s="20">
        <v>10</v>
      </c>
      <c r="G234" s="19">
        <f t="shared" si="21"/>
        <v>172</v>
      </c>
      <c r="H234" s="22">
        <f t="shared" si="17"/>
        <v>233</v>
      </c>
      <c r="I234" s="21">
        <f t="shared" ca="1" si="18"/>
        <v>0</v>
      </c>
      <c r="J234" s="21" t="str">
        <f ca="1">IF(I234=0,"",COUNTIF($I$2:I234,"&gt;0"))</f>
        <v/>
      </c>
      <c r="K234" s="21" t="str">
        <f t="shared" ca="1" si="19"/>
        <v/>
      </c>
    </row>
    <row r="235" spans="1:11" s="18" customFormat="1" ht="14.25" x14ac:dyDescent="0.2">
      <c r="A235" s="18" t="str">
        <f t="shared" si="20"/>
        <v>Eintrag 234</v>
      </c>
      <c r="B235" s="18">
        <v>100</v>
      </c>
      <c r="C235" s="19">
        <v>100</v>
      </c>
      <c r="D235" s="20">
        <v>10</v>
      </c>
      <c r="E235" s="20">
        <v>10</v>
      </c>
      <c r="F235" s="20">
        <v>10</v>
      </c>
      <c r="G235" s="19">
        <f t="shared" si="21"/>
        <v>172</v>
      </c>
      <c r="H235" s="22">
        <f t="shared" si="17"/>
        <v>234</v>
      </c>
      <c r="I235" s="21">
        <f t="shared" ca="1" si="18"/>
        <v>0</v>
      </c>
      <c r="J235" s="21" t="str">
        <f ca="1">IF(I235=0,"",COUNTIF($I$2:I235,"&gt;0"))</f>
        <v/>
      </c>
      <c r="K235" s="21" t="str">
        <f t="shared" ca="1" si="19"/>
        <v/>
      </c>
    </row>
    <row r="236" spans="1:11" s="18" customFormat="1" ht="14.25" x14ac:dyDescent="0.2">
      <c r="A236" s="18" t="str">
        <f t="shared" si="20"/>
        <v>Eintrag 235</v>
      </c>
      <c r="B236" s="18">
        <v>100</v>
      </c>
      <c r="C236" s="19">
        <v>100</v>
      </c>
      <c r="D236" s="20">
        <v>10</v>
      </c>
      <c r="E236" s="20">
        <v>10</v>
      </c>
      <c r="F236" s="20">
        <v>10</v>
      </c>
      <c r="G236" s="19">
        <f t="shared" si="21"/>
        <v>172</v>
      </c>
      <c r="H236" s="22">
        <f t="shared" si="17"/>
        <v>235</v>
      </c>
      <c r="I236" s="21">
        <f t="shared" ca="1" si="18"/>
        <v>0</v>
      </c>
      <c r="J236" s="21" t="str">
        <f ca="1">IF(I236=0,"",COUNTIF($I$2:I236,"&gt;0"))</f>
        <v/>
      </c>
      <c r="K236" s="21" t="str">
        <f t="shared" ca="1" si="19"/>
        <v/>
      </c>
    </row>
    <row r="237" spans="1:11" s="18" customFormat="1" ht="14.25" x14ac:dyDescent="0.2">
      <c r="A237" s="18" t="str">
        <f t="shared" si="20"/>
        <v>Eintrag 236</v>
      </c>
      <c r="B237" s="18">
        <v>100</v>
      </c>
      <c r="C237" s="19">
        <v>100</v>
      </c>
      <c r="D237" s="20">
        <v>10</v>
      </c>
      <c r="E237" s="20">
        <v>10</v>
      </c>
      <c r="F237" s="20">
        <v>10</v>
      </c>
      <c r="G237" s="19">
        <f t="shared" si="21"/>
        <v>172</v>
      </c>
      <c r="H237" s="22">
        <f t="shared" si="17"/>
        <v>236</v>
      </c>
      <c r="I237" s="21">
        <f t="shared" ca="1" si="18"/>
        <v>0</v>
      </c>
      <c r="J237" s="21" t="str">
        <f ca="1">IF(I237=0,"",COUNTIF($I$2:I237,"&gt;0"))</f>
        <v/>
      </c>
      <c r="K237" s="21" t="str">
        <f t="shared" ca="1" si="19"/>
        <v/>
      </c>
    </row>
    <row r="238" spans="1:11" s="18" customFormat="1" ht="14.25" x14ac:dyDescent="0.2">
      <c r="A238" s="18" t="str">
        <f t="shared" si="20"/>
        <v>Eintrag 237</v>
      </c>
      <c r="B238" s="18">
        <v>100</v>
      </c>
      <c r="C238" s="19">
        <v>100</v>
      </c>
      <c r="D238" s="20">
        <v>10</v>
      </c>
      <c r="E238" s="20">
        <v>10</v>
      </c>
      <c r="F238" s="20">
        <v>10</v>
      </c>
      <c r="G238" s="19">
        <f t="shared" si="21"/>
        <v>172</v>
      </c>
      <c r="H238" s="22">
        <f t="shared" si="17"/>
        <v>237</v>
      </c>
      <c r="I238" s="21">
        <f t="shared" ca="1" si="18"/>
        <v>0</v>
      </c>
      <c r="J238" s="21" t="str">
        <f ca="1">IF(I238=0,"",COUNTIF($I$2:I238,"&gt;0"))</f>
        <v/>
      </c>
      <c r="K238" s="21" t="str">
        <f t="shared" ca="1" si="19"/>
        <v/>
      </c>
    </row>
    <row r="239" spans="1:11" s="18" customFormat="1" ht="14.25" x14ac:dyDescent="0.2">
      <c r="A239" s="18" t="str">
        <f t="shared" si="20"/>
        <v>Eintrag 238</v>
      </c>
      <c r="B239" s="18">
        <v>100</v>
      </c>
      <c r="C239" s="19">
        <v>100</v>
      </c>
      <c r="D239" s="20">
        <v>10</v>
      </c>
      <c r="E239" s="20">
        <v>10</v>
      </c>
      <c r="F239" s="20">
        <v>10</v>
      </c>
      <c r="G239" s="19">
        <f t="shared" si="21"/>
        <v>172</v>
      </c>
      <c r="H239" s="22">
        <f t="shared" si="17"/>
        <v>238</v>
      </c>
      <c r="I239" s="21">
        <f t="shared" ca="1" si="18"/>
        <v>0</v>
      </c>
      <c r="J239" s="21" t="str">
        <f ca="1">IF(I239=0,"",COUNTIF($I$2:I239,"&gt;0"))</f>
        <v/>
      </c>
      <c r="K239" s="21" t="str">
        <f t="shared" ca="1" si="19"/>
        <v/>
      </c>
    </row>
    <row r="240" spans="1:11" s="18" customFormat="1" ht="14.25" x14ac:dyDescent="0.2">
      <c r="A240" s="18" t="str">
        <f t="shared" si="20"/>
        <v>Eintrag 239</v>
      </c>
      <c r="B240" s="18">
        <v>100</v>
      </c>
      <c r="C240" s="19">
        <v>100</v>
      </c>
      <c r="D240" s="20">
        <v>10</v>
      </c>
      <c r="E240" s="20">
        <v>10</v>
      </c>
      <c r="F240" s="20">
        <v>10</v>
      </c>
      <c r="G240" s="19">
        <f t="shared" si="21"/>
        <v>172</v>
      </c>
      <c r="H240" s="22">
        <f t="shared" si="17"/>
        <v>239</v>
      </c>
      <c r="I240" s="21">
        <f t="shared" ca="1" si="18"/>
        <v>0</v>
      </c>
      <c r="J240" s="21" t="str">
        <f ca="1">IF(I240=0,"",COUNTIF($I$2:I240,"&gt;0"))</f>
        <v/>
      </c>
      <c r="K240" s="21" t="str">
        <f t="shared" ca="1" si="19"/>
        <v/>
      </c>
    </row>
    <row r="241" spans="1:11" s="18" customFormat="1" ht="14.25" x14ac:dyDescent="0.2">
      <c r="A241" s="18" t="str">
        <f t="shared" si="20"/>
        <v>Eintrag 240</v>
      </c>
      <c r="B241" s="18">
        <v>100</v>
      </c>
      <c r="C241" s="19">
        <v>100</v>
      </c>
      <c r="D241" s="20">
        <v>10</v>
      </c>
      <c r="E241" s="20">
        <v>10</v>
      </c>
      <c r="F241" s="20">
        <v>10</v>
      </c>
      <c r="G241" s="19">
        <f t="shared" si="21"/>
        <v>172</v>
      </c>
      <c r="H241" s="22">
        <f t="shared" si="17"/>
        <v>240</v>
      </c>
      <c r="I241" s="21">
        <f t="shared" ca="1" si="18"/>
        <v>0</v>
      </c>
      <c r="J241" s="21" t="str">
        <f ca="1">IF(I241=0,"",COUNTIF($I$2:I241,"&gt;0"))</f>
        <v/>
      </c>
      <c r="K241" s="21" t="str">
        <f t="shared" ca="1" si="19"/>
        <v/>
      </c>
    </row>
    <row r="242" spans="1:11" s="18" customFormat="1" ht="14.25" x14ac:dyDescent="0.2">
      <c r="A242" s="18" t="str">
        <f t="shared" si="20"/>
        <v>Eintrag 241</v>
      </c>
      <c r="B242" s="18">
        <v>100</v>
      </c>
      <c r="C242" s="19">
        <v>100</v>
      </c>
      <c r="D242" s="20">
        <v>10</v>
      </c>
      <c r="E242" s="20">
        <v>10</v>
      </c>
      <c r="F242" s="20">
        <v>10</v>
      </c>
      <c r="G242" s="19">
        <f t="shared" si="21"/>
        <v>172</v>
      </c>
      <c r="H242" s="22">
        <f t="shared" si="17"/>
        <v>241</v>
      </c>
      <c r="I242" s="21">
        <f t="shared" ca="1" si="18"/>
        <v>0</v>
      </c>
      <c r="J242" s="21" t="str">
        <f ca="1">IF(I242=0,"",COUNTIF($I$2:I242,"&gt;0"))</f>
        <v/>
      </c>
      <c r="K242" s="21" t="str">
        <f t="shared" ca="1" si="19"/>
        <v/>
      </c>
    </row>
    <row r="243" spans="1:11" s="18" customFormat="1" ht="14.25" x14ac:dyDescent="0.2">
      <c r="A243" s="18" t="str">
        <f t="shared" si="20"/>
        <v>Eintrag 242</v>
      </c>
      <c r="B243" s="18">
        <v>100</v>
      </c>
      <c r="C243" s="19">
        <v>100</v>
      </c>
      <c r="D243" s="20">
        <v>10</v>
      </c>
      <c r="E243" s="20">
        <v>10</v>
      </c>
      <c r="F243" s="20">
        <v>10</v>
      </c>
      <c r="G243" s="19">
        <f t="shared" si="21"/>
        <v>172</v>
      </c>
      <c r="H243" s="22">
        <f t="shared" si="17"/>
        <v>242</v>
      </c>
      <c r="I243" s="21">
        <f t="shared" ca="1" si="18"/>
        <v>0</v>
      </c>
      <c r="J243" s="21" t="str">
        <f ca="1">IF(I243=0,"",COUNTIF($I$2:I243,"&gt;0"))</f>
        <v/>
      </c>
      <c r="K243" s="21" t="str">
        <f t="shared" ca="1" si="19"/>
        <v/>
      </c>
    </row>
    <row r="244" spans="1:11" s="18" customFormat="1" ht="14.25" x14ac:dyDescent="0.2">
      <c r="A244" s="18" t="str">
        <f t="shared" si="20"/>
        <v>Eintrag 243</v>
      </c>
      <c r="B244" s="18">
        <v>100</v>
      </c>
      <c r="C244" s="19">
        <v>100</v>
      </c>
      <c r="D244" s="20">
        <v>10</v>
      </c>
      <c r="E244" s="20">
        <v>10</v>
      </c>
      <c r="F244" s="20">
        <v>10</v>
      </c>
      <c r="G244" s="19">
        <f t="shared" si="21"/>
        <v>172</v>
      </c>
      <c r="H244" s="22">
        <f t="shared" si="17"/>
        <v>243</v>
      </c>
      <c r="I244" s="21">
        <f t="shared" ca="1" si="18"/>
        <v>0</v>
      </c>
      <c r="J244" s="21" t="str">
        <f ca="1">IF(I244=0,"",COUNTIF($I$2:I244,"&gt;0"))</f>
        <v/>
      </c>
      <c r="K244" s="21" t="str">
        <f t="shared" ca="1" si="19"/>
        <v/>
      </c>
    </row>
    <row r="245" spans="1:11" s="18" customFormat="1" ht="14.25" x14ac:dyDescent="0.2">
      <c r="A245" s="18" t="str">
        <f t="shared" si="20"/>
        <v>Eintrag 244</v>
      </c>
      <c r="B245" s="18">
        <v>100</v>
      </c>
      <c r="C245" s="19">
        <v>100</v>
      </c>
      <c r="D245" s="20">
        <v>10</v>
      </c>
      <c r="E245" s="20">
        <v>10</v>
      </c>
      <c r="F245" s="20">
        <v>10</v>
      </c>
      <c r="G245" s="19">
        <f t="shared" si="21"/>
        <v>172</v>
      </c>
      <c r="H245" s="22">
        <f t="shared" si="17"/>
        <v>244</v>
      </c>
      <c r="I245" s="21">
        <f t="shared" ca="1" si="18"/>
        <v>0</v>
      </c>
      <c r="J245" s="21" t="str">
        <f ca="1">IF(I245=0,"",COUNTIF($I$2:I245,"&gt;0"))</f>
        <v/>
      </c>
      <c r="K245" s="21" t="str">
        <f t="shared" ca="1" si="19"/>
        <v/>
      </c>
    </row>
    <row r="246" spans="1:11" s="18" customFormat="1" ht="14.25" x14ac:dyDescent="0.2">
      <c r="A246" s="18" t="str">
        <f t="shared" si="20"/>
        <v>Eintrag 245</v>
      </c>
      <c r="B246" s="18">
        <v>100</v>
      </c>
      <c r="C246" s="19">
        <v>100</v>
      </c>
      <c r="D246" s="20">
        <v>10</v>
      </c>
      <c r="E246" s="20">
        <v>10</v>
      </c>
      <c r="F246" s="20">
        <v>10</v>
      </c>
      <c r="G246" s="19">
        <f t="shared" si="21"/>
        <v>172</v>
      </c>
      <c r="H246" s="22">
        <f t="shared" si="17"/>
        <v>245</v>
      </c>
      <c r="I246" s="21">
        <f t="shared" ca="1" si="18"/>
        <v>0</v>
      </c>
      <c r="J246" s="21" t="str">
        <f ca="1">IF(I246=0,"",COUNTIF($I$2:I246,"&gt;0"))</f>
        <v/>
      </c>
      <c r="K246" s="21" t="str">
        <f t="shared" ca="1" si="19"/>
        <v/>
      </c>
    </row>
    <row r="247" spans="1:11" s="18" customFormat="1" ht="14.25" x14ac:dyDescent="0.2">
      <c r="A247" s="18" t="str">
        <f t="shared" si="20"/>
        <v>Eintrag 246</v>
      </c>
      <c r="B247" s="18">
        <v>100</v>
      </c>
      <c r="C247" s="19">
        <v>100</v>
      </c>
      <c r="D247" s="20">
        <v>10</v>
      </c>
      <c r="E247" s="20">
        <v>10</v>
      </c>
      <c r="F247" s="20">
        <v>10</v>
      </c>
      <c r="G247" s="19">
        <f t="shared" si="21"/>
        <v>172</v>
      </c>
      <c r="H247" s="22">
        <f t="shared" si="17"/>
        <v>246</v>
      </c>
      <c r="I247" s="21">
        <f t="shared" ca="1" si="18"/>
        <v>0</v>
      </c>
      <c r="J247" s="21" t="str">
        <f ca="1">IF(I247=0,"",COUNTIF($I$2:I247,"&gt;0"))</f>
        <v/>
      </c>
      <c r="K247" s="21" t="str">
        <f t="shared" ca="1" si="19"/>
        <v/>
      </c>
    </row>
    <row r="248" spans="1:11" s="18" customFormat="1" ht="14.25" x14ac:dyDescent="0.2">
      <c r="A248" s="18" t="str">
        <f t="shared" si="20"/>
        <v>Eintrag 247</v>
      </c>
      <c r="B248" s="18">
        <v>100</v>
      </c>
      <c r="C248" s="19">
        <v>100</v>
      </c>
      <c r="D248" s="20">
        <v>10</v>
      </c>
      <c r="E248" s="20">
        <v>10</v>
      </c>
      <c r="F248" s="20">
        <v>10</v>
      </c>
      <c r="G248" s="19">
        <f t="shared" si="21"/>
        <v>172</v>
      </c>
      <c r="H248" s="22">
        <f t="shared" si="17"/>
        <v>247</v>
      </c>
      <c r="I248" s="21">
        <f t="shared" ca="1" si="18"/>
        <v>0</v>
      </c>
      <c r="J248" s="21" t="str">
        <f ca="1">IF(I248=0,"",COUNTIF($I$2:I248,"&gt;0"))</f>
        <v/>
      </c>
      <c r="K248" s="21" t="str">
        <f t="shared" ca="1" si="19"/>
        <v/>
      </c>
    </row>
    <row r="249" spans="1:11" s="18" customFormat="1" ht="14.25" x14ac:dyDescent="0.2">
      <c r="A249" s="18" t="str">
        <f t="shared" si="20"/>
        <v>Eintrag 248</v>
      </c>
      <c r="B249" s="18">
        <v>100</v>
      </c>
      <c r="C249" s="19">
        <v>100</v>
      </c>
      <c r="D249" s="20">
        <v>10</v>
      </c>
      <c r="E249" s="20">
        <v>10</v>
      </c>
      <c r="F249" s="20">
        <v>10</v>
      </c>
      <c r="G249" s="19">
        <f t="shared" si="21"/>
        <v>172</v>
      </c>
      <c r="H249" s="22">
        <f t="shared" si="17"/>
        <v>248</v>
      </c>
      <c r="I249" s="21">
        <f t="shared" ca="1" si="18"/>
        <v>0</v>
      </c>
      <c r="J249" s="21" t="str">
        <f ca="1">IF(I249=0,"",COUNTIF($I$2:I249,"&gt;0"))</f>
        <v/>
      </c>
      <c r="K249" s="21" t="str">
        <f t="shared" ca="1" si="19"/>
        <v/>
      </c>
    </row>
    <row r="250" spans="1:11" s="18" customFormat="1" ht="14.25" x14ac:dyDescent="0.2">
      <c r="A250" s="18" t="str">
        <f t="shared" si="20"/>
        <v>Eintrag 249</v>
      </c>
      <c r="B250" s="18">
        <v>100</v>
      </c>
      <c r="C250" s="19">
        <v>100</v>
      </c>
      <c r="D250" s="20">
        <v>10</v>
      </c>
      <c r="E250" s="20">
        <v>10</v>
      </c>
      <c r="F250" s="20">
        <v>10</v>
      </c>
      <c r="G250" s="19">
        <f t="shared" si="21"/>
        <v>172</v>
      </c>
      <c r="H250" s="22">
        <f t="shared" si="17"/>
        <v>249</v>
      </c>
      <c r="I250" s="21">
        <f t="shared" ca="1" si="18"/>
        <v>0</v>
      </c>
      <c r="J250" s="21" t="str">
        <f ca="1">IF(I250=0,"",COUNTIF($I$2:I250,"&gt;0"))</f>
        <v/>
      </c>
      <c r="K250" s="21" t="str">
        <f t="shared" ca="1" si="19"/>
        <v/>
      </c>
    </row>
    <row r="251" spans="1:11" s="18" customFormat="1" ht="14.25" x14ac:dyDescent="0.2">
      <c r="A251" s="18" t="str">
        <f t="shared" si="20"/>
        <v>Eintrag 250</v>
      </c>
      <c r="B251" s="18">
        <v>100</v>
      </c>
      <c r="C251" s="19">
        <v>100</v>
      </c>
      <c r="D251" s="20">
        <v>10</v>
      </c>
      <c r="E251" s="20">
        <v>10</v>
      </c>
      <c r="F251" s="20">
        <v>10</v>
      </c>
      <c r="G251" s="19">
        <f t="shared" si="21"/>
        <v>172</v>
      </c>
      <c r="H251" s="22">
        <f t="shared" si="17"/>
        <v>250</v>
      </c>
      <c r="I251" s="21">
        <f t="shared" ca="1" si="18"/>
        <v>0</v>
      </c>
      <c r="J251" s="21" t="str">
        <f ca="1">IF(I251=0,"",COUNTIF($I$2:I251,"&gt;0"))</f>
        <v/>
      </c>
      <c r="K251" s="21" t="str">
        <f t="shared" ca="1" si="19"/>
        <v/>
      </c>
    </row>
    <row r="252" spans="1:11" s="18" customFormat="1" ht="14.25" x14ac:dyDescent="0.2">
      <c r="A252" s="18" t="str">
        <f t="shared" si="20"/>
        <v>Eintrag 251</v>
      </c>
      <c r="B252" s="18">
        <v>100</v>
      </c>
      <c r="C252" s="19">
        <v>100</v>
      </c>
      <c r="D252" s="20">
        <v>10</v>
      </c>
      <c r="E252" s="20">
        <v>10</v>
      </c>
      <c r="F252" s="20">
        <v>10</v>
      </c>
      <c r="G252" s="19">
        <f t="shared" si="21"/>
        <v>172</v>
      </c>
      <c r="H252" s="22">
        <f t="shared" si="17"/>
        <v>251</v>
      </c>
      <c r="I252" s="21">
        <f t="shared" ca="1" si="18"/>
        <v>0</v>
      </c>
      <c r="J252" s="21" t="str">
        <f ca="1">IF(I252=0,"",COUNTIF($I$2:I252,"&gt;0"))</f>
        <v/>
      </c>
      <c r="K252" s="21" t="str">
        <f t="shared" ca="1" si="19"/>
        <v/>
      </c>
    </row>
    <row r="253" spans="1:11" s="18" customFormat="1" ht="14.25" x14ac:dyDescent="0.2">
      <c r="A253" s="18" t="str">
        <f t="shared" si="20"/>
        <v>Eintrag 252</v>
      </c>
      <c r="B253" s="18">
        <v>100</v>
      </c>
      <c r="C253" s="19">
        <v>100</v>
      </c>
      <c r="D253" s="20">
        <v>10</v>
      </c>
      <c r="E253" s="20">
        <v>10</v>
      </c>
      <c r="F253" s="20">
        <v>10</v>
      </c>
      <c r="G253" s="19">
        <f t="shared" si="21"/>
        <v>172</v>
      </c>
      <c r="H253" s="22">
        <f t="shared" si="17"/>
        <v>252</v>
      </c>
      <c r="I253" s="21">
        <f t="shared" ca="1" si="18"/>
        <v>0</v>
      </c>
      <c r="J253" s="21" t="str">
        <f ca="1">IF(I253=0,"",COUNTIF($I$2:I253,"&gt;0"))</f>
        <v/>
      </c>
      <c r="K253" s="21" t="str">
        <f t="shared" ca="1" si="19"/>
        <v/>
      </c>
    </row>
    <row r="254" spans="1:11" s="18" customFormat="1" ht="14.25" x14ac:dyDescent="0.2">
      <c r="A254" s="18" t="str">
        <f t="shared" si="20"/>
        <v>Eintrag 253</v>
      </c>
      <c r="B254" s="18">
        <v>100</v>
      </c>
      <c r="C254" s="19">
        <v>100</v>
      </c>
      <c r="D254" s="20">
        <v>10</v>
      </c>
      <c r="E254" s="20">
        <v>10</v>
      </c>
      <c r="F254" s="20">
        <v>10</v>
      </c>
      <c r="G254" s="19">
        <f t="shared" si="21"/>
        <v>172</v>
      </c>
      <c r="H254" s="22">
        <f t="shared" si="17"/>
        <v>253</v>
      </c>
      <c r="I254" s="21">
        <f t="shared" ca="1" si="18"/>
        <v>0</v>
      </c>
      <c r="J254" s="21" t="str">
        <f ca="1">IF(I254=0,"",COUNTIF($I$2:I254,"&gt;0"))</f>
        <v/>
      </c>
      <c r="K254" s="21" t="str">
        <f t="shared" ca="1" si="19"/>
        <v/>
      </c>
    </row>
    <row r="255" spans="1:11" s="18" customFormat="1" ht="14.25" x14ac:dyDescent="0.2">
      <c r="A255" s="18" t="str">
        <f t="shared" si="20"/>
        <v>Eintrag 254</v>
      </c>
      <c r="B255" s="18">
        <v>100</v>
      </c>
      <c r="C255" s="19">
        <v>100</v>
      </c>
      <c r="D255" s="20">
        <v>10</v>
      </c>
      <c r="E255" s="20">
        <v>10</v>
      </c>
      <c r="F255" s="20">
        <v>10</v>
      </c>
      <c r="G255" s="19">
        <f t="shared" si="21"/>
        <v>172</v>
      </c>
      <c r="H255" s="22">
        <f t="shared" si="17"/>
        <v>254</v>
      </c>
      <c r="I255" s="21">
        <f t="shared" ca="1" si="18"/>
        <v>0</v>
      </c>
      <c r="J255" s="21" t="str">
        <f ca="1">IF(I255=0,"",COUNTIF($I$2:I255,"&gt;0"))</f>
        <v/>
      </c>
      <c r="K255" s="21" t="str">
        <f t="shared" ca="1" si="19"/>
        <v/>
      </c>
    </row>
    <row r="256" spans="1:11" s="18" customFormat="1" ht="14.25" x14ac:dyDescent="0.2">
      <c r="A256" s="18" t="str">
        <f t="shared" si="20"/>
        <v>Eintrag 255</v>
      </c>
      <c r="B256" s="18">
        <v>100</v>
      </c>
      <c r="C256" s="19">
        <v>100</v>
      </c>
      <c r="D256" s="20">
        <v>10</v>
      </c>
      <c r="E256" s="20">
        <v>10</v>
      </c>
      <c r="F256" s="20">
        <v>10</v>
      </c>
      <c r="G256" s="19">
        <f t="shared" si="21"/>
        <v>172</v>
      </c>
      <c r="H256" s="22">
        <f t="shared" si="17"/>
        <v>255</v>
      </c>
      <c r="I256" s="21">
        <f t="shared" ca="1" si="18"/>
        <v>0</v>
      </c>
      <c r="J256" s="21" t="str">
        <f ca="1">IF(I256=0,"",COUNTIF($I$2:I256,"&gt;0"))</f>
        <v/>
      </c>
      <c r="K256" s="21" t="str">
        <f t="shared" ca="1" si="19"/>
        <v/>
      </c>
    </row>
    <row r="257" spans="1:11" s="18" customFormat="1" ht="14.25" x14ac:dyDescent="0.2">
      <c r="A257" s="18" t="str">
        <f t="shared" si="20"/>
        <v>Eintrag 256</v>
      </c>
      <c r="B257" s="18">
        <v>100</v>
      </c>
      <c r="C257" s="19">
        <v>100</v>
      </c>
      <c r="D257" s="20">
        <v>10</v>
      </c>
      <c r="E257" s="20">
        <v>10</v>
      </c>
      <c r="F257" s="20">
        <v>10</v>
      </c>
      <c r="G257" s="19">
        <f t="shared" si="21"/>
        <v>172</v>
      </c>
      <c r="H257" s="22">
        <f t="shared" si="17"/>
        <v>256</v>
      </c>
      <c r="I257" s="21">
        <f t="shared" ca="1" si="18"/>
        <v>0</v>
      </c>
      <c r="J257" s="21" t="str">
        <f ca="1">IF(I257=0,"",COUNTIF($I$2:I257,"&gt;0"))</f>
        <v/>
      </c>
      <c r="K257" s="21" t="str">
        <f t="shared" ca="1" si="19"/>
        <v/>
      </c>
    </row>
    <row r="258" spans="1:11" s="18" customFormat="1" ht="14.25" x14ac:dyDescent="0.2">
      <c r="A258" s="18" t="str">
        <f t="shared" si="20"/>
        <v>Eintrag 257</v>
      </c>
      <c r="B258" s="18">
        <v>100</v>
      </c>
      <c r="C258" s="19">
        <v>100</v>
      </c>
      <c r="D258" s="20">
        <v>10</v>
      </c>
      <c r="E258" s="20">
        <v>10</v>
      </c>
      <c r="F258" s="20">
        <v>10</v>
      </c>
      <c r="G258" s="19">
        <f t="shared" si="21"/>
        <v>172</v>
      </c>
      <c r="H258" s="22">
        <f t="shared" si="17"/>
        <v>257</v>
      </c>
      <c r="I258" s="21">
        <f t="shared" ca="1" si="18"/>
        <v>0</v>
      </c>
      <c r="J258" s="21" t="str">
        <f ca="1">IF(I258=0,"",COUNTIF($I$2:I258,"&gt;0"))</f>
        <v/>
      </c>
      <c r="K258" s="21" t="str">
        <f t="shared" ref="K258:K321" ca="1" si="22">IFERROR(INDEX(A:A,MATCH(ROW(I257),J:J,0)),"")</f>
        <v/>
      </c>
    </row>
    <row r="259" spans="1:11" s="18" customFormat="1" ht="14.25" x14ac:dyDescent="0.2">
      <c r="A259" s="18" t="str">
        <f t="shared" si="20"/>
        <v>Eintrag 258</v>
      </c>
      <c r="B259" s="18">
        <v>100</v>
      </c>
      <c r="C259" s="19">
        <v>100</v>
      </c>
      <c r="D259" s="20">
        <v>10</v>
      </c>
      <c r="E259" s="20">
        <v>10</v>
      </c>
      <c r="F259" s="20">
        <v>10</v>
      </c>
      <c r="G259" s="19">
        <f t="shared" ref="G259:G322" si="23">D259*9+E259*4.1+F259*4.1</f>
        <v>172</v>
      </c>
      <c r="H259" s="22">
        <f t="shared" si="17"/>
        <v>258</v>
      </c>
      <c r="I259" s="21">
        <f t="shared" ca="1" si="18"/>
        <v>0</v>
      </c>
      <c r="J259" s="21" t="str">
        <f ca="1">IF(I259=0,"",COUNTIF($I$2:I259,"&gt;0"))</f>
        <v/>
      </c>
      <c r="K259" s="21" t="str">
        <f t="shared" ca="1" si="22"/>
        <v/>
      </c>
    </row>
    <row r="260" spans="1:11" s="18" customFormat="1" ht="14.25" x14ac:dyDescent="0.2">
      <c r="A260" s="18" t="str">
        <f t="shared" si="20"/>
        <v>Eintrag 259</v>
      </c>
      <c r="B260" s="18">
        <v>100</v>
      </c>
      <c r="C260" s="19">
        <v>100</v>
      </c>
      <c r="D260" s="20">
        <v>10</v>
      </c>
      <c r="E260" s="20">
        <v>10</v>
      </c>
      <c r="F260" s="20">
        <v>10</v>
      </c>
      <c r="G260" s="19">
        <f t="shared" si="23"/>
        <v>172</v>
      </c>
      <c r="H260" s="22">
        <f t="shared" si="17"/>
        <v>259</v>
      </c>
      <c r="I260" s="21">
        <f t="shared" ca="1" si="18"/>
        <v>0</v>
      </c>
      <c r="J260" s="21" t="str">
        <f ca="1">IF(I260=0,"",COUNTIF($I$2:I260,"&gt;0"))</f>
        <v/>
      </c>
      <c r="K260" s="21" t="str">
        <f t="shared" ca="1" si="22"/>
        <v/>
      </c>
    </row>
    <row r="261" spans="1:11" s="18" customFormat="1" ht="14.25" x14ac:dyDescent="0.2">
      <c r="A261" s="18" t="str">
        <f t="shared" si="20"/>
        <v>Eintrag 260</v>
      </c>
      <c r="B261" s="18">
        <v>100</v>
      </c>
      <c r="C261" s="19">
        <v>100</v>
      </c>
      <c r="D261" s="20">
        <v>10</v>
      </c>
      <c r="E261" s="20">
        <v>10</v>
      </c>
      <c r="F261" s="20">
        <v>10</v>
      </c>
      <c r="G261" s="19">
        <f t="shared" si="23"/>
        <v>172</v>
      </c>
      <c r="H261" s="22">
        <f t="shared" si="17"/>
        <v>260</v>
      </c>
      <c r="I261" s="21">
        <f t="shared" ca="1" si="18"/>
        <v>0</v>
      </c>
      <c r="J261" s="21" t="str">
        <f ca="1">IF(I261=0,"",COUNTIF($I$2:I261,"&gt;0"))</f>
        <v/>
      </c>
      <c r="K261" s="21" t="str">
        <f t="shared" ca="1" si="22"/>
        <v/>
      </c>
    </row>
    <row r="262" spans="1:11" s="18" customFormat="1" ht="14.25" x14ac:dyDescent="0.2">
      <c r="A262" s="18" t="str">
        <f t="shared" si="20"/>
        <v>Eintrag 261</v>
      </c>
      <c r="B262" s="18">
        <v>100</v>
      </c>
      <c r="C262" s="19">
        <v>100</v>
      </c>
      <c r="D262" s="20">
        <v>10</v>
      </c>
      <c r="E262" s="20">
        <v>10</v>
      </c>
      <c r="F262" s="20">
        <v>10</v>
      </c>
      <c r="G262" s="19">
        <f t="shared" si="23"/>
        <v>172</v>
      </c>
      <c r="H262" s="22">
        <f t="shared" si="17"/>
        <v>261</v>
      </c>
      <c r="I262" s="21">
        <f t="shared" ca="1" si="18"/>
        <v>0</v>
      </c>
      <c r="J262" s="21" t="str">
        <f ca="1">IF(I262=0,"",COUNTIF($I$2:I262,"&gt;0"))</f>
        <v/>
      </c>
      <c r="K262" s="21" t="str">
        <f t="shared" ca="1" si="22"/>
        <v/>
      </c>
    </row>
    <row r="263" spans="1:11" s="18" customFormat="1" ht="14.25" x14ac:dyDescent="0.2">
      <c r="A263" s="18" t="str">
        <f t="shared" si="20"/>
        <v>Eintrag 262</v>
      </c>
      <c r="B263" s="18">
        <v>100</v>
      </c>
      <c r="C263" s="19">
        <v>100</v>
      </c>
      <c r="D263" s="20">
        <v>10</v>
      </c>
      <c r="E263" s="20">
        <v>10</v>
      </c>
      <c r="F263" s="20">
        <v>10</v>
      </c>
      <c r="G263" s="19">
        <f t="shared" si="23"/>
        <v>172</v>
      </c>
      <c r="H263" s="22">
        <f t="shared" si="17"/>
        <v>262</v>
      </c>
      <c r="I263" s="21">
        <f t="shared" ca="1" si="18"/>
        <v>0</v>
      </c>
      <c r="J263" s="21" t="str">
        <f ca="1">IF(I263=0,"",COUNTIF($I$2:I263,"&gt;0"))</f>
        <v/>
      </c>
      <c r="K263" s="21" t="str">
        <f t="shared" ca="1" si="22"/>
        <v/>
      </c>
    </row>
    <row r="264" spans="1:11" s="18" customFormat="1" ht="14.25" x14ac:dyDescent="0.2">
      <c r="A264" s="18" t="str">
        <f t="shared" si="20"/>
        <v>Eintrag 263</v>
      </c>
      <c r="B264" s="18">
        <v>100</v>
      </c>
      <c r="C264" s="19">
        <v>100</v>
      </c>
      <c r="D264" s="20">
        <v>10</v>
      </c>
      <c r="E264" s="20">
        <v>10</v>
      </c>
      <c r="F264" s="20">
        <v>10</v>
      </c>
      <c r="G264" s="19">
        <f t="shared" si="23"/>
        <v>172</v>
      </c>
      <c r="H264" s="22">
        <f t="shared" si="17"/>
        <v>263</v>
      </c>
      <c r="I264" s="21">
        <f t="shared" ca="1" si="18"/>
        <v>0</v>
      </c>
      <c r="J264" s="21" t="str">
        <f ca="1">IF(I264=0,"",COUNTIF($I$2:I264,"&gt;0"))</f>
        <v/>
      </c>
      <c r="K264" s="21" t="str">
        <f t="shared" ca="1" si="22"/>
        <v/>
      </c>
    </row>
    <row r="265" spans="1:11" s="18" customFormat="1" ht="14.25" x14ac:dyDescent="0.2">
      <c r="A265" s="18" t="str">
        <f t="shared" si="20"/>
        <v>Eintrag 264</v>
      </c>
      <c r="B265" s="18">
        <v>100</v>
      </c>
      <c r="C265" s="19">
        <v>100</v>
      </c>
      <c r="D265" s="20">
        <v>10</v>
      </c>
      <c r="E265" s="20">
        <v>10</v>
      </c>
      <c r="F265" s="20">
        <v>10</v>
      </c>
      <c r="G265" s="19">
        <f t="shared" si="23"/>
        <v>172</v>
      </c>
      <c r="H265" s="22">
        <f t="shared" si="17"/>
        <v>264</v>
      </c>
      <c r="I265" s="21">
        <f t="shared" ca="1" si="18"/>
        <v>0</v>
      </c>
      <c r="J265" s="21" t="str">
        <f ca="1">IF(I265=0,"",COUNTIF($I$2:I265,"&gt;0"))</f>
        <v/>
      </c>
      <c r="K265" s="21" t="str">
        <f t="shared" ca="1" si="22"/>
        <v/>
      </c>
    </row>
    <row r="266" spans="1:11" s="18" customFormat="1" ht="14.25" x14ac:dyDescent="0.2">
      <c r="A266" s="18" t="str">
        <f t="shared" si="20"/>
        <v>Eintrag 265</v>
      </c>
      <c r="B266" s="18">
        <v>100</v>
      </c>
      <c r="C266" s="19">
        <v>100</v>
      </c>
      <c r="D266" s="20">
        <v>10</v>
      </c>
      <c r="E266" s="20">
        <v>10</v>
      </c>
      <c r="F266" s="20">
        <v>10</v>
      </c>
      <c r="G266" s="19">
        <f t="shared" si="23"/>
        <v>172</v>
      </c>
      <c r="H266" s="22">
        <f t="shared" si="17"/>
        <v>265</v>
      </c>
      <c r="I266" s="21">
        <f t="shared" ca="1" si="18"/>
        <v>0</v>
      </c>
      <c r="J266" s="21" t="str">
        <f ca="1">IF(I266=0,"",COUNTIF($I$2:I266,"&gt;0"))</f>
        <v/>
      </c>
      <c r="K266" s="21" t="str">
        <f t="shared" ca="1" si="22"/>
        <v/>
      </c>
    </row>
    <row r="267" spans="1:11" s="18" customFormat="1" ht="14.25" x14ac:dyDescent="0.2">
      <c r="A267" s="18" t="str">
        <f t="shared" si="20"/>
        <v>Eintrag 266</v>
      </c>
      <c r="B267" s="18">
        <v>100</v>
      </c>
      <c r="C267" s="19">
        <v>100</v>
      </c>
      <c r="D267" s="20">
        <v>10</v>
      </c>
      <c r="E267" s="20">
        <v>10</v>
      </c>
      <c r="F267" s="20">
        <v>10</v>
      </c>
      <c r="G267" s="19">
        <f t="shared" si="23"/>
        <v>172</v>
      </c>
      <c r="H267" s="22">
        <f t="shared" si="17"/>
        <v>266</v>
      </c>
      <c r="I267" s="21">
        <f t="shared" ca="1" si="18"/>
        <v>0</v>
      </c>
      <c r="J267" s="21" t="str">
        <f ca="1">IF(I267=0,"",COUNTIF($I$2:I267,"&gt;0"))</f>
        <v/>
      </c>
      <c r="K267" s="21" t="str">
        <f t="shared" ca="1" si="22"/>
        <v/>
      </c>
    </row>
    <row r="268" spans="1:11" s="18" customFormat="1" ht="14.25" x14ac:dyDescent="0.2">
      <c r="A268" s="18" t="str">
        <f t="shared" si="20"/>
        <v>Eintrag 267</v>
      </c>
      <c r="B268" s="18">
        <v>100</v>
      </c>
      <c r="C268" s="19">
        <v>100</v>
      </c>
      <c r="D268" s="20">
        <v>10</v>
      </c>
      <c r="E268" s="20">
        <v>10</v>
      </c>
      <c r="F268" s="20">
        <v>10</v>
      </c>
      <c r="G268" s="19">
        <f t="shared" si="23"/>
        <v>172</v>
      </c>
      <c r="H268" s="22">
        <f t="shared" si="17"/>
        <v>267</v>
      </c>
      <c r="I268" s="21">
        <f t="shared" ca="1" si="18"/>
        <v>0</v>
      </c>
      <c r="J268" s="21" t="str">
        <f ca="1">IF(I268=0,"",COUNTIF($I$2:I268,"&gt;0"))</f>
        <v/>
      </c>
      <c r="K268" s="21" t="str">
        <f t="shared" ca="1" si="22"/>
        <v/>
      </c>
    </row>
    <row r="269" spans="1:11" s="18" customFormat="1" ht="14.25" x14ac:dyDescent="0.2">
      <c r="A269" s="18" t="str">
        <f t="shared" si="20"/>
        <v>Eintrag 268</v>
      </c>
      <c r="B269" s="18">
        <v>100</v>
      </c>
      <c r="C269" s="19">
        <v>100</v>
      </c>
      <c r="D269" s="20">
        <v>10</v>
      </c>
      <c r="E269" s="20">
        <v>10</v>
      </c>
      <c r="F269" s="20">
        <v>10</v>
      </c>
      <c r="G269" s="19">
        <f t="shared" si="23"/>
        <v>172</v>
      </c>
      <c r="H269" s="22">
        <f t="shared" si="17"/>
        <v>268</v>
      </c>
      <c r="I269" s="21">
        <f t="shared" ca="1" si="18"/>
        <v>0</v>
      </c>
      <c r="J269" s="21" t="str">
        <f ca="1">IF(I269=0,"",COUNTIF($I$2:I269,"&gt;0"))</f>
        <v/>
      </c>
      <c r="K269" s="21" t="str">
        <f t="shared" ca="1" si="22"/>
        <v/>
      </c>
    </row>
    <row r="270" spans="1:11" s="18" customFormat="1" ht="14.25" x14ac:dyDescent="0.2">
      <c r="A270" s="18" t="str">
        <f t="shared" si="20"/>
        <v>Eintrag 269</v>
      </c>
      <c r="B270" s="18">
        <v>100</v>
      </c>
      <c r="C270" s="19">
        <v>100</v>
      </c>
      <c r="D270" s="20">
        <v>10</v>
      </c>
      <c r="E270" s="20">
        <v>10</v>
      </c>
      <c r="F270" s="20">
        <v>10</v>
      </c>
      <c r="G270" s="19">
        <f t="shared" si="23"/>
        <v>172</v>
      </c>
      <c r="H270" s="22">
        <f t="shared" si="17"/>
        <v>269</v>
      </c>
      <c r="I270" s="21">
        <f t="shared" ca="1" si="18"/>
        <v>0</v>
      </c>
      <c r="J270" s="21" t="str">
        <f ca="1">IF(I270=0,"",COUNTIF($I$2:I270,"&gt;0"))</f>
        <v/>
      </c>
      <c r="K270" s="21" t="str">
        <f t="shared" ca="1" si="22"/>
        <v/>
      </c>
    </row>
    <row r="271" spans="1:11" s="18" customFormat="1" ht="14.25" x14ac:dyDescent="0.2">
      <c r="A271" s="18" t="str">
        <f t="shared" si="20"/>
        <v>Eintrag 270</v>
      </c>
      <c r="B271" s="18">
        <v>100</v>
      </c>
      <c r="C271" s="19">
        <v>100</v>
      </c>
      <c r="D271" s="20">
        <v>10</v>
      </c>
      <c r="E271" s="20">
        <v>10</v>
      </c>
      <c r="F271" s="20">
        <v>10</v>
      </c>
      <c r="G271" s="19">
        <f t="shared" si="23"/>
        <v>172</v>
      </c>
      <c r="H271" s="22">
        <f t="shared" si="17"/>
        <v>270</v>
      </c>
      <c r="I271" s="21">
        <f t="shared" ca="1" si="18"/>
        <v>0</v>
      </c>
      <c r="J271" s="21" t="str">
        <f ca="1">IF(I271=0,"",COUNTIF($I$2:I271,"&gt;0"))</f>
        <v/>
      </c>
      <c r="K271" s="21" t="str">
        <f t="shared" ca="1" si="22"/>
        <v/>
      </c>
    </row>
    <row r="272" spans="1:11" s="18" customFormat="1" ht="14.25" x14ac:dyDescent="0.2">
      <c r="A272" s="18" t="str">
        <f t="shared" si="20"/>
        <v>Eintrag 271</v>
      </c>
      <c r="B272" s="18">
        <v>100</v>
      </c>
      <c r="C272" s="19">
        <v>100</v>
      </c>
      <c r="D272" s="20">
        <v>10</v>
      </c>
      <c r="E272" s="20">
        <v>10</v>
      </c>
      <c r="F272" s="20">
        <v>10</v>
      </c>
      <c r="G272" s="19">
        <f t="shared" si="23"/>
        <v>172</v>
      </c>
      <c r="H272" s="22">
        <f t="shared" si="17"/>
        <v>271</v>
      </c>
      <c r="I272" s="21">
        <f t="shared" ca="1" si="18"/>
        <v>0</v>
      </c>
      <c r="J272" s="21" t="str">
        <f ca="1">IF(I272=0,"",COUNTIF($I$2:I272,"&gt;0"))</f>
        <v/>
      </c>
      <c r="K272" s="21" t="str">
        <f t="shared" ca="1" si="22"/>
        <v/>
      </c>
    </row>
    <row r="273" spans="1:11" s="18" customFormat="1" ht="14.25" x14ac:dyDescent="0.2">
      <c r="A273" s="18" t="str">
        <f t="shared" si="20"/>
        <v>Eintrag 272</v>
      </c>
      <c r="B273" s="18">
        <v>100</v>
      </c>
      <c r="C273" s="19">
        <v>100</v>
      </c>
      <c r="D273" s="20">
        <v>10</v>
      </c>
      <c r="E273" s="20">
        <v>10</v>
      </c>
      <c r="F273" s="20">
        <v>10</v>
      </c>
      <c r="G273" s="19">
        <f t="shared" si="23"/>
        <v>172</v>
      </c>
      <c r="H273" s="22">
        <f t="shared" si="17"/>
        <v>272</v>
      </c>
      <c r="I273" s="21">
        <f t="shared" ca="1" si="18"/>
        <v>0</v>
      </c>
      <c r="J273" s="21" t="str">
        <f ca="1">IF(I273=0,"",COUNTIF($I$2:I273,"&gt;0"))</f>
        <v/>
      </c>
      <c r="K273" s="21" t="str">
        <f t="shared" ca="1" si="22"/>
        <v/>
      </c>
    </row>
    <row r="274" spans="1:11" s="18" customFormat="1" ht="14.25" x14ac:dyDescent="0.2">
      <c r="A274" s="18" t="str">
        <f t="shared" si="20"/>
        <v>Eintrag 273</v>
      </c>
      <c r="B274" s="18">
        <v>100</v>
      </c>
      <c r="C274" s="19">
        <v>100</v>
      </c>
      <c r="D274" s="20">
        <v>10</v>
      </c>
      <c r="E274" s="20">
        <v>10</v>
      </c>
      <c r="F274" s="20">
        <v>10</v>
      </c>
      <c r="G274" s="19">
        <f t="shared" si="23"/>
        <v>172</v>
      </c>
      <c r="H274" s="22">
        <f t="shared" si="17"/>
        <v>273</v>
      </c>
      <c r="I274" s="21">
        <f t="shared" ca="1" si="18"/>
        <v>0</v>
      </c>
      <c r="J274" s="21" t="str">
        <f ca="1">IF(I274=0,"",COUNTIF($I$2:I274,"&gt;0"))</f>
        <v/>
      </c>
      <c r="K274" s="21" t="str">
        <f t="shared" ca="1" si="22"/>
        <v/>
      </c>
    </row>
    <row r="275" spans="1:11" s="18" customFormat="1" ht="14.25" x14ac:dyDescent="0.2">
      <c r="A275" s="18" t="str">
        <f t="shared" si="20"/>
        <v>Eintrag 274</v>
      </c>
      <c r="B275" s="18">
        <v>100</v>
      </c>
      <c r="C275" s="19">
        <v>100</v>
      </c>
      <c r="D275" s="20">
        <v>10</v>
      </c>
      <c r="E275" s="20">
        <v>10</v>
      </c>
      <c r="F275" s="20">
        <v>10</v>
      </c>
      <c r="G275" s="19">
        <f t="shared" si="23"/>
        <v>172</v>
      </c>
      <c r="H275" s="22">
        <f t="shared" si="17"/>
        <v>274</v>
      </c>
      <c r="I275" s="21">
        <f t="shared" ca="1" si="18"/>
        <v>0</v>
      </c>
      <c r="J275" s="21" t="str">
        <f ca="1">IF(I275=0,"",COUNTIF($I$2:I275,"&gt;0"))</f>
        <v/>
      </c>
      <c r="K275" s="21" t="str">
        <f t="shared" ca="1" si="22"/>
        <v/>
      </c>
    </row>
    <row r="276" spans="1:11" s="18" customFormat="1" ht="14.25" x14ac:dyDescent="0.2">
      <c r="A276" s="18" t="str">
        <f t="shared" si="20"/>
        <v>Eintrag 275</v>
      </c>
      <c r="B276" s="18">
        <v>100</v>
      </c>
      <c r="C276" s="19">
        <v>100</v>
      </c>
      <c r="D276" s="20">
        <v>10</v>
      </c>
      <c r="E276" s="20">
        <v>10</v>
      </c>
      <c r="F276" s="20">
        <v>10</v>
      </c>
      <c r="G276" s="19">
        <f t="shared" si="23"/>
        <v>172</v>
      </c>
      <c r="H276" s="22">
        <f t="shared" si="17"/>
        <v>275</v>
      </c>
      <c r="I276" s="21">
        <f t="shared" ca="1" si="18"/>
        <v>0</v>
      </c>
      <c r="J276" s="21" t="str">
        <f ca="1">IF(I276=0,"",COUNTIF($I$2:I276,"&gt;0"))</f>
        <v/>
      </c>
      <c r="K276" s="21" t="str">
        <f t="shared" ca="1" si="22"/>
        <v/>
      </c>
    </row>
    <row r="277" spans="1:11" s="18" customFormat="1" ht="14.25" x14ac:dyDescent="0.2">
      <c r="A277" s="18" t="str">
        <f t="shared" si="20"/>
        <v>Eintrag 276</v>
      </c>
      <c r="B277" s="18">
        <v>100</v>
      </c>
      <c r="C277" s="19">
        <v>100</v>
      </c>
      <c r="D277" s="20">
        <v>10</v>
      </c>
      <c r="E277" s="20">
        <v>10</v>
      </c>
      <c r="F277" s="20">
        <v>10</v>
      </c>
      <c r="G277" s="19">
        <f t="shared" si="23"/>
        <v>172</v>
      </c>
      <c r="H277" s="22">
        <f t="shared" si="17"/>
        <v>276</v>
      </c>
      <c r="I277" s="21">
        <f t="shared" ca="1" si="18"/>
        <v>0</v>
      </c>
      <c r="J277" s="21" t="str">
        <f ca="1">IF(I277=0,"",COUNTIF($I$2:I277,"&gt;0"))</f>
        <v/>
      </c>
      <c r="K277" s="21" t="str">
        <f t="shared" ca="1" si="22"/>
        <v/>
      </c>
    </row>
    <row r="278" spans="1:11" s="18" customFormat="1" ht="14.25" x14ac:dyDescent="0.2">
      <c r="A278" s="18" t="str">
        <f t="shared" si="20"/>
        <v>Eintrag 277</v>
      </c>
      <c r="B278" s="18">
        <v>100</v>
      </c>
      <c r="C278" s="19">
        <v>100</v>
      </c>
      <c r="D278" s="20">
        <v>10</v>
      </c>
      <c r="E278" s="20">
        <v>10</v>
      </c>
      <c r="F278" s="20">
        <v>10</v>
      </c>
      <c r="G278" s="19">
        <f t="shared" si="23"/>
        <v>172</v>
      </c>
      <c r="H278" s="22">
        <f t="shared" si="17"/>
        <v>277</v>
      </c>
      <c r="I278" s="21">
        <f t="shared" ca="1" si="18"/>
        <v>0</v>
      </c>
      <c r="J278" s="21" t="str">
        <f ca="1">IF(I278=0,"",COUNTIF($I$2:I278,"&gt;0"))</f>
        <v/>
      </c>
      <c r="K278" s="21" t="str">
        <f t="shared" ca="1" si="22"/>
        <v/>
      </c>
    </row>
    <row r="279" spans="1:11" s="18" customFormat="1" ht="14.25" x14ac:dyDescent="0.2">
      <c r="A279" s="18" t="str">
        <f t="shared" si="20"/>
        <v>Eintrag 278</v>
      </c>
      <c r="B279" s="18">
        <v>100</v>
      </c>
      <c r="C279" s="19">
        <v>100</v>
      </c>
      <c r="D279" s="20">
        <v>10</v>
      </c>
      <c r="E279" s="20">
        <v>10</v>
      </c>
      <c r="F279" s="20">
        <v>10</v>
      </c>
      <c r="G279" s="19">
        <f t="shared" si="23"/>
        <v>172</v>
      </c>
      <c r="H279" s="22">
        <f t="shared" si="17"/>
        <v>278</v>
      </c>
      <c r="I279" s="21">
        <f t="shared" ca="1" si="18"/>
        <v>0</v>
      </c>
      <c r="J279" s="21" t="str">
        <f ca="1">IF(I279=0,"",COUNTIF($I$2:I279,"&gt;0"))</f>
        <v/>
      </c>
      <c r="K279" s="21" t="str">
        <f t="shared" ca="1" si="22"/>
        <v/>
      </c>
    </row>
    <row r="280" spans="1:11" s="18" customFormat="1" ht="14.25" x14ac:dyDescent="0.2">
      <c r="A280" s="18" t="str">
        <f t="shared" si="20"/>
        <v>Eintrag 279</v>
      </c>
      <c r="B280" s="18">
        <v>100</v>
      </c>
      <c r="C280" s="19">
        <v>100</v>
      </c>
      <c r="D280" s="20">
        <v>10</v>
      </c>
      <c r="E280" s="20">
        <v>10</v>
      </c>
      <c r="F280" s="20">
        <v>10</v>
      </c>
      <c r="G280" s="19">
        <f t="shared" si="23"/>
        <v>172</v>
      </c>
      <c r="H280" s="22">
        <f t="shared" si="17"/>
        <v>279</v>
      </c>
      <c r="I280" s="21">
        <f t="shared" ca="1" si="18"/>
        <v>0</v>
      </c>
      <c r="J280" s="21" t="str">
        <f ca="1">IF(I280=0,"",COUNTIF($I$2:I280,"&gt;0"))</f>
        <v/>
      </c>
      <c r="K280" s="21" t="str">
        <f t="shared" ca="1" si="22"/>
        <v/>
      </c>
    </row>
    <row r="281" spans="1:11" s="18" customFormat="1" ht="14.25" x14ac:dyDescent="0.2">
      <c r="A281" s="18" t="str">
        <f t="shared" si="20"/>
        <v>Eintrag 280</v>
      </c>
      <c r="B281" s="18">
        <v>100</v>
      </c>
      <c r="C281" s="19">
        <v>100</v>
      </c>
      <c r="D281" s="20">
        <v>10</v>
      </c>
      <c r="E281" s="20">
        <v>10</v>
      </c>
      <c r="F281" s="20">
        <v>10</v>
      </c>
      <c r="G281" s="19">
        <f t="shared" si="23"/>
        <v>172</v>
      </c>
      <c r="H281" s="22">
        <f t="shared" si="17"/>
        <v>280</v>
      </c>
      <c r="I281" s="21">
        <f t="shared" ca="1" si="18"/>
        <v>0</v>
      </c>
      <c r="J281" s="21" t="str">
        <f ca="1">IF(I281=0,"",COUNTIF($I$2:I281,"&gt;0"))</f>
        <v/>
      </c>
      <c r="K281" s="21" t="str">
        <f t="shared" ca="1" si="22"/>
        <v/>
      </c>
    </row>
    <row r="282" spans="1:11" s="18" customFormat="1" ht="14.25" x14ac:dyDescent="0.2">
      <c r="A282" s="18" t="str">
        <f t="shared" si="20"/>
        <v>Eintrag 281</v>
      </c>
      <c r="B282" s="18">
        <v>100</v>
      </c>
      <c r="C282" s="19">
        <v>100</v>
      </c>
      <c r="D282" s="20">
        <v>10</v>
      </c>
      <c r="E282" s="20">
        <v>10</v>
      </c>
      <c r="F282" s="20">
        <v>10</v>
      </c>
      <c r="G282" s="19">
        <f t="shared" si="23"/>
        <v>172</v>
      </c>
      <c r="H282" s="22">
        <f t="shared" si="17"/>
        <v>281</v>
      </c>
      <c r="I282" s="21">
        <f t="shared" ca="1" si="18"/>
        <v>0</v>
      </c>
      <c r="J282" s="21" t="str">
        <f ca="1">IF(I282=0,"",COUNTIF($I$2:I282,"&gt;0"))</f>
        <v/>
      </c>
      <c r="K282" s="21" t="str">
        <f t="shared" ca="1" si="22"/>
        <v/>
      </c>
    </row>
    <row r="283" spans="1:11" s="18" customFormat="1" ht="14.25" x14ac:dyDescent="0.2">
      <c r="A283" s="18" t="str">
        <f t="shared" si="20"/>
        <v>Eintrag 282</v>
      </c>
      <c r="B283" s="18">
        <v>100</v>
      </c>
      <c r="C283" s="19">
        <v>100</v>
      </c>
      <c r="D283" s="20">
        <v>10</v>
      </c>
      <c r="E283" s="20">
        <v>10</v>
      </c>
      <c r="F283" s="20">
        <v>10</v>
      </c>
      <c r="G283" s="19">
        <f t="shared" si="23"/>
        <v>172</v>
      </c>
      <c r="H283" s="22">
        <f t="shared" si="17"/>
        <v>282</v>
      </c>
      <c r="I283" s="21">
        <f t="shared" ca="1" si="18"/>
        <v>0</v>
      </c>
      <c r="J283" s="21" t="str">
        <f ca="1">IF(I283=0,"",COUNTIF($I$2:I283,"&gt;0"))</f>
        <v/>
      </c>
      <c r="K283" s="21" t="str">
        <f t="shared" ca="1" si="22"/>
        <v/>
      </c>
    </row>
    <row r="284" spans="1:11" s="18" customFormat="1" ht="14.25" x14ac:dyDescent="0.2">
      <c r="A284" s="18" t="str">
        <f t="shared" si="20"/>
        <v>Eintrag 283</v>
      </c>
      <c r="B284" s="18">
        <v>100</v>
      </c>
      <c r="C284" s="19">
        <v>100</v>
      </c>
      <c r="D284" s="20">
        <v>10</v>
      </c>
      <c r="E284" s="20">
        <v>10</v>
      </c>
      <c r="F284" s="20">
        <v>10</v>
      </c>
      <c r="G284" s="19">
        <f t="shared" si="23"/>
        <v>172</v>
      </c>
      <c r="H284" s="22">
        <f t="shared" si="17"/>
        <v>283</v>
      </c>
      <c r="I284" s="21">
        <f t="shared" ca="1" si="18"/>
        <v>0</v>
      </c>
      <c r="J284" s="21" t="str">
        <f ca="1">IF(I284=0,"",COUNTIF($I$2:I284,"&gt;0"))</f>
        <v/>
      </c>
      <c r="K284" s="21" t="str">
        <f t="shared" ca="1" si="22"/>
        <v/>
      </c>
    </row>
    <row r="285" spans="1:11" s="18" customFormat="1" ht="14.25" x14ac:dyDescent="0.2">
      <c r="A285" s="18" t="str">
        <f t="shared" si="20"/>
        <v>Eintrag 284</v>
      </c>
      <c r="B285" s="18">
        <v>100</v>
      </c>
      <c r="C285" s="19">
        <v>100</v>
      </c>
      <c r="D285" s="20">
        <v>10</v>
      </c>
      <c r="E285" s="20">
        <v>10</v>
      </c>
      <c r="F285" s="20">
        <v>10</v>
      </c>
      <c r="G285" s="19">
        <f t="shared" si="23"/>
        <v>172</v>
      </c>
      <c r="H285" s="22">
        <f t="shared" si="17"/>
        <v>284</v>
      </c>
      <c r="I285" s="21">
        <f t="shared" ca="1" si="18"/>
        <v>0</v>
      </c>
      <c r="J285" s="21" t="str">
        <f ca="1">IF(I285=0,"",COUNTIF($I$2:I285,"&gt;0"))</f>
        <v/>
      </c>
      <c r="K285" s="21" t="str">
        <f t="shared" ca="1" si="22"/>
        <v/>
      </c>
    </row>
    <row r="286" spans="1:11" s="18" customFormat="1" ht="14.25" x14ac:dyDescent="0.2">
      <c r="A286" s="18" t="str">
        <f t="shared" si="20"/>
        <v>Eintrag 285</v>
      </c>
      <c r="B286" s="18">
        <v>100</v>
      </c>
      <c r="C286" s="19">
        <v>100</v>
      </c>
      <c r="D286" s="20">
        <v>10</v>
      </c>
      <c r="E286" s="20">
        <v>10</v>
      </c>
      <c r="F286" s="20">
        <v>10</v>
      </c>
      <c r="G286" s="19">
        <f t="shared" si="23"/>
        <v>172</v>
      </c>
      <c r="H286" s="22">
        <f t="shared" si="17"/>
        <v>285</v>
      </c>
      <c r="I286" s="21">
        <f t="shared" ca="1" si="18"/>
        <v>0</v>
      </c>
      <c r="J286" s="21" t="str">
        <f ca="1">IF(I286=0,"",COUNTIF($I$2:I286,"&gt;0"))</f>
        <v/>
      </c>
      <c r="K286" s="21" t="str">
        <f t="shared" ca="1" si="22"/>
        <v/>
      </c>
    </row>
    <row r="287" spans="1:11" s="18" customFormat="1" ht="14.25" x14ac:dyDescent="0.2">
      <c r="A287" s="18" t="str">
        <f t="shared" si="20"/>
        <v>Eintrag 286</v>
      </c>
      <c r="B287" s="18">
        <v>100</v>
      </c>
      <c r="C287" s="19">
        <v>100</v>
      </c>
      <c r="D287" s="20">
        <v>10</v>
      </c>
      <c r="E287" s="20">
        <v>10</v>
      </c>
      <c r="F287" s="20">
        <v>10</v>
      </c>
      <c r="G287" s="19">
        <f t="shared" si="23"/>
        <v>172</v>
      </c>
      <c r="H287" s="22">
        <f t="shared" si="17"/>
        <v>286</v>
      </c>
      <c r="I287" s="21">
        <f t="shared" ca="1" si="18"/>
        <v>0</v>
      </c>
      <c r="J287" s="21" t="str">
        <f ca="1">IF(I287=0,"",COUNTIF($I$2:I287,"&gt;0"))</f>
        <v/>
      </c>
      <c r="K287" s="21" t="str">
        <f t="shared" ca="1" si="22"/>
        <v/>
      </c>
    </row>
    <row r="288" spans="1:11" s="18" customFormat="1" ht="14.25" x14ac:dyDescent="0.2">
      <c r="A288" s="18" t="str">
        <f t="shared" si="20"/>
        <v>Eintrag 287</v>
      </c>
      <c r="B288" s="18">
        <v>100</v>
      </c>
      <c r="C288" s="19">
        <v>100</v>
      </c>
      <c r="D288" s="20">
        <v>10</v>
      </c>
      <c r="E288" s="20">
        <v>10</v>
      </c>
      <c r="F288" s="20">
        <v>10</v>
      </c>
      <c r="G288" s="19">
        <f t="shared" si="23"/>
        <v>172</v>
      </c>
      <c r="H288" s="22">
        <f t="shared" si="17"/>
        <v>287</v>
      </c>
      <c r="I288" s="21">
        <f t="shared" ca="1" si="18"/>
        <v>0</v>
      </c>
      <c r="J288" s="21" t="str">
        <f ca="1">IF(I288=0,"",COUNTIF($I$2:I288,"&gt;0"))</f>
        <v/>
      </c>
      <c r="K288" s="21" t="str">
        <f t="shared" ca="1" si="22"/>
        <v/>
      </c>
    </row>
    <row r="289" spans="1:11" s="18" customFormat="1" ht="14.25" x14ac:dyDescent="0.2">
      <c r="A289" s="18" t="str">
        <f t="shared" si="20"/>
        <v>Eintrag 288</v>
      </c>
      <c r="B289" s="18">
        <v>100</v>
      </c>
      <c r="C289" s="19">
        <v>100</v>
      </c>
      <c r="D289" s="20">
        <v>10</v>
      </c>
      <c r="E289" s="20">
        <v>10</v>
      </c>
      <c r="F289" s="20">
        <v>10</v>
      </c>
      <c r="G289" s="19">
        <f t="shared" si="23"/>
        <v>172</v>
      </c>
      <c r="H289" s="22">
        <f t="shared" si="17"/>
        <v>288</v>
      </c>
      <c r="I289" s="21">
        <f t="shared" ca="1" si="18"/>
        <v>0</v>
      </c>
      <c r="J289" s="21" t="str">
        <f ca="1">IF(I289=0,"",COUNTIF($I$2:I289,"&gt;0"))</f>
        <v/>
      </c>
      <c r="K289" s="21" t="str">
        <f t="shared" ca="1" si="22"/>
        <v/>
      </c>
    </row>
    <row r="290" spans="1:11" s="18" customFormat="1" ht="14.25" x14ac:dyDescent="0.2">
      <c r="A290" s="18" t="str">
        <f t="shared" si="20"/>
        <v>Eintrag 289</v>
      </c>
      <c r="B290" s="18">
        <v>100</v>
      </c>
      <c r="C290" s="19">
        <v>100</v>
      </c>
      <c r="D290" s="20">
        <v>10</v>
      </c>
      <c r="E290" s="20">
        <v>10</v>
      </c>
      <c r="F290" s="20">
        <v>10</v>
      </c>
      <c r="G290" s="19">
        <f t="shared" si="23"/>
        <v>172</v>
      </c>
      <c r="H290" s="22">
        <f t="shared" si="17"/>
        <v>289</v>
      </c>
      <c r="I290" s="21">
        <f t="shared" ca="1" si="18"/>
        <v>0</v>
      </c>
      <c r="J290" s="21" t="str">
        <f ca="1">IF(I290=0,"",COUNTIF($I$2:I290,"&gt;0"))</f>
        <v/>
      </c>
      <c r="K290" s="21" t="str">
        <f t="shared" ca="1" si="22"/>
        <v/>
      </c>
    </row>
    <row r="291" spans="1:11" s="18" customFormat="1" ht="14.25" x14ac:dyDescent="0.2">
      <c r="A291" s="18" t="str">
        <f t="shared" si="20"/>
        <v>Eintrag 290</v>
      </c>
      <c r="B291" s="18">
        <v>100</v>
      </c>
      <c r="C291" s="19">
        <v>100</v>
      </c>
      <c r="D291" s="20">
        <v>10</v>
      </c>
      <c r="E291" s="20">
        <v>10</v>
      </c>
      <c r="F291" s="20">
        <v>10</v>
      </c>
      <c r="G291" s="19">
        <f t="shared" si="23"/>
        <v>172</v>
      </c>
      <c r="H291" s="22">
        <f t="shared" si="17"/>
        <v>290</v>
      </c>
      <c r="I291" s="21">
        <f t="shared" ca="1" si="18"/>
        <v>0</v>
      </c>
      <c r="J291" s="21" t="str">
        <f ca="1">IF(I291=0,"",COUNTIF($I$2:I291,"&gt;0"))</f>
        <v/>
      </c>
      <c r="K291" s="21" t="str">
        <f t="shared" ca="1" si="22"/>
        <v/>
      </c>
    </row>
    <row r="292" spans="1:11" s="18" customFormat="1" ht="14.25" x14ac:dyDescent="0.2">
      <c r="A292" s="18" t="str">
        <f t="shared" si="20"/>
        <v>Eintrag 291</v>
      </c>
      <c r="B292" s="18">
        <v>100</v>
      </c>
      <c r="C292" s="19">
        <v>100</v>
      </c>
      <c r="D292" s="20">
        <v>10</v>
      </c>
      <c r="E292" s="20">
        <v>10</v>
      </c>
      <c r="F292" s="20">
        <v>10</v>
      </c>
      <c r="G292" s="19">
        <f t="shared" si="23"/>
        <v>172</v>
      </c>
      <c r="H292" s="22">
        <f t="shared" si="17"/>
        <v>291</v>
      </c>
      <c r="I292" s="21">
        <f t="shared" ca="1" si="18"/>
        <v>0</v>
      </c>
      <c r="J292" s="21" t="str">
        <f ca="1">IF(I292=0,"",COUNTIF($I$2:I292,"&gt;0"))</f>
        <v/>
      </c>
      <c r="K292" s="21" t="str">
        <f t="shared" ca="1" si="22"/>
        <v/>
      </c>
    </row>
    <row r="293" spans="1:11" s="18" customFormat="1" ht="14.25" x14ac:dyDescent="0.2">
      <c r="A293" s="18" t="str">
        <f t="shared" si="20"/>
        <v>Eintrag 292</v>
      </c>
      <c r="B293" s="18">
        <v>100</v>
      </c>
      <c r="C293" s="19">
        <v>100</v>
      </c>
      <c r="D293" s="20">
        <v>10</v>
      </c>
      <c r="E293" s="20">
        <v>10</v>
      </c>
      <c r="F293" s="20">
        <v>10</v>
      </c>
      <c r="G293" s="19">
        <f t="shared" si="23"/>
        <v>172</v>
      </c>
      <c r="H293" s="22">
        <f t="shared" ref="H293:H356" si="24">H292+1</f>
        <v>292</v>
      </c>
      <c r="I293" s="21">
        <f t="shared" ca="1" si="18"/>
        <v>0</v>
      </c>
      <c r="J293" s="21" t="str">
        <f ca="1">IF(I293=0,"",COUNTIF($I$2:I293,"&gt;0"))</f>
        <v/>
      </c>
      <c r="K293" s="21" t="str">
        <f t="shared" ca="1" si="22"/>
        <v/>
      </c>
    </row>
    <row r="294" spans="1:11" s="18" customFormat="1" ht="14.25" x14ac:dyDescent="0.2">
      <c r="A294" s="18" t="str">
        <f t="shared" si="20"/>
        <v>Eintrag 293</v>
      </c>
      <c r="B294" s="18">
        <v>100</v>
      </c>
      <c r="C294" s="19">
        <v>100</v>
      </c>
      <c r="D294" s="20">
        <v>10</v>
      </c>
      <c r="E294" s="20">
        <v>10</v>
      </c>
      <c r="F294" s="20">
        <v>10</v>
      </c>
      <c r="G294" s="19">
        <f t="shared" si="23"/>
        <v>172</v>
      </c>
      <c r="H294" s="22">
        <f t="shared" si="24"/>
        <v>293</v>
      </c>
      <c r="I294" s="21">
        <f t="shared" ref="I294:I301" ca="1" si="25">IFERROR(SEARCH(INDIRECT(CELL("address")),A294),0)</f>
        <v>0</v>
      </c>
      <c r="J294" s="21" t="str">
        <f ca="1">IF(I294=0,"",COUNTIF($I$2:I294,"&gt;0"))</f>
        <v/>
      </c>
      <c r="K294" s="21" t="str">
        <f t="shared" ca="1" si="22"/>
        <v/>
      </c>
    </row>
    <row r="295" spans="1:11" s="18" customFormat="1" ht="14.25" x14ac:dyDescent="0.2">
      <c r="A295" s="18" t="str">
        <f t="shared" ref="A295:A301" si="26">CONCATENATE("Eintrag ",H295)</f>
        <v>Eintrag 294</v>
      </c>
      <c r="B295" s="18">
        <v>100</v>
      </c>
      <c r="C295" s="19">
        <v>100</v>
      </c>
      <c r="D295" s="20">
        <v>10</v>
      </c>
      <c r="E295" s="20">
        <v>10</v>
      </c>
      <c r="F295" s="20">
        <v>10</v>
      </c>
      <c r="G295" s="19">
        <f t="shared" si="23"/>
        <v>172</v>
      </c>
      <c r="H295" s="22">
        <f t="shared" si="24"/>
        <v>294</v>
      </c>
      <c r="I295" s="21">
        <f t="shared" ca="1" si="25"/>
        <v>0</v>
      </c>
      <c r="J295" s="21" t="str">
        <f ca="1">IF(I295=0,"",COUNTIF($I$2:I295,"&gt;0"))</f>
        <v/>
      </c>
      <c r="K295" s="21" t="str">
        <f t="shared" ca="1" si="22"/>
        <v/>
      </c>
    </row>
    <row r="296" spans="1:11" s="18" customFormat="1" ht="14.25" x14ac:dyDescent="0.2">
      <c r="A296" s="18" t="str">
        <f t="shared" si="26"/>
        <v>Eintrag 295</v>
      </c>
      <c r="B296" s="18">
        <v>100</v>
      </c>
      <c r="C296" s="19">
        <v>100</v>
      </c>
      <c r="D296" s="20">
        <v>10</v>
      </c>
      <c r="E296" s="20">
        <v>10</v>
      </c>
      <c r="F296" s="20">
        <v>10</v>
      </c>
      <c r="G296" s="19">
        <f t="shared" si="23"/>
        <v>172</v>
      </c>
      <c r="H296" s="22">
        <f t="shared" si="24"/>
        <v>295</v>
      </c>
      <c r="I296" s="21">
        <f t="shared" ca="1" si="25"/>
        <v>0</v>
      </c>
      <c r="J296" s="21" t="str">
        <f ca="1">IF(I296=0,"",COUNTIF($I$2:I296,"&gt;0"))</f>
        <v/>
      </c>
      <c r="K296" s="21" t="str">
        <f t="shared" ca="1" si="22"/>
        <v/>
      </c>
    </row>
    <row r="297" spans="1:11" s="18" customFormat="1" ht="14.25" x14ac:dyDescent="0.2">
      <c r="A297" s="18" t="str">
        <f t="shared" si="26"/>
        <v>Eintrag 296</v>
      </c>
      <c r="B297" s="18">
        <v>100</v>
      </c>
      <c r="C297" s="19">
        <v>100</v>
      </c>
      <c r="D297" s="20">
        <v>10</v>
      </c>
      <c r="E297" s="20">
        <v>10</v>
      </c>
      <c r="F297" s="20">
        <v>10</v>
      </c>
      <c r="G297" s="19">
        <f t="shared" si="23"/>
        <v>172</v>
      </c>
      <c r="H297" s="22">
        <f t="shared" si="24"/>
        <v>296</v>
      </c>
      <c r="I297" s="21">
        <f t="shared" ca="1" si="25"/>
        <v>0</v>
      </c>
      <c r="J297" s="21" t="str">
        <f ca="1">IF(I297=0,"",COUNTIF($I$2:I297,"&gt;0"))</f>
        <v/>
      </c>
      <c r="K297" s="21" t="str">
        <f t="shared" ca="1" si="22"/>
        <v/>
      </c>
    </row>
    <row r="298" spans="1:11" s="18" customFormat="1" ht="14.25" x14ac:dyDescent="0.2">
      <c r="A298" s="18" t="str">
        <f t="shared" si="26"/>
        <v>Eintrag 297</v>
      </c>
      <c r="B298" s="18">
        <v>100</v>
      </c>
      <c r="C298" s="19">
        <v>100</v>
      </c>
      <c r="D298" s="20">
        <v>10</v>
      </c>
      <c r="E298" s="20">
        <v>10</v>
      </c>
      <c r="F298" s="20">
        <v>10</v>
      </c>
      <c r="G298" s="19">
        <f t="shared" si="23"/>
        <v>172</v>
      </c>
      <c r="H298" s="22">
        <f t="shared" si="24"/>
        <v>297</v>
      </c>
      <c r="I298" s="21">
        <f t="shared" ca="1" si="25"/>
        <v>0</v>
      </c>
      <c r="J298" s="21" t="str">
        <f ca="1">IF(I298=0,"",COUNTIF($I$2:I298,"&gt;0"))</f>
        <v/>
      </c>
      <c r="K298" s="21" t="str">
        <f t="shared" ca="1" si="22"/>
        <v/>
      </c>
    </row>
    <row r="299" spans="1:11" s="18" customFormat="1" ht="14.25" x14ac:dyDescent="0.2">
      <c r="A299" s="18" t="str">
        <f t="shared" si="26"/>
        <v>Eintrag 298</v>
      </c>
      <c r="B299" s="18">
        <v>100</v>
      </c>
      <c r="C299" s="19">
        <v>100</v>
      </c>
      <c r="D299" s="20">
        <v>10</v>
      </c>
      <c r="E299" s="20">
        <v>10</v>
      </c>
      <c r="F299" s="20">
        <v>10</v>
      </c>
      <c r="G299" s="19">
        <f t="shared" si="23"/>
        <v>172</v>
      </c>
      <c r="H299" s="22">
        <f t="shared" si="24"/>
        <v>298</v>
      </c>
      <c r="I299" s="21">
        <f t="shared" ca="1" si="25"/>
        <v>0</v>
      </c>
      <c r="J299" s="21" t="str">
        <f ca="1">IF(I299=0,"",COUNTIF($I$2:I299,"&gt;0"))</f>
        <v/>
      </c>
      <c r="K299" s="21" t="str">
        <f t="shared" ca="1" si="22"/>
        <v/>
      </c>
    </row>
    <row r="300" spans="1:11" s="18" customFormat="1" ht="14.25" x14ac:dyDescent="0.2">
      <c r="A300" s="18" t="str">
        <f t="shared" si="26"/>
        <v>Eintrag 299</v>
      </c>
      <c r="B300" s="18">
        <v>100</v>
      </c>
      <c r="C300" s="19">
        <v>100</v>
      </c>
      <c r="D300" s="20">
        <v>10</v>
      </c>
      <c r="E300" s="20">
        <v>10</v>
      </c>
      <c r="F300" s="20">
        <v>10</v>
      </c>
      <c r="G300" s="19">
        <f t="shared" si="23"/>
        <v>172</v>
      </c>
      <c r="H300" s="22">
        <f t="shared" si="24"/>
        <v>299</v>
      </c>
      <c r="I300" s="21">
        <f t="shared" ca="1" si="25"/>
        <v>0</v>
      </c>
      <c r="J300" s="21" t="str">
        <f ca="1">IF(I300=0,"",COUNTIF($I$2:I300,"&gt;0"))</f>
        <v/>
      </c>
      <c r="K300" s="21" t="str">
        <f t="shared" ca="1" si="22"/>
        <v/>
      </c>
    </row>
    <row r="301" spans="1:11" s="18" customFormat="1" ht="14.25" x14ac:dyDescent="0.2">
      <c r="A301" s="18" t="str">
        <f t="shared" si="26"/>
        <v>Eintrag 300</v>
      </c>
      <c r="B301" s="18">
        <v>100</v>
      </c>
      <c r="C301" s="19">
        <v>100</v>
      </c>
      <c r="D301" s="20">
        <v>10</v>
      </c>
      <c r="E301" s="20">
        <v>10</v>
      </c>
      <c r="F301" s="20">
        <v>10</v>
      </c>
      <c r="G301" s="19">
        <f t="shared" si="23"/>
        <v>172</v>
      </c>
      <c r="H301" s="22">
        <f t="shared" si="24"/>
        <v>300</v>
      </c>
      <c r="I301" s="21">
        <f t="shared" ca="1" si="25"/>
        <v>0</v>
      </c>
      <c r="J301" s="21" t="str">
        <f ca="1">IF(I301=0,"",COUNTIF($I$2:I301,"&gt;0"))</f>
        <v/>
      </c>
      <c r="K301" s="21" t="str">
        <f t="shared" ca="1" si="22"/>
        <v/>
      </c>
    </row>
    <row r="302" spans="1:11" s="18" customFormat="1" ht="14.25" x14ac:dyDescent="0.2">
      <c r="A302" s="18" t="str">
        <f t="shared" si="20"/>
        <v>Eintrag 301</v>
      </c>
      <c r="B302" s="18">
        <v>100</v>
      </c>
      <c r="C302" s="19">
        <v>100</v>
      </c>
      <c r="D302" s="20">
        <v>10</v>
      </c>
      <c r="E302" s="20">
        <v>10</v>
      </c>
      <c r="F302" s="20">
        <v>10</v>
      </c>
      <c r="G302" s="19">
        <f t="shared" si="23"/>
        <v>172</v>
      </c>
      <c r="H302" s="22">
        <f t="shared" si="24"/>
        <v>301</v>
      </c>
      <c r="I302" s="21">
        <f t="shared" ca="1" si="18"/>
        <v>0</v>
      </c>
      <c r="J302" s="21" t="str">
        <f ca="1">IF(I302=0,"",COUNTIF($I$2:I302,"&gt;0"))</f>
        <v/>
      </c>
      <c r="K302" s="21" t="str">
        <f t="shared" ca="1" si="22"/>
        <v/>
      </c>
    </row>
    <row r="303" spans="1:11" s="18" customFormat="1" ht="14.25" x14ac:dyDescent="0.2">
      <c r="A303" s="18" t="str">
        <f t="shared" si="20"/>
        <v>Eintrag 302</v>
      </c>
      <c r="B303" s="18">
        <v>100</v>
      </c>
      <c r="C303" s="19">
        <v>100</v>
      </c>
      <c r="D303" s="20">
        <v>10</v>
      </c>
      <c r="E303" s="20">
        <v>10</v>
      </c>
      <c r="F303" s="20">
        <v>10</v>
      </c>
      <c r="G303" s="19">
        <f t="shared" si="23"/>
        <v>172</v>
      </c>
      <c r="H303" s="22">
        <f t="shared" si="24"/>
        <v>302</v>
      </c>
      <c r="I303" s="21">
        <f t="shared" ca="1" si="18"/>
        <v>0</v>
      </c>
      <c r="J303" s="21" t="str">
        <f ca="1">IF(I303=0,"",COUNTIF($I$2:I303,"&gt;0"))</f>
        <v/>
      </c>
      <c r="K303" s="21" t="str">
        <f t="shared" ca="1" si="22"/>
        <v/>
      </c>
    </row>
    <row r="304" spans="1:11" s="18" customFormat="1" ht="14.25" x14ac:dyDescent="0.2">
      <c r="A304" s="18" t="str">
        <f t="shared" si="20"/>
        <v>Eintrag 303</v>
      </c>
      <c r="B304" s="18">
        <v>100</v>
      </c>
      <c r="C304" s="19">
        <v>100</v>
      </c>
      <c r="D304" s="20">
        <v>10</v>
      </c>
      <c r="E304" s="20">
        <v>10</v>
      </c>
      <c r="F304" s="20">
        <v>10</v>
      </c>
      <c r="G304" s="19">
        <f t="shared" si="23"/>
        <v>172</v>
      </c>
      <c r="H304" s="22">
        <f t="shared" si="24"/>
        <v>303</v>
      </c>
      <c r="I304" s="21">
        <f t="shared" ca="1" si="18"/>
        <v>0</v>
      </c>
      <c r="J304" s="21" t="str">
        <f ca="1">IF(I304=0,"",COUNTIF($I$2:I304,"&gt;0"))</f>
        <v/>
      </c>
      <c r="K304" s="21" t="str">
        <f t="shared" ca="1" si="22"/>
        <v/>
      </c>
    </row>
    <row r="305" spans="1:11" s="18" customFormat="1" ht="14.25" x14ac:dyDescent="0.2">
      <c r="A305" s="18" t="str">
        <f t="shared" si="20"/>
        <v>Eintrag 304</v>
      </c>
      <c r="B305" s="18">
        <v>100</v>
      </c>
      <c r="C305" s="19">
        <v>100</v>
      </c>
      <c r="D305" s="20">
        <v>10</v>
      </c>
      <c r="E305" s="20">
        <v>10</v>
      </c>
      <c r="F305" s="20">
        <v>10</v>
      </c>
      <c r="G305" s="19">
        <f t="shared" si="23"/>
        <v>172</v>
      </c>
      <c r="H305" s="22">
        <f t="shared" si="24"/>
        <v>304</v>
      </c>
      <c r="I305" s="21">
        <f t="shared" ca="1" si="18"/>
        <v>0</v>
      </c>
      <c r="J305" s="21" t="str">
        <f ca="1">IF(I305=0,"",COUNTIF($I$2:I305,"&gt;0"))</f>
        <v/>
      </c>
      <c r="K305" s="21" t="str">
        <f t="shared" ca="1" si="22"/>
        <v/>
      </c>
    </row>
    <row r="306" spans="1:11" s="18" customFormat="1" ht="14.25" x14ac:dyDescent="0.2">
      <c r="A306" s="18" t="str">
        <f t="shared" si="20"/>
        <v>Eintrag 305</v>
      </c>
      <c r="B306" s="18">
        <v>100</v>
      </c>
      <c r="C306" s="19">
        <v>100</v>
      </c>
      <c r="D306" s="20">
        <v>10</v>
      </c>
      <c r="E306" s="20">
        <v>10</v>
      </c>
      <c r="F306" s="20">
        <v>10</v>
      </c>
      <c r="G306" s="19">
        <f t="shared" si="23"/>
        <v>172</v>
      </c>
      <c r="H306" s="22">
        <f t="shared" si="24"/>
        <v>305</v>
      </c>
      <c r="I306" s="21">
        <f t="shared" ca="1" si="18"/>
        <v>0</v>
      </c>
      <c r="J306" s="21" t="str">
        <f ca="1">IF(I306=0,"",COUNTIF($I$2:I306,"&gt;0"))</f>
        <v/>
      </c>
      <c r="K306" s="21" t="str">
        <f t="shared" ca="1" si="22"/>
        <v/>
      </c>
    </row>
    <row r="307" spans="1:11" s="18" customFormat="1" ht="14.25" x14ac:dyDescent="0.2">
      <c r="A307" s="18" t="str">
        <f t="shared" si="20"/>
        <v>Eintrag 306</v>
      </c>
      <c r="B307" s="18">
        <v>100</v>
      </c>
      <c r="C307" s="19">
        <v>100</v>
      </c>
      <c r="D307" s="20">
        <v>10</v>
      </c>
      <c r="E307" s="20">
        <v>10</v>
      </c>
      <c r="F307" s="20">
        <v>10</v>
      </c>
      <c r="G307" s="19">
        <f t="shared" si="23"/>
        <v>172</v>
      </c>
      <c r="H307" s="22">
        <f t="shared" si="24"/>
        <v>306</v>
      </c>
      <c r="I307" s="21">
        <f t="shared" ca="1" si="18"/>
        <v>0</v>
      </c>
      <c r="J307" s="21" t="str">
        <f ca="1">IF(I307=0,"",COUNTIF($I$2:I307,"&gt;0"))</f>
        <v/>
      </c>
      <c r="K307" s="21" t="str">
        <f t="shared" ca="1" si="22"/>
        <v/>
      </c>
    </row>
    <row r="308" spans="1:11" s="18" customFormat="1" ht="14.25" x14ac:dyDescent="0.2">
      <c r="A308" s="18" t="str">
        <f t="shared" si="20"/>
        <v>Eintrag 307</v>
      </c>
      <c r="B308" s="18">
        <v>100</v>
      </c>
      <c r="C308" s="19">
        <v>100</v>
      </c>
      <c r="D308" s="20">
        <v>10</v>
      </c>
      <c r="E308" s="20">
        <v>10</v>
      </c>
      <c r="F308" s="20">
        <v>10</v>
      </c>
      <c r="G308" s="19">
        <f t="shared" si="23"/>
        <v>172</v>
      </c>
      <c r="H308" s="22">
        <f t="shared" si="24"/>
        <v>307</v>
      </c>
      <c r="I308" s="21">
        <f t="shared" ca="1" si="18"/>
        <v>0</v>
      </c>
      <c r="J308" s="21" t="str">
        <f ca="1">IF(I308=0,"",COUNTIF($I$2:I308,"&gt;0"))</f>
        <v/>
      </c>
      <c r="K308" s="21" t="str">
        <f t="shared" ca="1" si="22"/>
        <v/>
      </c>
    </row>
    <row r="309" spans="1:11" s="18" customFormat="1" ht="14.25" x14ac:dyDescent="0.2">
      <c r="A309" s="18" t="str">
        <f t="shared" si="20"/>
        <v>Eintrag 308</v>
      </c>
      <c r="B309" s="18">
        <v>100</v>
      </c>
      <c r="C309" s="19">
        <v>100</v>
      </c>
      <c r="D309" s="20">
        <v>10</v>
      </c>
      <c r="E309" s="20">
        <v>10</v>
      </c>
      <c r="F309" s="20">
        <v>10</v>
      </c>
      <c r="G309" s="19">
        <f t="shared" si="23"/>
        <v>172</v>
      </c>
      <c r="H309" s="22">
        <f t="shared" si="24"/>
        <v>308</v>
      </c>
      <c r="I309" s="21">
        <f t="shared" ca="1" si="18"/>
        <v>0</v>
      </c>
      <c r="J309" s="21" t="str">
        <f ca="1">IF(I309=0,"",COUNTIF($I$2:I309,"&gt;0"))</f>
        <v/>
      </c>
      <c r="K309" s="21" t="str">
        <f t="shared" ca="1" si="22"/>
        <v/>
      </c>
    </row>
    <row r="310" spans="1:11" s="18" customFormat="1" ht="14.25" x14ac:dyDescent="0.2">
      <c r="A310" s="18" t="str">
        <f t="shared" si="20"/>
        <v>Eintrag 309</v>
      </c>
      <c r="B310" s="18">
        <v>100</v>
      </c>
      <c r="C310" s="19">
        <v>100</v>
      </c>
      <c r="D310" s="20">
        <v>10</v>
      </c>
      <c r="E310" s="20">
        <v>10</v>
      </c>
      <c r="F310" s="20">
        <v>10</v>
      </c>
      <c r="G310" s="19">
        <f t="shared" si="23"/>
        <v>172</v>
      </c>
      <c r="H310" s="22">
        <f t="shared" si="24"/>
        <v>309</v>
      </c>
      <c r="I310" s="21">
        <f t="shared" ca="1" si="18"/>
        <v>0</v>
      </c>
      <c r="J310" s="21" t="str">
        <f ca="1">IF(I310=0,"",COUNTIF($I$2:I310,"&gt;0"))</f>
        <v/>
      </c>
      <c r="K310" s="21" t="str">
        <f t="shared" ca="1" si="22"/>
        <v/>
      </c>
    </row>
    <row r="311" spans="1:11" s="18" customFormat="1" ht="14.25" x14ac:dyDescent="0.2">
      <c r="A311" s="18" t="str">
        <f t="shared" si="20"/>
        <v>Eintrag 310</v>
      </c>
      <c r="B311" s="18">
        <v>100</v>
      </c>
      <c r="C311" s="19">
        <v>100</v>
      </c>
      <c r="D311" s="20">
        <v>10</v>
      </c>
      <c r="E311" s="20">
        <v>10</v>
      </c>
      <c r="F311" s="20">
        <v>10</v>
      </c>
      <c r="G311" s="19">
        <f t="shared" si="23"/>
        <v>172</v>
      </c>
      <c r="H311" s="22">
        <f t="shared" si="24"/>
        <v>310</v>
      </c>
      <c r="I311" s="21">
        <f t="shared" ca="1" si="18"/>
        <v>0</v>
      </c>
      <c r="J311" s="21" t="str">
        <f ca="1">IF(I311=0,"",COUNTIF($I$2:I311,"&gt;0"))</f>
        <v/>
      </c>
      <c r="K311" s="21" t="str">
        <f t="shared" ca="1" si="22"/>
        <v/>
      </c>
    </row>
    <row r="312" spans="1:11" s="18" customFormat="1" ht="14.25" x14ac:dyDescent="0.2">
      <c r="A312" s="18" t="str">
        <f t="shared" si="20"/>
        <v>Eintrag 311</v>
      </c>
      <c r="B312" s="18">
        <v>100</v>
      </c>
      <c r="C312" s="19">
        <v>100</v>
      </c>
      <c r="D312" s="20">
        <v>10</v>
      </c>
      <c r="E312" s="20">
        <v>10</v>
      </c>
      <c r="F312" s="20">
        <v>10</v>
      </c>
      <c r="G312" s="19">
        <f t="shared" si="23"/>
        <v>172</v>
      </c>
      <c r="H312" s="22">
        <f t="shared" si="24"/>
        <v>311</v>
      </c>
      <c r="I312" s="21">
        <f t="shared" ca="1" si="18"/>
        <v>0</v>
      </c>
      <c r="J312" s="21" t="str">
        <f ca="1">IF(I312=0,"",COUNTIF($I$2:I312,"&gt;0"))</f>
        <v/>
      </c>
      <c r="K312" s="21" t="str">
        <f t="shared" ca="1" si="22"/>
        <v/>
      </c>
    </row>
    <row r="313" spans="1:11" s="18" customFormat="1" ht="14.25" x14ac:dyDescent="0.2">
      <c r="A313" s="18" t="str">
        <f t="shared" si="20"/>
        <v>Eintrag 312</v>
      </c>
      <c r="B313" s="18">
        <v>100</v>
      </c>
      <c r="C313" s="19">
        <v>100</v>
      </c>
      <c r="D313" s="20">
        <v>10</v>
      </c>
      <c r="E313" s="20">
        <v>10</v>
      </c>
      <c r="F313" s="20">
        <v>10</v>
      </c>
      <c r="G313" s="19">
        <f t="shared" si="23"/>
        <v>172</v>
      </c>
      <c r="H313" s="22">
        <f t="shared" si="24"/>
        <v>312</v>
      </c>
      <c r="I313" s="21">
        <f t="shared" ca="1" si="18"/>
        <v>0</v>
      </c>
      <c r="J313" s="21" t="str">
        <f ca="1">IF(I313=0,"",COUNTIF($I$2:I313,"&gt;0"))</f>
        <v/>
      </c>
      <c r="K313" s="21" t="str">
        <f t="shared" ca="1" si="22"/>
        <v/>
      </c>
    </row>
    <row r="314" spans="1:11" s="18" customFormat="1" ht="14.25" x14ac:dyDescent="0.2">
      <c r="A314" s="18" t="str">
        <f t="shared" si="20"/>
        <v>Eintrag 313</v>
      </c>
      <c r="B314" s="18">
        <v>100</v>
      </c>
      <c r="C314" s="19">
        <v>100</v>
      </c>
      <c r="D314" s="20">
        <v>10</v>
      </c>
      <c r="E314" s="20">
        <v>10</v>
      </c>
      <c r="F314" s="20">
        <v>10</v>
      </c>
      <c r="G314" s="19">
        <f t="shared" si="23"/>
        <v>172</v>
      </c>
      <c r="H314" s="22">
        <f t="shared" si="24"/>
        <v>313</v>
      </c>
      <c r="I314" s="21">
        <f t="shared" ca="1" si="18"/>
        <v>0</v>
      </c>
      <c r="J314" s="21" t="str">
        <f ca="1">IF(I314=0,"",COUNTIF($I$2:I314,"&gt;0"))</f>
        <v/>
      </c>
      <c r="K314" s="21" t="str">
        <f t="shared" ca="1" si="22"/>
        <v/>
      </c>
    </row>
    <row r="315" spans="1:11" s="18" customFormat="1" ht="14.25" x14ac:dyDescent="0.2">
      <c r="A315" s="18" t="str">
        <f t="shared" si="20"/>
        <v>Eintrag 314</v>
      </c>
      <c r="B315" s="18">
        <v>100</v>
      </c>
      <c r="C315" s="19">
        <v>100</v>
      </c>
      <c r="D315" s="20">
        <v>10</v>
      </c>
      <c r="E315" s="20">
        <v>10</v>
      </c>
      <c r="F315" s="20">
        <v>10</v>
      </c>
      <c r="G315" s="19">
        <f t="shared" si="23"/>
        <v>172</v>
      </c>
      <c r="H315" s="22">
        <f t="shared" si="24"/>
        <v>314</v>
      </c>
      <c r="I315" s="21">
        <f t="shared" ca="1" si="18"/>
        <v>0</v>
      </c>
      <c r="J315" s="21" t="str">
        <f ca="1">IF(I315=0,"",COUNTIF($I$2:I315,"&gt;0"))</f>
        <v/>
      </c>
      <c r="K315" s="21" t="str">
        <f t="shared" ca="1" si="22"/>
        <v/>
      </c>
    </row>
    <row r="316" spans="1:11" s="18" customFormat="1" ht="14.25" x14ac:dyDescent="0.2">
      <c r="A316" s="18" t="str">
        <f t="shared" si="20"/>
        <v>Eintrag 315</v>
      </c>
      <c r="B316" s="18">
        <v>100</v>
      </c>
      <c r="C316" s="19">
        <v>100</v>
      </c>
      <c r="D316" s="20">
        <v>10</v>
      </c>
      <c r="E316" s="20">
        <v>10</v>
      </c>
      <c r="F316" s="20">
        <v>10</v>
      </c>
      <c r="G316" s="19">
        <f t="shared" si="23"/>
        <v>172</v>
      </c>
      <c r="H316" s="22">
        <f t="shared" si="24"/>
        <v>315</v>
      </c>
      <c r="I316" s="21">
        <f t="shared" ca="1" si="18"/>
        <v>0</v>
      </c>
      <c r="J316" s="21" t="str">
        <f ca="1">IF(I316=0,"",COUNTIF($I$2:I316,"&gt;0"))</f>
        <v/>
      </c>
      <c r="K316" s="21" t="str">
        <f t="shared" ca="1" si="22"/>
        <v/>
      </c>
    </row>
    <row r="317" spans="1:11" s="18" customFormat="1" ht="14.25" x14ac:dyDescent="0.2">
      <c r="A317" s="18" t="str">
        <f t="shared" si="20"/>
        <v>Eintrag 316</v>
      </c>
      <c r="B317" s="18">
        <v>100</v>
      </c>
      <c r="C317" s="19">
        <v>100</v>
      </c>
      <c r="D317" s="20">
        <v>10</v>
      </c>
      <c r="E317" s="20">
        <v>10</v>
      </c>
      <c r="F317" s="20">
        <v>10</v>
      </c>
      <c r="G317" s="19">
        <f t="shared" si="23"/>
        <v>172</v>
      </c>
      <c r="H317" s="22">
        <f t="shared" si="24"/>
        <v>316</v>
      </c>
      <c r="I317" s="21">
        <f t="shared" ca="1" si="18"/>
        <v>0</v>
      </c>
      <c r="J317" s="21" t="str">
        <f ca="1">IF(I317=0,"",COUNTIF($I$2:I317,"&gt;0"))</f>
        <v/>
      </c>
      <c r="K317" s="21" t="str">
        <f t="shared" ca="1" si="22"/>
        <v/>
      </c>
    </row>
    <row r="318" spans="1:11" s="18" customFormat="1" ht="14.25" x14ac:dyDescent="0.2">
      <c r="A318" s="18" t="str">
        <f t="shared" si="20"/>
        <v>Eintrag 317</v>
      </c>
      <c r="B318" s="18">
        <v>100</v>
      </c>
      <c r="C318" s="19">
        <v>100</v>
      </c>
      <c r="D318" s="20">
        <v>10</v>
      </c>
      <c r="E318" s="20">
        <v>10</v>
      </c>
      <c r="F318" s="20">
        <v>10</v>
      </c>
      <c r="G318" s="19">
        <f t="shared" si="23"/>
        <v>172</v>
      </c>
      <c r="H318" s="22">
        <f t="shared" si="24"/>
        <v>317</v>
      </c>
      <c r="I318" s="21">
        <f t="shared" ca="1" si="18"/>
        <v>0</v>
      </c>
      <c r="J318" s="21" t="str">
        <f ca="1">IF(I318=0,"",COUNTIF($I$2:I318,"&gt;0"))</f>
        <v/>
      </c>
      <c r="K318" s="21" t="str">
        <f t="shared" ca="1" si="22"/>
        <v/>
      </c>
    </row>
    <row r="319" spans="1:11" s="18" customFormat="1" ht="14.25" x14ac:dyDescent="0.2">
      <c r="A319" s="18" t="str">
        <f t="shared" si="20"/>
        <v>Eintrag 318</v>
      </c>
      <c r="B319" s="18">
        <v>100</v>
      </c>
      <c r="C319" s="19">
        <v>100</v>
      </c>
      <c r="D319" s="20">
        <v>10</v>
      </c>
      <c r="E319" s="20">
        <v>10</v>
      </c>
      <c r="F319" s="20">
        <v>10</v>
      </c>
      <c r="G319" s="19">
        <f t="shared" si="23"/>
        <v>172</v>
      </c>
      <c r="H319" s="22">
        <f t="shared" si="24"/>
        <v>318</v>
      </c>
      <c r="I319" s="21">
        <f t="shared" ca="1" si="18"/>
        <v>0</v>
      </c>
      <c r="J319" s="21" t="str">
        <f ca="1">IF(I319=0,"",COUNTIF($I$2:I319,"&gt;0"))</f>
        <v/>
      </c>
      <c r="K319" s="21" t="str">
        <f t="shared" ca="1" si="22"/>
        <v/>
      </c>
    </row>
    <row r="320" spans="1:11" s="18" customFormat="1" ht="14.25" x14ac:dyDescent="0.2">
      <c r="A320" s="18" t="str">
        <f t="shared" si="20"/>
        <v>Eintrag 319</v>
      </c>
      <c r="B320" s="18">
        <v>100</v>
      </c>
      <c r="C320" s="19">
        <v>100</v>
      </c>
      <c r="D320" s="20">
        <v>10</v>
      </c>
      <c r="E320" s="20">
        <v>10</v>
      </c>
      <c r="F320" s="20">
        <v>10</v>
      </c>
      <c r="G320" s="19">
        <f t="shared" si="23"/>
        <v>172</v>
      </c>
      <c r="H320" s="22">
        <f t="shared" si="24"/>
        <v>319</v>
      </c>
      <c r="I320" s="21">
        <f t="shared" ca="1" si="18"/>
        <v>0</v>
      </c>
      <c r="J320" s="21" t="str">
        <f ca="1">IF(I320=0,"",COUNTIF($I$2:I320,"&gt;0"))</f>
        <v/>
      </c>
      <c r="K320" s="21" t="str">
        <f t="shared" ca="1" si="22"/>
        <v/>
      </c>
    </row>
    <row r="321" spans="1:11" s="18" customFormat="1" ht="14.25" x14ac:dyDescent="0.2">
      <c r="A321" s="18" t="str">
        <f t="shared" si="20"/>
        <v>Eintrag 320</v>
      </c>
      <c r="B321" s="18">
        <v>100</v>
      </c>
      <c r="C321" s="19">
        <v>100</v>
      </c>
      <c r="D321" s="20">
        <v>10</v>
      </c>
      <c r="E321" s="20">
        <v>10</v>
      </c>
      <c r="F321" s="20">
        <v>10</v>
      </c>
      <c r="G321" s="19">
        <f t="shared" si="23"/>
        <v>172</v>
      </c>
      <c r="H321" s="22">
        <f t="shared" si="24"/>
        <v>320</v>
      </c>
      <c r="I321" s="21">
        <f t="shared" ca="1" si="18"/>
        <v>0</v>
      </c>
      <c r="J321" s="21" t="str">
        <f ca="1">IF(I321=0,"",COUNTIF($I$2:I321,"&gt;0"))</f>
        <v/>
      </c>
      <c r="K321" s="21" t="str">
        <f t="shared" ca="1" si="22"/>
        <v/>
      </c>
    </row>
    <row r="322" spans="1:11" s="18" customFormat="1" ht="14.25" x14ac:dyDescent="0.2">
      <c r="A322" s="18" t="str">
        <f t="shared" si="20"/>
        <v>Eintrag 321</v>
      </c>
      <c r="B322" s="18">
        <v>100</v>
      </c>
      <c r="C322" s="19">
        <v>100</v>
      </c>
      <c r="D322" s="20">
        <v>10</v>
      </c>
      <c r="E322" s="20">
        <v>10</v>
      </c>
      <c r="F322" s="20">
        <v>10</v>
      </c>
      <c r="G322" s="19">
        <f t="shared" si="23"/>
        <v>172</v>
      </c>
      <c r="H322" s="22">
        <f t="shared" si="24"/>
        <v>321</v>
      </c>
      <c r="I322" s="21">
        <f t="shared" ca="1" si="18"/>
        <v>0</v>
      </c>
      <c r="J322" s="21" t="str">
        <f ca="1">IF(I322=0,"",COUNTIF($I$2:I322,"&gt;0"))</f>
        <v/>
      </c>
      <c r="K322" s="21" t="str">
        <f t="shared" ref="K322:K385" ca="1" si="27">IFERROR(INDEX(A:A,MATCH(ROW(I321),J:J,0)),"")</f>
        <v/>
      </c>
    </row>
    <row r="323" spans="1:11" s="18" customFormat="1" ht="14.25" x14ac:dyDescent="0.2">
      <c r="A323" s="18" t="str">
        <f t="shared" si="20"/>
        <v>Eintrag 322</v>
      </c>
      <c r="B323" s="18">
        <v>100</v>
      </c>
      <c r="C323" s="19">
        <v>100</v>
      </c>
      <c r="D323" s="20">
        <v>10</v>
      </c>
      <c r="E323" s="20">
        <v>10</v>
      </c>
      <c r="F323" s="20">
        <v>10</v>
      </c>
      <c r="G323" s="19">
        <f t="shared" ref="G323:G386" si="28">D323*9+E323*4.1+F323*4.1</f>
        <v>172</v>
      </c>
      <c r="H323" s="22">
        <f t="shared" si="24"/>
        <v>322</v>
      </c>
      <c r="I323" s="21">
        <f t="shared" ca="1" si="18"/>
        <v>0</v>
      </c>
      <c r="J323" s="21" t="str">
        <f ca="1">IF(I323=0,"",COUNTIF($I$2:I323,"&gt;0"))</f>
        <v/>
      </c>
      <c r="K323" s="21" t="str">
        <f t="shared" ca="1" si="27"/>
        <v/>
      </c>
    </row>
    <row r="324" spans="1:11" s="18" customFormat="1" ht="14.25" x14ac:dyDescent="0.2">
      <c r="A324" s="18" t="str">
        <f t="shared" si="20"/>
        <v>Eintrag 323</v>
      </c>
      <c r="B324" s="18">
        <v>100</v>
      </c>
      <c r="C324" s="19">
        <v>100</v>
      </c>
      <c r="D324" s="20">
        <v>10</v>
      </c>
      <c r="E324" s="20">
        <v>10</v>
      </c>
      <c r="F324" s="20">
        <v>10</v>
      </c>
      <c r="G324" s="19">
        <f t="shared" si="28"/>
        <v>172</v>
      </c>
      <c r="H324" s="22">
        <f t="shared" si="24"/>
        <v>323</v>
      </c>
      <c r="I324" s="21">
        <f t="shared" ca="1" si="18"/>
        <v>0</v>
      </c>
      <c r="J324" s="21" t="str">
        <f ca="1">IF(I324=0,"",COUNTIF($I$2:I324,"&gt;0"))</f>
        <v/>
      </c>
      <c r="K324" s="21" t="str">
        <f t="shared" ca="1" si="27"/>
        <v/>
      </c>
    </row>
    <row r="325" spans="1:11" s="18" customFormat="1" ht="14.25" x14ac:dyDescent="0.2">
      <c r="A325" s="18" t="str">
        <f t="shared" si="20"/>
        <v>Eintrag 324</v>
      </c>
      <c r="B325" s="18">
        <v>100</v>
      </c>
      <c r="C325" s="19">
        <v>100</v>
      </c>
      <c r="D325" s="20">
        <v>10</v>
      </c>
      <c r="E325" s="20">
        <v>10</v>
      </c>
      <c r="F325" s="20">
        <v>10</v>
      </c>
      <c r="G325" s="19">
        <f t="shared" si="28"/>
        <v>172</v>
      </c>
      <c r="H325" s="22">
        <f t="shared" si="24"/>
        <v>324</v>
      </c>
      <c r="I325" s="21">
        <f t="shared" ca="1" si="18"/>
        <v>0</v>
      </c>
      <c r="J325" s="21" t="str">
        <f ca="1">IF(I325=0,"",COUNTIF($I$2:I325,"&gt;0"))</f>
        <v/>
      </c>
      <c r="K325" s="21" t="str">
        <f t="shared" ca="1" si="27"/>
        <v/>
      </c>
    </row>
    <row r="326" spans="1:11" s="18" customFormat="1" ht="14.25" x14ac:dyDescent="0.2">
      <c r="A326" s="18" t="str">
        <f t="shared" si="20"/>
        <v>Eintrag 325</v>
      </c>
      <c r="B326" s="18">
        <v>100</v>
      </c>
      <c r="C326" s="19">
        <v>100</v>
      </c>
      <c r="D326" s="20">
        <v>10</v>
      </c>
      <c r="E326" s="20">
        <v>10</v>
      </c>
      <c r="F326" s="20">
        <v>10</v>
      </c>
      <c r="G326" s="19">
        <f t="shared" si="28"/>
        <v>172</v>
      </c>
      <c r="H326" s="22">
        <f t="shared" si="24"/>
        <v>325</v>
      </c>
      <c r="I326" s="21">
        <f t="shared" ca="1" si="18"/>
        <v>0</v>
      </c>
      <c r="J326" s="21" t="str">
        <f ca="1">IF(I326=0,"",COUNTIF($I$2:I326,"&gt;0"))</f>
        <v/>
      </c>
      <c r="K326" s="21" t="str">
        <f t="shared" ca="1" si="27"/>
        <v/>
      </c>
    </row>
    <row r="327" spans="1:11" s="18" customFormat="1" ht="14.25" x14ac:dyDescent="0.2">
      <c r="A327" s="18" t="str">
        <f t="shared" si="20"/>
        <v>Eintrag 326</v>
      </c>
      <c r="B327" s="18">
        <v>100</v>
      </c>
      <c r="C327" s="19">
        <v>100</v>
      </c>
      <c r="D327" s="20">
        <v>10</v>
      </c>
      <c r="E327" s="20">
        <v>10</v>
      </c>
      <c r="F327" s="20">
        <v>10</v>
      </c>
      <c r="G327" s="19">
        <f t="shared" si="28"/>
        <v>172</v>
      </c>
      <c r="H327" s="22">
        <f t="shared" si="24"/>
        <v>326</v>
      </c>
      <c r="I327" s="21">
        <f t="shared" ca="1" si="18"/>
        <v>0</v>
      </c>
      <c r="J327" s="21" t="str">
        <f ca="1">IF(I327=0,"",COUNTIF($I$2:I327,"&gt;0"))</f>
        <v/>
      </c>
      <c r="K327" s="21" t="str">
        <f t="shared" ca="1" si="27"/>
        <v/>
      </c>
    </row>
    <row r="328" spans="1:11" s="18" customFormat="1" ht="14.25" x14ac:dyDescent="0.2">
      <c r="A328" s="18" t="str">
        <f t="shared" si="20"/>
        <v>Eintrag 327</v>
      </c>
      <c r="B328" s="18">
        <v>100</v>
      </c>
      <c r="C328" s="19">
        <v>100</v>
      </c>
      <c r="D328" s="20">
        <v>10</v>
      </c>
      <c r="E328" s="20">
        <v>10</v>
      </c>
      <c r="F328" s="20">
        <v>10</v>
      </c>
      <c r="G328" s="19">
        <f t="shared" si="28"/>
        <v>172</v>
      </c>
      <c r="H328" s="22">
        <f t="shared" si="24"/>
        <v>327</v>
      </c>
      <c r="I328" s="21">
        <f t="shared" ca="1" si="18"/>
        <v>0</v>
      </c>
      <c r="J328" s="21" t="str">
        <f ca="1">IF(I328=0,"",COUNTIF($I$2:I328,"&gt;0"))</f>
        <v/>
      </c>
      <c r="K328" s="21" t="str">
        <f t="shared" ca="1" si="27"/>
        <v/>
      </c>
    </row>
    <row r="329" spans="1:11" s="18" customFormat="1" ht="14.25" x14ac:dyDescent="0.2">
      <c r="A329" s="18" t="str">
        <f t="shared" si="20"/>
        <v>Eintrag 328</v>
      </c>
      <c r="B329" s="18">
        <v>100</v>
      </c>
      <c r="C329" s="19">
        <v>100</v>
      </c>
      <c r="D329" s="20">
        <v>10</v>
      </c>
      <c r="E329" s="20">
        <v>10</v>
      </c>
      <c r="F329" s="20">
        <v>10</v>
      </c>
      <c r="G329" s="19">
        <f t="shared" si="28"/>
        <v>172</v>
      </c>
      <c r="H329" s="22">
        <f t="shared" si="24"/>
        <v>328</v>
      </c>
      <c r="I329" s="21">
        <f t="shared" ca="1" si="18"/>
        <v>0</v>
      </c>
      <c r="J329" s="21" t="str">
        <f ca="1">IF(I329=0,"",COUNTIF($I$2:I329,"&gt;0"))</f>
        <v/>
      </c>
      <c r="K329" s="21" t="str">
        <f t="shared" ca="1" si="27"/>
        <v/>
      </c>
    </row>
    <row r="330" spans="1:11" s="18" customFormat="1" ht="14.25" x14ac:dyDescent="0.2">
      <c r="A330" s="18" t="str">
        <f t="shared" si="20"/>
        <v>Eintrag 329</v>
      </c>
      <c r="B330" s="18">
        <v>100</v>
      </c>
      <c r="C330" s="19">
        <v>100</v>
      </c>
      <c r="D330" s="20">
        <v>10</v>
      </c>
      <c r="E330" s="20">
        <v>10</v>
      </c>
      <c r="F330" s="20">
        <v>10</v>
      </c>
      <c r="G330" s="19">
        <f t="shared" si="28"/>
        <v>172</v>
      </c>
      <c r="H330" s="22">
        <f t="shared" si="24"/>
        <v>329</v>
      </c>
      <c r="I330" s="21">
        <f t="shared" ca="1" si="18"/>
        <v>0</v>
      </c>
      <c r="J330" s="21" t="str">
        <f ca="1">IF(I330=0,"",COUNTIF($I$2:I330,"&gt;0"))</f>
        <v/>
      </c>
      <c r="K330" s="21" t="str">
        <f t="shared" ca="1" si="27"/>
        <v/>
      </c>
    </row>
    <row r="331" spans="1:11" s="18" customFormat="1" ht="14.25" x14ac:dyDescent="0.2">
      <c r="A331" s="18" t="str">
        <f t="shared" si="20"/>
        <v>Eintrag 330</v>
      </c>
      <c r="B331" s="18">
        <v>100</v>
      </c>
      <c r="C331" s="19">
        <v>100</v>
      </c>
      <c r="D331" s="20">
        <v>10</v>
      </c>
      <c r="E331" s="20">
        <v>10</v>
      </c>
      <c r="F331" s="20">
        <v>10</v>
      </c>
      <c r="G331" s="19">
        <f t="shared" si="28"/>
        <v>172</v>
      </c>
      <c r="H331" s="22">
        <f t="shared" si="24"/>
        <v>330</v>
      </c>
      <c r="I331" s="21">
        <f t="shared" ca="1" si="18"/>
        <v>0</v>
      </c>
      <c r="J331" s="21" t="str">
        <f ca="1">IF(I331=0,"",COUNTIF($I$2:I331,"&gt;0"))</f>
        <v/>
      </c>
      <c r="K331" s="21" t="str">
        <f t="shared" ca="1" si="27"/>
        <v/>
      </c>
    </row>
    <row r="332" spans="1:11" s="18" customFormat="1" ht="14.25" x14ac:dyDescent="0.2">
      <c r="A332" s="18" t="str">
        <f t="shared" si="20"/>
        <v>Eintrag 331</v>
      </c>
      <c r="B332" s="18">
        <v>100</v>
      </c>
      <c r="C332" s="19">
        <v>100</v>
      </c>
      <c r="D332" s="20">
        <v>10</v>
      </c>
      <c r="E332" s="20">
        <v>10</v>
      </c>
      <c r="F332" s="20">
        <v>10</v>
      </c>
      <c r="G332" s="19">
        <f t="shared" si="28"/>
        <v>172</v>
      </c>
      <c r="H332" s="22">
        <f t="shared" si="24"/>
        <v>331</v>
      </c>
      <c r="I332" s="21">
        <f t="shared" ca="1" si="18"/>
        <v>0</v>
      </c>
      <c r="J332" s="21" t="str">
        <f ca="1">IF(I332=0,"",COUNTIF($I$2:I332,"&gt;0"))</f>
        <v/>
      </c>
      <c r="K332" s="21" t="str">
        <f t="shared" ca="1" si="27"/>
        <v/>
      </c>
    </row>
    <row r="333" spans="1:11" s="18" customFormat="1" ht="14.25" x14ac:dyDescent="0.2">
      <c r="A333" s="18" t="str">
        <f t="shared" si="20"/>
        <v>Eintrag 332</v>
      </c>
      <c r="B333" s="18">
        <v>100</v>
      </c>
      <c r="C333" s="19">
        <v>100</v>
      </c>
      <c r="D333" s="20">
        <v>10</v>
      </c>
      <c r="E333" s="20">
        <v>10</v>
      </c>
      <c r="F333" s="20">
        <v>10</v>
      </c>
      <c r="G333" s="19">
        <f t="shared" si="28"/>
        <v>172</v>
      </c>
      <c r="H333" s="22">
        <f t="shared" si="24"/>
        <v>332</v>
      </c>
      <c r="I333" s="21">
        <f t="shared" ca="1" si="18"/>
        <v>0</v>
      </c>
      <c r="J333" s="21" t="str">
        <f ca="1">IF(I333=0,"",COUNTIF($I$2:I333,"&gt;0"))</f>
        <v/>
      </c>
      <c r="K333" s="21" t="str">
        <f t="shared" ca="1" si="27"/>
        <v/>
      </c>
    </row>
    <row r="334" spans="1:11" s="18" customFormat="1" ht="14.25" x14ac:dyDescent="0.2">
      <c r="A334" s="18" t="str">
        <f t="shared" si="20"/>
        <v>Eintrag 333</v>
      </c>
      <c r="B334" s="18">
        <v>100</v>
      </c>
      <c r="C334" s="19">
        <v>100</v>
      </c>
      <c r="D334" s="20">
        <v>10</v>
      </c>
      <c r="E334" s="20">
        <v>10</v>
      </c>
      <c r="F334" s="20">
        <v>10</v>
      </c>
      <c r="G334" s="19">
        <f t="shared" si="28"/>
        <v>172</v>
      </c>
      <c r="H334" s="22">
        <f t="shared" si="24"/>
        <v>333</v>
      </c>
      <c r="I334" s="21">
        <f t="shared" ca="1" si="18"/>
        <v>0</v>
      </c>
      <c r="J334" s="21" t="str">
        <f ca="1">IF(I334=0,"",COUNTIF($I$2:I334,"&gt;0"))</f>
        <v/>
      </c>
      <c r="K334" s="21" t="str">
        <f t="shared" ca="1" si="27"/>
        <v/>
      </c>
    </row>
    <row r="335" spans="1:11" s="18" customFormat="1" ht="14.25" x14ac:dyDescent="0.2">
      <c r="A335" s="18" t="str">
        <f t="shared" si="20"/>
        <v>Eintrag 334</v>
      </c>
      <c r="B335" s="18">
        <v>100</v>
      </c>
      <c r="C335" s="19">
        <v>100</v>
      </c>
      <c r="D335" s="20">
        <v>10</v>
      </c>
      <c r="E335" s="20">
        <v>10</v>
      </c>
      <c r="F335" s="20">
        <v>10</v>
      </c>
      <c r="G335" s="19">
        <f t="shared" si="28"/>
        <v>172</v>
      </c>
      <c r="H335" s="22">
        <f t="shared" si="24"/>
        <v>334</v>
      </c>
      <c r="I335" s="21">
        <f t="shared" ca="1" si="18"/>
        <v>0</v>
      </c>
      <c r="J335" s="21" t="str">
        <f ca="1">IF(I335=0,"",COUNTIF($I$2:I335,"&gt;0"))</f>
        <v/>
      </c>
      <c r="K335" s="21" t="str">
        <f t="shared" ca="1" si="27"/>
        <v/>
      </c>
    </row>
    <row r="336" spans="1:11" s="18" customFormat="1" ht="14.25" x14ac:dyDescent="0.2">
      <c r="A336" s="18" t="str">
        <f t="shared" si="20"/>
        <v>Eintrag 335</v>
      </c>
      <c r="B336" s="18">
        <v>100</v>
      </c>
      <c r="C336" s="19">
        <v>100</v>
      </c>
      <c r="D336" s="20">
        <v>10</v>
      </c>
      <c r="E336" s="20">
        <v>10</v>
      </c>
      <c r="F336" s="20">
        <v>10</v>
      </c>
      <c r="G336" s="19">
        <f t="shared" si="28"/>
        <v>172</v>
      </c>
      <c r="H336" s="22">
        <f t="shared" si="24"/>
        <v>335</v>
      </c>
      <c r="I336" s="21">
        <f t="shared" ca="1" si="18"/>
        <v>0</v>
      </c>
      <c r="J336" s="21" t="str">
        <f ca="1">IF(I336=0,"",COUNTIF($I$2:I336,"&gt;0"))</f>
        <v/>
      </c>
      <c r="K336" s="21" t="str">
        <f t="shared" ca="1" si="27"/>
        <v/>
      </c>
    </row>
    <row r="337" spans="1:11" s="18" customFormat="1" ht="14.25" x14ac:dyDescent="0.2">
      <c r="A337" s="18" t="str">
        <f t="shared" si="20"/>
        <v>Eintrag 336</v>
      </c>
      <c r="B337" s="18">
        <v>100</v>
      </c>
      <c r="C337" s="19">
        <v>100</v>
      </c>
      <c r="D337" s="20">
        <v>10</v>
      </c>
      <c r="E337" s="20">
        <v>10</v>
      </c>
      <c r="F337" s="20">
        <v>10</v>
      </c>
      <c r="G337" s="19">
        <f t="shared" si="28"/>
        <v>172</v>
      </c>
      <c r="H337" s="22">
        <f t="shared" si="24"/>
        <v>336</v>
      </c>
      <c r="I337" s="21">
        <f t="shared" ca="1" si="18"/>
        <v>0</v>
      </c>
      <c r="J337" s="21" t="str">
        <f ca="1">IF(I337=0,"",COUNTIF($I$2:I337,"&gt;0"))</f>
        <v/>
      </c>
      <c r="K337" s="21" t="str">
        <f t="shared" ca="1" si="27"/>
        <v/>
      </c>
    </row>
    <row r="338" spans="1:11" s="18" customFormat="1" ht="14.25" x14ac:dyDescent="0.2">
      <c r="A338" s="18" t="str">
        <f t="shared" si="20"/>
        <v>Eintrag 337</v>
      </c>
      <c r="B338" s="18">
        <v>100</v>
      </c>
      <c r="C338" s="19">
        <v>100</v>
      </c>
      <c r="D338" s="20">
        <v>10</v>
      </c>
      <c r="E338" s="20">
        <v>10</v>
      </c>
      <c r="F338" s="20">
        <v>10</v>
      </c>
      <c r="G338" s="19">
        <f t="shared" si="28"/>
        <v>172</v>
      </c>
      <c r="H338" s="22">
        <f t="shared" si="24"/>
        <v>337</v>
      </c>
      <c r="I338" s="21">
        <f t="shared" ca="1" si="18"/>
        <v>0</v>
      </c>
      <c r="J338" s="21" t="str">
        <f ca="1">IF(I338=0,"",COUNTIF($I$2:I338,"&gt;0"))</f>
        <v/>
      </c>
      <c r="K338" s="21" t="str">
        <f t="shared" ca="1" si="27"/>
        <v/>
      </c>
    </row>
    <row r="339" spans="1:11" s="18" customFormat="1" ht="14.25" x14ac:dyDescent="0.2">
      <c r="A339" s="18" t="str">
        <f t="shared" si="20"/>
        <v>Eintrag 338</v>
      </c>
      <c r="B339" s="18">
        <v>100</v>
      </c>
      <c r="C339" s="19">
        <v>100</v>
      </c>
      <c r="D339" s="20">
        <v>10</v>
      </c>
      <c r="E339" s="20">
        <v>10</v>
      </c>
      <c r="F339" s="20">
        <v>10</v>
      </c>
      <c r="G339" s="19">
        <f t="shared" si="28"/>
        <v>172</v>
      </c>
      <c r="H339" s="22">
        <f t="shared" si="24"/>
        <v>338</v>
      </c>
      <c r="I339" s="21">
        <f t="shared" ca="1" si="18"/>
        <v>0</v>
      </c>
      <c r="J339" s="21" t="str">
        <f ca="1">IF(I339=0,"",COUNTIF($I$2:I339,"&gt;0"))</f>
        <v/>
      </c>
      <c r="K339" s="21" t="str">
        <f t="shared" ca="1" si="27"/>
        <v/>
      </c>
    </row>
    <row r="340" spans="1:11" s="18" customFormat="1" ht="14.25" x14ac:dyDescent="0.2">
      <c r="A340" s="18" t="str">
        <f t="shared" si="20"/>
        <v>Eintrag 339</v>
      </c>
      <c r="B340" s="18">
        <v>100</v>
      </c>
      <c r="C340" s="19">
        <v>100</v>
      </c>
      <c r="D340" s="20">
        <v>10</v>
      </c>
      <c r="E340" s="20">
        <v>10</v>
      </c>
      <c r="F340" s="20">
        <v>10</v>
      </c>
      <c r="G340" s="19">
        <f t="shared" si="28"/>
        <v>172</v>
      </c>
      <c r="H340" s="22">
        <f t="shared" si="24"/>
        <v>339</v>
      </c>
      <c r="I340" s="21">
        <f t="shared" ca="1" si="18"/>
        <v>0</v>
      </c>
      <c r="J340" s="21" t="str">
        <f ca="1">IF(I340=0,"",COUNTIF($I$2:I340,"&gt;0"))</f>
        <v/>
      </c>
      <c r="K340" s="21" t="str">
        <f t="shared" ca="1" si="27"/>
        <v/>
      </c>
    </row>
    <row r="341" spans="1:11" s="18" customFormat="1" ht="14.25" x14ac:dyDescent="0.2">
      <c r="A341" s="18" t="str">
        <f t="shared" si="20"/>
        <v>Eintrag 340</v>
      </c>
      <c r="B341" s="18">
        <v>100</v>
      </c>
      <c r="C341" s="19">
        <v>100</v>
      </c>
      <c r="D341" s="20">
        <v>10</v>
      </c>
      <c r="E341" s="20">
        <v>10</v>
      </c>
      <c r="F341" s="20">
        <v>10</v>
      </c>
      <c r="G341" s="19">
        <f t="shared" si="28"/>
        <v>172</v>
      </c>
      <c r="H341" s="22">
        <f t="shared" si="24"/>
        <v>340</v>
      </c>
      <c r="I341" s="21">
        <f t="shared" ca="1" si="18"/>
        <v>0</v>
      </c>
      <c r="J341" s="21" t="str">
        <f ca="1">IF(I341=0,"",COUNTIF($I$2:I341,"&gt;0"))</f>
        <v/>
      </c>
      <c r="K341" s="21" t="str">
        <f t="shared" ca="1" si="27"/>
        <v/>
      </c>
    </row>
    <row r="342" spans="1:11" s="18" customFormat="1" ht="14.25" x14ac:dyDescent="0.2">
      <c r="A342" s="18" t="str">
        <f t="shared" si="20"/>
        <v>Eintrag 341</v>
      </c>
      <c r="B342" s="18">
        <v>100</v>
      </c>
      <c r="C342" s="19">
        <v>100</v>
      </c>
      <c r="D342" s="20">
        <v>10</v>
      </c>
      <c r="E342" s="20">
        <v>10</v>
      </c>
      <c r="F342" s="20">
        <v>10</v>
      </c>
      <c r="G342" s="19">
        <f t="shared" si="28"/>
        <v>172</v>
      </c>
      <c r="H342" s="22">
        <f t="shared" si="24"/>
        <v>341</v>
      </c>
      <c r="I342" s="21">
        <f t="shared" ca="1" si="18"/>
        <v>0</v>
      </c>
      <c r="J342" s="21" t="str">
        <f ca="1">IF(I342=0,"",COUNTIF($I$2:I342,"&gt;0"))</f>
        <v/>
      </c>
      <c r="K342" s="21" t="str">
        <f t="shared" ca="1" si="27"/>
        <v/>
      </c>
    </row>
    <row r="343" spans="1:11" s="18" customFormat="1" ht="14.25" x14ac:dyDescent="0.2">
      <c r="A343" s="18" t="str">
        <f t="shared" si="20"/>
        <v>Eintrag 342</v>
      </c>
      <c r="B343" s="18">
        <v>100</v>
      </c>
      <c r="C343" s="19">
        <v>100</v>
      </c>
      <c r="D343" s="20">
        <v>10</v>
      </c>
      <c r="E343" s="20">
        <v>10</v>
      </c>
      <c r="F343" s="20">
        <v>10</v>
      </c>
      <c r="G343" s="19">
        <f t="shared" si="28"/>
        <v>172</v>
      </c>
      <c r="H343" s="22">
        <f t="shared" si="24"/>
        <v>342</v>
      </c>
      <c r="I343" s="21">
        <f t="shared" ca="1" si="18"/>
        <v>0</v>
      </c>
      <c r="J343" s="21" t="str">
        <f ca="1">IF(I343=0,"",COUNTIF($I$2:I343,"&gt;0"))</f>
        <v/>
      </c>
      <c r="K343" s="21" t="str">
        <f t="shared" ca="1" si="27"/>
        <v/>
      </c>
    </row>
    <row r="344" spans="1:11" s="18" customFormat="1" ht="14.25" x14ac:dyDescent="0.2">
      <c r="A344" s="18" t="str">
        <f t="shared" si="20"/>
        <v>Eintrag 343</v>
      </c>
      <c r="B344" s="18">
        <v>100</v>
      </c>
      <c r="C344" s="19">
        <v>100</v>
      </c>
      <c r="D344" s="20">
        <v>10</v>
      </c>
      <c r="E344" s="20">
        <v>10</v>
      </c>
      <c r="F344" s="20">
        <v>10</v>
      </c>
      <c r="G344" s="19">
        <f t="shared" si="28"/>
        <v>172</v>
      </c>
      <c r="H344" s="22">
        <f t="shared" si="24"/>
        <v>343</v>
      </c>
      <c r="I344" s="21">
        <f t="shared" ca="1" si="18"/>
        <v>0</v>
      </c>
      <c r="J344" s="21" t="str">
        <f ca="1">IF(I344=0,"",COUNTIF($I$2:I344,"&gt;0"))</f>
        <v/>
      </c>
      <c r="K344" s="21" t="str">
        <f t="shared" ca="1" si="27"/>
        <v/>
      </c>
    </row>
    <row r="345" spans="1:11" s="18" customFormat="1" ht="14.25" x14ac:dyDescent="0.2">
      <c r="A345" s="18" t="str">
        <f t="shared" si="20"/>
        <v>Eintrag 344</v>
      </c>
      <c r="B345" s="18">
        <v>100</v>
      </c>
      <c r="C345" s="19">
        <v>100</v>
      </c>
      <c r="D345" s="20">
        <v>10</v>
      </c>
      <c r="E345" s="20">
        <v>10</v>
      </c>
      <c r="F345" s="20">
        <v>10</v>
      </c>
      <c r="G345" s="19">
        <f t="shared" si="28"/>
        <v>172</v>
      </c>
      <c r="H345" s="22">
        <f t="shared" si="24"/>
        <v>344</v>
      </c>
      <c r="I345" s="21">
        <f t="shared" ca="1" si="18"/>
        <v>0</v>
      </c>
      <c r="J345" s="21" t="str">
        <f ca="1">IF(I345=0,"",COUNTIF($I$2:I345,"&gt;0"))</f>
        <v/>
      </c>
      <c r="K345" s="21" t="str">
        <f t="shared" ca="1" si="27"/>
        <v/>
      </c>
    </row>
    <row r="346" spans="1:11" s="18" customFormat="1" ht="14.25" x14ac:dyDescent="0.2">
      <c r="A346" s="18" t="str">
        <f t="shared" si="20"/>
        <v>Eintrag 345</v>
      </c>
      <c r="B346" s="18">
        <v>100</v>
      </c>
      <c r="C346" s="19">
        <v>100</v>
      </c>
      <c r="D346" s="20">
        <v>10</v>
      </c>
      <c r="E346" s="20">
        <v>10</v>
      </c>
      <c r="F346" s="20">
        <v>10</v>
      </c>
      <c r="G346" s="19">
        <f t="shared" si="28"/>
        <v>172</v>
      </c>
      <c r="H346" s="22">
        <f t="shared" si="24"/>
        <v>345</v>
      </c>
      <c r="I346" s="21">
        <f t="shared" ca="1" si="18"/>
        <v>0</v>
      </c>
      <c r="J346" s="21" t="str">
        <f ca="1">IF(I346=0,"",COUNTIF($I$2:I346,"&gt;0"))</f>
        <v/>
      </c>
      <c r="K346" s="21" t="str">
        <f t="shared" ca="1" si="27"/>
        <v/>
      </c>
    </row>
    <row r="347" spans="1:11" s="18" customFormat="1" ht="14.25" x14ac:dyDescent="0.2">
      <c r="A347" s="18" t="str">
        <f t="shared" si="20"/>
        <v>Eintrag 346</v>
      </c>
      <c r="B347" s="18">
        <v>100</v>
      </c>
      <c r="C347" s="19">
        <v>100</v>
      </c>
      <c r="D347" s="20">
        <v>10</v>
      </c>
      <c r="E347" s="20">
        <v>10</v>
      </c>
      <c r="F347" s="20">
        <v>10</v>
      </c>
      <c r="G347" s="19">
        <f t="shared" si="28"/>
        <v>172</v>
      </c>
      <c r="H347" s="22">
        <f t="shared" si="24"/>
        <v>346</v>
      </c>
      <c r="I347" s="21">
        <f t="shared" ca="1" si="18"/>
        <v>0</v>
      </c>
      <c r="J347" s="21" t="str">
        <f ca="1">IF(I347=0,"",COUNTIF($I$2:I347,"&gt;0"))</f>
        <v/>
      </c>
      <c r="K347" s="21" t="str">
        <f t="shared" ca="1" si="27"/>
        <v/>
      </c>
    </row>
    <row r="348" spans="1:11" s="18" customFormat="1" ht="14.25" x14ac:dyDescent="0.2">
      <c r="A348" s="18" t="str">
        <f t="shared" si="20"/>
        <v>Eintrag 347</v>
      </c>
      <c r="B348" s="18">
        <v>100</v>
      </c>
      <c r="C348" s="19">
        <v>100</v>
      </c>
      <c r="D348" s="20">
        <v>10</v>
      </c>
      <c r="E348" s="20">
        <v>10</v>
      </c>
      <c r="F348" s="20">
        <v>10</v>
      </c>
      <c r="G348" s="19">
        <f t="shared" si="28"/>
        <v>172</v>
      </c>
      <c r="H348" s="22">
        <f t="shared" si="24"/>
        <v>347</v>
      </c>
      <c r="I348" s="21">
        <f t="shared" ca="1" si="18"/>
        <v>0</v>
      </c>
      <c r="J348" s="21" t="str">
        <f ca="1">IF(I348=0,"",COUNTIF($I$2:I348,"&gt;0"))</f>
        <v/>
      </c>
      <c r="K348" s="21" t="str">
        <f t="shared" ca="1" si="27"/>
        <v/>
      </c>
    </row>
    <row r="349" spans="1:11" s="18" customFormat="1" ht="14.25" x14ac:dyDescent="0.2">
      <c r="A349" s="18" t="str">
        <f t="shared" si="20"/>
        <v>Eintrag 348</v>
      </c>
      <c r="B349" s="18">
        <v>100</v>
      </c>
      <c r="C349" s="19">
        <v>100</v>
      </c>
      <c r="D349" s="20">
        <v>10</v>
      </c>
      <c r="E349" s="20">
        <v>10</v>
      </c>
      <c r="F349" s="20">
        <v>10</v>
      </c>
      <c r="G349" s="19">
        <f t="shared" si="28"/>
        <v>172</v>
      </c>
      <c r="H349" s="22">
        <f t="shared" si="24"/>
        <v>348</v>
      </c>
      <c r="I349" s="21">
        <f t="shared" ca="1" si="18"/>
        <v>0</v>
      </c>
      <c r="J349" s="21" t="str">
        <f ca="1">IF(I349=0,"",COUNTIF($I$2:I349,"&gt;0"))</f>
        <v/>
      </c>
      <c r="K349" s="21" t="str">
        <f t="shared" ca="1" si="27"/>
        <v/>
      </c>
    </row>
    <row r="350" spans="1:11" s="18" customFormat="1" ht="14.25" x14ac:dyDescent="0.2">
      <c r="A350" s="18" t="str">
        <f t="shared" si="20"/>
        <v>Eintrag 349</v>
      </c>
      <c r="B350" s="18">
        <v>100</v>
      </c>
      <c r="C350" s="19">
        <v>100</v>
      </c>
      <c r="D350" s="20">
        <v>10</v>
      </c>
      <c r="E350" s="20">
        <v>10</v>
      </c>
      <c r="F350" s="20">
        <v>10</v>
      </c>
      <c r="G350" s="19">
        <f t="shared" si="28"/>
        <v>172</v>
      </c>
      <c r="H350" s="22">
        <f t="shared" si="24"/>
        <v>349</v>
      </c>
      <c r="I350" s="21">
        <f t="shared" ca="1" si="18"/>
        <v>0</v>
      </c>
      <c r="J350" s="21" t="str">
        <f ca="1">IF(I350=0,"",COUNTIF($I$2:I350,"&gt;0"))</f>
        <v/>
      </c>
      <c r="K350" s="21" t="str">
        <f t="shared" ca="1" si="27"/>
        <v/>
      </c>
    </row>
    <row r="351" spans="1:11" s="18" customFormat="1" ht="14.25" x14ac:dyDescent="0.2">
      <c r="A351" s="18" t="str">
        <f t="shared" si="20"/>
        <v>Eintrag 350</v>
      </c>
      <c r="B351" s="18">
        <v>100</v>
      </c>
      <c r="C351" s="19">
        <v>100</v>
      </c>
      <c r="D351" s="20">
        <v>10</v>
      </c>
      <c r="E351" s="20">
        <v>10</v>
      </c>
      <c r="F351" s="20">
        <v>10</v>
      </c>
      <c r="G351" s="19">
        <f t="shared" si="28"/>
        <v>172</v>
      </c>
      <c r="H351" s="22">
        <f t="shared" si="24"/>
        <v>350</v>
      </c>
      <c r="I351" s="21">
        <f t="shared" ca="1" si="18"/>
        <v>0</v>
      </c>
      <c r="J351" s="21" t="str">
        <f ca="1">IF(I351=0,"",COUNTIF($I$2:I351,"&gt;0"))</f>
        <v/>
      </c>
      <c r="K351" s="21" t="str">
        <f t="shared" ca="1" si="27"/>
        <v/>
      </c>
    </row>
    <row r="352" spans="1:11" s="18" customFormat="1" ht="14.25" x14ac:dyDescent="0.2">
      <c r="A352" s="18" t="str">
        <f t="shared" si="20"/>
        <v>Eintrag 351</v>
      </c>
      <c r="B352" s="18">
        <v>100</v>
      </c>
      <c r="C352" s="19">
        <v>100</v>
      </c>
      <c r="D352" s="20">
        <v>10</v>
      </c>
      <c r="E352" s="20">
        <v>10</v>
      </c>
      <c r="F352" s="20">
        <v>10</v>
      </c>
      <c r="G352" s="19">
        <f t="shared" si="28"/>
        <v>172</v>
      </c>
      <c r="H352" s="22">
        <f t="shared" si="24"/>
        <v>351</v>
      </c>
      <c r="I352" s="21">
        <f t="shared" ca="1" si="18"/>
        <v>0</v>
      </c>
      <c r="J352" s="21" t="str">
        <f ca="1">IF(I352=0,"",COUNTIF($I$2:I352,"&gt;0"))</f>
        <v/>
      </c>
      <c r="K352" s="21" t="str">
        <f t="shared" ca="1" si="27"/>
        <v/>
      </c>
    </row>
    <row r="353" spans="1:11" s="18" customFormat="1" ht="14.25" x14ac:dyDescent="0.2">
      <c r="A353" s="18" t="str">
        <f t="shared" si="20"/>
        <v>Eintrag 352</v>
      </c>
      <c r="B353" s="18">
        <v>100</v>
      </c>
      <c r="C353" s="19">
        <v>100</v>
      </c>
      <c r="D353" s="20">
        <v>10</v>
      </c>
      <c r="E353" s="20">
        <v>10</v>
      </c>
      <c r="F353" s="20">
        <v>10</v>
      </c>
      <c r="G353" s="19">
        <f t="shared" si="28"/>
        <v>172</v>
      </c>
      <c r="H353" s="22">
        <f t="shared" si="24"/>
        <v>352</v>
      </c>
      <c r="I353" s="21">
        <f t="shared" ca="1" si="18"/>
        <v>0</v>
      </c>
      <c r="J353" s="21" t="str">
        <f ca="1">IF(I353=0,"",COUNTIF($I$2:I353,"&gt;0"))</f>
        <v/>
      </c>
      <c r="K353" s="21" t="str">
        <f t="shared" ca="1" si="27"/>
        <v/>
      </c>
    </row>
    <row r="354" spans="1:11" s="18" customFormat="1" ht="14.25" x14ac:dyDescent="0.2">
      <c r="A354" s="18" t="str">
        <f t="shared" si="20"/>
        <v>Eintrag 353</v>
      </c>
      <c r="B354" s="18">
        <v>100</v>
      </c>
      <c r="C354" s="19">
        <v>100</v>
      </c>
      <c r="D354" s="20">
        <v>10</v>
      </c>
      <c r="E354" s="20">
        <v>10</v>
      </c>
      <c r="F354" s="20">
        <v>10</v>
      </c>
      <c r="G354" s="19">
        <f t="shared" si="28"/>
        <v>172</v>
      </c>
      <c r="H354" s="22">
        <f t="shared" si="24"/>
        <v>353</v>
      </c>
      <c r="I354" s="21">
        <f t="shared" ca="1" si="18"/>
        <v>0</v>
      </c>
      <c r="J354" s="21" t="str">
        <f ca="1">IF(I354=0,"",COUNTIF($I$2:I354,"&gt;0"))</f>
        <v/>
      </c>
      <c r="K354" s="21" t="str">
        <f t="shared" ca="1" si="27"/>
        <v/>
      </c>
    </row>
    <row r="355" spans="1:11" s="18" customFormat="1" ht="14.25" x14ac:dyDescent="0.2">
      <c r="A355" s="18" t="str">
        <f t="shared" si="20"/>
        <v>Eintrag 354</v>
      </c>
      <c r="B355" s="18">
        <v>100</v>
      </c>
      <c r="C355" s="19">
        <v>100</v>
      </c>
      <c r="D355" s="20">
        <v>10</v>
      </c>
      <c r="E355" s="20">
        <v>10</v>
      </c>
      <c r="F355" s="20">
        <v>10</v>
      </c>
      <c r="G355" s="19">
        <f t="shared" si="28"/>
        <v>172</v>
      </c>
      <c r="H355" s="22">
        <f t="shared" si="24"/>
        <v>354</v>
      </c>
      <c r="I355" s="21">
        <f t="shared" ca="1" si="18"/>
        <v>0</v>
      </c>
      <c r="J355" s="21" t="str">
        <f ca="1">IF(I355=0,"",COUNTIF($I$2:I355,"&gt;0"))</f>
        <v/>
      </c>
      <c r="K355" s="21" t="str">
        <f t="shared" ca="1" si="27"/>
        <v/>
      </c>
    </row>
    <row r="356" spans="1:11" s="18" customFormat="1" ht="14.25" x14ac:dyDescent="0.2">
      <c r="A356" s="18" t="str">
        <f t="shared" si="20"/>
        <v>Eintrag 355</v>
      </c>
      <c r="B356" s="18">
        <v>100</v>
      </c>
      <c r="C356" s="19">
        <v>100</v>
      </c>
      <c r="D356" s="20">
        <v>10</v>
      </c>
      <c r="E356" s="20">
        <v>10</v>
      </c>
      <c r="F356" s="20">
        <v>10</v>
      </c>
      <c r="G356" s="19">
        <f t="shared" si="28"/>
        <v>172</v>
      </c>
      <c r="H356" s="22">
        <f t="shared" si="24"/>
        <v>355</v>
      </c>
      <c r="I356" s="21">
        <f t="shared" ca="1" si="18"/>
        <v>0</v>
      </c>
      <c r="J356" s="21" t="str">
        <f ca="1">IF(I356=0,"",COUNTIF($I$2:I356,"&gt;0"))</f>
        <v/>
      </c>
      <c r="K356" s="21" t="str">
        <f t="shared" ca="1" si="27"/>
        <v/>
      </c>
    </row>
    <row r="357" spans="1:11" s="18" customFormat="1" ht="14.25" x14ac:dyDescent="0.2">
      <c r="A357" s="18" t="str">
        <f t="shared" si="20"/>
        <v>Eintrag 356</v>
      </c>
      <c r="B357" s="18">
        <v>100</v>
      </c>
      <c r="C357" s="19">
        <v>100</v>
      </c>
      <c r="D357" s="20">
        <v>10</v>
      </c>
      <c r="E357" s="20">
        <v>10</v>
      </c>
      <c r="F357" s="20">
        <v>10</v>
      </c>
      <c r="G357" s="19">
        <f t="shared" si="28"/>
        <v>172</v>
      </c>
      <c r="H357" s="22">
        <f t="shared" ref="H357:H420" si="29">H356+1</f>
        <v>356</v>
      </c>
      <c r="I357" s="21">
        <f t="shared" ca="1" si="18"/>
        <v>0</v>
      </c>
      <c r="J357" s="21" t="str">
        <f ca="1">IF(I357=0,"",COUNTIF($I$2:I357,"&gt;0"))</f>
        <v/>
      </c>
      <c r="K357" s="21" t="str">
        <f t="shared" ca="1" si="27"/>
        <v/>
      </c>
    </row>
    <row r="358" spans="1:11" s="18" customFormat="1" ht="14.25" x14ac:dyDescent="0.2">
      <c r="A358" s="18" t="str">
        <f t="shared" si="20"/>
        <v>Eintrag 357</v>
      </c>
      <c r="B358" s="18">
        <v>100</v>
      </c>
      <c r="C358" s="19">
        <v>100</v>
      </c>
      <c r="D358" s="20">
        <v>10</v>
      </c>
      <c r="E358" s="20">
        <v>10</v>
      </c>
      <c r="F358" s="20">
        <v>10</v>
      </c>
      <c r="G358" s="19">
        <f t="shared" si="28"/>
        <v>172</v>
      </c>
      <c r="H358" s="22">
        <f t="shared" si="29"/>
        <v>357</v>
      </c>
      <c r="I358" s="21">
        <f t="shared" ref="I358:I421" ca="1" si="30">IFERROR(SEARCH(INDIRECT(CELL("address")),A358),0)</f>
        <v>0</v>
      </c>
      <c r="J358" s="21" t="str">
        <f ca="1">IF(I358=0,"",COUNTIF($I$2:I358,"&gt;0"))</f>
        <v/>
      </c>
      <c r="K358" s="21" t="str">
        <f t="shared" ca="1" si="27"/>
        <v/>
      </c>
    </row>
    <row r="359" spans="1:11" s="18" customFormat="1" ht="14.25" x14ac:dyDescent="0.2">
      <c r="A359" s="18" t="str">
        <f t="shared" ref="A359:A422" si="31">CONCATENATE("Eintrag ",H359)</f>
        <v>Eintrag 358</v>
      </c>
      <c r="B359" s="18">
        <v>100</v>
      </c>
      <c r="C359" s="19">
        <v>100</v>
      </c>
      <c r="D359" s="20">
        <v>10</v>
      </c>
      <c r="E359" s="20">
        <v>10</v>
      </c>
      <c r="F359" s="20">
        <v>10</v>
      </c>
      <c r="G359" s="19">
        <f t="shared" si="28"/>
        <v>172</v>
      </c>
      <c r="H359" s="22">
        <f t="shared" si="29"/>
        <v>358</v>
      </c>
      <c r="I359" s="21">
        <f t="shared" ca="1" si="30"/>
        <v>0</v>
      </c>
      <c r="J359" s="21" t="str">
        <f ca="1">IF(I359=0,"",COUNTIF($I$2:I359,"&gt;0"))</f>
        <v/>
      </c>
      <c r="K359" s="21" t="str">
        <f t="shared" ca="1" si="27"/>
        <v/>
      </c>
    </row>
    <row r="360" spans="1:11" s="18" customFormat="1" ht="14.25" x14ac:dyDescent="0.2">
      <c r="A360" s="18" t="str">
        <f t="shared" si="31"/>
        <v>Eintrag 359</v>
      </c>
      <c r="B360" s="18">
        <v>100</v>
      </c>
      <c r="C360" s="19">
        <v>100</v>
      </c>
      <c r="D360" s="20">
        <v>10</v>
      </c>
      <c r="E360" s="20">
        <v>10</v>
      </c>
      <c r="F360" s="20">
        <v>10</v>
      </c>
      <c r="G360" s="19">
        <f t="shared" si="28"/>
        <v>172</v>
      </c>
      <c r="H360" s="22">
        <f t="shared" si="29"/>
        <v>359</v>
      </c>
      <c r="I360" s="21">
        <f t="shared" ca="1" si="30"/>
        <v>0</v>
      </c>
      <c r="J360" s="21" t="str">
        <f ca="1">IF(I360=0,"",COUNTIF($I$2:I360,"&gt;0"))</f>
        <v/>
      </c>
      <c r="K360" s="21" t="str">
        <f t="shared" ca="1" si="27"/>
        <v/>
      </c>
    </row>
    <row r="361" spans="1:11" s="18" customFormat="1" ht="14.25" x14ac:dyDescent="0.2">
      <c r="A361" s="18" t="str">
        <f t="shared" si="31"/>
        <v>Eintrag 360</v>
      </c>
      <c r="B361" s="18">
        <v>100</v>
      </c>
      <c r="C361" s="19">
        <v>100</v>
      </c>
      <c r="D361" s="20">
        <v>10</v>
      </c>
      <c r="E361" s="20">
        <v>10</v>
      </c>
      <c r="F361" s="20">
        <v>10</v>
      </c>
      <c r="G361" s="19">
        <f t="shared" si="28"/>
        <v>172</v>
      </c>
      <c r="H361" s="22">
        <f t="shared" si="29"/>
        <v>360</v>
      </c>
      <c r="I361" s="21">
        <f t="shared" ca="1" si="30"/>
        <v>0</v>
      </c>
      <c r="J361" s="21" t="str">
        <f ca="1">IF(I361=0,"",COUNTIF($I$2:I361,"&gt;0"))</f>
        <v/>
      </c>
      <c r="K361" s="21" t="str">
        <f t="shared" ca="1" si="27"/>
        <v/>
      </c>
    </row>
    <row r="362" spans="1:11" s="18" customFormat="1" ht="14.25" x14ac:dyDescent="0.2">
      <c r="A362" s="18" t="str">
        <f t="shared" si="31"/>
        <v>Eintrag 361</v>
      </c>
      <c r="B362" s="18">
        <v>100</v>
      </c>
      <c r="C362" s="19">
        <v>100</v>
      </c>
      <c r="D362" s="20">
        <v>10</v>
      </c>
      <c r="E362" s="20">
        <v>10</v>
      </c>
      <c r="F362" s="20">
        <v>10</v>
      </c>
      <c r="G362" s="19">
        <f t="shared" si="28"/>
        <v>172</v>
      </c>
      <c r="H362" s="22">
        <f t="shared" si="29"/>
        <v>361</v>
      </c>
      <c r="I362" s="21">
        <f t="shared" ca="1" si="30"/>
        <v>0</v>
      </c>
      <c r="J362" s="21" t="str">
        <f ca="1">IF(I362=0,"",COUNTIF($I$2:I362,"&gt;0"))</f>
        <v/>
      </c>
      <c r="K362" s="21" t="str">
        <f t="shared" ca="1" si="27"/>
        <v/>
      </c>
    </row>
    <row r="363" spans="1:11" s="18" customFormat="1" ht="14.25" x14ac:dyDescent="0.2">
      <c r="A363" s="18" t="str">
        <f t="shared" si="31"/>
        <v>Eintrag 362</v>
      </c>
      <c r="B363" s="18">
        <v>100</v>
      </c>
      <c r="C363" s="19">
        <v>100</v>
      </c>
      <c r="D363" s="20">
        <v>10</v>
      </c>
      <c r="E363" s="20">
        <v>10</v>
      </c>
      <c r="F363" s="20">
        <v>10</v>
      </c>
      <c r="G363" s="19">
        <f t="shared" si="28"/>
        <v>172</v>
      </c>
      <c r="H363" s="22">
        <f t="shared" si="29"/>
        <v>362</v>
      </c>
      <c r="I363" s="21">
        <f t="shared" ca="1" si="30"/>
        <v>0</v>
      </c>
      <c r="J363" s="21" t="str">
        <f ca="1">IF(I363=0,"",COUNTIF($I$2:I363,"&gt;0"))</f>
        <v/>
      </c>
      <c r="K363" s="21" t="str">
        <f t="shared" ca="1" si="27"/>
        <v/>
      </c>
    </row>
    <row r="364" spans="1:11" s="18" customFormat="1" ht="14.25" x14ac:dyDescent="0.2">
      <c r="A364" s="18" t="str">
        <f t="shared" si="31"/>
        <v>Eintrag 363</v>
      </c>
      <c r="B364" s="18">
        <v>100</v>
      </c>
      <c r="C364" s="19">
        <v>100</v>
      </c>
      <c r="D364" s="20">
        <v>10</v>
      </c>
      <c r="E364" s="20">
        <v>10</v>
      </c>
      <c r="F364" s="20">
        <v>10</v>
      </c>
      <c r="G364" s="19">
        <f t="shared" si="28"/>
        <v>172</v>
      </c>
      <c r="H364" s="22">
        <f t="shared" si="29"/>
        <v>363</v>
      </c>
      <c r="I364" s="21">
        <f t="shared" ca="1" si="30"/>
        <v>0</v>
      </c>
      <c r="J364" s="21" t="str">
        <f ca="1">IF(I364=0,"",COUNTIF($I$2:I364,"&gt;0"))</f>
        <v/>
      </c>
      <c r="K364" s="21" t="str">
        <f t="shared" ca="1" si="27"/>
        <v/>
      </c>
    </row>
    <row r="365" spans="1:11" s="18" customFormat="1" ht="14.25" x14ac:dyDescent="0.2">
      <c r="A365" s="18" t="str">
        <f t="shared" si="31"/>
        <v>Eintrag 364</v>
      </c>
      <c r="B365" s="18">
        <v>100</v>
      </c>
      <c r="C365" s="19">
        <v>100</v>
      </c>
      <c r="D365" s="20">
        <v>10</v>
      </c>
      <c r="E365" s="20">
        <v>10</v>
      </c>
      <c r="F365" s="20">
        <v>10</v>
      </c>
      <c r="G365" s="19">
        <f t="shared" si="28"/>
        <v>172</v>
      </c>
      <c r="H365" s="22">
        <f t="shared" si="29"/>
        <v>364</v>
      </c>
      <c r="I365" s="21">
        <f t="shared" ca="1" si="30"/>
        <v>0</v>
      </c>
      <c r="J365" s="21" t="str">
        <f ca="1">IF(I365=0,"",COUNTIF($I$2:I365,"&gt;0"))</f>
        <v/>
      </c>
      <c r="K365" s="21" t="str">
        <f t="shared" ca="1" si="27"/>
        <v/>
      </c>
    </row>
    <row r="366" spans="1:11" s="18" customFormat="1" ht="14.25" x14ac:dyDescent="0.2">
      <c r="A366" s="18" t="str">
        <f t="shared" si="31"/>
        <v>Eintrag 365</v>
      </c>
      <c r="B366" s="18">
        <v>100</v>
      </c>
      <c r="C366" s="19">
        <v>100</v>
      </c>
      <c r="D366" s="20">
        <v>10</v>
      </c>
      <c r="E366" s="20">
        <v>10</v>
      </c>
      <c r="F366" s="20">
        <v>10</v>
      </c>
      <c r="G366" s="19">
        <f t="shared" si="28"/>
        <v>172</v>
      </c>
      <c r="H366" s="22">
        <f t="shared" si="29"/>
        <v>365</v>
      </c>
      <c r="I366" s="21">
        <f t="shared" ca="1" si="30"/>
        <v>0</v>
      </c>
      <c r="J366" s="21" t="str">
        <f ca="1">IF(I366=0,"",COUNTIF($I$2:I366,"&gt;0"))</f>
        <v/>
      </c>
      <c r="K366" s="21" t="str">
        <f t="shared" ca="1" si="27"/>
        <v/>
      </c>
    </row>
    <row r="367" spans="1:11" s="18" customFormat="1" ht="14.25" x14ac:dyDescent="0.2">
      <c r="A367" s="18" t="str">
        <f t="shared" si="31"/>
        <v>Eintrag 366</v>
      </c>
      <c r="B367" s="18">
        <v>100</v>
      </c>
      <c r="C367" s="19">
        <v>100</v>
      </c>
      <c r="D367" s="20">
        <v>10</v>
      </c>
      <c r="E367" s="20">
        <v>10</v>
      </c>
      <c r="F367" s="20">
        <v>10</v>
      </c>
      <c r="G367" s="19">
        <f t="shared" si="28"/>
        <v>172</v>
      </c>
      <c r="H367" s="22">
        <f t="shared" si="29"/>
        <v>366</v>
      </c>
      <c r="I367" s="21">
        <f t="shared" ca="1" si="30"/>
        <v>0</v>
      </c>
      <c r="J367" s="21" t="str">
        <f ca="1">IF(I367=0,"",COUNTIF($I$2:I367,"&gt;0"))</f>
        <v/>
      </c>
      <c r="K367" s="21" t="str">
        <f t="shared" ca="1" si="27"/>
        <v/>
      </c>
    </row>
    <row r="368" spans="1:11" s="18" customFormat="1" ht="14.25" x14ac:dyDescent="0.2">
      <c r="A368" s="18" t="str">
        <f t="shared" si="31"/>
        <v>Eintrag 367</v>
      </c>
      <c r="B368" s="18">
        <v>100</v>
      </c>
      <c r="C368" s="19">
        <v>100</v>
      </c>
      <c r="D368" s="20">
        <v>10</v>
      </c>
      <c r="E368" s="20">
        <v>10</v>
      </c>
      <c r="F368" s="20">
        <v>10</v>
      </c>
      <c r="G368" s="19">
        <f t="shared" si="28"/>
        <v>172</v>
      </c>
      <c r="H368" s="22">
        <f t="shared" si="29"/>
        <v>367</v>
      </c>
      <c r="I368" s="21">
        <f t="shared" ca="1" si="30"/>
        <v>0</v>
      </c>
      <c r="J368" s="21" t="str">
        <f ca="1">IF(I368=0,"",COUNTIF($I$2:I368,"&gt;0"))</f>
        <v/>
      </c>
      <c r="K368" s="21" t="str">
        <f t="shared" ca="1" si="27"/>
        <v/>
      </c>
    </row>
    <row r="369" spans="1:11" s="18" customFormat="1" ht="14.25" x14ac:dyDescent="0.2">
      <c r="A369" s="18" t="str">
        <f t="shared" si="31"/>
        <v>Eintrag 368</v>
      </c>
      <c r="B369" s="18">
        <v>100</v>
      </c>
      <c r="C369" s="19">
        <v>100</v>
      </c>
      <c r="D369" s="20">
        <v>10</v>
      </c>
      <c r="E369" s="20">
        <v>10</v>
      </c>
      <c r="F369" s="20">
        <v>10</v>
      </c>
      <c r="G369" s="19">
        <f t="shared" si="28"/>
        <v>172</v>
      </c>
      <c r="H369" s="22">
        <f t="shared" si="29"/>
        <v>368</v>
      </c>
      <c r="I369" s="21">
        <f t="shared" ca="1" si="30"/>
        <v>0</v>
      </c>
      <c r="J369" s="21" t="str">
        <f ca="1">IF(I369=0,"",COUNTIF($I$2:I369,"&gt;0"))</f>
        <v/>
      </c>
      <c r="K369" s="21" t="str">
        <f t="shared" ca="1" si="27"/>
        <v/>
      </c>
    </row>
    <row r="370" spans="1:11" s="18" customFormat="1" ht="14.25" x14ac:dyDescent="0.2">
      <c r="A370" s="18" t="str">
        <f t="shared" si="31"/>
        <v>Eintrag 369</v>
      </c>
      <c r="B370" s="18">
        <v>100</v>
      </c>
      <c r="C370" s="19">
        <v>100</v>
      </c>
      <c r="D370" s="20">
        <v>10</v>
      </c>
      <c r="E370" s="20">
        <v>10</v>
      </c>
      <c r="F370" s="20">
        <v>10</v>
      </c>
      <c r="G370" s="19">
        <f t="shared" si="28"/>
        <v>172</v>
      </c>
      <c r="H370" s="22">
        <f t="shared" si="29"/>
        <v>369</v>
      </c>
      <c r="I370" s="21">
        <f t="shared" ca="1" si="30"/>
        <v>0</v>
      </c>
      <c r="J370" s="21" t="str">
        <f ca="1">IF(I370=0,"",COUNTIF($I$2:I370,"&gt;0"))</f>
        <v/>
      </c>
      <c r="K370" s="21" t="str">
        <f t="shared" ca="1" si="27"/>
        <v/>
      </c>
    </row>
    <row r="371" spans="1:11" s="18" customFormat="1" ht="14.25" x14ac:dyDescent="0.2">
      <c r="A371" s="18" t="str">
        <f t="shared" si="31"/>
        <v>Eintrag 370</v>
      </c>
      <c r="B371" s="18">
        <v>100</v>
      </c>
      <c r="C371" s="19">
        <v>100</v>
      </c>
      <c r="D371" s="20">
        <v>10</v>
      </c>
      <c r="E371" s="20">
        <v>10</v>
      </c>
      <c r="F371" s="20">
        <v>10</v>
      </c>
      <c r="G371" s="19">
        <f t="shared" si="28"/>
        <v>172</v>
      </c>
      <c r="H371" s="22">
        <f t="shared" si="29"/>
        <v>370</v>
      </c>
      <c r="I371" s="21">
        <f t="shared" ca="1" si="30"/>
        <v>0</v>
      </c>
      <c r="J371" s="21" t="str">
        <f ca="1">IF(I371=0,"",COUNTIF($I$2:I371,"&gt;0"))</f>
        <v/>
      </c>
      <c r="K371" s="21" t="str">
        <f t="shared" ca="1" si="27"/>
        <v/>
      </c>
    </row>
    <row r="372" spans="1:11" s="18" customFormat="1" ht="14.25" x14ac:dyDescent="0.2">
      <c r="A372" s="18" t="str">
        <f t="shared" si="31"/>
        <v>Eintrag 371</v>
      </c>
      <c r="B372" s="18">
        <v>100</v>
      </c>
      <c r="C372" s="19">
        <v>100</v>
      </c>
      <c r="D372" s="20">
        <v>10</v>
      </c>
      <c r="E372" s="20">
        <v>10</v>
      </c>
      <c r="F372" s="20">
        <v>10</v>
      </c>
      <c r="G372" s="19">
        <f t="shared" si="28"/>
        <v>172</v>
      </c>
      <c r="H372" s="22">
        <f t="shared" si="29"/>
        <v>371</v>
      </c>
      <c r="I372" s="21">
        <f t="shared" ca="1" si="30"/>
        <v>0</v>
      </c>
      <c r="J372" s="21" t="str">
        <f ca="1">IF(I372=0,"",COUNTIF($I$2:I372,"&gt;0"))</f>
        <v/>
      </c>
      <c r="K372" s="21" t="str">
        <f t="shared" ca="1" si="27"/>
        <v/>
      </c>
    </row>
    <row r="373" spans="1:11" s="18" customFormat="1" ht="14.25" x14ac:dyDescent="0.2">
      <c r="A373" s="18" t="str">
        <f t="shared" si="31"/>
        <v>Eintrag 372</v>
      </c>
      <c r="B373" s="18">
        <v>100</v>
      </c>
      <c r="C373" s="19">
        <v>100</v>
      </c>
      <c r="D373" s="20">
        <v>10</v>
      </c>
      <c r="E373" s="20">
        <v>10</v>
      </c>
      <c r="F373" s="20">
        <v>10</v>
      </c>
      <c r="G373" s="19">
        <f t="shared" si="28"/>
        <v>172</v>
      </c>
      <c r="H373" s="22">
        <f t="shared" si="29"/>
        <v>372</v>
      </c>
      <c r="I373" s="21">
        <f t="shared" ca="1" si="30"/>
        <v>0</v>
      </c>
      <c r="J373" s="21" t="str">
        <f ca="1">IF(I373=0,"",COUNTIF($I$2:I373,"&gt;0"))</f>
        <v/>
      </c>
      <c r="K373" s="21" t="str">
        <f t="shared" ca="1" si="27"/>
        <v/>
      </c>
    </row>
    <row r="374" spans="1:11" s="18" customFormat="1" ht="14.25" x14ac:dyDescent="0.2">
      <c r="A374" s="18" t="str">
        <f t="shared" si="31"/>
        <v>Eintrag 373</v>
      </c>
      <c r="B374" s="18">
        <v>100</v>
      </c>
      <c r="C374" s="19">
        <v>100</v>
      </c>
      <c r="D374" s="20">
        <v>10</v>
      </c>
      <c r="E374" s="20">
        <v>10</v>
      </c>
      <c r="F374" s="20">
        <v>10</v>
      </c>
      <c r="G374" s="19">
        <f t="shared" si="28"/>
        <v>172</v>
      </c>
      <c r="H374" s="22">
        <f t="shared" si="29"/>
        <v>373</v>
      </c>
      <c r="I374" s="21">
        <f t="shared" ca="1" si="30"/>
        <v>0</v>
      </c>
      <c r="J374" s="21" t="str">
        <f ca="1">IF(I374=0,"",COUNTIF($I$2:I374,"&gt;0"))</f>
        <v/>
      </c>
      <c r="K374" s="21" t="str">
        <f t="shared" ca="1" si="27"/>
        <v/>
      </c>
    </row>
    <row r="375" spans="1:11" s="18" customFormat="1" ht="14.25" x14ac:dyDescent="0.2">
      <c r="A375" s="18" t="str">
        <f t="shared" si="31"/>
        <v>Eintrag 374</v>
      </c>
      <c r="B375" s="18">
        <v>100</v>
      </c>
      <c r="C375" s="19">
        <v>100</v>
      </c>
      <c r="D375" s="20">
        <v>10</v>
      </c>
      <c r="E375" s="20">
        <v>10</v>
      </c>
      <c r="F375" s="20">
        <v>10</v>
      </c>
      <c r="G375" s="19">
        <f t="shared" si="28"/>
        <v>172</v>
      </c>
      <c r="H375" s="22">
        <f t="shared" si="29"/>
        <v>374</v>
      </c>
      <c r="I375" s="21">
        <f t="shared" ca="1" si="30"/>
        <v>0</v>
      </c>
      <c r="J375" s="21" t="str">
        <f ca="1">IF(I375=0,"",COUNTIF($I$2:I375,"&gt;0"))</f>
        <v/>
      </c>
      <c r="K375" s="21" t="str">
        <f t="shared" ca="1" si="27"/>
        <v/>
      </c>
    </row>
    <row r="376" spans="1:11" s="18" customFormat="1" ht="14.25" x14ac:dyDescent="0.2">
      <c r="A376" s="18" t="str">
        <f t="shared" si="31"/>
        <v>Eintrag 375</v>
      </c>
      <c r="B376" s="18">
        <v>100</v>
      </c>
      <c r="C376" s="19">
        <v>100</v>
      </c>
      <c r="D376" s="20">
        <v>10</v>
      </c>
      <c r="E376" s="20">
        <v>10</v>
      </c>
      <c r="F376" s="20">
        <v>10</v>
      </c>
      <c r="G376" s="19">
        <f t="shared" si="28"/>
        <v>172</v>
      </c>
      <c r="H376" s="22">
        <f t="shared" si="29"/>
        <v>375</v>
      </c>
      <c r="I376" s="21">
        <f t="shared" ca="1" si="30"/>
        <v>0</v>
      </c>
      <c r="J376" s="21" t="str">
        <f ca="1">IF(I376=0,"",COUNTIF($I$2:I376,"&gt;0"))</f>
        <v/>
      </c>
      <c r="K376" s="21" t="str">
        <f t="shared" ca="1" si="27"/>
        <v/>
      </c>
    </row>
    <row r="377" spans="1:11" s="18" customFormat="1" ht="14.25" x14ac:dyDescent="0.2">
      <c r="A377" s="18" t="str">
        <f t="shared" si="31"/>
        <v>Eintrag 376</v>
      </c>
      <c r="B377" s="18">
        <v>100</v>
      </c>
      <c r="C377" s="19">
        <v>100</v>
      </c>
      <c r="D377" s="20">
        <v>10</v>
      </c>
      <c r="E377" s="20">
        <v>10</v>
      </c>
      <c r="F377" s="20">
        <v>10</v>
      </c>
      <c r="G377" s="19">
        <f t="shared" si="28"/>
        <v>172</v>
      </c>
      <c r="H377" s="22">
        <f t="shared" si="29"/>
        <v>376</v>
      </c>
      <c r="I377" s="21">
        <f t="shared" ca="1" si="30"/>
        <v>0</v>
      </c>
      <c r="J377" s="21" t="str">
        <f ca="1">IF(I377=0,"",COUNTIF($I$2:I377,"&gt;0"))</f>
        <v/>
      </c>
      <c r="K377" s="21" t="str">
        <f t="shared" ca="1" si="27"/>
        <v/>
      </c>
    </row>
    <row r="378" spans="1:11" s="18" customFormat="1" ht="14.25" x14ac:dyDescent="0.2">
      <c r="A378" s="18" t="str">
        <f t="shared" si="31"/>
        <v>Eintrag 377</v>
      </c>
      <c r="B378" s="18">
        <v>100</v>
      </c>
      <c r="C378" s="19">
        <v>100</v>
      </c>
      <c r="D378" s="20">
        <v>10</v>
      </c>
      <c r="E378" s="20">
        <v>10</v>
      </c>
      <c r="F378" s="20">
        <v>10</v>
      </c>
      <c r="G378" s="19">
        <f t="shared" si="28"/>
        <v>172</v>
      </c>
      <c r="H378" s="22">
        <f t="shared" si="29"/>
        <v>377</v>
      </c>
      <c r="I378" s="21">
        <f t="shared" ca="1" si="30"/>
        <v>0</v>
      </c>
      <c r="J378" s="21" t="str">
        <f ca="1">IF(I378=0,"",COUNTIF($I$2:I378,"&gt;0"))</f>
        <v/>
      </c>
      <c r="K378" s="21" t="str">
        <f t="shared" ca="1" si="27"/>
        <v/>
      </c>
    </row>
    <row r="379" spans="1:11" s="18" customFormat="1" ht="14.25" x14ac:dyDescent="0.2">
      <c r="A379" s="18" t="str">
        <f t="shared" si="31"/>
        <v>Eintrag 378</v>
      </c>
      <c r="B379" s="18">
        <v>100</v>
      </c>
      <c r="C379" s="19">
        <v>100</v>
      </c>
      <c r="D379" s="20">
        <v>10</v>
      </c>
      <c r="E379" s="20">
        <v>10</v>
      </c>
      <c r="F379" s="20">
        <v>10</v>
      </c>
      <c r="G379" s="19">
        <f t="shared" si="28"/>
        <v>172</v>
      </c>
      <c r="H379" s="22">
        <f t="shared" si="29"/>
        <v>378</v>
      </c>
      <c r="I379" s="21">
        <f t="shared" ca="1" si="30"/>
        <v>0</v>
      </c>
      <c r="J379" s="21" t="str">
        <f ca="1">IF(I379=0,"",COUNTIF($I$2:I379,"&gt;0"))</f>
        <v/>
      </c>
      <c r="K379" s="21" t="str">
        <f t="shared" ca="1" si="27"/>
        <v/>
      </c>
    </row>
    <row r="380" spans="1:11" s="18" customFormat="1" ht="14.25" x14ac:dyDescent="0.2">
      <c r="A380" s="18" t="str">
        <f t="shared" si="31"/>
        <v>Eintrag 379</v>
      </c>
      <c r="B380" s="18">
        <v>100</v>
      </c>
      <c r="C380" s="19">
        <v>100</v>
      </c>
      <c r="D380" s="20">
        <v>10</v>
      </c>
      <c r="E380" s="20">
        <v>10</v>
      </c>
      <c r="F380" s="20">
        <v>10</v>
      </c>
      <c r="G380" s="19">
        <f t="shared" si="28"/>
        <v>172</v>
      </c>
      <c r="H380" s="22">
        <f t="shared" si="29"/>
        <v>379</v>
      </c>
      <c r="I380" s="21">
        <f t="shared" ca="1" si="30"/>
        <v>0</v>
      </c>
      <c r="J380" s="21" t="str">
        <f ca="1">IF(I380=0,"",COUNTIF($I$2:I380,"&gt;0"))</f>
        <v/>
      </c>
      <c r="K380" s="21" t="str">
        <f t="shared" ca="1" si="27"/>
        <v/>
      </c>
    </row>
    <row r="381" spans="1:11" s="18" customFormat="1" ht="14.25" x14ac:dyDescent="0.2">
      <c r="A381" s="18" t="str">
        <f t="shared" si="31"/>
        <v>Eintrag 380</v>
      </c>
      <c r="B381" s="18">
        <v>100</v>
      </c>
      <c r="C381" s="19">
        <v>100</v>
      </c>
      <c r="D381" s="20">
        <v>10</v>
      </c>
      <c r="E381" s="20">
        <v>10</v>
      </c>
      <c r="F381" s="20">
        <v>10</v>
      </c>
      <c r="G381" s="19">
        <f t="shared" si="28"/>
        <v>172</v>
      </c>
      <c r="H381" s="22">
        <f t="shared" si="29"/>
        <v>380</v>
      </c>
      <c r="I381" s="21">
        <f t="shared" ca="1" si="30"/>
        <v>0</v>
      </c>
      <c r="J381" s="21" t="str">
        <f ca="1">IF(I381=0,"",COUNTIF($I$2:I381,"&gt;0"))</f>
        <v/>
      </c>
      <c r="K381" s="21" t="str">
        <f t="shared" ca="1" si="27"/>
        <v/>
      </c>
    </row>
    <row r="382" spans="1:11" s="18" customFormat="1" ht="14.25" x14ac:dyDescent="0.2">
      <c r="A382" s="18" t="str">
        <f t="shared" si="31"/>
        <v>Eintrag 381</v>
      </c>
      <c r="B382" s="18">
        <v>100</v>
      </c>
      <c r="C382" s="19">
        <v>100</v>
      </c>
      <c r="D382" s="20">
        <v>10</v>
      </c>
      <c r="E382" s="20">
        <v>10</v>
      </c>
      <c r="F382" s="20">
        <v>10</v>
      </c>
      <c r="G382" s="19">
        <f t="shared" si="28"/>
        <v>172</v>
      </c>
      <c r="H382" s="22">
        <f t="shared" si="29"/>
        <v>381</v>
      </c>
      <c r="I382" s="21">
        <f t="shared" ca="1" si="30"/>
        <v>0</v>
      </c>
      <c r="J382" s="21" t="str">
        <f ca="1">IF(I382=0,"",COUNTIF($I$2:I382,"&gt;0"))</f>
        <v/>
      </c>
      <c r="K382" s="21" t="str">
        <f t="shared" ca="1" si="27"/>
        <v/>
      </c>
    </row>
    <row r="383" spans="1:11" s="18" customFormat="1" ht="14.25" x14ac:dyDescent="0.2">
      <c r="A383" s="18" t="str">
        <f t="shared" si="31"/>
        <v>Eintrag 382</v>
      </c>
      <c r="B383" s="18">
        <v>100</v>
      </c>
      <c r="C383" s="19">
        <v>100</v>
      </c>
      <c r="D383" s="20">
        <v>10</v>
      </c>
      <c r="E383" s="20">
        <v>10</v>
      </c>
      <c r="F383" s="20">
        <v>10</v>
      </c>
      <c r="G383" s="19">
        <f t="shared" si="28"/>
        <v>172</v>
      </c>
      <c r="H383" s="22">
        <f t="shared" si="29"/>
        <v>382</v>
      </c>
      <c r="I383" s="21">
        <f t="shared" ca="1" si="30"/>
        <v>0</v>
      </c>
      <c r="J383" s="21" t="str">
        <f ca="1">IF(I383=0,"",COUNTIF($I$2:I383,"&gt;0"))</f>
        <v/>
      </c>
      <c r="K383" s="21" t="str">
        <f t="shared" ca="1" si="27"/>
        <v/>
      </c>
    </row>
    <row r="384" spans="1:11" s="18" customFormat="1" ht="14.25" x14ac:dyDescent="0.2">
      <c r="A384" s="18" t="str">
        <f t="shared" si="31"/>
        <v>Eintrag 383</v>
      </c>
      <c r="B384" s="18">
        <v>100</v>
      </c>
      <c r="C384" s="19">
        <v>100</v>
      </c>
      <c r="D384" s="20">
        <v>10</v>
      </c>
      <c r="E384" s="20">
        <v>10</v>
      </c>
      <c r="F384" s="20">
        <v>10</v>
      </c>
      <c r="G384" s="19">
        <f t="shared" si="28"/>
        <v>172</v>
      </c>
      <c r="H384" s="22">
        <f t="shared" si="29"/>
        <v>383</v>
      </c>
      <c r="I384" s="21">
        <f t="shared" ca="1" si="30"/>
        <v>0</v>
      </c>
      <c r="J384" s="21" t="str">
        <f ca="1">IF(I384=0,"",COUNTIF($I$2:I384,"&gt;0"))</f>
        <v/>
      </c>
      <c r="K384" s="21" t="str">
        <f t="shared" ca="1" si="27"/>
        <v/>
      </c>
    </row>
    <row r="385" spans="1:11" s="18" customFormat="1" ht="14.25" x14ac:dyDescent="0.2">
      <c r="A385" s="18" t="str">
        <f t="shared" si="31"/>
        <v>Eintrag 384</v>
      </c>
      <c r="B385" s="18">
        <v>100</v>
      </c>
      <c r="C385" s="19">
        <v>100</v>
      </c>
      <c r="D385" s="20">
        <v>10</v>
      </c>
      <c r="E385" s="20">
        <v>10</v>
      </c>
      <c r="F385" s="20">
        <v>10</v>
      </c>
      <c r="G385" s="19">
        <f t="shared" si="28"/>
        <v>172</v>
      </c>
      <c r="H385" s="22">
        <f t="shared" si="29"/>
        <v>384</v>
      </c>
      <c r="I385" s="21">
        <f t="shared" ca="1" si="30"/>
        <v>0</v>
      </c>
      <c r="J385" s="21" t="str">
        <f ca="1">IF(I385=0,"",COUNTIF($I$2:I385,"&gt;0"))</f>
        <v/>
      </c>
      <c r="K385" s="21" t="str">
        <f t="shared" ca="1" si="27"/>
        <v/>
      </c>
    </row>
    <row r="386" spans="1:11" s="18" customFormat="1" ht="14.25" x14ac:dyDescent="0.2">
      <c r="A386" s="18" t="str">
        <f t="shared" si="31"/>
        <v>Eintrag 385</v>
      </c>
      <c r="B386" s="18">
        <v>100</v>
      </c>
      <c r="C386" s="19">
        <v>100</v>
      </c>
      <c r="D386" s="20">
        <v>10</v>
      </c>
      <c r="E386" s="20">
        <v>10</v>
      </c>
      <c r="F386" s="20">
        <v>10</v>
      </c>
      <c r="G386" s="19">
        <f t="shared" si="28"/>
        <v>172</v>
      </c>
      <c r="H386" s="22">
        <f t="shared" si="29"/>
        <v>385</v>
      </c>
      <c r="I386" s="21">
        <f t="shared" ca="1" si="30"/>
        <v>0</v>
      </c>
      <c r="J386" s="21" t="str">
        <f ca="1">IF(I386=0,"",COUNTIF($I$2:I386,"&gt;0"))</f>
        <v/>
      </c>
      <c r="K386" s="21" t="str">
        <f t="shared" ref="K386:K449" ca="1" si="32">IFERROR(INDEX(A:A,MATCH(ROW(I385),J:J,0)),"")</f>
        <v/>
      </c>
    </row>
    <row r="387" spans="1:11" s="18" customFormat="1" ht="14.25" x14ac:dyDescent="0.2">
      <c r="A387" s="18" t="str">
        <f t="shared" si="31"/>
        <v>Eintrag 386</v>
      </c>
      <c r="B387" s="18">
        <v>100</v>
      </c>
      <c r="C387" s="19">
        <v>100</v>
      </c>
      <c r="D387" s="20">
        <v>10</v>
      </c>
      <c r="E387" s="20">
        <v>10</v>
      </c>
      <c r="F387" s="20">
        <v>10</v>
      </c>
      <c r="G387" s="19">
        <f t="shared" ref="G387:G450" si="33">D387*9+E387*4.1+F387*4.1</f>
        <v>172</v>
      </c>
      <c r="H387" s="22">
        <f t="shared" si="29"/>
        <v>386</v>
      </c>
      <c r="I387" s="21">
        <f t="shared" ca="1" si="30"/>
        <v>0</v>
      </c>
      <c r="J387" s="21" t="str">
        <f ca="1">IF(I387=0,"",COUNTIF($I$2:I387,"&gt;0"))</f>
        <v/>
      </c>
      <c r="K387" s="21" t="str">
        <f t="shared" ca="1" si="32"/>
        <v/>
      </c>
    </row>
    <row r="388" spans="1:11" s="18" customFormat="1" ht="14.25" x14ac:dyDescent="0.2">
      <c r="A388" s="18" t="str">
        <f t="shared" si="31"/>
        <v>Eintrag 387</v>
      </c>
      <c r="B388" s="18">
        <v>100</v>
      </c>
      <c r="C388" s="19">
        <v>100</v>
      </c>
      <c r="D388" s="20">
        <v>10</v>
      </c>
      <c r="E388" s="20">
        <v>10</v>
      </c>
      <c r="F388" s="20">
        <v>10</v>
      </c>
      <c r="G388" s="19">
        <f t="shared" si="33"/>
        <v>172</v>
      </c>
      <c r="H388" s="22">
        <f t="shared" si="29"/>
        <v>387</v>
      </c>
      <c r="I388" s="21">
        <f t="shared" ca="1" si="30"/>
        <v>0</v>
      </c>
      <c r="J388" s="21" t="str">
        <f ca="1">IF(I388=0,"",COUNTIF($I$2:I388,"&gt;0"))</f>
        <v/>
      </c>
      <c r="K388" s="21" t="str">
        <f t="shared" ca="1" si="32"/>
        <v/>
      </c>
    </row>
    <row r="389" spans="1:11" s="18" customFormat="1" ht="14.25" x14ac:dyDescent="0.2">
      <c r="A389" s="18" t="str">
        <f t="shared" si="31"/>
        <v>Eintrag 388</v>
      </c>
      <c r="B389" s="18">
        <v>100</v>
      </c>
      <c r="C389" s="19">
        <v>100</v>
      </c>
      <c r="D389" s="20">
        <v>10</v>
      </c>
      <c r="E389" s="20">
        <v>10</v>
      </c>
      <c r="F389" s="20">
        <v>10</v>
      </c>
      <c r="G389" s="19">
        <f t="shared" si="33"/>
        <v>172</v>
      </c>
      <c r="H389" s="22">
        <f t="shared" si="29"/>
        <v>388</v>
      </c>
      <c r="I389" s="21">
        <f t="shared" ca="1" si="30"/>
        <v>0</v>
      </c>
      <c r="J389" s="21" t="str">
        <f ca="1">IF(I389=0,"",COUNTIF($I$2:I389,"&gt;0"))</f>
        <v/>
      </c>
      <c r="K389" s="21" t="str">
        <f t="shared" ca="1" si="32"/>
        <v/>
      </c>
    </row>
    <row r="390" spans="1:11" s="18" customFormat="1" ht="14.25" x14ac:dyDescent="0.2">
      <c r="A390" s="18" t="str">
        <f t="shared" si="31"/>
        <v>Eintrag 389</v>
      </c>
      <c r="B390" s="18">
        <v>100</v>
      </c>
      <c r="C390" s="19">
        <v>100</v>
      </c>
      <c r="D390" s="20">
        <v>10</v>
      </c>
      <c r="E390" s="20">
        <v>10</v>
      </c>
      <c r="F390" s="20">
        <v>10</v>
      </c>
      <c r="G390" s="19">
        <f t="shared" si="33"/>
        <v>172</v>
      </c>
      <c r="H390" s="22">
        <f t="shared" si="29"/>
        <v>389</v>
      </c>
      <c r="I390" s="21">
        <f t="shared" ca="1" si="30"/>
        <v>0</v>
      </c>
      <c r="J390" s="21" t="str">
        <f ca="1">IF(I390=0,"",COUNTIF($I$2:I390,"&gt;0"))</f>
        <v/>
      </c>
      <c r="K390" s="21" t="str">
        <f t="shared" ca="1" si="32"/>
        <v/>
      </c>
    </row>
    <row r="391" spans="1:11" s="18" customFormat="1" ht="14.25" x14ac:dyDescent="0.2">
      <c r="A391" s="18" t="str">
        <f t="shared" si="31"/>
        <v>Eintrag 390</v>
      </c>
      <c r="B391" s="18">
        <v>100</v>
      </c>
      <c r="C391" s="19">
        <v>100</v>
      </c>
      <c r="D391" s="20">
        <v>10</v>
      </c>
      <c r="E391" s="20">
        <v>10</v>
      </c>
      <c r="F391" s="20">
        <v>10</v>
      </c>
      <c r="G391" s="19">
        <f t="shared" si="33"/>
        <v>172</v>
      </c>
      <c r="H391" s="22">
        <f t="shared" si="29"/>
        <v>390</v>
      </c>
      <c r="I391" s="21">
        <f t="shared" ca="1" si="30"/>
        <v>0</v>
      </c>
      <c r="J391" s="21" t="str">
        <f ca="1">IF(I391=0,"",COUNTIF($I$2:I391,"&gt;0"))</f>
        <v/>
      </c>
      <c r="K391" s="21" t="str">
        <f t="shared" ca="1" si="32"/>
        <v/>
      </c>
    </row>
    <row r="392" spans="1:11" s="18" customFormat="1" ht="14.25" x14ac:dyDescent="0.2">
      <c r="A392" s="18" t="str">
        <f t="shared" si="31"/>
        <v>Eintrag 391</v>
      </c>
      <c r="B392" s="18">
        <v>100</v>
      </c>
      <c r="C392" s="19">
        <v>100</v>
      </c>
      <c r="D392" s="20">
        <v>10</v>
      </c>
      <c r="E392" s="20">
        <v>10</v>
      </c>
      <c r="F392" s="20">
        <v>10</v>
      </c>
      <c r="G392" s="19">
        <f t="shared" si="33"/>
        <v>172</v>
      </c>
      <c r="H392" s="22">
        <f t="shared" si="29"/>
        <v>391</v>
      </c>
      <c r="I392" s="21">
        <f t="shared" ca="1" si="30"/>
        <v>0</v>
      </c>
      <c r="J392" s="21" t="str">
        <f ca="1">IF(I392=0,"",COUNTIF($I$2:I392,"&gt;0"))</f>
        <v/>
      </c>
      <c r="K392" s="21" t="str">
        <f t="shared" ca="1" si="32"/>
        <v/>
      </c>
    </row>
    <row r="393" spans="1:11" s="18" customFormat="1" ht="14.25" x14ac:dyDescent="0.2">
      <c r="A393" s="18" t="str">
        <f t="shared" si="31"/>
        <v>Eintrag 392</v>
      </c>
      <c r="B393" s="18">
        <v>100</v>
      </c>
      <c r="C393" s="19">
        <v>100</v>
      </c>
      <c r="D393" s="20">
        <v>10</v>
      </c>
      <c r="E393" s="20">
        <v>10</v>
      </c>
      <c r="F393" s="20">
        <v>10</v>
      </c>
      <c r="G393" s="19">
        <f t="shared" si="33"/>
        <v>172</v>
      </c>
      <c r="H393" s="22">
        <f t="shared" si="29"/>
        <v>392</v>
      </c>
      <c r="I393" s="21">
        <f t="shared" ca="1" si="30"/>
        <v>0</v>
      </c>
      <c r="J393" s="21" t="str">
        <f ca="1">IF(I393=0,"",COUNTIF($I$2:I393,"&gt;0"))</f>
        <v/>
      </c>
      <c r="K393" s="21" t="str">
        <f t="shared" ca="1" si="32"/>
        <v/>
      </c>
    </row>
    <row r="394" spans="1:11" s="18" customFormat="1" ht="14.25" x14ac:dyDescent="0.2">
      <c r="A394" s="18" t="str">
        <f t="shared" si="31"/>
        <v>Eintrag 393</v>
      </c>
      <c r="B394" s="18">
        <v>100</v>
      </c>
      <c r="C394" s="19">
        <v>100</v>
      </c>
      <c r="D394" s="20">
        <v>10</v>
      </c>
      <c r="E394" s="20">
        <v>10</v>
      </c>
      <c r="F394" s="20">
        <v>10</v>
      </c>
      <c r="G394" s="19">
        <f t="shared" si="33"/>
        <v>172</v>
      </c>
      <c r="H394" s="22">
        <f t="shared" si="29"/>
        <v>393</v>
      </c>
      <c r="I394" s="21">
        <f t="shared" ca="1" si="30"/>
        <v>0</v>
      </c>
      <c r="J394" s="21" t="str">
        <f ca="1">IF(I394=0,"",COUNTIF($I$2:I394,"&gt;0"))</f>
        <v/>
      </c>
      <c r="K394" s="21" t="str">
        <f t="shared" ca="1" si="32"/>
        <v/>
      </c>
    </row>
    <row r="395" spans="1:11" s="18" customFormat="1" ht="14.25" x14ac:dyDescent="0.2">
      <c r="A395" s="18" t="str">
        <f t="shared" si="31"/>
        <v>Eintrag 394</v>
      </c>
      <c r="B395" s="18">
        <v>100</v>
      </c>
      <c r="C395" s="19">
        <v>100</v>
      </c>
      <c r="D395" s="20">
        <v>10</v>
      </c>
      <c r="E395" s="20">
        <v>10</v>
      </c>
      <c r="F395" s="20">
        <v>10</v>
      </c>
      <c r="G395" s="19">
        <f t="shared" si="33"/>
        <v>172</v>
      </c>
      <c r="H395" s="22">
        <f t="shared" si="29"/>
        <v>394</v>
      </c>
      <c r="I395" s="21">
        <f t="shared" ca="1" si="30"/>
        <v>0</v>
      </c>
      <c r="J395" s="21" t="str">
        <f ca="1">IF(I395=0,"",COUNTIF($I$2:I395,"&gt;0"))</f>
        <v/>
      </c>
      <c r="K395" s="21" t="str">
        <f t="shared" ca="1" si="32"/>
        <v/>
      </c>
    </row>
    <row r="396" spans="1:11" s="18" customFormat="1" ht="14.25" x14ac:dyDescent="0.2">
      <c r="A396" s="18" t="str">
        <f t="shared" si="31"/>
        <v>Eintrag 395</v>
      </c>
      <c r="B396" s="18">
        <v>100</v>
      </c>
      <c r="C396" s="19">
        <v>100</v>
      </c>
      <c r="D396" s="20">
        <v>10</v>
      </c>
      <c r="E396" s="20">
        <v>10</v>
      </c>
      <c r="F396" s="20">
        <v>10</v>
      </c>
      <c r="G396" s="19">
        <f t="shared" si="33"/>
        <v>172</v>
      </c>
      <c r="H396" s="22">
        <f t="shared" si="29"/>
        <v>395</v>
      </c>
      <c r="I396" s="21">
        <f t="shared" ca="1" si="30"/>
        <v>0</v>
      </c>
      <c r="J396" s="21" t="str">
        <f ca="1">IF(I396=0,"",COUNTIF($I$2:I396,"&gt;0"))</f>
        <v/>
      </c>
      <c r="K396" s="21" t="str">
        <f t="shared" ca="1" si="32"/>
        <v/>
      </c>
    </row>
    <row r="397" spans="1:11" s="18" customFormat="1" ht="14.25" x14ac:dyDescent="0.2">
      <c r="A397" s="18" t="str">
        <f t="shared" si="31"/>
        <v>Eintrag 396</v>
      </c>
      <c r="B397" s="18">
        <v>100</v>
      </c>
      <c r="C397" s="19">
        <v>100</v>
      </c>
      <c r="D397" s="20">
        <v>10</v>
      </c>
      <c r="E397" s="20">
        <v>10</v>
      </c>
      <c r="F397" s="20">
        <v>10</v>
      </c>
      <c r="G397" s="19">
        <f t="shared" si="33"/>
        <v>172</v>
      </c>
      <c r="H397" s="22">
        <f t="shared" si="29"/>
        <v>396</v>
      </c>
      <c r="I397" s="21">
        <f t="shared" ca="1" si="30"/>
        <v>0</v>
      </c>
      <c r="J397" s="21" t="str">
        <f ca="1">IF(I397=0,"",COUNTIF($I$2:I397,"&gt;0"))</f>
        <v/>
      </c>
      <c r="K397" s="21" t="str">
        <f t="shared" ca="1" si="32"/>
        <v/>
      </c>
    </row>
    <row r="398" spans="1:11" s="18" customFormat="1" ht="14.25" x14ac:dyDescent="0.2">
      <c r="A398" s="18" t="str">
        <f t="shared" si="31"/>
        <v>Eintrag 397</v>
      </c>
      <c r="B398" s="18">
        <v>100</v>
      </c>
      <c r="C398" s="19">
        <v>100</v>
      </c>
      <c r="D398" s="20">
        <v>10</v>
      </c>
      <c r="E398" s="20">
        <v>10</v>
      </c>
      <c r="F398" s="20">
        <v>10</v>
      </c>
      <c r="G398" s="19">
        <f t="shared" si="33"/>
        <v>172</v>
      </c>
      <c r="H398" s="22">
        <f t="shared" si="29"/>
        <v>397</v>
      </c>
      <c r="I398" s="21">
        <f t="shared" ca="1" si="30"/>
        <v>0</v>
      </c>
      <c r="J398" s="21" t="str">
        <f ca="1">IF(I398=0,"",COUNTIF($I$2:I398,"&gt;0"))</f>
        <v/>
      </c>
      <c r="K398" s="21" t="str">
        <f t="shared" ca="1" si="32"/>
        <v/>
      </c>
    </row>
    <row r="399" spans="1:11" s="18" customFormat="1" ht="14.25" x14ac:dyDescent="0.2">
      <c r="A399" s="18" t="str">
        <f t="shared" si="31"/>
        <v>Eintrag 398</v>
      </c>
      <c r="B399" s="18">
        <v>100</v>
      </c>
      <c r="C399" s="19">
        <v>100</v>
      </c>
      <c r="D399" s="20">
        <v>10</v>
      </c>
      <c r="E399" s="20">
        <v>10</v>
      </c>
      <c r="F399" s="20">
        <v>10</v>
      </c>
      <c r="G399" s="19">
        <f t="shared" si="33"/>
        <v>172</v>
      </c>
      <c r="H399" s="22">
        <f t="shared" si="29"/>
        <v>398</v>
      </c>
      <c r="I399" s="21">
        <f t="shared" ca="1" si="30"/>
        <v>0</v>
      </c>
      <c r="J399" s="21" t="str">
        <f ca="1">IF(I399=0,"",COUNTIF($I$2:I399,"&gt;0"))</f>
        <v/>
      </c>
      <c r="K399" s="21" t="str">
        <f t="shared" ca="1" si="32"/>
        <v/>
      </c>
    </row>
    <row r="400" spans="1:11" s="18" customFormat="1" ht="14.25" x14ac:dyDescent="0.2">
      <c r="A400" s="18" t="str">
        <f t="shared" si="31"/>
        <v>Eintrag 399</v>
      </c>
      <c r="B400" s="18">
        <v>100</v>
      </c>
      <c r="C400" s="19">
        <v>100</v>
      </c>
      <c r="D400" s="20">
        <v>10</v>
      </c>
      <c r="E400" s="20">
        <v>10</v>
      </c>
      <c r="F400" s="20">
        <v>10</v>
      </c>
      <c r="G400" s="19">
        <f t="shared" si="33"/>
        <v>172</v>
      </c>
      <c r="H400" s="22">
        <f t="shared" si="29"/>
        <v>399</v>
      </c>
      <c r="I400" s="21">
        <f t="shared" ca="1" si="30"/>
        <v>0</v>
      </c>
      <c r="J400" s="21" t="str">
        <f ca="1">IF(I400=0,"",COUNTIF($I$2:I400,"&gt;0"))</f>
        <v/>
      </c>
      <c r="K400" s="21" t="str">
        <f t="shared" ca="1" si="32"/>
        <v/>
      </c>
    </row>
    <row r="401" spans="1:11" s="18" customFormat="1" ht="14.25" x14ac:dyDescent="0.2">
      <c r="A401" s="18" t="str">
        <f t="shared" si="31"/>
        <v>Eintrag 400</v>
      </c>
      <c r="B401" s="18">
        <v>100</v>
      </c>
      <c r="C401" s="19">
        <v>100</v>
      </c>
      <c r="D401" s="20">
        <v>10</v>
      </c>
      <c r="E401" s="20">
        <v>10</v>
      </c>
      <c r="F401" s="20">
        <v>10</v>
      </c>
      <c r="G401" s="19">
        <f t="shared" si="33"/>
        <v>172</v>
      </c>
      <c r="H401" s="22">
        <f t="shared" si="29"/>
        <v>400</v>
      </c>
      <c r="I401" s="21">
        <f t="shared" ca="1" si="30"/>
        <v>0</v>
      </c>
      <c r="J401" s="21" t="str">
        <f ca="1">IF(I401=0,"",COUNTIF($I$2:I401,"&gt;0"))</f>
        <v/>
      </c>
      <c r="K401" s="21" t="str">
        <f t="shared" ca="1" si="32"/>
        <v/>
      </c>
    </row>
    <row r="402" spans="1:11" s="18" customFormat="1" ht="14.25" x14ac:dyDescent="0.2">
      <c r="A402" s="18" t="str">
        <f t="shared" si="31"/>
        <v>Eintrag 401</v>
      </c>
      <c r="B402" s="18">
        <v>100</v>
      </c>
      <c r="C402" s="19">
        <v>100</v>
      </c>
      <c r="D402" s="20">
        <v>10</v>
      </c>
      <c r="E402" s="20">
        <v>10</v>
      </c>
      <c r="F402" s="20">
        <v>10</v>
      </c>
      <c r="G402" s="19">
        <f t="shared" si="33"/>
        <v>172</v>
      </c>
      <c r="H402" s="22">
        <f t="shared" si="29"/>
        <v>401</v>
      </c>
      <c r="I402" s="21">
        <f t="shared" ca="1" si="30"/>
        <v>0</v>
      </c>
      <c r="J402" s="21" t="str">
        <f ca="1">IF(I402=0,"",COUNTIF($I$2:I402,"&gt;0"))</f>
        <v/>
      </c>
      <c r="K402" s="21" t="str">
        <f t="shared" ca="1" si="32"/>
        <v/>
      </c>
    </row>
    <row r="403" spans="1:11" s="18" customFormat="1" ht="14.25" x14ac:dyDescent="0.2">
      <c r="A403" s="18" t="str">
        <f t="shared" si="31"/>
        <v>Eintrag 402</v>
      </c>
      <c r="B403" s="18">
        <v>100</v>
      </c>
      <c r="C403" s="19">
        <v>100</v>
      </c>
      <c r="D403" s="20">
        <v>10</v>
      </c>
      <c r="E403" s="20">
        <v>10</v>
      </c>
      <c r="F403" s="20">
        <v>10</v>
      </c>
      <c r="G403" s="19">
        <f t="shared" si="33"/>
        <v>172</v>
      </c>
      <c r="H403" s="22">
        <f t="shared" si="29"/>
        <v>402</v>
      </c>
      <c r="I403" s="21">
        <f t="shared" ca="1" si="30"/>
        <v>0</v>
      </c>
      <c r="J403" s="21" t="str">
        <f ca="1">IF(I403=0,"",COUNTIF($I$2:I403,"&gt;0"))</f>
        <v/>
      </c>
      <c r="K403" s="21" t="str">
        <f t="shared" ca="1" si="32"/>
        <v/>
      </c>
    </row>
    <row r="404" spans="1:11" s="18" customFormat="1" ht="14.25" x14ac:dyDescent="0.2">
      <c r="A404" s="18" t="str">
        <f t="shared" si="31"/>
        <v>Eintrag 403</v>
      </c>
      <c r="B404" s="18">
        <v>100</v>
      </c>
      <c r="C404" s="19">
        <v>100</v>
      </c>
      <c r="D404" s="20">
        <v>10</v>
      </c>
      <c r="E404" s="20">
        <v>10</v>
      </c>
      <c r="F404" s="20">
        <v>10</v>
      </c>
      <c r="G404" s="19">
        <f t="shared" si="33"/>
        <v>172</v>
      </c>
      <c r="H404" s="22">
        <f t="shared" si="29"/>
        <v>403</v>
      </c>
      <c r="I404" s="21">
        <f t="shared" ca="1" si="30"/>
        <v>0</v>
      </c>
      <c r="J404" s="21" t="str">
        <f ca="1">IF(I404=0,"",COUNTIF($I$2:I404,"&gt;0"))</f>
        <v/>
      </c>
      <c r="K404" s="21" t="str">
        <f t="shared" ca="1" si="32"/>
        <v/>
      </c>
    </row>
    <row r="405" spans="1:11" s="18" customFormat="1" ht="14.25" x14ac:dyDescent="0.2">
      <c r="A405" s="18" t="str">
        <f t="shared" si="31"/>
        <v>Eintrag 404</v>
      </c>
      <c r="B405" s="18">
        <v>100</v>
      </c>
      <c r="C405" s="19">
        <v>100</v>
      </c>
      <c r="D405" s="20">
        <v>10</v>
      </c>
      <c r="E405" s="20">
        <v>10</v>
      </c>
      <c r="F405" s="20">
        <v>10</v>
      </c>
      <c r="G405" s="19">
        <f t="shared" si="33"/>
        <v>172</v>
      </c>
      <c r="H405" s="22">
        <f t="shared" si="29"/>
        <v>404</v>
      </c>
      <c r="I405" s="21">
        <f t="shared" ca="1" si="30"/>
        <v>0</v>
      </c>
      <c r="J405" s="21" t="str">
        <f ca="1">IF(I405=0,"",COUNTIF($I$2:I405,"&gt;0"))</f>
        <v/>
      </c>
      <c r="K405" s="21" t="str">
        <f t="shared" ca="1" si="32"/>
        <v/>
      </c>
    </row>
    <row r="406" spans="1:11" s="18" customFormat="1" ht="14.25" x14ac:dyDescent="0.2">
      <c r="A406" s="18" t="str">
        <f t="shared" si="31"/>
        <v>Eintrag 405</v>
      </c>
      <c r="B406" s="18">
        <v>100</v>
      </c>
      <c r="C406" s="19">
        <v>100</v>
      </c>
      <c r="D406" s="20">
        <v>10</v>
      </c>
      <c r="E406" s="20">
        <v>10</v>
      </c>
      <c r="F406" s="20">
        <v>10</v>
      </c>
      <c r="G406" s="19">
        <f t="shared" si="33"/>
        <v>172</v>
      </c>
      <c r="H406" s="22">
        <f t="shared" si="29"/>
        <v>405</v>
      </c>
      <c r="I406" s="21">
        <f t="shared" ca="1" si="30"/>
        <v>0</v>
      </c>
      <c r="J406" s="21" t="str">
        <f ca="1">IF(I406=0,"",COUNTIF($I$2:I406,"&gt;0"))</f>
        <v/>
      </c>
      <c r="K406" s="21" t="str">
        <f t="shared" ca="1" si="32"/>
        <v/>
      </c>
    </row>
    <row r="407" spans="1:11" s="18" customFormat="1" ht="14.25" x14ac:dyDescent="0.2">
      <c r="A407" s="18" t="str">
        <f t="shared" si="31"/>
        <v>Eintrag 406</v>
      </c>
      <c r="B407" s="18">
        <v>100</v>
      </c>
      <c r="C407" s="19">
        <v>100</v>
      </c>
      <c r="D407" s="20">
        <v>10</v>
      </c>
      <c r="E407" s="20">
        <v>10</v>
      </c>
      <c r="F407" s="20">
        <v>10</v>
      </c>
      <c r="G407" s="19">
        <f t="shared" si="33"/>
        <v>172</v>
      </c>
      <c r="H407" s="22">
        <f t="shared" si="29"/>
        <v>406</v>
      </c>
      <c r="I407" s="21">
        <f t="shared" ca="1" si="30"/>
        <v>0</v>
      </c>
      <c r="J407" s="21" t="str">
        <f ca="1">IF(I407=0,"",COUNTIF($I$2:I407,"&gt;0"))</f>
        <v/>
      </c>
      <c r="K407" s="21" t="str">
        <f t="shared" ca="1" si="32"/>
        <v/>
      </c>
    </row>
    <row r="408" spans="1:11" s="18" customFormat="1" ht="14.25" x14ac:dyDescent="0.2">
      <c r="A408" s="18" t="str">
        <f t="shared" si="31"/>
        <v>Eintrag 407</v>
      </c>
      <c r="B408" s="18">
        <v>100</v>
      </c>
      <c r="C408" s="19">
        <v>100</v>
      </c>
      <c r="D408" s="20">
        <v>10</v>
      </c>
      <c r="E408" s="20">
        <v>10</v>
      </c>
      <c r="F408" s="20">
        <v>10</v>
      </c>
      <c r="G408" s="19">
        <f t="shared" si="33"/>
        <v>172</v>
      </c>
      <c r="H408" s="22">
        <f t="shared" si="29"/>
        <v>407</v>
      </c>
      <c r="I408" s="21">
        <f t="shared" ca="1" si="30"/>
        <v>0</v>
      </c>
      <c r="J408" s="21" t="str">
        <f ca="1">IF(I408=0,"",COUNTIF($I$2:I408,"&gt;0"))</f>
        <v/>
      </c>
      <c r="K408" s="21" t="str">
        <f t="shared" ca="1" si="32"/>
        <v/>
      </c>
    </row>
    <row r="409" spans="1:11" s="18" customFormat="1" ht="14.25" x14ac:dyDescent="0.2">
      <c r="A409" s="18" t="str">
        <f t="shared" si="31"/>
        <v>Eintrag 408</v>
      </c>
      <c r="B409" s="18">
        <v>100</v>
      </c>
      <c r="C409" s="19">
        <v>100</v>
      </c>
      <c r="D409" s="20">
        <v>10</v>
      </c>
      <c r="E409" s="20">
        <v>10</v>
      </c>
      <c r="F409" s="20">
        <v>10</v>
      </c>
      <c r="G409" s="19">
        <f t="shared" si="33"/>
        <v>172</v>
      </c>
      <c r="H409" s="22">
        <f t="shared" si="29"/>
        <v>408</v>
      </c>
      <c r="I409" s="21">
        <f t="shared" ca="1" si="30"/>
        <v>0</v>
      </c>
      <c r="J409" s="21" t="str">
        <f ca="1">IF(I409=0,"",COUNTIF($I$2:I409,"&gt;0"))</f>
        <v/>
      </c>
      <c r="K409" s="21" t="str">
        <f t="shared" ca="1" si="32"/>
        <v/>
      </c>
    </row>
    <row r="410" spans="1:11" s="18" customFormat="1" ht="14.25" x14ac:dyDescent="0.2">
      <c r="A410" s="18" t="str">
        <f t="shared" si="31"/>
        <v>Eintrag 409</v>
      </c>
      <c r="B410" s="18">
        <v>100</v>
      </c>
      <c r="C410" s="19">
        <v>100</v>
      </c>
      <c r="D410" s="20">
        <v>10</v>
      </c>
      <c r="E410" s="20">
        <v>10</v>
      </c>
      <c r="F410" s="20">
        <v>10</v>
      </c>
      <c r="G410" s="19">
        <f t="shared" si="33"/>
        <v>172</v>
      </c>
      <c r="H410" s="22">
        <f t="shared" si="29"/>
        <v>409</v>
      </c>
      <c r="I410" s="21">
        <f t="shared" ca="1" si="30"/>
        <v>0</v>
      </c>
      <c r="J410" s="21" t="str">
        <f ca="1">IF(I410=0,"",COUNTIF($I$2:I410,"&gt;0"))</f>
        <v/>
      </c>
      <c r="K410" s="21" t="str">
        <f t="shared" ca="1" si="32"/>
        <v/>
      </c>
    </row>
    <row r="411" spans="1:11" s="18" customFormat="1" ht="14.25" x14ac:dyDescent="0.2">
      <c r="A411" s="18" t="str">
        <f t="shared" si="31"/>
        <v>Eintrag 410</v>
      </c>
      <c r="B411" s="18">
        <v>100</v>
      </c>
      <c r="C411" s="19">
        <v>100</v>
      </c>
      <c r="D411" s="20">
        <v>10</v>
      </c>
      <c r="E411" s="20">
        <v>10</v>
      </c>
      <c r="F411" s="20">
        <v>10</v>
      </c>
      <c r="G411" s="19">
        <f t="shared" si="33"/>
        <v>172</v>
      </c>
      <c r="H411" s="22">
        <f t="shared" si="29"/>
        <v>410</v>
      </c>
      <c r="I411" s="21">
        <f t="shared" ca="1" si="30"/>
        <v>0</v>
      </c>
      <c r="J411" s="21" t="str">
        <f ca="1">IF(I411=0,"",COUNTIF($I$2:I411,"&gt;0"))</f>
        <v/>
      </c>
      <c r="K411" s="21" t="str">
        <f t="shared" ca="1" si="32"/>
        <v/>
      </c>
    </row>
    <row r="412" spans="1:11" s="18" customFormat="1" ht="14.25" x14ac:dyDescent="0.2">
      <c r="A412" s="18" t="str">
        <f t="shared" si="31"/>
        <v>Eintrag 411</v>
      </c>
      <c r="B412" s="18">
        <v>100</v>
      </c>
      <c r="C412" s="19">
        <v>100</v>
      </c>
      <c r="D412" s="20">
        <v>10</v>
      </c>
      <c r="E412" s="20">
        <v>10</v>
      </c>
      <c r="F412" s="20">
        <v>10</v>
      </c>
      <c r="G412" s="19">
        <f t="shared" si="33"/>
        <v>172</v>
      </c>
      <c r="H412" s="22">
        <f t="shared" si="29"/>
        <v>411</v>
      </c>
      <c r="I412" s="21">
        <f t="shared" ca="1" si="30"/>
        <v>0</v>
      </c>
      <c r="J412" s="21" t="str">
        <f ca="1">IF(I412=0,"",COUNTIF($I$2:I412,"&gt;0"))</f>
        <v/>
      </c>
      <c r="K412" s="21" t="str">
        <f t="shared" ca="1" si="32"/>
        <v/>
      </c>
    </row>
    <row r="413" spans="1:11" s="18" customFormat="1" ht="14.25" x14ac:dyDescent="0.2">
      <c r="A413" s="18" t="str">
        <f t="shared" si="31"/>
        <v>Eintrag 412</v>
      </c>
      <c r="B413" s="18">
        <v>100</v>
      </c>
      <c r="C413" s="19">
        <v>100</v>
      </c>
      <c r="D413" s="20">
        <v>10</v>
      </c>
      <c r="E413" s="20">
        <v>10</v>
      </c>
      <c r="F413" s="20">
        <v>10</v>
      </c>
      <c r="G413" s="19">
        <f t="shared" si="33"/>
        <v>172</v>
      </c>
      <c r="H413" s="22">
        <f t="shared" si="29"/>
        <v>412</v>
      </c>
      <c r="I413" s="21">
        <f t="shared" ca="1" si="30"/>
        <v>0</v>
      </c>
      <c r="J413" s="21" t="str">
        <f ca="1">IF(I413=0,"",COUNTIF($I$2:I413,"&gt;0"))</f>
        <v/>
      </c>
      <c r="K413" s="21" t="str">
        <f t="shared" ca="1" si="32"/>
        <v/>
      </c>
    </row>
    <row r="414" spans="1:11" s="18" customFormat="1" ht="14.25" x14ac:dyDescent="0.2">
      <c r="A414" s="18" t="str">
        <f t="shared" si="31"/>
        <v>Eintrag 413</v>
      </c>
      <c r="B414" s="18">
        <v>100</v>
      </c>
      <c r="C414" s="19">
        <v>100</v>
      </c>
      <c r="D414" s="20">
        <v>10</v>
      </c>
      <c r="E414" s="20">
        <v>10</v>
      </c>
      <c r="F414" s="20">
        <v>10</v>
      </c>
      <c r="G414" s="19">
        <f t="shared" si="33"/>
        <v>172</v>
      </c>
      <c r="H414" s="22">
        <f t="shared" si="29"/>
        <v>413</v>
      </c>
      <c r="I414" s="21">
        <f t="shared" ca="1" si="30"/>
        <v>0</v>
      </c>
      <c r="J414" s="21" t="str">
        <f ca="1">IF(I414=0,"",COUNTIF($I$2:I414,"&gt;0"))</f>
        <v/>
      </c>
      <c r="K414" s="21" t="str">
        <f t="shared" ca="1" si="32"/>
        <v/>
      </c>
    </row>
    <row r="415" spans="1:11" s="18" customFormat="1" ht="14.25" x14ac:dyDescent="0.2">
      <c r="A415" s="18" t="str">
        <f t="shared" si="31"/>
        <v>Eintrag 414</v>
      </c>
      <c r="B415" s="18">
        <v>100</v>
      </c>
      <c r="C415" s="19">
        <v>100</v>
      </c>
      <c r="D415" s="20">
        <v>10</v>
      </c>
      <c r="E415" s="20">
        <v>10</v>
      </c>
      <c r="F415" s="20">
        <v>10</v>
      </c>
      <c r="G415" s="19">
        <f t="shared" si="33"/>
        <v>172</v>
      </c>
      <c r="H415" s="22">
        <f t="shared" si="29"/>
        <v>414</v>
      </c>
      <c r="I415" s="21">
        <f t="shared" ca="1" si="30"/>
        <v>0</v>
      </c>
      <c r="J415" s="21" t="str">
        <f ca="1">IF(I415=0,"",COUNTIF($I$2:I415,"&gt;0"))</f>
        <v/>
      </c>
      <c r="K415" s="21" t="str">
        <f t="shared" ca="1" si="32"/>
        <v/>
      </c>
    </row>
    <row r="416" spans="1:11" s="18" customFormat="1" ht="14.25" x14ac:dyDescent="0.2">
      <c r="A416" s="18" t="str">
        <f t="shared" si="31"/>
        <v>Eintrag 415</v>
      </c>
      <c r="B416" s="18">
        <v>100</v>
      </c>
      <c r="C416" s="19">
        <v>100</v>
      </c>
      <c r="D416" s="20">
        <v>10</v>
      </c>
      <c r="E416" s="20">
        <v>10</v>
      </c>
      <c r="F416" s="20">
        <v>10</v>
      </c>
      <c r="G416" s="19">
        <f t="shared" si="33"/>
        <v>172</v>
      </c>
      <c r="H416" s="22">
        <f t="shared" si="29"/>
        <v>415</v>
      </c>
      <c r="I416" s="21">
        <f t="shared" ca="1" si="30"/>
        <v>0</v>
      </c>
      <c r="J416" s="21" t="str">
        <f ca="1">IF(I416=0,"",COUNTIF($I$2:I416,"&gt;0"))</f>
        <v/>
      </c>
      <c r="K416" s="21" t="str">
        <f t="shared" ca="1" si="32"/>
        <v/>
      </c>
    </row>
    <row r="417" spans="1:11" s="18" customFormat="1" ht="14.25" x14ac:dyDescent="0.2">
      <c r="A417" s="18" t="str">
        <f t="shared" si="31"/>
        <v>Eintrag 416</v>
      </c>
      <c r="B417" s="18">
        <v>100</v>
      </c>
      <c r="C417" s="19">
        <v>100</v>
      </c>
      <c r="D417" s="20">
        <v>10</v>
      </c>
      <c r="E417" s="20">
        <v>10</v>
      </c>
      <c r="F417" s="20">
        <v>10</v>
      </c>
      <c r="G417" s="19">
        <f t="shared" si="33"/>
        <v>172</v>
      </c>
      <c r="H417" s="22">
        <f t="shared" si="29"/>
        <v>416</v>
      </c>
      <c r="I417" s="21">
        <f t="shared" ca="1" si="30"/>
        <v>0</v>
      </c>
      <c r="J417" s="21" t="str">
        <f ca="1">IF(I417=0,"",COUNTIF($I$2:I417,"&gt;0"))</f>
        <v/>
      </c>
      <c r="K417" s="21" t="str">
        <f t="shared" ca="1" si="32"/>
        <v/>
      </c>
    </row>
    <row r="418" spans="1:11" s="18" customFormat="1" ht="14.25" x14ac:dyDescent="0.2">
      <c r="A418" s="18" t="str">
        <f t="shared" si="31"/>
        <v>Eintrag 417</v>
      </c>
      <c r="B418" s="18">
        <v>100</v>
      </c>
      <c r="C418" s="19">
        <v>100</v>
      </c>
      <c r="D418" s="20">
        <v>10</v>
      </c>
      <c r="E418" s="20">
        <v>10</v>
      </c>
      <c r="F418" s="20">
        <v>10</v>
      </c>
      <c r="G418" s="19">
        <f t="shared" si="33"/>
        <v>172</v>
      </c>
      <c r="H418" s="22">
        <f t="shared" si="29"/>
        <v>417</v>
      </c>
      <c r="I418" s="21">
        <f t="shared" ca="1" si="30"/>
        <v>0</v>
      </c>
      <c r="J418" s="21" t="str">
        <f ca="1">IF(I418=0,"",COUNTIF($I$2:I418,"&gt;0"))</f>
        <v/>
      </c>
      <c r="K418" s="21" t="str">
        <f t="shared" ca="1" si="32"/>
        <v/>
      </c>
    </row>
    <row r="419" spans="1:11" s="18" customFormat="1" ht="14.25" x14ac:dyDescent="0.2">
      <c r="A419" s="18" t="str">
        <f t="shared" si="31"/>
        <v>Eintrag 418</v>
      </c>
      <c r="B419" s="18">
        <v>100</v>
      </c>
      <c r="C419" s="19">
        <v>100</v>
      </c>
      <c r="D419" s="20">
        <v>10</v>
      </c>
      <c r="E419" s="20">
        <v>10</v>
      </c>
      <c r="F419" s="20">
        <v>10</v>
      </c>
      <c r="G419" s="19">
        <f t="shared" si="33"/>
        <v>172</v>
      </c>
      <c r="H419" s="22">
        <f t="shared" si="29"/>
        <v>418</v>
      </c>
      <c r="I419" s="21">
        <f t="shared" ca="1" si="30"/>
        <v>0</v>
      </c>
      <c r="J419" s="21" t="str">
        <f ca="1">IF(I419=0,"",COUNTIF($I$2:I419,"&gt;0"))</f>
        <v/>
      </c>
      <c r="K419" s="21" t="str">
        <f t="shared" ca="1" si="32"/>
        <v/>
      </c>
    </row>
    <row r="420" spans="1:11" s="18" customFormat="1" ht="14.25" x14ac:dyDescent="0.2">
      <c r="A420" s="18" t="str">
        <f t="shared" si="31"/>
        <v>Eintrag 419</v>
      </c>
      <c r="B420" s="18">
        <v>100</v>
      </c>
      <c r="C420" s="19">
        <v>100</v>
      </c>
      <c r="D420" s="20">
        <v>10</v>
      </c>
      <c r="E420" s="20">
        <v>10</v>
      </c>
      <c r="F420" s="20">
        <v>10</v>
      </c>
      <c r="G420" s="19">
        <f t="shared" si="33"/>
        <v>172</v>
      </c>
      <c r="H420" s="22">
        <f t="shared" si="29"/>
        <v>419</v>
      </c>
      <c r="I420" s="21">
        <f t="shared" ca="1" si="30"/>
        <v>0</v>
      </c>
      <c r="J420" s="21" t="str">
        <f ca="1">IF(I420=0,"",COUNTIF($I$2:I420,"&gt;0"))</f>
        <v/>
      </c>
      <c r="K420" s="21" t="str">
        <f t="shared" ca="1" si="32"/>
        <v/>
      </c>
    </row>
    <row r="421" spans="1:11" s="18" customFormat="1" ht="14.25" x14ac:dyDescent="0.2">
      <c r="A421" s="18" t="str">
        <f t="shared" si="31"/>
        <v>Eintrag 420</v>
      </c>
      <c r="B421" s="18">
        <v>100</v>
      </c>
      <c r="C421" s="19">
        <v>100</v>
      </c>
      <c r="D421" s="20">
        <v>10</v>
      </c>
      <c r="E421" s="20">
        <v>10</v>
      </c>
      <c r="F421" s="20">
        <v>10</v>
      </c>
      <c r="G421" s="19">
        <f t="shared" si="33"/>
        <v>172</v>
      </c>
      <c r="H421" s="22">
        <f t="shared" ref="H421:H484" si="34">H420+1</f>
        <v>420</v>
      </c>
      <c r="I421" s="21">
        <f t="shared" ca="1" si="30"/>
        <v>0</v>
      </c>
      <c r="J421" s="21" t="str">
        <f ca="1">IF(I421=0,"",COUNTIF($I$2:I421,"&gt;0"))</f>
        <v/>
      </c>
      <c r="K421" s="21" t="str">
        <f t="shared" ca="1" si="32"/>
        <v/>
      </c>
    </row>
    <row r="422" spans="1:11" s="18" customFormat="1" ht="14.25" x14ac:dyDescent="0.2">
      <c r="A422" s="18" t="str">
        <f t="shared" si="31"/>
        <v>Eintrag 421</v>
      </c>
      <c r="B422" s="18">
        <v>100</v>
      </c>
      <c r="C422" s="19">
        <v>100</v>
      </c>
      <c r="D422" s="20">
        <v>10</v>
      </c>
      <c r="E422" s="20">
        <v>10</v>
      </c>
      <c r="F422" s="20">
        <v>10</v>
      </c>
      <c r="G422" s="19">
        <f t="shared" si="33"/>
        <v>172</v>
      </c>
      <c r="H422" s="22">
        <f t="shared" si="34"/>
        <v>421</v>
      </c>
      <c r="I422" s="21">
        <f t="shared" ref="I422:I485" ca="1" si="35">IFERROR(SEARCH(INDIRECT(CELL("address")),A422),0)</f>
        <v>0</v>
      </c>
      <c r="J422" s="21" t="str">
        <f ca="1">IF(I422=0,"",COUNTIF($I$2:I422,"&gt;0"))</f>
        <v/>
      </c>
      <c r="K422" s="21" t="str">
        <f t="shared" ca="1" si="32"/>
        <v/>
      </c>
    </row>
    <row r="423" spans="1:11" s="18" customFormat="1" ht="14.25" x14ac:dyDescent="0.2">
      <c r="A423" s="18" t="str">
        <f t="shared" ref="A423:A486" si="36">CONCATENATE("Eintrag ",H423)</f>
        <v>Eintrag 422</v>
      </c>
      <c r="B423" s="18">
        <v>100</v>
      </c>
      <c r="C423" s="19">
        <v>100</v>
      </c>
      <c r="D423" s="20">
        <v>10</v>
      </c>
      <c r="E423" s="20">
        <v>10</v>
      </c>
      <c r="F423" s="20">
        <v>10</v>
      </c>
      <c r="G423" s="19">
        <f t="shared" si="33"/>
        <v>172</v>
      </c>
      <c r="H423" s="22">
        <f t="shared" si="34"/>
        <v>422</v>
      </c>
      <c r="I423" s="21">
        <f t="shared" ca="1" si="35"/>
        <v>0</v>
      </c>
      <c r="J423" s="21" t="str">
        <f ca="1">IF(I423=0,"",COUNTIF($I$2:I423,"&gt;0"))</f>
        <v/>
      </c>
      <c r="K423" s="21" t="str">
        <f t="shared" ca="1" si="32"/>
        <v/>
      </c>
    </row>
    <row r="424" spans="1:11" s="18" customFormat="1" ht="14.25" x14ac:dyDescent="0.2">
      <c r="A424" s="18" t="str">
        <f t="shared" si="36"/>
        <v>Eintrag 423</v>
      </c>
      <c r="B424" s="18">
        <v>100</v>
      </c>
      <c r="C424" s="19">
        <v>100</v>
      </c>
      <c r="D424" s="20">
        <v>10</v>
      </c>
      <c r="E424" s="20">
        <v>10</v>
      </c>
      <c r="F424" s="20">
        <v>10</v>
      </c>
      <c r="G424" s="19">
        <f t="shared" si="33"/>
        <v>172</v>
      </c>
      <c r="H424" s="22">
        <f t="shared" si="34"/>
        <v>423</v>
      </c>
      <c r="I424" s="21">
        <f t="shared" ca="1" si="35"/>
        <v>0</v>
      </c>
      <c r="J424" s="21" t="str">
        <f ca="1">IF(I424=0,"",COUNTIF($I$2:I424,"&gt;0"))</f>
        <v/>
      </c>
      <c r="K424" s="21" t="str">
        <f t="shared" ca="1" si="32"/>
        <v/>
      </c>
    </row>
    <row r="425" spans="1:11" s="18" customFormat="1" ht="14.25" x14ac:dyDescent="0.2">
      <c r="A425" s="18" t="str">
        <f t="shared" si="36"/>
        <v>Eintrag 424</v>
      </c>
      <c r="B425" s="18">
        <v>100</v>
      </c>
      <c r="C425" s="19">
        <v>100</v>
      </c>
      <c r="D425" s="20">
        <v>10</v>
      </c>
      <c r="E425" s="20">
        <v>10</v>
      </c>
      <c r="F425" s="20">
        <v>10</v>
      </c>
      <c r="G425" s="19">
        <f t="shared" si="33"/>
        <v>172</v>
      </c>
      <c r="H425" s="22">
        <f t="shared" si="34"/>
        <v>424</v>
      </c>
      <c r="I425" s="21">
        <f t="shared" ca="1" si="35"/>
        <v>0</v>
      </c>
      <c r="J425" s="21" t="str">
        <f ca="1">IF(I425=0,"",COUNTIF($I$2:I425,"&gt;0"))</f>
        <v/>
      </c>
      <c r="K425" s="21" t="str">
        <f t="shared" ca="1" si="32"/>
        <v/>
      </c>
    </row>
    <row r="426" spans="1:11" s="18" customFormat="1" ht="14.25" x14ac:dyDescent="0.2">
      <c r="A426" s="18" t="str">
        <f t="shared" si="36"/>
        <v>Eintrag 425</v>
      </c>
      <c r="B426" s="18">
        <v>100</v>
      </c>
      <c r="C426" s="19">
        <v>100</v>
      </c>
      <c r="D426" s="20">
        <v>10</v>
      </c>
      <c r="E426" s="20">
        <v>10</v>
      </c>
      <c r="F426" s="20">
        <v>10</v>
      </c>
      <c r="G426" s="19">
        <f t="shared" si="33"/>
        <v>172</v>
      </c>
      <c r="H426" s="22">
        <f t="shared" si="34"/>
        <v>425</v>
      </c>
      <c r="I426" s="21">
        <f t="shared" ca="1" si="35"/>
        <v>0</v>
      </c>
      <c r="J426" s="21" t="str">
        <f ca="1">IF(I426=0,"",COUNTIF($I$2:I426,"&gt;0"))</f>
        <v/>
      </c>
      <c r="K426" s="21" t="str">
        <f t="shared" ca="1" si="32"/>
        <v/>
      </c>
    </row>
    <row r="427" spans="1:11" s="18" customFormat="1" ht="14.25" x14ac:dyDescent="0.2">
      <c r="A427" s="18" t="str">
        <f t="shared" si="36"/>
        <v>Eintrag 426</v>
      </c>
      <c r="B427" s="18">
        <v>100</v>
      </c>
      <c r="C427" s="19">
        <v>100</v>
      </c>
      <c r="D427" s="20">
        <v>10</v>
      </c>
      <c r="E427" s="20">
        <v>10</v>
      </c>
      <c r="F427" s="20">
        <v>10</v>
      </c>
      <c r="G427" s="19">
        <f t="shared" si="33"/>
        <v>172</v>
      </c>
      <c r="H427" s="22">
        <f t="shared" si="34"/>
        <v>426</v>
      </c>
      <c r="I427" s="21">
        <f t="shared" ca="1" si="35"/>
        <v>0</v>
      </c>
      <c r="J427" s="21" t="str">
        <f ca="1">IF(I427=0,"",COUNTIF($I$2:I427,"&gt;0"))</f>
        <v/>
      </c>
      <c r="K427" s="21" t="str">
        <f t="shared" ca="1" si="32"/>
        <v/>
      </c>
    </row>
    <row r="428" spans="1:11" s="18" customFormat="1" ht="14.25" x14ac:dyDescent="0.2">
      <c r="A428" s="18" t="str">
        <f t="shared" si="36"/>
        <v>Eintrag 427</v>
      </c>
      <c r="B428" s="18">
        <v>100</v>
      </c>
      <c r="C428" s="19">
        <v>100</v>
      </c>
      <c r="D428" s="20">
        <v>10</v>
      </c>
      <c r="E428" s="20">
        <v>10</v>
      </c>
      <c r="F428" s="20">
        <v>10</v>
      </c>
      <c r="G428" s="19">
        <f t="shared" si="33"/>
        <v>172</v>
      </c>
      <c r="H428" s="22">
        <f t="shared" si="34"/>
        <v>427</v>
      </c>
      <c r="I428" s="21">
        <f t="shared" ca="1" si="35"/>
        <v>0</v>
      </c>
      <c r="J428" s="21" t="str">
        <f ca="1">IF(I428=0,"",COUNTIF($I$2:I428,"&gt;0"))</f>
        <v/>
      </c>
      <c r="K428" s="21" t="str">
        <f t="shared" ca="1" si="32"/>
        <v/>
      </c>
    </row>
    <row r="429" spans="1:11" s="18" customFormat="1" ht="14.25" x14ac:dyDescent="0.2">
      <c r="A429" s="18" t="str">
        <f t="shared" si="36"/>
        <v>Eintrag 428</v>
      </c>
      <c r="B429" s="18">
        <v>100</v>
      </c>
      <c r="C429" s="19">
        <v>100</v>
      </c>
      <c r="D429" s="20">
        <v>10</v>
      </c>
      <c r="E429" s="20">
        <v>10</v>
      </c>
      <c r="F429" s="20">
        <v>10</v>
      </c>
      <c r="G429" s="19">
        <f t="shared" si="33"/>
        <v>172</v>
      </c>
      <c r="H429" s="22">
        <f t="shared" si="34"/>
        <v>428</v>
      </c>
      <c r="I429" s="21">
        <f t="shared" ca="1" si="35"/>
        <v>0</v>
      </c>
      <c r="J429" s="21" t="str">
        <f ca="1">IF(I429=0,"",COUNTIF($I$2:I429,"&gt;0"))</f>
        <v/>
      </c>
      <c r="K429" s="21" t="str">
        <f t="shared" ca="1" si="32"/>
        <v/>
      </c>
    </row>
    <row r="430" spans="1:11" s="18" customFormat="1" ht="14.25" x14ac:dyDescent="0.2">
      <c r="A430" s="18" t="str">
        <f t="shared" si="36"/>
        <v>Eintrag 429</v>
      </c>
      <c r="B430" s="18">
        <v>100</v>
      </c>
      <c r="C430" s="19">
        <v>100</v>
      </c>
      <c r="D430" s="20">
        <v>10</v>
      </c>
      <c r="E430" s="20">
        <v>10</v>
      </c>
      <c r="F430" s="20">
        <v>10</v>
      </c>
      <c r="G430" s="19">
        <f t="shared" si="33"/>
        <v>172</v>
      </c>
      <c r="H430" s="22">
        <f t="shared" si="34"/>
        <v>429</v>
      </c>
      <c r="I430" s="21">
        <f t="shared" ca="1" si="35"/>
        <v>0</v>
      </c>
      <c r="J430" s="21" t="str">
        <f ca="1">IF(I430=0,"",COUNTIF($I$2:I430,"&gt;0"))</f>
        <v/>
      </c>
      <c r="K430" s="21" t="str">
        <f t="shared" ca="1" si="32"/>
        <v/>
      </c>
    </row>
    <row r="431" spans="1:11" s="18" customFormat="1" ht="14.25" x14ac:dyDescent="0.2">
      <c r="A431" s="18" t="str">
        <f t="shared" si="36"/>
        <v>Eintrag 430</v>
      </c>
      <c r="B431" s="18">
        <v>100</v>
      </c>
      <c r="C431" s="19">
        <v>100</v>
      </c>
      <c r="D431" s="20">
        <v>10</v>
      </c>
      <c r="E431" s="20">
        <v>10</v>
      </c>
      <c r="F431" s="20">
        <v>10</v>
      </c>
      <c r="G431" s="19">
        <f t="shared" si="33"/>
        <v>172</v>
      </c>
      <c r="H431" s="22">
        <f t="shared" si="34"/>
        <v>430</v>
      </c>
      <c r="I431" s="21">
        <f t="shared" ca="1" si="35"/>
        <v>0</v>
      </c>
      <c r="J431" s="21" t="str">
        <f ca="1">IF(I431=0,"",COUNTIF($I$2:I431,"&gt;0"))</f>
        <v/>
      </c>
      <c r="K431" s="21" t="str">
        <f t="shared" ca="1" si="32"/>
        <v/>
      </c>
    </row>
    <row r="432" spans="1:11" s="18" customFormat="1" ht="14.25" x14ac:dyDescent="0.2">
      <c r="A432" s="18" t="str">
        <f t="shared" si="36"/>
        <v>Eintrag 431</v>
      </c>
      <c r="B432" s="18">
        <v>100</v>
      </c>
      <c r="C432" s="19">
        <v>100</v>
      </c>
      <c r="D432" s="20">
        <v>10</v>
      </c>
      <c r="E432" s="20">
        <v>10</v>
      </c>
      <c r="F432" s="20">
        <v>10</v>
      </c>
      <c r="G432" s="19">
        <f t="shared" si="33"/>
        <v>172</v>
      </c>
      <c r="H432" s="22">
        <f t="shared" si="34"/>
        <v>431</v>
      </c>
      <c r="I432" s="21">
        <f t="shared" ca="1" si="35"/>
        <v>0</v>
      </c>
      <c r="J432" s="21" t="str">
        <f ca="1">IF(I432=0,"",COUNTIF($I$2:I432,"&gt;0"))</f>
        <v/>
      </c>
      <c r="K432" s="21" t="str">
        <f t="shared" ca="1" si="32"/>
        <v/>
      </c>
    </row>
    <row r="433" spans="1:11" s="18" customFormat="1" ht="14.25" x14ac:dyDescent="0.2">
      <c r="A433" s="18" t="str">
        <f t="shared" si="36"/>
        <v>Eintrag 432</v>
      </c>
      <c r="B433" s="18">
        <v>100</v>
      </c>
      <c r="C433" s="19">
        <v>100</v>
      </c>
      <c r="D433" s="20">
        <v>10</v>
      </c>
      <c r="E433" s="20">
        <v>10</v>
      </c>
      <c r="F433" s="20">
        <v>10</v>
      </c>
      <c r="G433" s="19">
        <f t="shared" si="33"/>
        <v>172</v>
      </c>
      <c r="H433" s="22">
        <f t="shared" si="34"/>
        <v>432</v>
      </c>
      <c r="I433" s="21">
        <f t="shared" ca="1" si="35"/>
        <v>0</v>
      </c>
      <c r="J433" s="21" t="str">
        <f ca="1">IF(I433=0,"",COUNTIF($I$2:I433,"&gt;0"))</f>
        <v/>
      </c>
      <c r="K433" s="21" t="str">
        <f t="shared" ca="1" si="32"/>
        <v/>
      </c>
    </row>
    <row r="434" spans="1:11" s="18" customFormat="1" ht="14.25" x14ac:dyDescent="0.2">
      <c r="A434" s="18" t="str">
        <f t="shared" si="36"/>
        <v>Eintrag 433</v>
      </c>
      <c r="B434" s="18">
        <v>100</v>
      </c>
      <c r="C434" s="19">
        <v>100</v>
      </c>
      <c r="D434" s="20">
        <v>10</v>
      </c>
      <c r="E434" s="20">
        <v>10</v>
      </c>
      <c r="F434" s="20">
        <v>10</v>
      </c>
      <c r="G434" s="19">
        <f t="shared" si="33"/>
        <v>172</v>
      </c>
      <c r="H434" s="22">
        <f t="shared" si="34"/>
        <v>433</v>
      </c>
      <c r="I434" s="21">
        <f t="shared" ca="1" si="35"/>
        <v>0</v>
      </c>
      <c r="J434" s="21" t="str">
        <f ca="1">IF(I434=0,"",COUNTIF($I$2:I434,"&gt;0"))</f>
        <v/>
      </c>
      <c r="K434" s="21" t="str">
        <f t="shared" ca="1" si="32"/>
        <v/>
      </c>
    </row>
    <row r="435" spans="1:11" s="18" customFormat="1" ht="14.25" x14ac:dyDescent="0.2">
      <c r="A435" s="18" t="str">
        <f t="shared" si="36"/>
        <v>Eintrag 434</v>
      </c>
      <c r="B435" s="18">
        <v>100</v>
      </c>
      <c r="C435" s="19">
        <v>100</v>
      </c>
      <c r="D435" s="20">
        <v>10</v>
      </c>
      <c r="E435" s="20">
        <v>10</v>
      </c>
      <c r="F435" s="20">
        <v>10</v>
      </c>
      <c r="G435" s="19">
        <f t="shared" si="33"/>
        <v>172</v>
      </c>
      <c r="H435" s="22">
        <f t="shared" si="34"/>
        <v>434</v>
      </c>
      <c r="I435" s="21">
        <f t="shared" ca="1" si="35"/>
        <v>0</v>
      </c>
      <c r="J435" s="21" t="str">
        <f ca="1">IF(I435=0,"",COUNTIF($I$2:I435,"&gt;0"))</f>
        <v/>
      </c>
      <c r="K435" s="21" t="str">
        <f t="shared" ca="1" si="32"/>
        <v/>
      </c>
    </row>
    <row r="436" spans="1:11" s="18" customFormat="1" ht="14.25" x14ac:dyDescent="0.2">
      <c r="A436" s="18" t="str">
        <f t="shared" si="36"/>
        <v>Eintrag 435</v>
      </c>
      <c r="B436" s="18">
        <v>100</v>
      </c>
      <c r="C436" s="19">
        <v>100</v>
      </c>
      <c r="D436" s="20">
        <v>10</v>
      </c>
      <c r="E436" s="20">
        <v>10</v>
      </c>
      <c r="F436" s="20">
        <v>10</v>
      </c>
      <c r="G436" s="19">
        <f t="shared" si="33"/>
        <v>172</v>
      </c>
      <c r="H436" s="22">
        <f t="shared" si="34"/>
        <v>435</v>
      </c>
      <c r="I436" s="21">
        <f t="shared" ca="1" si="35"/>
        <v>0</v>
      </c>
      <c r="J436" s="21" t="str">
        <f ca="1">IF(I436=0,"",COUNTIF($I$2:I436,"&gt;0"))</f>
        <v/>
      </c>
      <c r="K436" s="21" t="str">
        <f t="shared" ca="1" si="32"/>
        <v/>
      </c>
    </row>
    <row r="437" spans="1:11" s="18" customFormat="1" ht="14.25" x14ac:dyDescent="0.2">
      <c r="A437" s="18" t="str">
        <f t="shared" si="36"/>
        <v>Eintrag 436</v>
      </c>
      <c r="B437" s="18">
        <v>100</v>
      </c>
      <c r="C437" s="19">
        <v>100</v>
      </c>
      <c r="D437" s="20">
        <v>10</v>
      </c>
      <c r="E437" s="20">
        <v>10</v>
      </c>
      <c r="F437" s="20">
        <v>10</v>
      </c>
      <c r="G437" s="19">
        <f t="shared" si="33"/>
        <v>172</v>
      </c>
      <c r="H437" s="22">
        <f t="shared" si="34"/>
        <v>436</v>
      </c>
      <c r="I437" s="21">
        <f t="shared" ca="1" si="35"/>
        <v>0</v>
      </c>
      <c r="J437" s="21" t="str">
        <f ca="1">IF(I437=0,"",COUNTIF($I$2:I437,"&gt;0"))</f>
        <v/>
      </c>
      <c r="K437" s="21" t="str">
        <f t="shared" ca="1" si="32"/>
        <v/>
      </c>
    </row>
    <row r="438" spans="1:11" s="18" customFormat="1" ht="14.25" x14ac:dyDescent="0.2">
      <c r="A438" s="18" t="str">
        <f t="shared" si="36"/>
        <v>Eintrag 437</v>
      </c>
      <c r="B438" s="18">
        <v>100</v>
      </c>
      <c r="C438" s="19">
        <v>100</v>
      </c>
      <c r="D438" s="20">
        <v>10</v>
      </c>
      <c r="E438" s="20">
        <v>10</v>
      </c>
      <c r="F438" s="20">
        <v>10</v>
      </c>
      <c r="G438" s="19">
        <f t="shared" si="33"/>
        <v>172</v>
      </c>
      <c r="H438" s="22">
        <f t="shared" si="34"/>
        <v>437</v>
      </c>
      <c r="I438" s="21">
        <f t="shared" ca="1" si="35"/>
        <v>0</v>
      </c>
      <c r="J438" s="21" t="str">
        <f ca="1">IF(I438=0,"",COUNTIF($I$2:I438,"&gt;0"))</f>
        <v/>
      </c>
      <c r="K438" s="21" t="str">
        <f t="shared" ca="1" si="32"/>
        <v/>
      </c>
    </row>
    <row r="439" spans="1:11" s="18" customFormat="1" ht="14.25" x14ac:dyDescent="0.2">
      <c r="A439" s="18" t="str">
        <f t="shared" si="36"/>
        <v>Eintrag 438</v>
      </c>
      <c r="B439" s="18">
        <v>100</v>
      </c>
      <c r="C439" s="19">
        <v>100</v>
      </c>
      <c r="D439" s="20">
        <v>10</v>
      </c>
      <c r="E439" s="20">
        <v>10</v>
      </c>
      <c r="F439" s="20">
        <v>10</v>
      </c>
      <c r="G439" s="19">
        <f t="shared" si="33"/>
        <v>172</v>
      </c>
      <c r="H439" s="22">
        <f t="shared" si="34"/>
        <v>438</v>
      </c>
      <c r="I439" s="21">
        <f t="shared" ca="1" si="35"/>
        <v>0</v>
      </c>
      <c r="J439" s="21" t="str">
        <f ca="1">IF(I439=0,"",COUNTIF($I$2:I439,"&gt;0"))</f>
        <v/>
      </c>
      <c r="K439" s="21" t="str">
        <f t="shared" ca="1" si="32"/>
        <v/>
      </c>
    </row>
    <row r="440" spans="1:11" s="18" customFormat="1" ht="14.25" x14ac:dyDescent="0.2">
      <c r="A440" s="18" t="str">
        <f t="shared" si="36"/>
        <v>Eintrag 439</v>
      </c>
      <c r="B440" s="18">
        <v>100</v>
      </c>
      <c r="C440" s="19">
        <v>100</v>
      </c>
      <c r="D440" s="20">
        <v>10</v>
      </c>
      <c r="E440" s="20">
        <v>10</v>
      </c>
      <c r="F440" s="20">
        <v>10</v>
      </c>
      <c r="G440" s="19">
        <f t="shared" si="33"/>
        <v>172</v>
      </c>
      <c r="H440" s="22">
        <f t="shared" si="34"/>
        <v>439</v>
      </c>
      <c r="I440" s="21">
        <f t="shared" ca="1" si="35"/>
        <v>0</v>
      </c>
      <c r="J440" s="21" t="str">
        <f ca="1">IF(I440=0,"",COUNTIF($I$2:I440,"&gt;0"))</f>
        <v/>
      </c>
      <c r="K440" s="21" t="str">
        <f t="shared" ca="1" si="32"/>
        <v/>
      </c>
    </row>
    <row r="441" spans="1:11" s="18" customFormat="1" ht="14.25" x14ac:dyDescent="0.2">
      <c r="A441" s="18" t="str">
        <f t="shared" si="36"/>
        <v>Eintrag 440</v>
      </c>
      <c r="B441" s="18">
        <v>100</v>
      </c>
      <c r="C441" s="19">
        <v>100</v>
      </c>
      <c r="D441" s="20">
        <v>10</v>
      </c>
      <c r="E441" s="20">
        <v>10</v>
      </c>
      <c r="F441" s="20">
        <v>10</v>
      </c>
      <c r="G441" s="19">
        <f t="shared" si="33"/>
        <v>172</v>
      </c>
      <c r="H441" s="22">
        <f t="shared" si="34"/>
        <v>440</v>
      </c>
      <c r="I441" s="21">
        <f t="shared" ca="1" si="35"/>
        <v>0</v>
      </c>
      <c r="J441" s="21" t="str">
        <f ca="1">IF(I441=0,"",COUNTIF($I$2:I441,"&gt;0"))</f>
        <v/>
      </c>
      <c r="K441" s="21" t="str">
        <f t="shared" ca="1" si="32"/>
        <v/>
      </c>
    </row>
    <row r="442" spans="1:11" s="18" customFormat="1" ht="14.25" x14ac:dyDescent="0.2">
      <c r="A442" s="18" t="str">
        <f t="shared" si="36"/>
        <v>Eintrag 441</v>
      </c>
      <c r="B442" s="18">
        <v>100</v>
      </c>
      <c r="C442" s="19">
        <v>100</v>
      </c>
      <c r="D442" s="20">
        <v>10</v>
      </c>
      <c r="E442" s="20">
        <v>10</v>
      </c>
      <c r="F442" s="20">
        <v>10</v>
      </c>
      <c r="G442" s="19">
        <f t="shared" si="33"/>
        <v>172</v>
      </c>
      <c r="H442" s="22">
        <f t="shared" si="34"/>
        <v>441</v>
      </c>
      <c r="I442" s="21">
        <f t="shared" ca="1" si="35"/>
        <v>0</v>
      </c>
      <c r="J442" s="21" t="str">
        <f ca="1">IF(I442=0,"",COUNTIF($I$2:I442,"&gt;0"))</f>
        <v/>
      </c>
      <c r="K442" s="21" t="str">
        <f t="shared" ca="1" si="32"/>
        <v/>
      </c>
    </row>
    <row r="443" spans="1:11" s="18" customFormat="1" ht="14.25" x14ac:dyDescent="0.2">
      <c r="A443" s="18" t="str">
        <f t="shared" si="36"/>
        <v>Eintrag 442</v>
      </c>
      <c r="B443" s="18">
        <v>100</v>
      </c>
      <c r="C443" s="19">
        <v>100</v>
      </c>
      <c r="D443" s="20">
        <v>10</v>
      </c>
      <c r="E443" s="20">
        <v>10</v>
      </c>
      <c r="F443" s="20">
        <v>10</v>
      </c>
      <c r="G443" s="19">
        <f t="shared" si="33"/>
        <v>172</v>
      </c>
      <c r="H443" s="22">
        <f t="shared" si="34"/>
        <v>442</v>
      </c>
      <c r="I443" s="21">
        <f t="shared" ca="1" si="35"/>
        <v>0</v>
      </c>
      <c r="J443" s="21" t="str">
        <f ca="1">IF(I443=0,"",COUNTIF($I$2:I443,"&gt;0"))</f>
        <v/>
      </c>
      <c r="K443" s="21" t="str">
        <f t="shared" ca="1" si="32"/>
        <v/>
      </c>
    </row>
    <row r="444" spans="1:11" s="18" customFormat="1" ht="14.25" x14ac:dyDescent="0.2">
      <c r="A444" s="18" t="str">
        <f t="shared" si="36"/>
        <v>Eintrag 443</v>
      </c>
      <c r="B444" s="18">
        <v>100</v>
      </c>
      <c r="C444" s="19">
        <v>100</v>
      </c>
      <c r="D444" s="20">
        <v>10</v>
      </c>
      <c r="E444" s="20">
        <v>10</v>
      </c>
      <c r="F444" s="20">
        <v>10</v>
      </c>
      <c r="G444" s="19">
        <f t="shared" si="33"/>
        <v>172</v>
      </c>
      <c r="H444" s="22">
        <f t="shared" si="34"/>
        <v>443</v>
      </c>
      <c r="I444" s="21">
        <f t="shared" ca="1" si="35"/>
        <v>0</v>
      </c>
      <c r="J444" s="21" t="str">
        <f ca="1">IF(I444=0,"",COUNTIF($I$2:I444,"&gt;0"))</f>
        <v/>
      </c>
      <c r="K444" s="21" t="str">
        <f t="shared" ca="1" si="32"/>
        <v/>
      </c>
    </row>
    <row r="445" spans="1:11" s="18" customFormat="1" ht="14.25" x14ac:dyDescent="0.2">
      <c r="A445" s="18" t="str">
        <f t="shared" si="36"/>
        <v>Eintrag 444</v>
      </c>
      <c r="B445" s="18">
        <v>100</v>
      </c>
      <c r="C445" s="19">
        <v>100</v>
      </c>
      <c r="D445" s="20">
        <v>10</v>
      </c>
      <c r="E445" s="20">
        <v>10</v>
      </c>
      <c r="F445" s="20">
        <v>10</v>
      </c>
      <c r="G445" s="19">
        <f t="shared" si="33"/>
        <v>172</v>
      </c>
      <c r="H445" s="22">
        <f t="shared" si="34"/>
        <v>444</v>
      </c>
      <c r="I445" s="21">
        <f t="shared" ca="1" si="35"/>
        <v>0</v>
      </c>
      <c r="J445" s="21" t="str">
        <f ca="1">IF(I445=0,"",COUNTIF($I$2:I445,"&gt;0"))</f>
        <v/>
      </c>
      <c r="K445" s="21" t="str">
        <f t="shared" ca="1" si="32"/>
        <v/>
      </c>
    </row>
    <row r="446" spans="1:11" s="18" customFormat="1" ht="14.25" x14ac:dyDescent="0.2">
      <c r="A446" s="18" t="str">
        <f t="shared" si="36"/>
        <v>Eintrag 445</v>
      </c>
      <c r="B446" s="18">
        <v>100</v>
      </c>
      <c r="C446" s="19">
        <v>100</v>
      </c>
      <c r="D446" s="20">
        <v>10</v>
      </c>
      <c r="E446" s="20">
        <v>10</v>
      </c>
      <c r="F446" s="20">
        <v>10</v>
      </c>
      <c r="G446" s="19">
        <f t="shared" si="33"/>
        <v>172</v>
      </c>
      <c r="H446" s="22">
        <f t="shared" si="34"/>
        <v>445</v>
      </c>
      <c r="I446" s="21">
        <f t="shared" ca="1" si="35"/>
        <v>0</v>
      </c>
      <c r="J446" s="21" t="str">
        <f ca="1">IF(I446=0,"",COUNTIF($I$2:I446,"&gt;0"))</f>
        <v/>
      </c>
      <c r="K446" s="21" t="str">
        <f t="shared" ca="1" si="32"/>
        <v/>
      </c>
    </row>
    <row r="447" spans="1:11" s="18" customFormat="1" ht="14.25" x14ac:dyDescent="0.2">
      <c r="A447" s="18" t="str">
        <f t="shared" si="36"/>
        <v>Eintrag 446</v>
      </c>
      <c r="B447" s="18">
        <v>100</v>
      </c>
      <c r="C447" s="19">
        <v>100</v>
      </c>
      <c r="D447" s="20">
        <v>10</v>
      </c>
      <c r="E447" s="20">
        <v>10</v>
      </c>
      <c r="F447" s="20">
        <v>10</v>
      </c>
      <c r="G447" s="19">
        <f t="shared" si="33"/>
        <v>172</v>
      </c>
      <c r="H447" s="22">
        <f t="shared" si="34"/>
        <v>446</v>
      </c>
      <c r="I447" s="21">
        <f t="shared" ca="1" si="35"/>
        <v>0</v>
      </c>
      <c r="J447" s="21" t="str">
        <f ca="1">IF(I447=0,"",COUNTIF($I$2:I447,"&gt;0"))</f>
        <v/>
      </c>
      <c r="K447" s="21" t="str">
        <f t="shared" ca="1" si="32"/>
        <v/>
      </c>
    </row>
    <row r="448" spans="1:11" s="18" customFormat="1" ht="14.25" x14ac:dyDescent="0.2">
      <c r="A448" s="18" t="str">
        <f t="shared" si="36"/>
        <v>Eintrag 447</v>
      </c>
      <c r="B448" s="18">
        <v>100</v>
      </c>
      <c r="C448" s="19">
        <v>100</v>
      </c>
      <c r="D448" s="20">
        <v>10</v>
      </c>
      <c r="E448" s="20">
        <v>10</v>
      </c>
      <c r="F448" s="20">
        <v>10</v>
      </c>
      <c r="G448" s="19">
        <f t="shared" si="33"/>
        <v>172</v>
      </c>
      <c r="H448" s="22">
        <f t="shared" si="34"/>
        <v>447</v>
      </c>
      <c r="I448" s="21">
        <f t="shared" ca="1" si="35"/>
        <v>0</v>
      </c>
      <c r="J448" s="21" t="str">
        <f ca="1">IF(I448=0,"",COUNTIF($I$2:I448,"&gt;0"))</f>
        <v/>
      </c>
      <c r="K448" s="21" t="str">
        <f t="shared" ca="1" si="32"/>
        <v/>
      </c>
    </row>
    <row r="449" spans="1:11" s="18" customFormat="1" ht="14.25" x14ac:dyDescent="0.2">
      <c r="A449" s="18" t="str">
        <f t="shared" si="36"/>
        <v>Eintrag 448</v>
      </c>
      <c r="B449" s="18">
        <v>100</v>
      </c>
      <c r="C449" s="19">
        <v>100</v>
      </c>
      <c r="D449" s="20">
        <v>10</v>
      </c>
      <c r="E449" s="20">
        <v>10</v>
      </c>
      <c r="F449" s="20">
        <v>10</v>
      </c>
      <c r="G449" s="19">
        <f t="shared" si="33"/>
        <v>172</v>
      </c>
      <c r="H449" s="22">
        <f t="shared" si="34"/>
        <v>448</v>
      </c>
      <c r="I449" s="21">
        <f t="shared" ca="1" si="35"/>
        <v>0</v>
      </c>
      <c r="J449" s="21" t="str">
        <f ca="1">IF(I449=0,"",COUNTIF($I$2:I449,"&gt;0"))</f>
        <v/>
      </c>
      <c r="K449" s="21" t="str">
        <f t="shared" ca="1" si="32"/>
        <v/>
      </c>
    </row>
    <row r="450" spans="1:11" s="18" customFormat="1" ht="14.25" x14ac:dyDescent="0.2">
      <c r="A450" s="18" t="str">
        <f t="shared" si="36"/>
        <v>Eintrag 449</v>
      </c>
      <c r="B450" s="18">
        <v>100</v>
      </c>
      <c r="C450" s="19">
        <v>100</v>
      </c>
      <c r="D450" s="20">
        <v>10</v>
      </c>
      <c r="E450" s="20">
        <v>10</v>
      </c>
      <c r="F450" s="20">
        <v>10</v>
      </c>
      <c r="G450" s="19">
        <f t="shared" si="33"/>
        <v>172</v>
      </c>
      <c r="H450" s="22">
        <f t="shared" si="34"/>
        <v>449</v>
      </c>
      <c r="I450" s="21">
        <f t="shared" ca="1" si="35"/>
        <v>0</v>
      </c>
      <c r="J450" s="21" t="str">
        <f ca="1">IF(I450=0,"",COUNTIF($I$2:I450,"&gt;0"))</f>
        <v/>
      </c>
      <c r="K450" s="21" t="str">
        <f t="shared" ref="K450:K513" ca="1" si="37">IFERROR(INDEX(A:A,MATCH(ROW(I449),J:J,0)),"")</f>
        <v/>
      </c>
    </row>
    <row r="451" spans="1:11" s="18" customFormat="1" ht="14.25" x14ac:dyDescent="0.2">
      <c r="A451" s="18" t="str">
        <f t="shared" si="36"/>
        <v>Eintrag 450</v>
      </c>
      <c r="B451" s="18">
        <v>100</v>
      </c>
      <c r="C451" s="19">
        <v>100</v>
      </c>
      <c r="D451" s="20">
        <v>10</v>
      </c>
      <c r="E451" s="20">
        <v>10</v>
      </c>
      <c r="F451" s="20">
        <v>10</v>
      </c>
      <c r="G451" s="19">
        <f t="shared" ref="G451:G514" si="38">D451*9+E451*4.1+F451*4.1</f>
        <v>172</v>
      </c>
      <c r="H451" s="22">
        <f t="shared" si="34"/>
        <v>450</v>
      </c>
      <c r="I451" s="21">
        <f t="shared" ca="1" si="35"/>
        <v>0</v>
      </c>
      <c r="J451" s="21" t="str">
        <f ca="1">IF(I451=0,"",COUNTIF($I$2:I451,"&gt;0"))</f>
        <v/>
      </c>
      <c r="K451" s="21" t="str">
        <f t="shared" ca="1" si="37"/>
        <v/>
      </c>
    </row>
    <row r="452" spans="1:11" s="18" customFormat="1" ht="14.25" x14ac:dyDescent="0.2">
      <c r="A452" s="18" t="str">
        <f t="shared" si="36"/>
        <v>Eintrag 451</v>
      </c>
      <c r="B452" s="18">
        <v>100</v>
      </c>
      <c r="C452" s="19">
        <v>100</v>
      </c>
      <c r="D452" s="20">
        <v>10</v>
      </c>
      <c r="E452" s="20">
        <v>10</v>
      </c>
      <c r="F452" s="20">
        <v>10</v>
      </c>
      <c r="G452" s="19">
        <f t="shared" si="38"/>
        <v>172</v>
      </c>
      <c r="H452" s="22">
        <f t="shared" si="34"/>
        <v>451</v>
      </c>
      <c r="I452" s="21">
        <f t="shared" ca="1" si="35"/>
        <v>0</v>
      </c>
      <c r="J452" s="21" t="str">
        <f ca="1">IF(I452=0,"",COUNTIF($I$2:I452,"&gt;0"))</f>
        <v/>
      </c>
      <c r="K452" s="21" t="str">
        <f t="shared" ca="1" si="37"/>
        <v/>
      </c>
    </row>
    <row r="453" spans="1:11" s="18" customFormat="1" ht="14.25" x14ac:dyDescent="0.2">
      <c r="A453" s="18" t="str">
        <f t="shared" si="36"/>
        <v>Eintrag 452</v>
      </c>
      <c r="B453" s="18">
        <v>100</v>
      </c>
      <c r="C453" s="19">
        <v>100</v>
      </c>
      <c r="D453" s="20">
        <v>10</v>
      </c>
      <c r="E453" s="20">
        <v>10</v>
      </c>
      <c r="F453" s="20">
        <v>10</v>
      </c>
      <c r="G453" s="19">
        <f t="shared" si="38"/>
        <v>172</v>
      </c>
      <c r="H453" s="22">
        <f t="shared" si="34"/>
        <v>452</v>
      </c>
      <c r="I453" s="21">
        <f t="shared" ca="1" si="35"/>
        <v>0</v>
      </c>
      <c r="J453" s="21" t="str">
        <f ca="1">IF(I453=0,"",COUNTIF($I$2:I453,"&gt;0"))</f>
        <v/>
      </c>
      <c r="K453" s="21" t="str">
        <f t="shared" ca="1" si="37"/>
        <v/>
      </c>
    </row>
    <row r="454" spans="1:11" s="18" customFormat="1" ht="14.25" x14ac:dyDescent="0.2">
      <c r="A454" s="18" t="str">
        <f t="shared" si="36"/>
        <v>Eintrag 453</v>
      </c>
      <c r="B454" s="18">
        <v>100</v>
      </c>
      <c r="C454" s="19">
        <v>100</v>
      </c>
      <c r="D454" s="20">
        <v>10</v>
      </c>
      <c r="E454" s="20">
        <v>10</v>
      </c>
      <c r="F454" s="20">
        <v>10</v>
      </c>
      <c r="G454" s="19">
        <f t="shared" si="38"/>
        <v>172</v>
      </c>
      <c r="H454" s="22">
        <f t="shared" si="34"/>
        <v>453</v>
      </c>
      <c r="I454" s="21">
        <f t="shared" ca="1" si="35"/>
        <v>0</v>
      </c>
      <c r="J454" s="21" t="str">
        <f ca="1">IF(I454=0,"",COUNTIF($I$2:I454,"&gt;0"))</f>
        <v/>
      </c>
      <c r="K454" s="21" t="str">
        <f t="shared" ca="1" si="37"/>
        <v/>
      </c>
    </row>
    <row r="455" spans="1:11" s="18" customFormat="1" ht="14.25" x14ac:dyDescent="0.2">
      <c r="A455" s="18" t="str">
        <f t="shared" si="36"/>
        <v>Eintrag 454</v>
      </c>
      <c r="B455" s="18">
        <v>100</v>
      </c>
      <c r="C455" s="19">
        <v>100</v>
      </c>
      <c r="D455" s="20">
        <v>10</v>
      </c>
      <c r="E455" s="20">
        <v>10</v>
      </c>
      <c r="F455" s="20">
        <v>10</v>
      </c>
      <c r="G455" s="19">
        <f t="shared" si="38"/>
        <v>172</v>
      </c>
      <c r="H455" s="22">
        <f t="shared" si="34"/>
        <v>454</v>
      </c>
      <c r="I455" s="21">
        <f t="shared" ca="1" si="35"/>
        <v>0</v>
      </c>
      <c r="J455" s="21" t="str">
        <f ca="1">IF(I455=0,"",COUNTIF($I$2:I455,"&gt;0"))</f>
        <v/>
      </c>
      <c r="K455" s="21" t="str">
        <f t="shared" ca="1" si="37"/>
        <v/>
      </c>
    </row>
    <row r="456" spans="1:11" s="18" customFormat="1" ht="14.25" x14ac:dyDescent="0.2">
      <c r="A456" s="18" t="str">
        <f t="shared" si="36"/>
        <v>Eintrag 455</v>
      </c>
      <c r="B456" s="18">
        <v>100</v>
      </c>
      <c r="C456" s="19">
        <v>100</v>
      </c>
      <c r="D456" s="20">
        <v>10</v>
      </c>
      <c r="E456" s="20">
        <v>10</v>
      </c>
      <c r="F456" s="20">
        <v>10</v>
      </c>
      <c r="G456" s="19">
        <f t="shared" si="38"/>
        <v>172</v>
      </c>
      <c r="H456" s="22">
        <f t="shared" si="34"/>
        <v>455</v>
      </c>
      <c r="I456" s="21">
        <f t="shared" ca="1" si="35"/>
        <v>0</v>
      </c>
      <c r="J456" s="21" t="str">
        <f ca="1">IF(I456=0,"",COUNTIF($I$2:I456,"&gt;0"))</f>
        <v/>
      </c>
      <c r="K456" s="21" t="str">
        <f t="shared" ca="1" si="37"/>
        <v/>
      </c>
    </row>
    <row r="457" spans="1:11" s="18" customFormat="1" ht="14.25" x14ac:dyDescent="0.2">
      <c r="A457" s="18" t="str">
        <f t="shared" si="36"/>
        <v>Eintrag 456</v>
      </c>
      <c r="B457" s="18">
        <v>100</v>
      </c>
      <c r="C457" s="19">
        <v>100</v>
      </c>
      <c r="D457" s="20">
        <v>10</v>
      </c>
      <c r="E457" s="20">
        <v>10</v>
      </c>
      <c r="F457" s="20">
        <v>10</v>
      </c>
      <c r="G457" s="19">
        <f t="shared" si="38"/>
        <v>172</v>
      </c>
      <c r="H457" s="22">
        <f t="shared" si="34"/>
        <v>456</v>
      </c>
      <c r="I457" s="21">
        <f t="shared" ca="1" si="35"/>
        <v>0</v>
      </c>
      <c r="J457" s="21" t="str">
        <f ca="1">IF(I457=0,"",COUNTIF($I$2:I457,"&gt;0"))</f>
        <v/>
      </c>
      <c r="K457" s="21" t="str">
        <f t="shared" ca="1" si="37"/>
        <v/>
      </c>
    </row>
    <row r="458" spans="1:11" s="18" customFormat="1" ht="14.25" x14ac:dyDescent="0.2">
      <c r="A458" s="18" t="str">
        <f t="shared" si="36"/>
        <v>Eintrag 457</v>
      </c>
      <c r="B458" s="18">
        <v>100</v>
      </c>
      <c r="C458" s="19">
        <v>100</v>
      </c>
      <c r="D458" s="20">
        <v>10</v>
      </c>
      <c r="E458" s="20">
        <v>10</v>
      </c>
      <c r="F458" s="20">
        <v>10</v>
      </c>
      <c r="G458" s="19">
        <f t="shared" si="38"/>
        <v>172</v>
      </c>
      <c r="H458" s="22">
        <f t="shared" si="34"/>
        <v>457</v>
      </c>
      <c r="I458" s="21">
        <f t="shared" ca="1" si="35"/>
        <v>0</v>
      </c>
      <c r="J458" s="21" t="str">
        <f ca="1">IF(I458=0,"",COUNTIF($I$2:I458,"&gt;0"))</f>
        <v/>
      </c>
      <c r="K458" s="21" t="str">
        <f t="shared" ca="1" si="37"/>
        <v/>
      </c>
    </row>
    <row r="459" spans="1:11" s="18" customFormat="1" ht="14.25" x14ac:dyDescent="0.2">
      <c r="A459" s="18" t="str">
        <f t="shared" si="36"/>
        <v>Eintrag 458</v>
      </c>
      <c r="B459" s="18">
        <v>100</v>
      </c>
      <c r="C459" s="19">
        <v>100</v>
      </c>
      <c r="D459" s="20">
        <v>10</v>
      </c>
      <c r="E459" s="20">
        <v>10</v>
      </c>
      <c r="F459" s="20">
        <v>10</v>
      </c>
      <c r="G459" s="19">
        <f t="shared" si="38"/>
        <v>172</v>
      </c>
      <c r="H459" s="22">
        <f t="shared" si="34"/>
        <v>458</v>
      </c>
      <c r="I459" s="21">
        <f t="shared" ca="1" si="35"/>
        <v>0</v>
      </c>
      <c r="J459" s="21" t="str">
        <f ca="1">IF(I459=0,"",COUNTIF($I$2:I459,"&gt;0"))</f>
        <v/>
      </c>
      <c r="K459" s="21" t="str">
        <f t="shared" ca="1" si="37"/>
        <v/>
      </c>
    </row>
    <row r="460" spans="1:11" s="18" customFormat="1" ht="14.25" x14ac:dyDescent="0.2">
      <c r="A460" s="18" t="str">
        <f t="shared" si="36"/>
        <v>Eintrag 459</v>
      </c>
      <c r="B460" s="18">
        <v>100</v>
      </c>
      <c r="C460" s="19">
        <v>100</v>
      </c>
      <c r="D460" s="20">
        <v>10</v>
      </c>
      <c r="E460" s="20">
        <v>10</v>
      </c>
      <c r="F460" s="20">
        <v>10</v>
      </c>
      <c r="G460" s="19">
        <f t="shared" si="38"/>
        <v>172</v>
      </c>
      <c r="H460" s="22">
        <f t="shared" si="34"/>
        <v>459</v>
      </c>
      <c r="I460" s="21">
        <f t="shared" ca="1" si="35"/>
        <v>0</v>
      </c>
      <c r="J460" s="21" t="str">
        <f ca="1">IF(I460=0,"",COUNTIF($I$2:I460,"&gt;0"))</f>
        <v/>
      </c>
      <c r="K460" s="21" t="str">
        <f t="shared" ca="1" si="37"/>
        <v/>
      </c>
    </row>
    <row r="461" spans="1:11" s="18" customFormat="1" ht="14.25" x14ac:dyDescent="0.2">
      <c r="A461" s="18" t="str">
        <f t="shared" si="36"/>
        <v>Eintrag 460</v>
      </c>
      <c r="B461" s="18">
        <v>100</v>
      </c>
      <c r="C461" s="19">
        <v>100</v>
      </c>
      <c r="D461" s="20">
        <v>10</v>
      </c>
      <c r="E461" s="20">
        <v>10</v>
      </c>
      <c r="F461" s="20">
        <v>10</v>
      </c>
      <c r="G461" s="19">
        <f t="shared" si="38"/>
        <v>172</v>
      </c>
      <c r="H461" s="22">
        <f t="shared" si="34"/>
        <v>460</v>
      </c>
      <c r="I461" s="21">
        <f t="shared" ca="1" si="35"/>
        <v>0</v>
      </c>
      <c r="J461" s="21" t="str">
        <f ca="1">IF(I461=0,"",COUNTIF($I$2:I461,"&gt;0"))</f>
        <v/>
      </c>
      <c r="K461" s="21" t="str">
        <f t="shared" ca="1" si="37"/>
        <v/>
      </c>
    </row>
    <row r="462" spans="1:11" s="18" customFormat="1" ht="14.25" x14ac:dyDescent="0.2">
      <c r="A462" s="18" t="str">
        <f t="shared" si="36"/>
        <v>Eintrag 461</v>
      </c>
      <c r="B462" s="18">
        <v>100</v>
      </c>
      <c r="C462" s="19">
        <v>100</v>
      </c>
      <c r="D462" s="20">
        <v>10</v>
      </c>
      <c r="E462" s="20">
        <v>10</v>
      </c>
      <c r="F462" s="20">
        <v>10</v>
      </c>
      <c r="G462" s="19">
        <f t="shared" si="38"/>
        <v>172</v>
      </c>
      <c r="H462" s="22">
        <f t="shared" si="34"/>
        <v>461</v>
      </c>
      <c r="I462" s="21">
        <f t="shared" ca="1" si="35"/>
        <v>0</v>
      </c>
      <c r="J462" s="21" t="str">
        <f ca="1">IF(I462=0,"",COUNTIF($I$2:I462,"&gt;0"))</f>
        <v/>
      </c>
      <c r="K462" s="21" t="str">
        <f t="shared" ca="1" si="37"/>
        <v/>
      </c>
    </row>
    <row r="463" spans="1:11" s="18" customFormat="1" ht="14.25" x14ac:dyDescent="0.2">
      <c r="A463" s="18" t="str">
        <f t="shared" si="36"/>
        <v>Eintrag 462</v>
      </c>
      <c r="B463" s="18">
        <v>100</v>
      </c>
      <c r="C463" s="19">
        <v>100</v>
      </c>
      <c r="D463" s="20">
        <v>10</v>
      </c>
      <c r="E463" s="20">
        <v>10</v>
      </c>
      <c r="F463" s="20">
        <v>10</v>
      </c>
      <c r="G463" s="19">
        <f t="shared" si="38"/>
        <v>172</v>
      </c>
      <c r="H463" s="22">
        <f t="shared" si="34"/>
        <v>462</v>
      </c>
      <c r="I463" s="21">
        <f t="shared" ca="1" si="35"/>
        <v>0</v>
      </c>
      <c r="J463" s="21" t="str">
        <f ca="1">IF(I463=0,"",COUNTIF($I$2:I463,"&gt;0"))</f>
        <v/>
      </c>
      <c r="K463" s="21" t="str">
        <f t="shared" ca="1" si="37"/>
        <v/>
      </c>
    </row>
    <row r="464" spans="1:11" s="18" customFormat="1" ht="14.25" x14ac:dyDescent="0.2">
      <c r="A464" s="18" t="str">
        <f t="shared" si="36"/>
        <v>Eintrag 463</v>
      </c>
      <c r="B464" s="18">
        <v>100</v>
      </c>
      <c r="C464" s="19">
        <v>100</v>
      </c>
      <c r="D464" s="20">
        <v>10</v>
      </c>
      <c r="E464" s="20">
        <v>10</v>
      </c>
      <c r="F464" s="20">
        <v>10</v>
      </c>
      <c r="G464" s="19">
        <f t="shared" si="38"/>
        <v>172</v>
      </c>
      <c r="H464" s="22">
        <f t="shared" si="34"/>
        <v>463</v>
      </c>
      <c r="I464" s="21">
        <f t="shared" ca="1" si="35"/>
        <v>0</v>
      </c>
      <c r="J464" s="21" t="str">
        <f ca="1">IF(I464=0,"",COUNTIF($I$2:I464,"&gt;0"))</f>
        <v/>
      </c>
      <c r="K464" s="21" t="str">
        <f t="shared" ca="1" si="37"/>
        <v/>
      </c>
    </row>
    <row r="465" spans="1:11" s="18" customFormat="1" ht="14.25" x14ac:dyDescent="0.2">
      <c r="A465" s="18" t="str">
        <f t="shared" si="36"/>
        <v>Eintrag 464</v>
      </c>
      <c r="B465" s="18">
        <v>100</v>
      </c>
      <c r="C465" s="19">
        <v>100</v>
      </c>
      <c r="D465" s="20">
        <v>10</v>
      </c>
      <c r="E465" s="20">
        <v>10</v>
      </c>
      <c r="F465" s="20">
        <v>10</v>
      </c>
      <c r="G465" s="19">
        <f t="shared" si="38"/>
        <v>172</v>
      </c>
      <c r="H465" s="22">
        <f t="shared" si="34"/>
        <v>464</v>
      </c>
      <c r="I465" s="21">
        <f t="shared" ca="1" si="35"/>
        <v>0</v>
      </c>
      <c r="J465" s="21" t="str">
        <f ca="1">IF(I465=0,"",COUNTIF($I$2:I465,"&gt;0"))</f>
        <v/>
      </c>
      <c r="K465" s="21" t="str">
        <f t="shared" ca="1" si="37"/>
        <v/>
      </c>
    </row>
    <row r="466" spans="1:11" s="18" customFormat="1" ht="14.25" x14ac:dyDescent="0.2">
      <c r="A466" s="18" t="str">
        <f t="shared" si="36"/>
        <v>Eintrag 465</v>
      </c>
      <c r="B466" s="18">
        <v>100</v>
      </c>
      <c r="C466" s="19">
        <v>100</v>
      </c>
      <c r="D466" s="20">
        <v>10</v>
      </c>
      <c r="E466" s="20">
        <v>10</v>
      </c>
      <c r="F466" s="20">
        <v>10</v>
      </c>
      <c r="G466" s="19">
        <f t="shared" si="38"/>
        <v>172</v>
      </c>
      <c r="H466" s="22">
        <f t="shared" si="34"/>
        <v>465</v>
      </c>
      <c r="I466" s="21">
        <f t="shared" ca="1" si="35"/>
        <v>0</v>
      </c>
      <c r="J466" s="21" t="str">
        <f ca="1">IF(I466=0,"",COUNTIF($I$2:I466,"&gt;0"))</f>
        <v/>
      </c>
      <c r="K466" s="21" t="str">
        <f t="shared" ca="1" si="37"/>
        <v/>
      </c>
    </row>
    <row r="467" spans="1:11" s="18" customFormat="1" ht="14.25" x14ac:dyDescent="0.2">
      <c r="A467" s="18" t="str">
        <f t="shared" si="36"/>
        <v>Eintrag 466</v>
      </c>
      <c r="B467" s="18">
        <v>100</v>
      </c>
      <c r="C467" s="19">
        <v>100</v>
      </c>
      <c r="D467" s="20">
        <v>10</v>
      </c>
      <c r="E467" s="20">
        <v>10</v>
      </c>
      <c r="F467" s="20">
        <v>10</v>
      </c>
      <c r="G467" s="19">
        <f t="shared" si="38"/>
        <v>172</v>
      </c>
      <c r="H467" s="22">
        <f t="shared" si="34"/>
        <v>466</v>
      </c>
      <c r="I467" s="21">
        <f t="shared" ca="1" si="35"/>
        <v>0</v>
      </c>
      <c r="J467" s="21" t="str">
        <f ca="1">IF(I467=0,"",COUNTIF($I$2:I467,"&gt;0"))</f>
        <v/>
      </c>
      <c r="K467" s="21" t="str">
        <f t="shared" ca="1" si="37"/>
        <v/>
      </c>
    </row>
    <row r="468" spans="1:11" s="18" customFormat="1" ht="14.25" x14ac:dyDescent="0.2">
      <c r="A468" s="18" t="str">
        <f t="shared" si="36"/>
        <v>Eintrag 467</v>
      </c>
      <c r="B468" s="18">
        <v>100</v>
      </c>
      <c r="C468" s="19">
        <v>100</v>
      </c>
      <c r="D468" s="20">
        <v>10</v>
      </c>
      <c r="E468" s="20">
        <v>10</v>
      </c>
      <c r="F468" s="20">
        <v>10</v>
      </c>
      <c r="G468" s="19">
        <f t="shared" si="38"/>
        <v>172</v>
      </c>
      <c r="H468" s="22">
        <f t="shared" si="34"/>
        <v>467</v>
      </c>
      <c r="I468" s="21">
        <f t="shared" ca="1" si="35"/>
        <v>0</v>
      </c>
      <c r="J468" s="21" t="str">
        <f ca="1">IF(I468=0,"",COUNTIF($I$2:I468,"&gt;0"))</f>
        <v/>
      </c>
      <c r="K468" s="21" t="str">
        <f t="shared" ca="1" si="37"/>
        <v/>
      </c>
    </row>
    <row r="469" spans="1:11" s="18" customFormat="1" ht="14.25" x14ac:dyDescent="0.2">
      <c r="A469" s="18" t="str">
        <f t="shared" si="36"/>
        <v>Eintrag 468</v>
      </c>
      <c r="B469" s="18">
        <v>100</v>
      </c>
      <c r="C469" s="19">
        <v>100</v>
      </c>
      <c r="D469" s="20">
        <v>10</v>
      </c>
      <c r="E469" s="20">
        <v>10</v>
      </c>
      <c r="F469" s="20">
        <v>10</v>
      </c>
      <c r="G469" s="19">
        <f t="shared" si="38"/>
        <v>172</v>
      </c>
      <c r="H469" s="22">
        <f t="shared" si="34"/>
        <v>468</v>
      </c>
      <c r="I469" s="21">
        <f t="shared" ca="1" si="35"/>
        <v>0</v>
      </c>
      <c r="J469" s="21" t="str">
        <f ca="1">IF(I469=0,"",COUNTIF($I$2:I469,"&gt;0"))</f>
        <v/>
      </c>
      <c r="K469" s="21" t="str">
        <f t="shared" ca="1" si="37"/>
        <v/>
      </c>
    </row>
    <row r="470" spans="1:11" s="18" customFormat="1" ht="14.25" x14ac:dyDescent="0.2">
      <c r="A470" s="18" t="str">
        <f t="shared" si="36"/>
        <v>Eintrag 469</v>
      </c>
      <c r="B470" s="18">
        <v>100</v>
      </c>
      <c r="C470" s="19">
        <v>100</v>
      </c>
      <c r="D470" s="20">
        <v>10</v>
      </c>
      <c r="E470" s="20">
        <v>10</v>
      </c>
      <c r="F470" s="20">
        <v>10</v>
      </c>
      <c r="G470" s="19">
        <f t="shared" si="38"/>
        <v>172</v>
      </c>
      <c r="H470" s="22">
        <f t="shared" si="34"/>
        <v>469</v>
      </c>
      <c r="I470" s="21">
        <f t="shared" ca="1" si="35"/>
        <v>0</v>
      </c>
      <c r="J470" s="21" t="str">
        <f ca="1">IF(I470=0,"",COUNTIF($I$2:I470,"&gt;0"))</f>
        <v/>
      </c>
      <c r="K470" s="21" t="str">
        <f t="shared" ca="1" si="37"/>
        <v/>
      </c>
    </row>
    <row r="471" spans="1:11" s="18" customFormat="1" ht="14.25" x14ac:dyDescent="0.2">
      <c r="A471" s="18" t="str">
        <f t="shared" si="36"/>
        <v>Eintrag 470</v>
      </c>
      <c r="B471" s="18">
        <v>100</v>
      </c>
      <c r="C471" s="19">
        <v>100</v>
      </c>
      <c r="D471" s="20">
        <v>10</v>
      </c>
      <c r="E471" s="20">
        <v>10</v>
      </c>
      <c r="F471" s="20">
        <v>10</v>
      </c>
      <c r="G471" s="19">
        <f t="shared" si="38"/>
        <v>172</v>
      </c>
      <c r="H471" s="22">
        <f t="shared" si="34"/>
        <v>470</v>
      </c>
      <c r="I471" s="21">
        <f t="shared" ca="1" si="35"/>
        <v>0</v>
      </c>
      <c r="J471" s="21" t="str">
        <f ca="1">IF(I471=0,"",COUNTIF($I$2:I471,"&gt;0"))</f>
        <v/>
      </c>
      <c r="K471" s="21" t="str">
        <f t="shared" ca="1" si="37"/>
        <v/>
      </c>
    </row>
    <row r="472" spans="1:11" s="18" customFormat="1" ht="14.25" x14ac:dyDescent="0.2">
      <c r="A472" s="18" t="str">
        <f t="shared" si="36"/>
        <v>Eintrag 471</v>
      </c>
      <c r="B472" s="18">
        <v>100</v>
      </c>
      <c r="C472" s="19">
        <v>100</v>
      </c>
      <c r="D472" s="20">
        <v>10</v>
      </c>
      <c r="E472" s="20">
        <v>10</v>
      </c>
      <c r="F472" s="20">
        <v>10</v>
      </c>
      <c r="G472" s="19">
        <f t="shared" si="38"/>
        <v>172</v>
      </c>
      <c r="H472" s="22">
        <f t="shared" si="34"/>
        <v>471</v>
      </c>
      <c r="I472" s="21">
        <f t="shared" ca="1" si="35"/>
        <v>0</v>
      </c>
      <c r="J472" s="21" t="str">
        <f ca="1">IF(I472=0,"",COUNTIF($I$2:I472,"&gt;0"))</f>
        <v/>
      </c>
      <c r="K472" s="21" t="str">
        <f t="shared" ca="1" si="37"/>
        <v/>
      </c>
    </row>
    <row r="473" spans="1:11" s="18" customFormat="1" ht="14.25" x14ac:dyDescent="0.2">
      <c r="A473" s="18" t="str">
        <f t="shared" si="36"/>
        <v>Eintrag 472</v>
      </c>
      <c r="B473" s="18">
        <v>100</v>
      </c>
      <c r="C473" s="19">
        <v>100</v>
      </c>
      <c r="D473" s="20">
        <v>10</v>
      </c>
      <c r="E473" s="20">
        <v>10</v>
      </c>
      <c r="F473" s="20">
        <v>10</v>
      </c>
      <c r="G473" s="19">
        <f t="shared" si="38"/>
        <v>172</v>
      </c>
      <c r="H473" s="22">
        <f t="shared" si="34"/>
        <v>472</v>
      </c>
      <c r="I473" s="21">
        <f t="shared" ca="1" si="35"/>
        <v>0</v>
      </c>
      <c r="J473" s="21" t="str">
        <f ca="1">IF(I473=0,"",COUNTIF($I$2:I473,"&gt;0"))</f>
        <v/>
      </c>
      <c r="K473" s="21" t="str">
        <f t="shared" ca="1" si="37"/>
        <v/>
      </c>
    </row>
    <row r="474" spans="1:11" s="18" customFormat="1" ht="14.25" x14ac:dyDescent="0.2">
      <c r="A474" s="18" t="str">
        <f t="shared" si="36"/>
        <v>Eintrag 473</v>
      </c>
      <c r="B474" s="18">
        <v>100</v>
      </c>
      <c r="C474" s="19">
        <v>100</v>
      </c>
      <c r="D474" s="20">
        <v>10</v>
      </c>
      <c r="E474" s="20">
        <v>10</v>
      </c>
      <c r="F474" s="20">
        <v>10</v>
      </c>
      <c r="G474" s="19">
        <f t="shared" si="38"/>
        <v>172</v>
      </c>
      <c r="H474" s="22">
        <f t="shared" si="34"/>
        <v>473</v>
      </c>
      <c r="I474" s="21">
        <f t="shared" ca="1" si="35"/>
        <v>0</v>
      </c>
      <c r="J474" s="21" t="str">
        <f ca="1">IF(I474=0,"",COUNTIF($I$2:I474,"&gt;0"))</f>
        <v/>
      </c>
      <c r="K474" s="21" t="str">
        <f t="shared" ca="1" si="37"/>
        <v/>
      </c>
    </row>
    <row r="475" spans="1:11" s="18" customFormat="1" ht="14.25" x14ac:dyDescent="0.2">
      <c r="A475" s="18" t="str">
        <f t="shared" si="36"/>
        <v>Eintrag 474</v>
      </c>
      <c r="B475" s="18">
        <v>100</v>
      </c>
      <c r="C475" s="19">
        <v>100</v>
      </c>
      <c r="D475" s="20">
        <v>10</v>
      </c>
      <c r="E475" s="20">
        <v>10</v>
      </c>
      <c r="F475" s="20">
        <v>10</v>
      </c>
      <c r="G475" s="19">
        <f t="shared" si="38"/>
        <v>172</v>
      </c>
      <c r="H475" s="22">
        <f t="shared" si="34"/>
        <v>474</v>
      </c>
      <c r="I475" s="21">
        <f t="shared" ca="1" si="35"/>
        <v>0</v>
      </c>
      <c r="J475" s="21" t="str">
        <f ca="1">IF(I475=0,"",COUNTIF($I$2:I475,"&gt;0"))</f>
        <v/>
      </c>
      <c r="K475" s="21" t="str">
        <f t="shared" ca="1" si="37"/>
        <v/>
      </c>
    </row>
    <row r="476" spans="1:11" s="18" customFormat="1" ht="14.25" x14ac:dyDescent="0.2">
      <c r="A476" s="18" t="str">
        <f t="shared" si="36"/>
        <v>Eintrag 475</v>
      </c>
      <c r="B476" s="18">
        <v>100</v>
      </c>
      <c r="C476" s="19">
        <v>100</v>
      </c>
      <c r="D476" s="20">
        <v>10</v>
      </c>
      <c r="E476" s="20">
        <v>10</v>
      </c>
      <c r="F476" s="20">
        <v>10</v>
      </c>
      <c r="G476" s="19">
        <f t="shared" si="38"/>
        <v>172</v>
      </c>
      <c r="H476" s="22">
        <f t="shared" si="34"/>
        <v>475</v>
      </c>
      <c r="I476" s="21">
        <f t="shared" ca="1" si="35"/>
        <v>0</v>
      </c>
      <c r="J476" s="21" t="str">
        <f ca="1">IF(I476=0,"",COUNTIF($I$2:I476,"&gt;0"))</f>
        <v/>
      </c>
      <c r="K476" s="21" t="str">
        <f t="shared" ca="1" si="37"/>
        <v/>
      </c>
    </row>
    <row r="477" spans="1:11" s="18" customFormat="1" ht="14.25" x14ac:dyDescent="0.2">
      <c r="A477" s="18" t="str">
        <f t="shared" si="36"/>
        <v>Eintrag 476</v>
      </c>
      <c r="B477" s="18">
        <v>100</v>
      </c>
      <c r="C477" s="19">
        <v>100</v>
      </c>
      <c r="D477" s="20">
        <v>10</v>
      </c>
      <c r="E477" s="20">
        <v>10</v>
      </c>
      <c r="F477" s="20">
        <v>10</v>
      </c>
      <c r="G477" s="19">
        <f t="shared" si="38"/>
        <v>172</v>
      </c>
      <c r="H477" s="22">
        <f t="shared" si="34"/>
        <v>476</v>
      </c>
      <c r="I477" s="21">
        <f t="shared" ca="1" si="35"/>
        <v>0</v>
      </c>
      <c r="J477" s="21" t="str">
        <f ca="1">IF(I477=0,"",COUNTIF($I$2:I477,"&gt;0"))</f>
        <v/>
      </c>
      <c r="K477" s="21" t="str">
        <f t="shared" ca="1" si="37"/>
        <v/>
      </c>
    </row>
    <row r="478" spans="1:11" s="18" customFormat="1" ht="14.25" x14ac:dyDescent="0.2">
      <c r="A478" s="18" t="str">
        <f t="shared" si="36"/>
        <v>Eintrag 477</v>
      </c>
      <c r="B478" s="18">
        <v>100</v>
      </c>
      <c r="C478" s="19">
        <v>100</v>
      </c>
      <c r="D478" s="20">
        <v>10</v>
      </c>
      <c r="E478" s="20">
        <v>10</v>
      </c>
      <c r="F478" s="20">
        <v>10</v>
      </c>
      <c r="G478" s="19">
        <f t="shared" si="38"/>
        <v>172</v>
      </c>
      <c r="H478" s="22">
        <f t="shared" si="34"/>
        <v>477</v>
      </c>
      <c r="I478" s="21">
        <f t="shared" ca="1" si="35"/>
        <v>0</v>
      </c>
      <c r="J478" s="21" t="str">
        <f ca="1">IF(I478=0,"",COUNTIF($I$2:I478,"&gt;0"))</f>
        <v/>
      </c>
      <c r="K478" s="21" t="str">
        <f t="shared" ca="1" si="37"/>
        <v/>
      </c>
    </row>
    <row r="479" spans="1:11" s="18" customFormat="1" ht="14.25" x14ac:dyDescent="0.2">
      <c r="A479" s="18" t="str">
        <f t="shared" si="36"/>
        <v>Eintrag 478</v>
      </c>
      <c r="B479" s="18">
        <v>100</v>
      </c>
      <c r="C479" s="19">
        <v>100</v>
      </c>
      <c r="D479" s="20">
        <v>10</v>
      </c>
      <c r="E479" s="20">
        <v>10</v>
      </c>
      <c r="F479" s="20">
        <v>10</v>
      </c>
      <c r="G479" s="19">
        <f t="shared" si="38"/>
        <v>172</v>
      </c>
      <c r="H479" s="22">
        <f t="shared" si="34"/>
        <v>478</v>
      </c>
      <c r="I479" s="21">
        <f t="shared" ca="1" si="35"/>
        <v>0</v>
      </c>
      <c r="J479" s="21" t="str">
        <f ca="1">IF(I479=0,"",COUNTIF($I$2:I479,"&gt;0"))</f>
        <v/>
      </c>
      <c r="K479" s="21" t="str">
        <f t="shared" ca="1" si="37"/>
        <v/>
      </c>
    </row>
    <row r="480" spans="1:11" s="18" customFormat="1" ht="14.25" x14ac:dyDescent="0.2">
      <c r="A480" s="18" t="str">
        <f t="shared" si="36"/>
        <v>Eintrag 479</v>
      </c>
      <c r="B480" s="18">
        <v>100</v>
      </c>
      <c r="C480" s="19">
        <v>100</v>
      </c>
      <c r="D480" s="20">
        <v>10</v>
      </c>
      <c r="E480" s="20">
        <v>10</v>
      </c>
      <c r="F480" s="20">
        <v>10</v>
      </c>
      <c r="G480" s="19">
        <f t="shared" si="38"/>
        <v>172</v>
      </c>
      <c r="H480" s="22">
        <f t="shared" si="34"/>
        <v>479</v>
      </c>
      <c r="I480" s="21">
        <f t="shared" ca="1" si="35"/>
        <v>0</v>
      </c>
      <c r="J480" s="21" t="str">
        <f ca="1">IF(I480=0,"",COUNTIF($I$2:I480,"&gt;0"))</f>
        <v/>
      </c>
      <c r="K480" s="21" t="str">
        <f t="shared" ca="1" si="37"/>
        <v/>
      </c>
    </row>
    <row r="481" spans="1:11" s="18" customFormat="1" ht="14.25" x14ac:dyDescent="0.2">
      <c r="A481" s="18" t="str">
        <f t="shared" si="36"/>
        <v>Eintrag 480</v>
      </c>
      <c r="B481" s="18">
        <v>100</v>
      </c>
      <c r="C481" s="19">
        <v>100</v>
      </c>
      <c r="D481" s="20">
        <v>10</v>
      </c>
      <c r="E481" s="20">
        <v>10</v>
      </c>
      <c r="F481" s="20">
        <v>10</v>
      </c>
      <c r="G481" s="19">
        <f t="shared" si="38"/>
        <v>172</v>
      </c>
      <c r="H481" s="22">
        <f t="shared" si="34"/>
        <v>480</v>
      </c>
      <c r="I481" s="21">
        <f t="shared" ca="1" si="35"/>
        <v>0</v>
      </c>
      <c r="J481" s="21" t="str">
        <f ca="1">IF(I481=0,"",COUNTIF($I$2:I481,"&gt;0"))</f>
        <v/>
      </c>
      <c r="K481" s="21" t="str">
        <f t="shared" ca="1" si="37"/>
        <v/>
      </c>
    </row>
    <row r="482" spans="1:11" s="18" customFormat="1" ht="14.25" x14ac:dyDescent="0.2">
      <c r="A482" s="18" t="str">
        <f t="shared" si="36"/>
        <v>Eintrag 481</v>
      </c>
      <c r="B482" s="18">
        <v>100</v>
      </c>
      <c r="C482" s="19">
        <v>100</v>
      </c>
      <c r="D482" s="20">
        <v>10</v>
      </c>
      <c r="E482" s="20">
        <v>10</v>
      </c>
      <c r="F482" s="20">
        <v>10</v>
      </c>
      <c r="G482" s="19">
        <f t="shared" si="38"/>
        <v>172</v>
      </c>
      <c r="H482" s="22">
        <f t="shared" si="34"/>
        <v>481</v>
      </c>
      <c r="I482" s="21">
        <f t="shared" ca="1" si="35"/>
        <v>0</v>
      </c>
      <c r="J482" s="21" t="str">
        <f ca="1">IF(I482=0,"",COUNTIF($I$2:I482,"&gt;0"))</f>
        <v/>
      </c>
      <c r="K482" s="21" t="str">
        <f t="shared" ca="1" si="37"/>
        <v/>
      </c>
    </row>
    <row r="483" spans="1:11" s="18" customFormat="1" ht="14.25" x14ac:dyDescent="0.2">
      <c r="A483" s="18" t="str">
        <f t="shared" si="36"/>
        <v>Eintrag 482</v>
      </c>
      <c r="B483" s="18">
        <v>100</v>
      </c>
      <c r="C483" s="19">
        <v>100</v>
      </c>
      <c r="D483" s="20">
        <v>10</v>
      </c>
      <c r="E483" s="20">
        <v>10</v>
      </c>
      <c r="F483" s="20">
        <v>10</v>
      </c>
      <c r="G483" s="19">
        <f t="shared" si="38"/>
        <v>172</v>
      </c>
      <c r="H483" s="22">
        <f t="shared" si="34"/>
        <v>482</v>
      </c>
      <c r="I483" s="21">
        <f t="shared" ca="1" si="35"/>
        <v>0</v>
      </c>
      <c r="J483" s="21" t="str">
        <f ca="1">IF(I483=0,"",COUNTIF($I$2:I483,"&gt;0"))</f>
        <v/>
      </c>
      <c r="K483" s="21" t="str">
        <f t="shared" ca="1" si="37"/>
        <v/>
      </c>
    </row>
    <row r="484" spans="1:11" s="18" customFormat="1" ht="14.25" x14ac:dyDescent="0.2">
      <c r="A484" s="18" t="str">
        <f t="shared" si="36"/>
        <v>Eintrag 483</v>
      </c>
      <c r="B484" s="18">
        <v>100</v>
      </c>
      <c r="C484" s="19">
        <v>100</v>
      </c>
      <c r="D484" s="20">
        <v>10</v>
      </c>
      <c r="E484" s="20">
        <v>10</v>
      </c>
      <c r="F484" s="20">
        <v>10</v>
      </c>
      <c r="G484" s="19">
        <f t="shared" si="38"/>
        <v>172</v>
      </c>
      <c r="H484" s="22">
        <f t="shared" si="34"/>
        <v>483</v>
      </c>
      <c r="I484" s="21">
        <f t="shared" ca="1" si="35"/>
        <v>0</v>
      </c>
      <c r="J484" s="21" t="str">
        <f ca="1">IF(I484=0,"",COUNTIF($I$2:I484,"&gt;0"))</f>
        <v/>
      </c>
      <c r="K484" s="21" t="str">
        <f t="shared" ca="1" si="37"/>
        <v/>
      </c>
    </row>
    <row r="485" spans="1:11" s="18" customFormat="1" ht="14.25" x14ac:dyDescent="0.2">
      <c r="A485" s="18" t="str">
        <f t="shared" si="36"/>
        <v>Eintrag 484</v>
      </c>
      <c r="B485" s="18">
        <v>100</v>
      </c>
      <c r="C485" s="19">
        <v>100</v>
      </c>
      <c r="D485" s="20">
        <v>10</v>
      </c>
      <c r="E485" s="20">
        <v>10</v>
      </c>
      <c r="F485" s="20">
        <v>10</v>
      </c>
      <c r="G485" s="19">
        <f t="shared" si="38"/>
        <v>172</v>
      </c>
      <c r="H485" s="22">
        <f t="shared" ref="H485:H548" si="39">H484+1</f>
        <v>484</v>
      </c>
      <c r="I485" s="21">
        <f t="shared" ca="1" si="35"/>
        <v>0</v>
      </c>
      <c r="J485" s="21" t="str">
        <f ca="1">IF(I485=0,"",COUNTIF($I$2:I485,"&gt;0"))</f>
        <v/>
      </c>
      <c r="K485" s="21" t="str">
        <f t="shared" ca="1" si="37"/>
        <v/>
      </c>
    </row>
    <row r="486" spans="1:11" s="18" customFormat="1" ht="14.25" x14ac:dyDescent="0.2">
      <c r="A486" s="18" t="str">
        <f t="shared" si="36"/>
        <v>Eintrag 485</v>
      </c>
      <c r="B486" s="18">
        <v>100</v>
      </c>
      <c r="C486" s="19">
        <v>100</v>
      </c>
      <c r="D486" s="20">
        <v>10</v>
      </c>
      <c r="E486" s="20">
        <v>10</v>
      </c>
      <c r="F486" s="20">
        <v>10</v>
      </c>
      <c r="G486" s="19">
        <f t="shared" si="38"/>
        <v>172</v>
      </c>
      <c r="H486" s="22">
        <f t="shared" si="39"/>
        <v>485</v>
      </c>
      <c r="I486" s="21">
        <f t="shared" ref="I486:I498" ca="1" si="40">IFERROR(SEARCH(INDIRECT(CELL("address")),A486),0)</f>
        <v>0</v>
      </c>
      <c r="J486" s="21" t="str">
        <f ca="1">IF(I486=0,"",COUNTIF($I$2:I486,"&gt;0"))</f>
        <v/>
      </c>
      <c r="K486" s="21" t="str">
        <f t="shared" ca="1" si="37"/>
        <v/>
      </c>
    </row>
    <row r="487" spans="1:11" s="18" customFormat="1" ht="14.25" x14ac:dyDescent="0.2">
      <c r="A487" s="18" t="str">
        <f t="shared" ref="A487:A500" si="41">CONCATENATE("Eintrag ",H487)</f>
        <v>Eintrag 486</v>
      </c>
      <c r="B487" s="18">
        <v>100</v>
      </c>
      <c r="C487" s="19">
        <v>100</v>
      </c>
      <c r="D487" s="20">
        <v>10</v>
      </c>
      <c r="E487" s="20">
        <v>10</v>
      </c>
      <c r="F487" s="20">
        <v>10</v>
      </c>
      <c r="G487" s="19">
        <f t="shared" si="38"/>
        <v>172</v>
      </c>
      <c r="H487" s="22">
        <f t="shared" si="39"/>
        <v>486</v>
      </c>
      <c r="I487" s="21">
        <f t="shared" ca="1" si="40"/>
        <v>0</v>
      </c>
      <c r="J487" s="21" t="str">
        <f ca="1">IF(I487=0,"",COUNTIF($I$2:I487,"&gt;0"))</f>
        <v/>
      </c>
      <c r="K487" s="21" t="str">
        <f t="shared" ca="1" si="37"/>
        <v/>
      </c>
    </row>
    <row r="488" spans="1:11" s="18" customFormat="1" ht="14.25" x14ac:dyDescent="0.2">
      <c r="A488" s="18" t="str">
        <f t="shared" si="41"/>
        <v>Eintrag 487</v>
      </c>
      <c r="B488" s="18">
        <v>100</v>
      </c>
      <c r="C488" s="19">
        <v>100</v>
      </c>
      <c r="D488" s="20">
        <v>10</v>
      </c>
      <c r="E488" s="20">
        <v>10</v>
      </c>
      <c r="F488" s="20">
        <v>10</v>
      </c>
      <c r="G488" s="19">
        <f t="shared" si="38"/>
        <v>172</v>
      </c>
      <c r="H488" s="22">
        <f t="shared" si="39"/>
        <v>487</v>
      </c>
      <c r="I488" s="21">
        <f t="shared" ca="1" si="40"/>
        <v>0</v>
      </c>
      <c r="J488" s="21" t="str">
        <f ca="1">IF(I488=0,"",COUNTIF($I$2:I488,"&gt;0"))</f>
        <v/>
      </c>
      <c r="K488" s="21" t="str">
        <f t="shared" ca="1" si="37"/>
        <v/>
      </c>
    </row>
    <row r="489" spans="1:11" s="18" customFormat="1" ht="14.25" x14ac:dyDescent="0.2">
      <c r="A489" s="18" t="str">
        <f t="shared" si="41"/>
        <v>Eintrag 488</v>
      </c>
      <c r="B489" s="18">
        <v>100</v>
      </c>
      <c r="C489" s="19">
        <v>100</v>
      </c>
      <c r="D489" s="20">
        <v>10</v>
      </c>
      <c r="E489" s="20">
        <v>10</v>
      </c>
      <c r="F489" s="20">
        <v>10</v>
      </c>
      <c r="G489" s="19">
        <f t="shared" si="38"/>
        <v>172</v>
      </c>
      <c r="H489" s="22">
        <f t="shared" si="39"/>
        <v>488</v>
      </c>
      <c r="I489" s="21">
        <f t="shared" ca="1" si="40"/>
        <v>0</v>
      </c>
      <c r="J489" s="21" t="str">
        <f ca="1">IF(I489=0,"",COUNTIF($I$2:I489,"&gt;0"))</f>
        <v/>
      </c>
      <c r="K489" s="21" t="str">
        <f t="shared" ca="1" si="37"/>
        <v/>
      </c>
    </row>
    <row r="490" spans="1:11" s="18" customFormat="1" ht="14.25" x14ac:dyDescent="0.2">
      <c r="A490" s="18" t="str">
        <f t="shared" si="41"/>
        <v>Eintrag 489</v>
      </c>
      <c r="B490" s="18">
        <v>100</v>
      </c>
      <c r="C490" s="19">
        <v>100</v>
      </c>
      <c r="D490" s="20">
        <v>10</v>
      </c>
      <c r="E490" s="20">
        <v>10</v>
      </c>
      <c r="F490" s="20">
        <v>10</v>
      </c>
      <c r="G490" s="19">
        <f t="shared" si="38"/>
        <v>172</v>
      </c>
      <c r="H490" s="22">
        <f t="shared" si="39"/>
        <v>489</v>
      </c>
      <c r="I490" s="21">
        <f t="shared" ca="1" si="40"/>
        <v>0</v>
      </c>
      <c r="J490" s="21" t="str">
        <f ca="1">IF(I490=0,"",COUNTIF($I$2:I490,"&gt;0"))</f>
        <v/>
      </c>
      <c r="K490" s="21" t="str">
        <f t="shared" ca="1" si="37"/>
        <v/>
      </c>
    </row>
    <row r="491" spans="1:11" s="18" customFormat="1" ht="14.25" x14ac:dyDescent="0.2">
      <c r="A491" s="18" t="str">
        <f t="shared" si="41"/>
        <v>Eintrag 490</v>
      </c>
      <c r="B491" s="18">
        <v>100</v>
      </c>
      <c r="C491" s="19">
        <v>100</v>
      </c>
      <c r="D491" s="20">
        <v>10</v>
      </c>
      <c r="E491" s="20">
        <v>10</v>
      </c>
      <c r="F491" s="20">
        <v>10</v>
      </c>
      <c r="G491" s="19">
        <f t="shared" si="38"/>
        <v>172</v>
      </c>
      <c r="H491" s="22">
        <f t="shared" si="39"/>
        <v>490</v>
      </c>
      <c r="I491" s="21">
        <f t="shared" ca="1" si="40"/>
        <v>0</v>
      </c>
      <c r="J491" s="21" t="str">
        <f ca="1">IF(I491=0,"",COUNTIF($I$2:I491,"&gt;0"))</f>
        <v/>
      </c>
      <c r="K491" s="21" t="str">
        <f t="shared" ca="1" si="37"/>
        <v/>
      </c>
    </row>
    <row r="492" spans="1:11" s="18" customFormat="1" ht="14.25" x14ac:dyDescent="0.2">
      <c r="A492" s="18" t="str">
        <f t="shared" si="41"/>
        <v>Eintrag 491</v>
      </c>
      <c r="B492" s="18">
        <v>100</v>
      </c>
      <c r="C492" s="19">
        <v>100</v>
      </c>
      <c r="D492" s="20">
        <v>10</v>
      </c>
      <c r="E492" s="20">
        <v>10</v>
      </c>
      <c r="F492" s="20">
        <v>10</v>
      </c>
      <c r="G492" s="19">
        <f t="shared" si="38"/>
        <v>172</v>
      </c>
      <c r="H492" s="22">
        <f t="shared" si="39"/>
        <v>491</v>
      </c>
      <c r="I492" s="21">
        <f t="shared" ca="1" si="40"/>
        <v>0</v>
      </c>
      <c r="J492" s="21" t="str">
        <f ca="1">IF(I492=0,"",COUNTIF($I$2:I492,"&gt;0"))</f>
        <v/>
      </c>
      <c r="K492" s="21" t="str">
        <f t="shared" ca="1" si="37"/>
        <v/>
      </c>
    </row>
    <row r="493" spans="1:11" s="18" customFormat="1" ht="14.25" x14ac:dyDescent="0.2">
      <c r="A493" s="18" t="str">
        <f t="shared" si="41"/>
        <v>Eintrag 492</v>
      </c>
      <c r="B493" s="18">
        <v>100</v>
      </c>
      <c r="C493" s="19">
        <v>100</v>
      </c>
      <c r="D493" s="20">
        <v>10</v>
      </c>
      <c r="E493" s="20">
        <v>10</v>
      </c>
      <c r="F493" s="20">
        <v>10</v>
      </c>
      <c r="G493" s="19">
        <f t="shared" si="38"/>
        <v>172</v>
      </c>
      <c r="H493" s="22">
        <f t="shared" si="39"/>
        <v>492</v>
      </c>
      <c r="I493" s="21">
        <f t="shared" ca="1" si="40"/>
        <v>0</v>
      </c>
      <c r="J493" s="21" t="str">
        <f ca="1">IF(I493=0,"",COUNTIF($I$2:I493,"&gt;0"))</f>
        <v/>
      </c>
      <c r="K493" s="21" t="str">
        <f t="shared" ca="1" si="37"/>
        <v/>
      </c>
    </row>
    <row r="494" spans="1:11" s="18" customFormat="1" ht="14.25" x14ac:dyDescent="0.2">
      <c r="A494" s="18" t="str">
        <f t="shared" si="41"/>
        <v>Eintrag 493</v>
      </c>
      <c r="B494" s="18">
        <v>100</v>
      </c>
      <c r="C494" s="19">
        <v>100</v>
      </c>
      <c r="D494" s="20">
        <v>10</v>
      </c>
      <c r="E494" s="20">
        <v>10</v>
      </c>
      <c r="F494" s="20">
        <v>10</v>
      </c>
      <c r="G494" s="19">
        <f t="shared" si="38"/>
        <v>172</v>
      </c>
      <c r="H494" s="22">
        <f t="shared" si="39"/>
        <v>493</v>
      </c>
      <c r="I494" s="21">
        <f t="shared" ca="1" si="40"/>
        <v>0</v>
      </c>
      <c r="J494" s="21" t="str">
        <f ca="1">IF(I494=0,"",COUNTIF($I$2:I494,"&gt;0"))</f>
        <v/>
      </c>
      <c r="K494" s="21" t="str">
        <f t="shared" ca="1" si="37"/>
        <v/>
      </c>
    </row>
    <row r="495" spans="1:11" s="18" customFormat="1" ht="14.25" x14ac:dyDescent="0.2">
      <c r="A495" s="18" t="str">
        <f t="shared" si="41"/>
        <v>Eintrag 494</v>
      </c>
      <c r="B495" s="18">
        <v>100</v>
      </c>
      <c r="C495" s="19">
        <v>100</v>
      </c>
      <c r="D495" s="20">
        <v>10</v>
      </c>
      <c r="E495" s="20">
        <v>10</v>
      </c>
      <c r="F495" s="20">
        <v>10</v>
      </c>
      <c r="G495" s="19">
        <f t="shared" si="38"/>
        <v>172</v>
      </c>
      <c r="H495" s="22">
        <f t="shared" si="39"/>
        <v>494</v>
      </c>
      <c r="I495" s="21">
        <f t="shared" ca="1" si="40"/>
        <v>0</v>
      </c>
      <c r="J495" s="21" t="str">
        <f ca="1">IF(I495=0,"",COUNTIF($I$2:I495,"&gt;0"))</f>
        <v/>
      </c>
      <c r="K495" s="21" t="str">
        <f t="shared" ca="1" si="37"/>
        <v/>
      </c>
    </row>
    <row r="496" spans="1:11" s="18" customFormat="1" ht="14.25" x14ac:dyDescent="0.2">
      <c r="A496" s="18" t="str">
        <f t="shared" si="41"/>
        <v>Eintrag 495</v>
      </c>
      <c r="B496" s="18">
        <v>100</v>
      </c>
      <c r="C496" s="19">
        <v>100</v>
      </c>
      <c r="D496" s="20">
        <v>10</v>
      </c>
      <c r="E496" s="20">
        <v>10</v>
      </c>
      <c r="F496" s="20">
        <v>10</v>
      </c>
      <c r="G496" s="19">
        <f t="shared" si="38"/>
        <v>172</v>
      </c>
      <c r="H496" s="22">
        <f t="shared" si="39"/>
        <v>495</v>
      </c>
      <c r="I496" s="21">
        <f t="shared" ca="1" si="40"/>
        <v>0</v>
      </c>
      <c r="J496" s="21" t="str">
        <f ca="1">IF(I496=0,"",COUNTIF($I$2:I496,"&gt;0"))</f>
        <v/>
      </c>
      <c r="K496" s="21" t="str">
        <f t="shared" ca="1" si="37"/>
        <v/>
      </c>
    </row>
    <row r="497" spans="1:11" s="18" customFormat="1" ht="14.25" x14ac:dyDescent="0.2">
      <c r="A497" s="18" t="str">
        <f t="shared" si="41"/>
        <v>Eintrag 496</v>
      </c>
      <c r="B497" s="18">
        <v>100</v>
      </c>
      <c r="C497" s="19">
        <v>100</v>
      </c>
      <c r="D497" s="20">
        <v>10</v>
      </c>
      <c r="E497" s="20">
        <v>10</v>
      </c>
      <c r="F497" s="20">
        <v>10</v>
      </c>
      <c r="G497" s="19">
        <f t="shared" si="38"/>
        <v>172</v>
      </c>
      <c r="H497" s="22">
        <f t="shared" si="39"/>
        <v>496</v>
      </c>
      <c r="I497" s="21">
        <f t="shared" ca="1" si="40"/>
        <v>0</v>
      </c>
      <c r="J497" s="21" t="str">
        <f ca="1">IF(I497=0,"",COUNTIF($I$2:I497,"&gt;0"))</f>
        <v/>
      </c>
      <c r="K497" s="21" t="str">
        <f t="shared" ca="1" si="37"/>
        <v/>
      </c>
    </row>
    <row r="498" spans="1:11" s="18" customFormat="1" ht="14.25" x14ac:dyDescent="0.2">
      <c r="A498" s="18" t="str">
        <f t="shared" si="41"/>
        <v>Eintrag 497</v>
      </c>
      <c r="B498" s="18">
        <v>100</v>
      </c>
      <c r="C498" s="19">
        <v>100</v>
      </c>
      <c r="D498" s="20">
        <v>10</v>
      </c>
      <c r="E498" s="20">
        <v>10</v>
      </c>
      <c r="F498" s="20">
        <v>10</v>
      </c>
      <c r="G498" s="19">
        <f t="shared" si="38"/>
        <v>172</v>
      </c>
      <c r="H498" s="22">
        <f t="shared" si="39"/>
        <v>497</v>
      </c>
      <c r="I498" s="21">
        <f t="shared" ca="1" si="40"/>
        <v>0</v>
      </c>
      <c r="J498" s="21" t="str">
        <f ca="1">IF(I498=0,"",COUNTIF($I$2:I498,"&gt;0"))</f>
        <v/>
      </c>
      <c r="K498" s="21" t="str">
        <f t="shared" ca="1" si="37"/>
        <v/>
      </c>
    </row>
    <row r="499" spans="1:11" s="18" customFormat="1" ht="14.25" x14ac:dyDescent="0.2">
      <c r="A499" s="18" t="str">
        <f t="shared" si="41"/>
        <v>Eintrag 498</v>
      </c>
      <c r="B499" s="18">
        <v>100</v>
      </c>
      <c r="C499" s="19">
        <v>100</v>
      </c>
      <c r="D499" s="20">
        <v>10</v>
      </c>
      <c r="E499" s="20">
        <v>10</v>
      </c>
      <c r="F499" s="20">
        <v>10</v>
      </c>
      <c r="G499" s="19">
        <f t="shared" si="38"/>
        <v>172</v>
      </c>
      <c r="H499" s="22">
        <f t="shared" si="39"/>
        <v>498</v>
      </c>
      <c r="I499" s="21">
        <f t="shared" ref="I499:I500" ca="1" si="42">IFERROR(SEARCH(INDIRECT(CELL("address")),A499),0)</f>
        <v>0</v>
      </c>
      <c r="J499" s="21" t="str">
        <f ca="1">IF(I499=0,"",COUNTIF($I$2:I499,"&gt;0"))</f>
        <v/>
      </c>
      <c r="K499" s="21" t="str">
        <f t="shared" ca="1" si="37"/>
        <v/>
      </c>
    </row>
    <row r="500" spans="1:11" s="18" customFormat="1" ht="14.25" x14ac:dyDescent="0.2">
      <c r="A500" s="18" t="str">
        <f t="shared" si="41"/>
        <v>Eintrag 499</v>
      </c>
      <c r="B500" s="18">
        <v>100</v>
      </c>
      <c r="C500" s="19">
        <v>100</v>
      </c>
      <c r="D500" s="20">
        <v>10</v>
      </c>
      <c r="E500" s="20">
        <v>10</v>
      </c>
      <c r="F500" s="20">
        <v>10</v>
      </c>
      <c r="G500" s="19">
        <f t="shared" si="38"/>
        <v>172</v>
      </c>
      <c r="H500" s="22">
        <f t="shared" si="39"/>
        <v>499</v>
      </c>
      <c r="I500" s="21">
        <f t="shared" ca="1" si="42"/>
        <v>0</v>
      </c>
      <c r="J500" s="21" t="str">
        <f ca="1">IF(I500=0,"",COUNTIF($I$2:I500,"&gt;0"))</f>
        <v/>
      </c>
      <c r="K500" s="21" t="str">
        <f t="shared" ca="1" si="37"/>
        <v/>
      </c>
    </row>
    <row r="501" spans="1:11" s="18" customFormat="1" ht="14.25" x14ac:dyDescent="0.2">
      <c r="A501" s="18" t="str">
        <f t="shared" ref="A501:A564" si="43">CONCATENATE("Eintrag ",H501)</f>
        <v>Eintrag 500</v>
      </c>
      <c r="B501" s="18">
        <v>100</v>
      </c>
      <c r="C501" s="19">
        <v>100</v>
      </c>
      <c r="D501" s="20">
        <v>10</v>
      </c>
      <c r="E501" s="20">
        <v>10</v>
      </c>
      <c r="F501" s="20">
        <v>10</v>
      </c>
      <c r="G501" s="19">
        <f t="shared" si="38"/>
        <v>172</v>
      </c>
      <c r="H501" s="22">
        <f t="shared" si="39"/>
        <v>500</v>
      </c>
      <c r="I501" s="21">
        <f t="shared" ref="I501:I564" ca="1" si="44">IFERROR(SEARCH(INDIRECT(CELL("address")),A501),0)</f>
        <v>0</v>
      </c>
      <c r="J501" s="21" t="str">
        <f ca="1">IF(I501=0,"",COUNTIF($I$2:I501,"&gt;0"))</f>
        <v/>
      </c>
      <c r="K501" s="21" t="str">
        <f t="shared" ca="1" si="37"/>
        <v/>
      </c>
    </row>
    <row r="502" spans="1:11" s="18" customFormat="1" ht="14.25" x14ac:dyDescent="0.2">
      <c r="A502" s="18" t="str">
        <f t="shared" si="43"/>
        <v>Eintrag 501</v>
      </c>
      <c r="B502" s="18">
        <v>100</v>
      </c>
      <c r="C502" s="19">
        <v>100</v>
      </c>
      <c r="D502" s="20">
        <v>10</v>
      </c>
      <c r="E502" s="20">
        <v>10</v>
      </c>
      <c r="F502" s="20">
        <v>10</v>
      </c>
      <c r="G502" s="19">
        <f t="shared" si="38"/>
        <v>172</v>
      </c>
      <c r="H502" s="22">
        <f t="shared" si="39"/>
        <v>501</v>
      </c>
      <c r="I502" s="21">
        <f t="shared" ca="1" si="44"/>
        <v>0</v>
      </c>
      <c r="J502" s="21" t="str">
        <f ca="1">IF(I502=0,"",COUNTIF($I$2:I502,"&gt;0"))</f>
        <v/>
      </c>
      <c r="K502" s="21" t="str">
        <f t="shared" ca="1" si="37"/>
        <v/>
      </c>
    </row>
    <row r="503" spans="1:11" s="18" customFormat="1" ht="14.25" x14ac:dyDescent="0.2">
      <c r="A503" s="18" t="str">
        <f t="shared" si="43"/>
        <v>Eintrag 502</v>
      </c>
      <c r="B503" s="18">
        <v>100</v>
      </c>
      <c r="C503" s="19">
        <v>100</v>
      </c>
      <c r="D503" s="20">
        <v>10</v>
      </c>
      <c r="E503" s="20">
        <v>10</v>
      </c>
      <c r="F503" s="20">
        <v>10</v>
      </c>
      <c r="G503" s="19">
        <f t="shared" si="38"/>
        <v>172</v>
      </c>
      <c r="H503" s="22">
        <f t="shared" si="39"/>
        <v>502</v>
      </c>
      <c r="I503" s="21">
        <f t="shared" ca="1" si="44"/>
        <v>0</v>
      </c>
      <c r="J503" s="21" t="str">
        <f ca="1">IF(I503=0,"",COUNTIF($I$2:I503,"&gt;0"))</f>
        <v/>
      </c>
      <c r="K503" s="21" t="str">
        <f t="shared" ca="1" si="37"/>
        <v/>
      </c>
    </row>
    <row r="504" spans="1:11" s="18" customFormat="1" ht="14.25" x14ac:dyDescent="0.2">
      <c r="A504" s="18" t="str">
        <f t="shared" si="43"/>
        <v>Eintrag 503</v>
      </c>
      <c r="B504" s="18">
        <v>100</v>
      </c>
      <c r="C504" s="19">
        <v>100</v>
      </c>
      <c r="D504" s="20">
        <v>10</v>
      </c>
      <c r="E504" s="20">
        <v>10</v>
      </c>
      <c r="F504" s="20">
        <v>10</v>
      </c>
      <c r="G504" s="19">
        <f t="shared" si="38"/>
        <v>172</v>
      </c>
      <c r="H504" s="22">
        <f t="shared" si="39"/>
        <v>503</v>
      </c>
      <c r="I504" s="21">
        <f t="shared" ca="1" si="44"/>
        <v>0</v>
      </c>
      <c r="J504" s="21" t="str">
        <f ca="1">IF(I504=0,"",COUNTIF($I$2:I504,"&gt;0"))</f>
        <v/>
      </c>
      <c r="K504" s="21" t="str">
        <f t="shared" ca="1" si="37"/>
        <v/>
      </c>
    </row>
    <row r="505" spans="1:11" s="18" customFormat="1" ht="14.25" x14ac:dyDescent="0.2">
      <c r="A505" s="18" t="str">
        <f t="shared" si="43"/>
        <v>Eintrag 504</v>
      </c>
      <c r="B505" s="18">
        <v>100</v>
      </c>
      <c r="C505" s="19">
        <v>100</v>
      </c>
      <c r="D505" s="20">
        <v>10</v>
      </c>
      <c r="E505" s="20">
        <v>10</v>
      </c>
      <c r="F505" s="20">
        <v>10</v>
      </c>
      <c r="G505" s="19">
        <f t="shared" si="38"/>
        <v>172</v>
      </c>
      <c r="H505" s="22">
        <f t="shared" si="39"/>
        <v>504</v>
      </c>
      <c r="I505" s="21">
        <f t="shared" ca="1" si="44"/>
        <v>0</v>
      </c>
      <c r="J505" s="21" t="str">
        <f ca="1">IF(I505=0,"",COUNTIF($I$2:I505,"&gt;0"))</f>
        <v/>
      </c>
      <c r="K505" s="21" t="str">
        <f t="shared" ca="1" si="37"/>
        <v/>
      </c>
    </row>
    <row r="506" spans="1:11" s="18" customFormat="1" ht="14.25" x14ac:dyDescent="0.2">
      <c r="A506" s="18" t="str">
        <f t="shared" si="43"/>
        <v>Eintrag 505</v>
      </c>
      <c r="B506" s="18">
        <v>100</v>
      </c>
      <c r="C506" s="19">
        <v>100</v>
      </c>
      <c r="D506" s="20">
        <v>10</v>
      </c>
      <c r="E506" s="20">
        <v>10</v>
      </c>
      <c r="F506" s="20">
        <v>10</v>
      </c>
      <c r="G506" s="19">
        <f t="shared" si="38"/>
        <v>172</v>
      </c>
      <c r="H506" s="22">
        <f t="shared" si="39"/>
        <v>505</v>
      </c>
      <c r="I506" s="21">
        <f t="shared" ca="1" si="44"/>
        <v>0</v>
      </c>
      <c r="J506" s="21" t="str">
        <f ca="1">IF(I506=0,"",COUNTIF($I$2:I506,"&gt;0"))</f>
        <v/>
      </c>
      <c r="K506" s="21" t="str">
        <f t="shared" ca="1" si="37"/>
        <v/>
      </c>
    </row>
    <row r="507" spans="1:11" s="18" customFormat="1" ht="14.25" x14ac:dyDescent="0.2">
      <c r="A507" s="18" t="str">
        <f t="shared" si="43"/>
        <v>Eintrag 506</v>
      </c>
      <c r="B507" s="18">
        <v>100</v>
      </c>
      <c r="C507" s="19">
        <v>100</v>
      </c>
      <c r="D507" s="20">
        <v>10</v>
      </c>
      <c r="E507" s="20">
        <v>10</v>
      </c>
      <c r="F507" s="20">
        <v>10</v>
      </c>
      <c r="G507" s="19">
        <f t="shared" si="38"/>
        <v>172</v>
      </c>
      <c r="H507" s="22">
        <f t="shared" si="39"/>
        <v>506</v>
      </c>
      <c r="I507" s="21">
        <f t="shared" ca="1" si="44"/>
        <v>0</v>
      </c>
      <c r="J507" s="21" t="str">
        <f ca="1">IF(I507=0,"",COUNTIF($I$2:I507,"&gt;0"))</f>
        <v/>
      </c>
      <c r="K507" s="21" t="str">
        <f t="shared" ca="1" si="37"/>
        <v/>
      </c>
    </row>
    <row r="508" spans="1:11" s="18" customFormat="1" ht="14.25" x14ac:dyDescent="0.2">
      <c r="A508" s="18" t="str">
        <f t="shared" si="43"/>
        <v>Eintrag 507</v>
      </c>
      <c r="B508" s="18">
        <v>100</v>
      </c>
      <c r="C508" s="19">
        <v>100</v>
      </c>
      <c r="D508" s="20">
        <v>10</v>
      </c>
      <c r="E508" s="20">
        <v>10</v>
      </c>
      <c r="F508" s="20">
        <v>10</v>
      </c>
      <c r="G508" s="19">
        <f t="shared" si="38"/>
        <v>172</v>
      </c>
      <c r="H508" s="22">
        <f t="shared" si="39"/>
        <v>507</v>
      </c>
      <c r="I508" s="21">
        <f t="shared" ca="1" si="44"/>
        <v>0</v>
      </c>
      <c r="J508" s="21" t="str">
        <f ca="1">IF(I508=0,"",COUNTIF($I$2:I508,"&gt;0"))</f>
        <v/>
      </c>
      <c r="K508" s="21" t="str">
        <f t="shared" ca="1" si="37"/>
        <v/>
      </c>
    </row>
    <row r="509" spans="1:11" s="18" customFormat="1" ht="14.25" x14ac:dyDescent="0.2">
      <c r="A509" s="18" t="str">
        <f t="shared" si="43"/>
        <v>Eintrag 508</v>
      </c>
      <c r="B509" s="18">
        <v>100</v>
      </c>
      <c r="C509" s="19">
        <v>100</v>
      </c>
      <c r="D509" s="20">
        <v>10</v>
      </c>
      <c r="E509" s="20">
        <v>10</v>
      </c>
      <c r="F509" s="20">
        <v>10</v>
      </c>
      <c r="G509" s="19">
        <f t="shared" si="38"/>
        <v>172</v>
      </c>
      <c r="H509" s="22">
        <f t="shared" si="39"/>
        <v>508</v>
      </c>
      <c r="I509" s="21">
        <f t="shared" ca="1" si="44"/>
        <v>0</v>
      </c>
      <c r="J509" s="21" t="str">
        <f ca="1">IF(I509=0,"",COUNTIF($I$2:I509,"&gt;0"))</f>
        <v/>
      </c>
      <c r="K509" s="21" t="str">
        <f t="shared" ca="1" si="37"/>
        <v/>
      </c>
    </row>
    <row r="510" spans="1:11" s="18" customFormat="1" ht="14.25" x14ac:dyDescent="0.2">
      <c r="A510" s="18" t="str">
        <f t="shared" si="43"/>
        <v>Eintrag 509</v>
      </c>
      <c r="B510" s="18">
        <v>100</v>
      </c>
      <c r="C510" s="19">
        <v>100</v>
      </c>
      <c r="D510" s="20">
        <v>10</v>
      </c>
      <c r="E510" s="20">
        <v>10</v>
      </c>
      <c r="F510" s="20">
        <v>10</v>
      </c>
      <c r="G510" s="19">
        <f t="shared" si="38"/>
        <v>172</v>
      </c>
      <c r="H510" s="22">
        <f t="shared" si="39"/>
        <v>509</v>
      </c>
      <c r="I510" s="21">
        <f t="shared" ca="1" si="44"/>
        <v>0</v>
      </c>
      <c r="J510" s="21" t="str">
        <f ca="1">IF(I510=0,"",COUNTIF($I$2:I510,"&gt;0"))</f>
        <v/>
      </c>
      <c r="K510" s="21" t="str">
        <f t="shared" ca="1" si="37"/>
        <v/>
      </c>
    </row>
    <row r="511" spans="1:11" s="18" customFormat="1" ht="14.25" x14ac:dyDescent="0.2">
      <c r="A511" s="18" t="str">
        <f t="shared" si="43"/>
        <v>Eintrag 510</v>
      </c>
      <c r="B511" s="18">
        <v>100</v>
      </c>
      <c r="C511" s="19">
        <v>100</v>
      </c>
      <c r="D511" s="20">
        <v>10</v>
      </c>
      <c r="E511" s="20">
        <v>10</v>
      </c>
      <c r="F511" s="20">
        <v>10</v>
      </c>
      <c r="G511" s="19">
        <f t="shared" si="38"/>
        <v>172</v>
      </c>
      <c r="H511" s="22">
        <f t="shared" si="39"/>
        <v>510</v>
      </c>
      <c r="I511" s="21">
        <f t="shared" ca="1" si="44"/>
        <v>0</v>
      </c>
      <c r="J511" s="21" t="str">
        <f ca="1">IF(I511=0,"",COUNTIF($I$2:I511,"&gt;0"))</f>
        <v/>
      </c>
      <c r="K511" s="21" t="str">
        <f t="shared" ca="1" si="37"/>
        <v/>
      </c>
    </row>
    <row r="512" spans="1:11" s="18" customFormat="1" ht="14.25" x14ac:dyDescent="0.2">
      <c r="A512" s="18" t="str">
        <f t="shared" si="43"/>
        <v>Eintrag 511</v>
      </c>
      <c r="B512" s="18">
        <v>100</v>
      </c>
      <c r="C512" s="19">
        <v>100</v>
      </c>
      <c r="D512" s="20">
        <v>10</v>
      </c>
      <c r="E512" s="20">
        <v>10</v>
      </c>
      <c r="F512" s="20">
        <v>10</v>
      </c>
      <c r="G512" s="19">
        <f t="shared" si="38"/>
        <v>172</v>
      </c>
      <c r="H512" s="22">
        <f t="shared" si="39"/>
        <v>511</v>
      </c>
      <c r="I512" s="21">
        <f t="shared" ca="1" si="44"/>
        <v>0</v>
      </c>
      <c r="J512" s="21" t="str">
        <f ca="1">IF(I512=0,"",COUNTIF($I$2:I512,"&gt;0"))</f>
        <v/>
      </c>
      <c r="K512" s="21" t="str">
        <f t="shared" ca="1" si="37"/>
        <v/>
      </c>
    </row>
    <row r="513" spans="1:11" s="18" customFormat="1" ht="14.25" x14ac:dyDescent="0.2">
      <c r="A513" s="18" t="str">
        <f t="shared" si="43"/>
        <v>Eintrag 512</v>
      </c>
      <c r="B513" s="18">
        <v>100</v>
      </c>
      <c r="C513" s="19">
        <v>100</v>
      </c>
      <c r="D513" s="20">
        <v>10</v>
      </c>
      <c r="E513" s="20">
        <v>10</v>
      </c>
      <c r="F513" s="20">
        <v>10</v>
      </c>
      <c r="G513" s="19">
        <f t="shared" si="38"/>
        <v>172</v>
      </c>
      <c r="H513" s="22">
        <f t="shared" si="39"/>
        <v>512</v>
      </c>
      <c r="I513" s="21">
        <f t="shared" ca="1" si="44"/>
        <v>0</v>
      </c>
      <c r="J513" s="21" t="str">
        <f ca="1">IF(I513=0,"",COUNTIF($I$2:I513,"&gt;0"))</f>
        <v/>
      </c>
      <c r="K513" s="21" t="str">
        <f t="shared" ca="1" si="37"/>
        <v/>
      </c>
    </row>
    <row r="514" spans="1:11" s="18" customFormat="1" ht="14.25" x14ac:dyDescent="0.2">
      <c r="A514" s="18" t="str">
        <f t="shared" si="43"/>
        <v>Eintrag 513</v>
      </c>
      <c r="B514" s="18">
        <v>100</v>
      </c>
      <c r="C514" s="19">
        <v>100</v>
      </c>
      <c r="D514" s="20">
        <v>10</v>
      </c>
      <c r="E514" s="20">
        <v>10</v>
      </c>
      <c r="F514" s="20">
        <v>10</v>
      </c>
      <c r="G514" s="19">
        <f t="shared" si="38"/>
        <v>172</v>
      </c>
      <c r="H514" s="22">
        <f t="shared" si="39"/>
        <v>513</v>
      </c>
      <c r="I514" s="21">
        <f t="shared" ca="1" si="44"/>
        <v>0</v>
      </c>
      <c r="J514" s="21" t="str">
        <f ca="1">IF(I514=0,"",COUNTIF($I$2:I514,"&gt;0"))</f>
        <v/>
      </c>
      <c r="K514" s="21" t="str">
        <f t="shared" ref="K514:K577" ca="1" si="45">IFERROR(INDEX(A:A,MATCH(ROW(I513),J:J,0)),"")</f>
        <v/>
      </c>
    </row>
    <row r="515" spans="1:11" s="18" customFormat="1" ht="14.25" x14ac:dyDescent="0.2">
      <c r="A515" s="18" t="str">
        <f t="shared" si="43"/>
        <v>Eintrag 514</v>
      </c>
      <c r="B515" s="18">
        <v>100</v>
      </c>
      <c r="C515" s="19">
        <v>100</v>
      </c>
      <c r="D515" s="20">
        <v>10</v>
      </c>
      <c r="E515" s="20">
        <v>10</v>
      </c>
      <c r="F515" s="20">
        <v>10</v>
      </c>
      <c r="G515" s="19">
        <f t="shared" ref="G515:G578" si="46">D515*9+E515*4.1+F515*4.1</f>
        <v>172</v>
      </c>
      <c r="H515" s="22">
        <f t="shared" si="39"/>
        <v>514</v>
      </c>
      <c r="I515" s="21">
        <f t="shared" ca="1" si="44"/>
        <v>0</v>
      </c>
      <c r="J515" s="21" t="str">
        <f ca="1">IF(I515=0,"",COUNTIF($I$2:I515,"&gt;0"))</f>
        <v/>
      </c>
      <c r="K515" s="21" t="str">
        <f t="shared" ca="1" si="45"/>
        <v/>
      </c>
    </row>
    <row r="516" spans="1:11" s="18" customFormat="1" ht="14.25" x14ac:dyDescent="0.2">
      <c r="A516" s="18" t="str">
        <f t="shared" si="43"/>
        <v>Eintrag 515</v>
      </c>
      <c r="B516" s="18">
        <v>100</v>
      </c>
      <c r="C516" s="19">
        <v>100</v>
      </c>
      <c r="D516" s="20">
        <v>10</v>
      </c>
      <c r="E516" s="20">
        <v>10</v>
      </c>
      <c r="F516" s="20">
        <v>10</v>
      </c>
      <c r="G516" s="19">
        <f t="shared" si="46"/>
        <v>172</v>
      </c>
      <c r="H516" s="22">
        <f t="shared" si="39"/>
        <v>515</v>
      </c>
      <c r="I516" s="21">
        <f t="shared" ca="1" si="44"/>
        <v>0</v>
      </c>
      <c r="J516" s="21" t="str">
        <f ca="1">IF(I516=0,"",COUNTIF($I$2:I516,"&gt;0"))</f>
        <v/>
      </c>
      <c r="K516" s="21" t="str">
        <f t="shared" ca="1" si="45"/>
        <v/>
      </c>
    </row>
    <row r="517" spans="1:11" s="18" customFormat="1" ht="14.25" x14ac:dyDescent="0.2">
      <c r="A517" s="18" t="str">
        <f t="shared" si="43"/>
        <v>Eintrag 516</v>
      </c>
      <c r="B517" s="18">
        <v>100</v>
      </c>
      <c r="C517" s="19">
        <v>100</v>
      </c>
      <c r="D517" s="20">
        <v>10</v>
      </c>
      <c r="E517" s="20">
        <v>10</v>
      </c>
      <c r="F517" s="20">
        <v>10</v>
      </c>
      <c r="G517" s="19">
        <f t="shared" si="46"/>
        <v>172</v>
      </c>
      <c r="H517" s="22">
        <f t="shared" si="39"/>
        <v>516</v>
      </c>
      <c r="I517" s="21">
        <f t="shared" ca="1" si="44"/>
        <v>0</v>
      </c>
      <c r="J517" s="21" t="str">
        <f ca="1">IF(I517=0,"",COUNTIF($I$2:I517,"&gt;0"))</f>
        <v/>
      </c>
      <c r="K517" s="21" t="str">
        <f t="shared" ca="1" si="45"/>
        <v/>
      </c>
    </row>
    <row r="518" spans="1:11" s="18" customFormat="1" ht="14.25" x14ac:dyDescent="0.2">
      <c r="A518" s="18" t="str">
        <f t="shared" si="43"/>
        <v>Eintrag 517</v>
      </c>
      <c r="B518" s="18">
        <v>100</v>
      </c>
      <c r="C518" s="19">
        <v>100</v>
      </c>
      <c r="D518" s="20">
        <v>10</v>
      </c>
      <c r="E518" s="20">
        <v>10</v>
      </c>
      <c r="F518" s="20">
        <v>10</v>
      </c>
      <c r="G518" s="19">
        <f t="shared" si="46"/>
        <v>172</v>
      </c>
      <c r="H518" s="22">
        <f t="shared" si="39"/>
        <v>517</v>
      </c>
      <c r="I518" s="21">
        <f t="shared" ca="1" si="44"/>
        <v>0</v>
      </c>
      <c r="J518" s="21" t="str">
        <f ca="1">IF(I518=0,"",COUNTIF($I$2:I518,"&gt;0"))</f>
        <v/>
      </c>
      <c r="K518" s="21" t="str">
        <f t="shared" ca="1" si="45"/>
        <v/>
      </c>
    </row>
    <row r="519" spans="1:11" s="18" customFormat="1" ht="14.25" x14ac:dyDescent="0.2">
      <c r="A519" s="18" t="str">
        <f t="shared" si="43"/>
        <v>Eintrag 518</v>
      </c>
      <c r="B519" s="18">
        <v>100</v>
      </c>
      <c r="C519" s="19">
        <v>100</v>
      </c>
      <c r="D519" s="20">
        <v>10</v>
      </c>
      <c r="E519" s="20">
        <v>10</v>
      </c>
      <c r="F519" s="20">
        <v>10</v>
      </c>
      <c r="G519" s="19">
        <f t="shared" si="46"/>
        <v>172</v>
      </c>
      <c r="H519" s="22">
        <f t="shared" si="39"/>
        <v>518</v>
      </c>
      <c r="I519" s="21">
        <f t="shared" ca="1" si="44"/>
        <v>0</v>
      </c>
      <c r="J519" s="21" t="str">
        <f ca="1">IF(I519=0,"",COUNTIF($I$2:I519,"&gt;0"))</f>
        <v/>
      </c>
      <c r="K519" s="21" t="str">
        <f t="shared" ca="1" si="45"/>
        <v/>
      </c>
    </row>
    <row r="520" spans="1:11" s="18" customFormat="1" ht="14.25" x14ac:dyDescent="0.2">
      <c r="A520" s="18" t="str">
        <f t="shared" si="43"/>
        <v>Eintrag 519</v>
      </c>
      <c r="B520" s="18">
        <v>100</v>
      </c>
      <c r="C520" s="19">
        <v>100</v>
      </c>
      <c r="D520" s="20">
        <v>10</v>
      </c>
      <c r="E520" s="20">
        <v>10</v>
      </c>
      <c r="F520" s="20">
        <v>10</v>
      </c>
      <c r="G520" s="19">
        <f t="shared" si="46"/>
        <v>172</v>
      </c>
      <c r="H520" s="22">
        <f t="shared" si="39"/>
        <v>519</v>
      </c>
      <c r="I520" s="21">
        <f t="shared" ca="1" si="44"/>
        <v>0</v>
      </c>
      <c r="J520" s="21" t="str">
        <f ca="1">IF(I520=0,"",COUNTIF($I$2:I520,"&gt;0"))</f>
        <v/>
      </c>
      <c r="K520" s="21" t="str">
        <f t="shared" ca="1" si="45"/>
        <v/>
      </c>
    </row>
    <row r="521" spans="1:11" s="18" customFormat="1" ht="14.25" x14ac:dyDescent="0.2">
      <c r="A521" s="18" t="str">
        <f t="shared" si="43"/>
        <v>Eintrag 520</v>
      </c>
      <c r="B521" s="18">
        <v>100</v>
      </c>
      <c r="C521" s="19">
        <v>100</v>
      </c>
      <c r="D521" s="20">
        <v>10</v>
      </c>
      <c r="E521" s="20">
        <v>10</v>
      </c>
      <c r="F521" s="20">
        <v>10</v>
      </c>
      <c r="G521" s="19">
        <f t="shared" si="46"/>
        <v>172</v>
      </c>
      <c r="H521" s="22">
        <f t="shared" si="39"/>
        <v>520</v>
      </c>
      <c r="I521" s="21">
        <f t="shared" ca="1" si="44"/>
        <v>0</v>
      </c>
      <c r="J521" s="21" t="str">
        <f ca="1">IF(I521=0,"",COUNTIF($I$2:I521,"&gt;0"))</f>
        <v/>
      </c>
      <c r="K521" s="21" t="str">
        <f t="shared" ca="1" si="45"/>
        <v/>
      </c>
    </row>
    <row r="522" spans="1:11" s="18" customFormat="1" ht="14.25" x14ac:dyDescent="0.2">
      <c r="A522" s="18" t="str">
        <f t="shared" si="43"/>
        <v>Eintrag 521</v>
      </c>
      <c r="B522" s="18">
        <v>100</v>
      </c>
      <c r="C522" s="19">
        <v>100</v>
      </c>
      <c r="D522" s="20">
        <v>10</v>
      </c>
      <c r="E522" s="20">
        <v>10</v>
      </c>
      <c r="F522" s="20">
        <v>10</v>
      </c>
      <c r="G522" s="19">
        <f t="shared" si="46"/>
        <v>172</v>
      </c>
      <c r="H522" s="22">
        <f t="shared" si="39"/>
        <v>521</v>
      </c>
      <c r="I522" s="21">
        <f t="shared" ca="1" si="44"/>
        <v>0</v>
      </c>
      <c r="J522" s="21" t="str">
        <f ca="1">IF(I522=0,"",COUNTIF($I$2:I522,"&gt;0"))</f>
        <v/>
      </c>
      <c r="K522" s="21" t="str">
        <f t="shared" ca="1" si="45"/>
        <v/>
      </c>
    </row>
    <row r="523" spans="1:11" s="18" customFormat="1" ht="14.25" x14ac:dyDescent="0.2">
      <c r="A523" s="18" t="str">
        <f t="shared" si="43"/>
        <v>Eintrag 522</v>
      </c>
      <c r="B523" s="18">
        <v>100</v>
      </c>
      <c r="C523" s="19">
        <v>100</v>
      </c>
      <c r="D523" s="20">
        <v>10</v>
      </c>
      <c r="E523" s="20">
        <v>10</v>
      </c>
      <c r="F523" s="20">
        <v>10</v>
      </c>
      <c r="G523" s="19">
        <f t="shared" si="46"/>
        <v>172</v>
      </c>
      <c r="H523" s="22">
        <f t="shared" si="39"/>
        <v>522</v>
      </c>
      <c r="I523" s="21">
        <f t="shared" ca="1" si="44"/>
        <v>0</v>
      </c>
      <c r="J523" s="21" t="str">
        <f ca="1">IF(I523=0,"",COUNTIF($I$2:I523,"&gt;0"))</f>
        <v/>
      </c>
      <c r="K523" s="21" t="str">
        <f t="shared" ca="1" si="45"/>
        <v/>
      </c>
    </row>
    <row r="524" spans="1:11" s="18" customFormat="1" ht="14.25" x14ac:dyDescent="0.2">
      <c r="A524" s="18" t="str">
        <f t="shared" si="43"/>
        <v>Eintrag 523</v>
      </c>
      <c r="B524" s="18">
        <v>100</v>
      </c>
      <c r="C524" s="19">
        <v>100</v>
      </c>
      <c r="D524" s="20">
        <v>10</v>
      </c>
      <c r="E524" s="20">
        <v>10</v>
      </c>
      <c r="F524" s="20">
        <v>10</v>
      </c>
      <c r="G524" s="19">
        <f t="shared" si="46"/>
        <v>172</v>
      </c>
      <c r="H524" s="22">
        <f t="shared" si="39"/>
        <v>523</v>
      </c>
      <c r="I524" s="21">
        <f t="shared" ca="1" si="44"/>
        <v>0</v>
      </c>
      <c r="J524" s="21" t="str">
        <f ca="1">IF(I524=0,"",COUNTIF($I$2:I524,"&gt;0"))</f>
        <v/>
      </c>
      <c r="K524" s="21" t="str">
        <f t="shared" ca="1" si="45"/>
        <v/>
      </c>
    </row>
    <row r="525" spans="1:11" s="18" customFormat="1" ht="14.25" x14ac:dyDescent="0.2">
      <c r="A525" s="18" t="str">
        <f t="shared" si="43"/>
        <v>Eintrag 524</v>
      </c>
      <c r="B525" s="18">
        <v>100</v>
      </c>
      <c r="C525" s="19">
        <v>100</v>
      </c>
      <c r="D525" s="20">
        <v>10</v>
      </c>
      <c r="E525" s="20">
        <v>10</v>
      </c>
      <c r="F525" s="20">
        <v>10</v>
      </c>
      <c r="G525" s="19">
        <f t="shared" si="46"/>
        <v>172</v>
      </c>
      <c r="H525" s="22">
        <f t="shared" si="39"/>
        <v>524</v>
      </c>
      <c r="I525" s="21">
        <f t="shared" ca="1" si="44"/>
        <v>0</v>
      </c>
      <c r="J525" s="21" t="str">
        <f ca="1">IF(I525=0,"",COUNTIF($I$2:I525,"&gt;0"))</f>
        <v/>
      </c>
      <c r="K525" s="21" t="str">
        <f t="shared" ca="1" si="45"/>
        <v/>
      </c>
    </row>
    <row r="526" spans="1:11" s="18" customFormat="1" ht="14.25" x14ac:dyDescent="0.2">
      <c r="A526" s="18" t="str">
        <f t="shared" si="43"/>
        <v>Eintrag 525</v>
      </c>
      <c r="B526" s="18">
        <v>100</v>
      </c>
      <c r="C526" s="19">
        <v>100</v>
      </c>
      <c r="D526" s="20">
        <v>10</v>
      </c>
      <c r="E526" s="20">
        <v>10</v>
      </c>
      <c r="F526" s="20">
        <v>10</v>
      </c>
      <c r="G526" s="19">
        <f t="shared" si="46"/>
        <v>172</v>
      </c>
      <c r="H526" s="22">
        <f t="shared" si="39"/>
        <v>525</v>
      </c>
      <c r="I526" s="21">
        <f t="shared" ca="1" si="44"/>
        <v>0</v>
      </c>
      <c r="J526" s="21" t="str">
        <f ca="1">IF(I526=0,"",COUNTIF($I$2:I526,"&gt;0"))</f>
        <v/>
      </c>
      <c r="K526" s="21" t="str">
        <f t="shared" ca="1" si="45"/>
        <v/>
      </c>
    </row>
    <row r="527" spans="1:11" s="18" customFormat="1" ht="14.25" x14ac:dyDescent="0.2">
      <c r="A527" s="18" t="str">
        <f t="shared" si="43"/>
        <v>Eintrag 526</v>
      </c>
      <c r="B527" s="18">
        <v>100</v>
      </c>
      <c r="C527" s="19">
        <v>100</v>
      </c>
      <c r="D527" s="20">
        <v>10</v>
      </c>
      <c r="E527" s="20">
        <v>10</v>
      </c>
      <c r="F527" s="20">
        <v>10</v>
      </c>
      <c r="G527" s="19">
        <f t="shared" si="46"/>
        <v>172</v>
      </c>
      <c r="H527" s="22">
        <f t="shared" si="39"/>
        <v>526</v>
      </c>
      <c r="I527" s="21">
        <f t="shared" ca="1" si="44"/>
        <v>0</v>
      </c>
      <c r="J527" s="21" t="str">
        <f ca="1">IF(I527=0,"",COUNTIF($I$2:I527,"&gt;0"))</f>
        <v/>
      </c>
      <c r="K527" s="21" t="str">
        <f t="shared" ca="1" si="45"/>
        <v/>
      </c>
    </row>
    <row r="528" spans="1:11" s="18" customFormat="1" ht="14.25" x14ac:dyDescent="0.2">
      <c r="A528" s="18" t="str">
        <f t="shared" si="43"/>
        <v>Eintrag 527</v>
      </c>
      <c r="B528" s="18">
        <v>100</v>
      </c>
      <c r="C528" s="19">
        <v>100</v>
      </c>
      <c r="D528" s="20">
        <v>10</v>
      </c>
      <c r="E528" s="20">
        <v>10</v>
      </c>
      <c r="F528" s="20">
        <v>10</v>
      </c>
      <c r="G528" s="19">
        <f t="shared" si="46"/>
        <v>172</v>
      </c>
      <c r="H528" s="22">
        <f t="shared" si="39"/>
        <v>527</v>
      </c>
      <c r="I528" s="21">
        <f t="shared" ca="1" si="44"/>
        <v>0</v>
      </c>
      <c r="J528" s="21" t="str">
        <f ca="1">IF(I528=0,"",COUNTIF($I$2:I528,"&gt;0"))</f>
        <v/>
      </c>
      <c r="K528" s="21" t="str">
        <f t="shared" ca="1" si="45"/>
        <v/>
      </c>
    </row>
    <row r="529" spans="1:11" s="18" customFormat="1" ht="14.25" x14ac:dyDescent="0.2">
      <c r="A529" s="18" t="str">
        <f t="shared" si="43"/>
        <v>Eintrag 528</v>
      </c>
      <c r="B529" s="18">
        <v>100</v>
      </c>
      <c r="C529" s="19">
        <v>100</v>
      </c>
      <c r="D529" s="20">
        <v>10</v>
      </c>
      <c r="E529" s="20">
        <v>10</v>
      </c>
      <c r="F529" s="20">
        <v>10</v>
      </c>
      <c r="G529" s="19">
        <f t="shared" si="46"/>
        <v>172</v>
      </c>
      <c r="H529" s="22">
        <f t="shared" si="39"/>
        <v>528</v>
      </c>
      <c r="I529" s="21">
        <f t="shared" ca="1" si="44"/>
        <v>0</v>
      </c>
      <c r="J529" s="21" t="str">
        <f ca="1">IF(I529=0,"",COUNTIF($I$2:I529,"&gt;0"))</f>
        <v/>
      </c>
      <c r="K529" s="21" t="str">
        <f t="shared" ca="1" si="45"/>
        <v/>
      </c>
    </row>
    <row r="530" spans="1:11" s="18" customFormat="1" ht="14.25" x14ac:dyDescent="0.2">
      <c r="A530" s="18" t="str">
        <f t="shared" si="43"/>
        <v>Eintrag 529</v>
      </c>
      <c r="B530" s="18">
        <v>100</v>
      </c>
      <c r="C530" s="19">
        <v>100</v>
      </c>
      <c r="D530" s="20">
        <v>10</v>
      </c>
      <c r="E530" s="20">
        <v>10</v>
      </c>
      <c r="F530" s="20">
        <v>10</v>
      </c>
      <c r="G530" s="19">
        <f t="shared" si="46"/>
        <v>172</v>
      </c>
      <c r="H530" s="22">
        <f t="shared" si="39"/>
        <v>529</v>
      </c>
      <c r="I530" s="21">
        <f t="shared" ca="1" si="44"/>
        <v>0</v>
      </c>
      <c r="J530" s="21" t="str">
        <f ca="1">IF(I530=0,"",COUNTIF($I$2:I530,"&gt;0"))</f>
        <v/>
      </c>
      <c r="K530" s="21" t="str">
        <f t="shared" ca="1" si="45"/>
        <v/>
      </c>
    </row>
    <row r="531" spans="1:11" s="18" customFormat="1" ht="14.25" x14ac:dyDescent="0.2">
      <c r="A531" s="18" t="str">
        <f t="shared" si="43"/>
        <v>Eintrag 530</v>
      </c>
      <c r="B531" s="18">
        <v>100</v>
      </c>
      <c r="C531" s="19">
        <v>100</v>
      </c>
      <c r="D531" s="20">
        <v>10</v>
      </c>
      <c r="E531" s="20">
        <v>10</v>
      </c>
      <c r="F531" s="20">
        <v>10</v>
      </c>
      <c r="G531" s="19">
        <f t="shared" si="46"/>
        <v>172</v>
      </c>
      <c r="H531" s="22">
        <f t="shared" si="39"/>
        <v>530</v>
      </c>
      <c r="I531" s="21">
        <f t="shared" ca="1" si="44"/>
        <v>0</v>
      </c>
      <c r="J531" s="21" t="str">
        <f ca="1">IF(I531=0,"",COUNTIF($I$2:I531,"&gt;0"))</f>
        <v/>
      </c>
      <c r="K531" s="21" t="str">
        <f t="shared" ca="1" si="45"/>
        <v/>
      </c>
    </row>
    <row r="532" spans="1:11" s="18" customFormat="1" ht="14.25" x14ac:dyDescent="0.2">
      <c r="A532" s="18" t="str">
        <f t="shared" si="43"/>
        <v>Eintrag 531</v>
      </c>
      <c r="B532" s="18">
        <v>100</v>
      </c>
      <c r="C532" s="19">
        <v>100</v>
      </c>
      <c r="D532" s="20">
        <v>10</v>
      </c>
      <c r="E532" s="20">
        <v>10</v>
      </c>
      <c r="F532" s="20">
        <v>10</v>
      </c>
      <c r="G532" s="19">
        <f t="shared" si="46"/>
        <v>172</v>
      </c>
      <c r="H532" s="22">
        <f t="shared" si="39"/>
        <v>531</v>
      </c>
      <c r="I532" s="21">
        <f t="shared" ca="1" si="44"/>
        <v>0</v>
      </c>
      <c r="J532" s="21" t="str">
        <f ca="1">IF(I532=0,"",COUNTIF($I$2:I532,"&gt;0"))</f>
        <v/>
      </c>
      <c r="K532" s="21" t="str">
        <f t="shared" ca="1" si="45"/>
        <v/>
      </c>
    </row>
    <row r="533" spans="1:11" s="18" customFormat="1" ht="14.25" x14ac:dyDescent="0.2">
      <c r="A533" s="18" t="str">
        <f t="shared" si="43"/>
        <v>Eintrag 532</v>
      </c>
      <c r="B533" s="18">
        <v>100</v>
      </c>
      <c r="C533" s="19">
        <v>100</v>
      </c>
      <c r="D533" s="20">
        <v>10</v>
      </c>
      <c r="E533" s="20">
        <v>10</v>
      </c>
      <c r="F533" s="20">
        <v>10</v>
      </c>
      <c r="G533" s="19">
        <f t="shared" si="46"/>
        <v>172</v>
      </c>
      <c r="H533" s="22">
        <f t="shared" si="39"/>
        <v>532</v>
      </c>
      <c r="I533" s="21">
        <f t="shared" ca="1" si="44"/>
        <v>0</v>
      </c>
      <c r="J533" s="21" t="str">
        <f ca="1">IF(I533=0,"",COUNTIF($I$2:I533,"&gt;0"))</f>
        <v/>
      </c>
      <c r="K533" s="21" t="str">
        <f t="shared" ca="1" si="45"/>
        <v/>
      </c>
    </row>
    <row r="534" spans="1:11" s="18" customFormat="1" ht="14.25" x14ac:dyDescent="0.2">
      <c r="A534" s="18" t="str">
        <f t="shared" si="43"/>
        <v>Eintrag 533</v>
      </c>
      <c r="B534" s="18">
        <v>100</v>
      </c>
      <c r="C534" s="19">
        <v>100</v>
      </c>
      <c r="D534" s="20">
        <v>10</v>
      </c>
      <c r="E534" s="20">
        <v>10</v>
      </c>
      <c r="F534" s="20">
        <v>10</v>
      </c>
      <c r="G534" s="19">
        <f t="shared" si="46"/>
        <v>172</v>
      </c>
      <c r="H534" s="22">
        <f t="shared" si="39"/>
        <v>533</v>
      </c>
      <c r="I534" s="21">
        <f t="shared" ca="1" si="44"/>
        <v>0</v>
      </c>
      <c r="J534" s="21" t="str">
        <f ca="1">IF(I534=0,"",COUNTIF($I$2:I534,"&gt;0"))</f>
        <v/>
      </c>
      <c r="K534" s="21" t="str">
        <f t="shared" ca="1" si="45"/>
        <v/>
      </c>
    </row>
    <row r="535" spans="1:11" s="18" customFormat="1" ht="14.25" x14ac:dyDescent="0.2">
      <c r="A535" s="18" t="str">
        <f t="shared" si="43"/>
        <v>Eintrag 534</v>
      </c>
      <c r="B535" s="18">
        <v>100</v>
      </c>
      <c r="C535" s="19">
        <v>100</v>
      </c>
      <c r="D535" s="20">
        <v>10</v>
      </c>
      <c r="E535" s="20">
        <v>10</v>
      </c>
      <c r="F535" s="20">
        <v>10</v>
      </c>
      <c r="G535" s="19">
        <f t="shared" si="46"/>
        <v>172</v>
      </c>
      <c r="H535" s="22">
        <f t="shared" si="39"/>
        <v>534</v>
      </c>
      <c r="I535" s="21">
        <f t="shared" ca="1" si="44"/>
        <v>0</v>
      </c>
      <c r="J535" s="21" t="str">
        <f ca="1">IF(I535=0,"",COUNTIF($I$2:I535,"&gt;0"))</f>
        <v/>
      </c>
      <c r="K535" s="21" t="str">
        <f t="shared" ca="1" si="45"/>
        <v/>
      </c>
    </row>
    <row r="536" spans="1:11" s="18" customFormat="1" ht="14.25" x14ac:dyDescent="0.2">
      <c r="A536" s="18" t="str">
        <f t="shared" si="43"/>
        <v>Eintrag 535</v>
      </c>
      <c r="B536" s="18">
        <v>100</v>
      </c>
      <c r="C536" s="19">
        <v>100</v>
      </c>
      <c r="D536" s="20">
        <v>10</v>
      </c>
      <c r="E536" s="20">
        <v>10</v>
      </c>
      <c r="F536" s="20">
        <v>10</v>
      </c>
      <c r="G536" s="19">
        <f t="shared" si="46"/>
        <v>172</v>
      </c>
      <c r="H536" s="22">
        <f t="shared" si="39"/>
        <v>535</v>
      </c>
      <c r="I536" s="21">
        <f t="shared" ca="1" si="44"/>
        <v>0</v>
      </c>
      <c r="J536" s="21" t="str">
        <f ca="1">IF(I536=0,"",COUNTIF($I$2:I536,"&gt;0"))</f>
        <v/>
      </c>
      <c r="K536" s="21" t="str">
        <f t="shared" ca="1" si="45"/>
        <v/>
      </c>
    </row>
    <row r="537" spans="1:11" s="18" customFormat="1" ht="14.25" x14ac:dyDescent="0.2">
      <c r="A537" s="18" t="str">
        <f t="shared" si="43"/>
        <v>Eintrag 536</v>
      </c>
      <c r="B537" s="18">
        <v>100</v>
      </c>
      <c r="C537" s="19">
        <v>100</v>
      </c>
      <c r="D537" s="20">
        <v>10</v>
      </c>
      <c r="E537" s="20">
        <v>10</v>
      </c>
      <c r="F537" s="20">
        <v>10</v>
      </c>
      <c r="G537" s="19">
        <f t="shared" si="46"/>
        <v>172</v>
      </c>
      <c r="H537" s="22">
        <f t="shared" si="39"/>
        <v>536</v>
      </c>
      <c r="I537" s="21">
        <f t="shared" ca="1" si="44"/>
        <v>0</v>
      </c>
      <c r="J537" s="21" t="str">
        <f ca="1">IF(I537=0,"",COUNTIF($I$2:I537,"&gt;0"))</f>
        <v/>
      </c>
      <c r="K537" s="21" t="str">
        <f t="shared" ca="1" si="45"/>
        <v/>
      </c>
    </row>
    <row r="538" spans="1:11" s="18" customFormat="1" ht="14.25" x14ac:dyDescent="0.2">
      <c r="A538" s="18" t="str">
        <f t="shared" si="43"/>
        <v>Eintrag 537</v>
      </c>
      <c r="B538" s="18">
        <v>100</v>
      </c>
      <c r="C538" s="19">
        <v>100</v>
      </c>
      <c r="D538" s="20">
        <v>10</v>
      </c>
      <c r="E538" s="20">
        <v>10</v>
      </c>
      <c r="F538" s="20">
        <v>10</v>
      </c>
      <c r="G538" s="19">
        <f t="shared" si="46"/>
        <v>172</v>
      </c>
      <c r="H538" s="22">
        <f t="shared" si="39"/>
        <v>537</v>
      </c>
      <c r="I538" s="21">
        <f t="shared" ca="1" si="44"/>
        <v>0</v>
      </c>
      <c r="J538" s="21" t="str">
        <f ca="1">IF(I538=0,"",COUNTIF($I$2:I538,"&gt;0"))</f>
        <v/>
      </c>
      <c r="K538" s="21" t="str">
        <f t="shared" ca="1" si="45"/>
        <v/>
      </c>
    </row>
    <row r="539" spans="1:11" s="18" customFormat="1" ht="14.25" x14ac:dyDescent="0.2">
      <c r="A539" s="18" t="str">
        <f t="shared" si="43"/>
        <v>Eintrag 538</v>
      </c>
      <c r="B539" s="18">
        <v>100</v>
      </c>
      <c r="C539" s="19">
        <v>100</v>
      </c>
      <c r="D539" s="20">
        <v>10</v>
      </c>
      <c r="E539" s="20">
        <v>10</v>
      </c>
      <c r="F539" s="20">
        <v>10</v>
      </c>
      <c r="G539" s="19">
        <f t="shared" si="46"/>
        <v>172</v>
      </c>
      <c r="H539" s="22">
        <f t="shared" si="39"/>
        <v>538</v>
      </c>
      <c r="I539" s="21">
        <f t="shared" ca="1" si="44"/>
        <v>0</v>
      </c>
      <c r="J539" s="21" t="str">
        <f ca="1">IF(I539=0,"",COUNTIF($I$2:I539,"&gt;0"))</f>
        <v/>
      </c>
      <c r="K539" s="21" t="str">
        <f t="shared" ca="1" si="45"/>
        <v/>
      </c>
    </row>
    <row r="540" spans="1:11" s="18" customFormat="1" ht="14.25" x14ac:dyDescent="0.2">
      <c r="A540" s="18" t="str">
        <f t="shared" si="43"/>
        <v>Eintrag 539</v>
      </c>
      <c r="B540" s="18">
        <v>100</v>
      </c>
      <c r="C540" s="19">
        <v>100</v>
      </c>
      <c r="D540" s="20">
        <v>10</v>
      </c>
      <c r="E540" s="20">
        <v>10</v>
      </c>
      <c r="F540" s="20">
        <v>10</v>
      </c>
      <c r="G540" s="19">
        <f t="shared" si="46"/>
        <v>172</v>
      </c>
      <c r="H540" s="22">
        <f t="shared" si="39"/>
        <v>539</v>
      </c>
      <c r="I540" s="21">
        <f t="shared" ca="1" si="44"/>
        <v>0</v>
      </c>
      <c r="J540" s="21" t="str">
        <f ca="1">IF(I540=0,"",COUNTIF($I$2:I540,"&gt;0"))</f>
        <v/>
      </c>
      <c r="K540" s="21" t="str">
        <f t="shared" ca="1" si="45"/>
        <v/>
      </c>
    </row>
    <row r="541" spans="1:11" s="18" customFormat="1" ht="14.25" x14ac:dyDescent="0.2">
      <c r="A541" s="18" t="str">
        <f t="shared" si="43"/>
        <v>Eintrag 540</v>
      </c>
      <c r="B541" s="18">
        <v>100</v>
      </c>
      <c r="C541" s="19">
        <v>100</v>
      </c>
      <c r="D541" s="20">
        <v>10</v>
      </c>
      <c r="E541" s="20">
        <v>10</v>
      </c>
      <c r="F541" s="20">
        <v>10</v>
      </c>
      <c r="G541" s="19">
        <f t="shared" si="46"/>
        <v>172</v>
      </c>
      <c r="H541" s="22">
        <f t="shared" si="39"/>
        <v>540</v>
      </c>
      <c r="I541" s="21">
        <f t="shared" ca="1" si="44"/>
        <v>0</v>
      </c>
      <c r="J541" s="21" t="str">
        <f ca="1">IF(I541=0,"",COUNTIF($I$2:I541,"&gt;0"))</f>
        <v/>
      </c>
      <c r="K541" s="21" t="str">
        <f t="shared" ca="1" si="45"/>
        <v/>
      </c>
    </row>
    <row r="542" spans="1:11" s="18" customFormat="1" ht="14.25" x14ac:dyDescent="0.2">
      <c r="A542" s="18" t="str">
        <f t="shared" si="43"/>
        <v>Eintrag 541</v>
      </c>
      <c r="B542" s="18">
        <v>100</v>
      </c>
      <c r="C542" s="19">
        <v>100</v>
      </c>
      <c r="D542" s="20">
        <v>10</v>
      </c>
      <c r="E542" s="20">
        <v>10</v>
      </c>
      <c r="F542" s="20">
        <v>10</v>
      </c>
      <c r="G542" s="19">
        <f t="shared" si="46"/>
        <v>172</v>
      </c>
      <c r="H542" s="22">
        <f t="shared" si="39"/>
        <v>541</v>
      </c>
      <c r="I542" s="21">
        <f t="shared" ca="1" si="44"/>
        <v>0</v>
      </c>
      <c r="J542" s="21" t="str">
        <f ca="1">IF(I542=0,"",COUNTIF($I$2:I542,"&gt;0"))</f>
        <v/>
      </c>
      <c r="K542" s="21" t="str">
        <f t="shared" ca="1" si="45"/>
        <v/>
      </c>
    </row>
    <row r="543" spans="1:11" s="18" customFormat="1" ht="14.25" x14ac:dyDescent="0.2">
      <c r="A543" s="18" t="str">
        <f t="shared" si="43"/>
        <v>Eintrag 542</v>
      </c>
      <c r="B543" s="18">
        <v>100</v>
      </c>
      <c r="C543" s="19">
        <v>100</v>
      </c>
      <c r="D543" s="20">
        <v>10</v>
      </c>
      <c r="E543" s="20">
        <v>10</v>
      </c>
      <c r="F543" s="20">
        <v>10</v>
      </c>
      <c r="G543" s="19">
        <f t="shared" si="46"/>
        <v>172</v>
      </c>
      <c r="H543" s="22">
        <f t="shared" si="39"/>
        <v>542</v>
      </c>
      <c r="I543" s="21">
        <f t="shared" ca="1" si="44"/>
        <v>0</v>
      </c>
      <c r="J543" s="21" t="str">
        <f ca="1">IF(I543=0,"",COUNTIF($I$2:I543,"&gt;0"))</f>
        <v/>
      </c>
      <c r="K543" s="21" t="str">
        <f t="shared" ca="1" si="45"/>
        <v/>
      </c>
    </row>
    <row r="544" spans="1:11" s="18" customFormat="1" ht="14.25" x14ac:dyDescent="0.2">
      <c r="A544" s="18" t="str">
        <f t="shared" si="43"/>
        <v>Eintrag 543</v>
      </c>
      <c r="B544" s="18">
        <v>100</v>
      </c>
      <c r="C544" s="19">
        <v>100</v>
      </c>
      <c r="D544" s="20">
        <v>10</v>
      </c>
      <c r="E544" s="20">
        <v>10</v>
      </c>
      <c r="F544" s="20">
        <v>10</v>
      </c>
      <c r="G544" s="19">
        <f t="shared" si="46"/>
        <v>172</v>
      </c>
      <c r="H544" s="22">
        <f t="shared" si="39"/>
        <v>543</v>
      </c>
      <c r="I544" s="21">
        <f t="shared" ca="1" si="44"/>
        <v>0</v>
      </c>
      <c r="J544" s="21" t="str">
        <f ca="1">IF(I544=0,"",COUNTIF($I$2:I544,"&gt;0"))</f>
        <v/>
      </c>
      <c r="K544" s="21" t="str">
        <f t="shared" ca="1" si="45"/>
        <v/>
      </c>
    </row>
    <row r="545" spans="1:11" s="18" customFormat="1" ht="14.25" x14ac:dyDescent="0.2">
      <c r="A545" s="18" t="str">
        <f t="shared" si="43"/>
        <v>Eintrag 544</v>
      </c>
      <c r="B545" s="18">
        <v>100</v>
      </c>
      <c r="C545" s="19">
        <v>100</v>
      </c>
      <c r="D545" s="20">
        <v>10</v>
      </c>
      <c r="E545" s="20">
        <v>10</v>
      </c>
      <c r="F545" s="20">
        <v>10</v>
      </c>
      <c r="G545" s="19">
        <f t="shared" si="46"/>
        <v>172</v>
      </c>
      <c r="H545" s="22">
        <f t="shared" si="39"/>
        <v>544</v>
      </c>
      <c r="I545" s="21">
        <f t="shared" ca="1" si="44"/>
        <v>0</v>
      </c>
      <c r="J545" s="21" t="str">
        <f ca="1">IF(I545=0,"",COUNTIF($I$2:I545,"&gt;0"))</f>
        <v/>
      </c>
      <c r="K545" s="21" t="str">
        <f t="shared" ca="1" si="45"/>
        <v/>
      </c>
    </row>
    <row r="546" spans="1:11" s="18" customFormat="1" ht="14.25" x14ac:dyDescent="0.2">
      <c r="A546" s="18" t="str">
        <f t="shared" si="43"/>
        <v>Eintrag 545</v>
      </c>
      <c r="B546" s="18">
        <v>100</v>
      </c>
      <c r="C546" s="19">
        <v>100</v>
      </c>
      <c r="D546" s="20">
        <v>10</v>
      </c>
      <c r="E546" s="20">
        <v>10</v>
      </c>
      <c r="F546" s="20">
        <v>10</v>
      </c>
      <c r="G546" s="19">
        <f t="shared" si="46"/>
        <v>172</v>
      </c>
      <c r="H546" s="22">
        <f t="shared" si="39"/>
        <v>545</v>
      </c>
      <c r="I546" s="21">
        <f t="shared" ca="1" si="44"/>
        <v>0</v>
      </c>
      <c r="J546" s="21" t="str">
        <f ca="1">IF(I546=0,"",COUNTIF($I$2:I546,"&gt;0"))</f>
        <v/>
      </c>
      <c r="K546" s="21" t="str">
        <f t="shared" ca="1" si="45"/>
        <v/>
      </c>
    </row>
    <row r="547" spans="1:11" s="18" customFormat="1" ht="14.25" x14ac:dyDescent="0.2">
      <c r="A547" s="18" t="str">
        <f t="shared" si="43"/>
        <v>Eintrag 546</v>
      </c>
      <c r="B547" s="18">
        <v>100</v>
      </c>
      <c r="C547" s="19">
        <v>100</v>
      </c>
      <c r="D547" s="20">
        <v>10</v>
      </c>
      <c r="E547" s="20">
        <v>10</v>
      </c>
      <c r="F547" s="20">
        <v>10</v>
      </c>
      <c r="G547" s="19">
        <f t="shared" si="46"/>
        <v>172</v>
      </c>
      <c r="H547" s="22">
        <f t="shared" si="39"/>
        <v>546</v>
      </c>
      <c r="I547" s="21">
        <f t="shared" ca="1" si="44"/>
        <v>0</v>
      </c>
      <c r="J547" s="21" t="str">
        <f ca="1">IF(I547=0,"",COUNTIF($I$2:I547,"&gt;0"))</f>
        <v/>
      </c>
      <c r="K547" s="21" t="str">
        <f t="shared" ca="1" si="45"/>
        <v/>
      </c>
    </row>
    <row r="548" spans="1:11" s="18" customFormat="1" ht="14.25" x14ac:dyDescent="0.2">
      <c r="A548" s="18" t="str">
        <f t="shared" si="43"/>
        <v>Eintrag 547</v>
      </c>
      <c r="B548" s="18">
        <v>100</v>
      </c>
      <c r="C548" s="19">
        <v>100</v>
      </c>
      <c r="D548" s="20">
        <v>10</v>
      </c>
      <c r="E548" s="20">
        <v>10</v>
      </c>
      <c r="F548" s="20">
        <v>10</v>
      </c>
      <c r="G548" s="19">
        <f t="shared" si="46"/>
        <v>172</v>
      </c>
      <c r="H548" s="22">
        <f t="shared" si="39"/>
        <v>547</v>
      </c>
      <c r="I548" s="21">
        <f t="shared" ca="1" si="44"/>
        <v>0</v>
      </c>
      <c r="J548" s="21" t="str">
        <f ca="1">IF(I548=0,"",COUNTIF($I$2:I548,"&gt;0"))</f>
        <v/>
      </c>
      <c r="K548" s="21" t="str">
        <f t="shared" ca="1" si="45"/>
        <v/>
      </c>
    </row>
    <row r="549" spans="1:11" s="18" customFormat="1" ht="14.25" x14ac:dyDescent="0.2">
      <c r="A549" s="18" t="str">
        <f t="shared" si="43"/>
        <v>Eintrag 548</v>
      </c>
      <c r="B549" s="18">
        <v>100</v>
      </c>
      <c r="C549" s="19">
        <v>100</v>
      </c>
      <c r="D549" s="20">
        <v>10</v>
      </c>
      <c r="E549" s="20">
        <v>10</v>
      </c>
      <c r="F549" s="20">
        <v>10</v>
      </c>
      <c r="G549" s="19">
        <f t="shared" si="46"/>
        <v>172</v>
      </c>
      <c r="H549" s="22">
        <f t="shared" ref="H549:H612" si="47">H548+1</f>
        <v>548</v>
      </c>
      <c r="I549" s="21">
        <f t="shared" ca="1" si="44"/>
        <v>0</v>
      </c>
      <c r="J549" s="21" t="str">
        <f ca="1">IF(I549=0,"",COUNTIF($I$2:I549,"&gt;0"))</f>
        <v/>
      </c>
      <c r="K549" s="21" t="str">
        <f t="shared" ca="1" si="45"/>
        <v/>
      </c>
    </row>
    <row r="550" spans="1:11" s="18" customFormat="1" ht="14.25" x14ac:dyDescent="0.2">
      <c r="A550" s="18" t="str">
        <f t="shared" si="43"/>
        <v>Eintrag 549</v>
      </c>
      <c r="B550" s="18">
        <v>100</v>
      </c>
      <c r="C550" s="19">
        <v>100</v>
      </c>
      <c r="D550" s="20">
        <v>10</v>
      </c>
      <c r="E550" s="20">
        <v>10</v>
      </c>
      <c r="F550" s="20">
        <v>10</v>
      </c>
      <c r="G550" s="19">
        <f t="shared" si="46"/>
        <v>172</v>
      </c>
      <c r="H550" s="22">
        <f t="shared" si="47"/>
        <v>549</v>
      </c>
      <c r="I550" s="21">
        <f t="shared" ca="1" si="44"/>
        <v>0</v>
      </c>
      <c r="J550" s="21" t="str">
        <f ca="1">IF(I550=0,"",COUNTIF($I$2:I550,"&gt;0"))</f>
        <v/>
      </c>
      <c r="K550" s="21" t="str">
        <f t="shared" ca="1" si="45"/>
        <v/>
      </c>
    </row>
    <row r="551" spans="1:11" s="18" customFormat="1" ht="14.25" x14ac:dyDescent="0.2">
      <c r="A551" s="18" t="str">
        <f t="shared" si="43"/>
        <v>Eintrag 550</v>
      </c>
      <c r="B551" s="18">
        <v>100</v>
      </c>
      <c r="C551" s="19">
        <v>100</v>
      </c>
      <c r="D551" s="20">
        <v>10</v>
      </c>
      <c r="E551" s="20">
        <v>10</v>
      </c>
      <c r="F551" s="20">
        <v>10</v>
      </c>
      <c r="G551" s="19">
        <f t="shared" si="46"/>
        <v>172</v>
      </c>
      <c r="H551" s="22">
        <f t="shared" si="47"/>
        <v>550</v>
      </c>
      <c r="I551" s="21">
        <f t="shared" ca="1" si="44"/>
        <v>0</v>
      </c>
      <c r="J551" s="21" t="str">
        <f ca="1">IF(I551=0,"",COUNTIF($I$2:I551,"&gt;0"))</f>
        <v/>
      </c>
      <c r="K551" s="21" t="str">
        <f t="shared" ca="1" si="45"/>
        <v/>
      </c>
    </row>
    <row r="552" spans="1:11" s="18" customFormat="1" ht="14.25" x14ac:dyDescent="0.2">
      <c r="A552" s="18" t="str">
        <f t="shared" si="43"/>
        <v>Eintrag 551</v>
      </c>
      <c r="B552" s="18">
        <v>100</v>
      </c>
      <c r="C552" s="19">
        <v>100</v>
      </c>
      <c r="D552" s="20">
        <v>10</v>
      </c>
      <c r="E552" s="20">
        <v>10</v>
      </c>
      <c r="F552" s="20">
        <v>10</v>
      </c>
      <c r="G552" s="19">
        <f t="shared" si="46"/>
        <v>172</v>
      </c>
      <c r="H552" s="22">
        <f t="shared" si="47"/>
        <v>551</v>
      </c>
      <c r="I552" s="21">
        <f t="shared" ca="1" si="44"/>
        <v>0</v>
      </c>
      <c r="J552" s="21" t="str">
        <f ca="1">IF(I552=0,"",COUNTIF($I$2:I552,"&gt;0"))</f>
        <v/>
      </c>
      <c r="K552" s="21" t="str">
        <f t="shared" ca="1" si="45"/>
        <v/>
      </c>
    </row>
    <row r="553" spans="1:11" s="18" customFormat="1" ht="14.25" x14ac:dyDescent="0.2">
      <c r="A553" s="18" t="str">
        <f t="shared" si="43"/>
        <v>Eintrag 552</v>
      </c>
      <c r="B553" s="18">
        <v>100</v>
      </c>
      <c r="C553" s="19">
        <v>100</v>
      </c>
      <c r="D553" s="20">
        <v>10</v>
      </c>
      <c r="E553" s="20">
        <v>10</v>
      </c>
      <c r="F553" s="20">
        <v>10</v>
      </c>
      <c r="G553" s="19">
        <f t="shared" si="46"/>
        <v>172</v>
      </c>
      <c r="H553" s="22">
        <f t="shared" si="47"/>
        <v>552</v>
      </c>
      <c r="I553" s="21">
        <f t="shared" ca="1" si="44"/>
        <v>0</v>
      </c>
      <c r="J553" s="21" t="str">
        <f ca="1">IF(I553=0,"",COUNTIF($I$2:I553,"&gt;0"))</f>
        <v/>
      </c>
      <c r="K553" s="21" t="str">
        <f t="shared" ca="1" si="45"/>
        <v/>
      </c>
    </row>
    <row r="554" spans="1:11" s="18" customFormat="1" ht="14.25" x14ac:dyDescent="0.2">
      <c r="A554" s="18" t="str">
        <f t="shared" si="43"/>
        <v>Eintrag 553</v>
      </c>
      <c r="B554" s="18">
        <v>100</v>
      </c>
      <c r="C554" s="19">
        <v>100</v>
      </c>
      <c r="D554" s="20">
        <v>10</v>
      </c>
      <c r="E554" s="20">
        <v>10</v>
      </c>
      <c r="F554" s="20">
        <v>10</v>
      </c>
      <c r="G554" s="19">
        <f t="shared" si="46"/>
        <v>172</v>
      </c>
      <c r="H554" s="22">
        <f t="shared" si="47"/>
        <v>553</v>
      </c>
      <c r="I554" s="21">
        <f t="shared" ca="1" si="44"/>
        <v>0</v>
      </c>
      <c r="J554" s="21" t="str">
        <f ca="1">IF(I554=0,"",COUNTIF($I$2:I554,"&gt;0"))</f>
        <v/>
      </c>
      <c r="K554" s="21" t="str">
        <f t="shared" ca="1" si="45"/>
        <v/>
      </c>
    </row>
    <row r="555" spans="1:11" s="18" customFormat="1" ht="14.25" x14ac:dyDescent="0.2">
      <c r="A555" s="18" t="str">
        <f t="shared" si="43"/>
        <v>Eintrag 554</v>
      </c>
      <c r="B555" s="18">
        <v>100</v>
      </c>
      <c r="C555" s="19">
        <v>100</v>
      </c>
      <c r="D555" s="20">
        <v>10</v>
      </c>
      <c r="E555" s="20">
        <v>10</v>
      </c>
      <c r="F555" s="20">
        <v>10</v>
      </c>
      <c r="G555" s="19">
        <f t="shared" si="46"/>
        <v>172</v>
      </c>
      <c r="H555" s="22">
        <f t="shared" si="47"/>
        <v>554</v>
      </c>
      <c r="I555" s="21">
        <f t="shared" ca="1" si="44"/>
        <v>0</v>
      </c>
      <c r="J555" s="21" t="str">
        <f ca="1">IF(I555=0,"",COUNTIF($I$2:I555,"&gt;0"))</f>
        <v/>
      </c>
      <c r="K555" s="21" t="str">
        <f t="shared" ca="1" si="45"/>
        <v/>
      </c>
    </row>
    <row r="556" spans="1:11" s="18" customFormat="1" ht="14.25" x14ac:dyDescent="0.2">
      <c r="A556" s="18" t="str">
        <f t="shared" si="43"/>
        <v>Eintrag 555</v>
      </c>
      <c r="B556" s="18">
        <v>100</v>
      </c>
      <c r="C556" s="19">
        <v>100</v>
      </c>
      <c r="D556" s="20">
        <v>10</v>
      </c>
      <c r="E556" s="20">
        <v>10</v>
      </c>
      <c r="F556" s="20">
        <v>10</v>
      </c>
      <c r="G556" s="19">
        <f t="shared" si="46"/>
        <v>172</v>
      </c>
      <c r="H556" s="22">
        <f t="shared" si="47"/>
        <v>555</v>
      </c>
      <c r="I556" s="21">
        <f t="shared" ca="1" si="44"/>
        <v>0</v>
      </c>
      <c r="J556" s="21" t="str">
        <f ca="1">IF(I556=0,"",COUNTIF($I$2:I556,"&gt;0"))</f>
        <v/>
      </c>
      <c r="K556" s="21" t="str">
        <f t="shared" ca="1" si="45"/>
        <v/>
      </c>
    </row>
    <row r="557" spans="1:11" s="18" customFormat="1" ht="14.25" x14ac:dyDescent="0.2">
      <c r="A557" s="18" t="str">
        <f t="shared" si="43"/>
        <v>Eintrag 556</v>
      </c>
      <c r="B557" s="18">
        <v>100</v>
      </c>
      <c r="C557" s="19">
        <v>100</v>
      </c>
      <c r="D557" s="20">
        <v>10</v>
      </c>
      <c r="E557" s="20">
        <v>10</v>
      </c>
      <c r="F557" s="20">
        <v>10</v>
      </c>
      <c r="G557" s="19">
        <f t="shared" si="46"/>
        <v>172</v>
      </c>
      <c r="H557" s="22">
        <f t="shared" si="47"/>
        <v>556</v>
      </c>
      <c r="I557" s="21">
        <f t="shared" ca="1" si="44"/>
        <v>0</v>
      </c>
      <c r="J557" s="21" t="str">
        <f ca="1">IF(I557=0,"",COUNTIF($I$2:I557,"&gt;0"))</f>
        <v/>
      </c>
      <c r="K557" s="21" t="str">
        <f t="shared" ca="1" si="45"/>
        <v/>
      </c>
    </row>
    <row r="558" spans="1:11" s="18" customFormat="1" ht="14.25" x14ac:dyDescent="0.2">
      <c r="A558" s="18" t="str">
        <f t="shared" si="43"/>
        <v>Eintrag 557</v>
      </c>
      <c r="B558" s="18">
        <v>100</v>
      </c>
      <c r="C558" s="19">
        <v>100</v>
      </c>
      <c r="D558" s="20">
        <v>10</v>
      </c>
      <c r="E558" s="20">
        <v>10</v>
      </c>
      <c r="F558" s="20">
        <v>10</v>
      </c>
      <c r="G558" s="19">
        <f t="shared" si="46"/>
        <v>172</v>
      </c>
      <c r="H558" s="22">
        <f t="shared" si="47"/>
        <v>557</v>
      </c>
      <c r="I558" s="21">
        <f t="shared" ca="1" si="44"/>
        <v>0</v>
      </c>
      <c r="J558" s="21" t="str">
        <f ca="1">IF(I558=0,"",COUNTIF($I$2:I558,"&gt;0"))</f>
        <v/>
      </c>
      <c r="K558" s="21" t="str">
        <f t="shared" ca="1" si="45"/>
        <v/>
      </c>
    </row>
    <row r="559" spans="1:11" s="18" customFormat="1" ht="14.25" x14ac:dyDescent="0.2">
      <c r="A559" s="18" t="str">
        <f t="shared" si="43"/>
        <v>Eintrag 558</v>
      </c>
      <c r="B559" s="18">
        <v>100</v>
      </c>
      <c r="C559" s="19">
        <v>100</v>
      </c>
      <c r="D559" s="20">
        <v>10</v>
      </c>
      <c r="E559" s="20">
        <v>10</v>
      </c>
      <c r="F559" s="20">
        <v>10</v>
      </c>
      <c r="G559" s="19">
        <f t="shared" si="46"/>
        <v>172</v>
      </c>
      <c r="H559" s="22">
        <f t="shared" si="47"/>
        <v>558</v>
      </c>
      <c r="I559" s="21">
        <f t="shared" ca="1" si="44"/>
        <v>0</v>
      </c>
      <c r="J559" s="21" t="str">
        <f ca="1">IF(I559=0,"",COUNTIF($I$2:I559,"&gt;0"))</f>
        <v/>
      </c>
      <c r="K559" s="21" t="str">
        <f t="shared" ca="1" si="45"/>
        <v/>
      </c>
    </row>
    <row r="560" spans="1:11" s="18" customFormat="1" ht="14.25" x14ac:dyDescent="0.2">
      <c r="A560" s="18" t="str">
        <f t="shared" si="43"/>
        <v>Eintrag 559</v>
      </c>
      <c r="B560" s="18">
        <v>100</v>
      </c>
      <c r="C560" s="19">
        <v>100</v>
      </c>
      <c r="D560" s="20">
        <v>10</v>
      </c>
      <c r="E560" s="20">
        <v>10</v>
      </c>
      <c r="F560" s="20">
        <v>10</v>
      </c>
      <c r="G560" s="19">
        <f t="shared" si="46"/>
        <v>172</v>
      </c>
      <c r="H560" s="22">
        <f t="shared" si="47"/>
        <v>559</v>
      </c>
      <c r="I560" s="21">
        <f t="shared" ca="1" si="44"/>
        <v>0</v>
      </c>
      <c r="J560" s="21" t="str">
        <f ca="1">IF(I560=0,"",COUNTIF($I$2:I560,"&gt;0"))</f>
        <v/>
      </c>
      <c r="K560" s="21" t="str">
        <f t="shared" ca="1" si="45"/>
        <v/>
      </c>
    </row>
    <row r="561" spans="1:11" s="18" customFormat="1" ht="14.25" x14ac:dyDescent="0.2">
      <c r="A561" s="18" t="str">
        <f t="shared" si="43"/>
        <v>Eintrag 560</v>
      </c>
      <c r="B561" s="18">
        <v>100</v>
      </c>
      <c r="C561" s="19">
        <v>100</v>
      </c>
      <c r="D561" s="20">
        <v>10</v>
      </c>
      <c r="E561" s="20">
        <v>10</v>
      </c>
      <c r="F561" s="20">
        <v>10</v>
      </c>
      <c r="G561" s="19">
        <f t="shared" si="46"/>
        <v>172</v>
      </c>
      <c r="H561" s="22">
        <f t="shared" si="47"/>
        <v>560</v>
      </c>
      <c r="I561" s="21">
        <f t="shared" ca="1" si="44"/>
        <v>0</v>
      </c>
      <c r="J561" s="21" t="str">
        <f ca="1">IF(I561=0,"",COUNTIF($I$2:I561,"&gt;0"))</f>
        <v/>
      </c>
      <c r="K561" s="21" t="str">
        <f t="shared" ca="1" si="45"/>
        <v/>
      </c>
    </row>
    <row r="562" spans="1:11" s="18" customFormat="1" ht="14.25" x14ac:dyDescent="0.2">
      <c r="A562" s="18" t="str">
        <f t="shared" si="43"/>
        <v>Eintrag 561</v>
      </c>
      <c r="B562" s="18">
        <v>100</v>
      </c>
      <c r="C562" s="19">
        <v>100</v>
      </c>
      <c r="D562" s="20">
        <v>10</v>
      </c>
      <c r="E562" s="20">
        <v>10</v>
      </c>
      <c r="F562" s="20">
        <v>10</v>
      </c>
      <c r="G562" s="19">
        <f t="shared" si="46"/>
        <v>172</v>
      </c>
      <c r="H562" s="22">
        <f t="shared" si="47"/>
        <v>561</v>
      </c>
      <c r="I562" s="21">
        <f t="shared" ca="1" si="44"/>
        <v>0</v>
      </c>
      <c r="J562" s="21" t="str">
        <f ca="1">IF(I562=0,"",COUNTIF($I$2:I562,"&gt;0"))</f>
        <v/>
      </c>
      <c r="K562" s="21" t="str">
        <f t="shared" ca="1" si="45"/>
        <v/>
      </c>
    </row>
    <row r="563" spans="1:11" s="18" customFormat="1" ht="14.25" x14ac:dyDescent="0.2">
      <c r="A563" s="18" t="str">
        <f t="shared" si="43"/>
        <v>Eintrag 562</v>
      </c>
      <c r="B563" s="18">
        <v>100</v>
      </c>
      <c r="C563" s="19">
        <v>100</v>
      </c>
      <c r="D563" s="20">
        <v>10</v>
      </c>
      <c r="E563" s="20">
        <v>10</v>
      </c>
      <c r="F563" s="20">
        <v>10</v>
      </c>
      <c r="G563" s="19">
        <f t="shared" si="46"/>
        <v>172</v>
      </c>
      <c r="H563" s="22">
        <f t="shared" si="47"/>
        <v>562</v>
      </c>
      <c r="I563" s="21">
        <f t="shared" ca="1" si="44"/>
        <v>0</v>
      </c>
      <c r="J563" s="21" t="str">
        <f ca="1">IF(I563=0,"",COUNTIF($I$2:I563,"&gt;0"))</f>
        <v/>
      </c>
      <c r="K563" s="21" t="str">
        <f t="shared" ca="1" si="45"/>
        <v/>
      </c>
    </row>
    <row r="564" spans="1:11" s="18" customFormat="1" ht="14.25" x14ac:dyDescent="0.2">
      <c r="A564" s="18" t="str">
        <f t="shared" si="43"/>
        <v>Eintrag 563</v>
      </c>
      <c r="B564" s="18">
        <v>100</v>
      </c>
      <c r="C564" s="19">
        <v>100</v>
      </c>
      <c r="D564" s="20">
        <v>10</v>
      </c>
      <c r="E564" s="20">
        <v>10</v>
      </c>
      <c r="F564" s="20">
        <v>10</v>
      </c>
      <c r="G564" s="19">
        <f t="shared" si="46"/>
        <v>172</v>
      </c>
      <c r="H564" s="22">
        <f t="shared" si="47"/>
        <v>563</v>
      </c>
      <c r="I564" s="21">
        <f t="shared" ca="1" si="44"/>
        <v>0</v>
      </c>
      <c r="J564" s="21" t="str">
        <f ca="1">IF(I564=0,"",COUNTIF($I$2:I564,"&gt;0"))</f>
        <v/>
      </c>
      <c r="K564" s="21" t="str">
        <f t="shared" ca="1" si="45"/>
        <v/>
      </c>
    </row>
    <row r="565" spans="1:11" s="18" customFormat="1" ht="14.25" x14ac:dyDescent="0.2">
      <c r="A565" s="18" t="str">
        <f t="shared" ref="A565:A628" si="48">CONCATENATE("Eintrag ",H565)</f>
        <v>Eintrag 564</v>
      </c>
      <c r="B565" s="18">
        <v>100</v>
      </c>
      <c r="C565" s="19">
        <v>100</v>
      </c>
      <c r="D565" s="20">
        <v>10</v>
      </c>
      <c r="E565" s="20">
        <v>10</v>
      </c>
      <c r="F565" s="20">
        <v>10</v>
      </c>
      <c r="G565" s="19">
        <f t="shared" si="46"/>
        <v>172</v>
      </c>
      <c r="H565" s="22">
        <f t="shared" si="47"/>
        <v>564</v>
      </c>
      <c r="I565" s="21">
        <f t="shared" ref="I565:I628" ca="1" si="49">IFERROR(SEARCH(INDIRECT(CELL("address")),A565),0)</f>
        <v>0</v>
      </c>
      <c r="J565" s="21" t="str">
        <f ca="1">IF(I565=0,"",COUNTIF($I$2:I565,"&gt;0"))</f>
        <v/>
      </c>
      <c r="K565" s="21" t="str">
        <f t="shared" ca="1" si="45"/>
        <v/>
      </c>
    </row>
    <row r="566" spans="1:11" s="18" customFormat="1" ht="14.25" x14ac:dyDescent="0.2">
      <c r="A566" s="18" t="str">
        <f t="shared" si="48"/>
        <v>Eintrag 565</v>
      </c>
      <c r="B566" s="18">
        <v>100</v>
      </c>
      <c r="C566" s="19">
        <v>100</v>
      </c>
      <c r="D566" s="20">
        <v>10</v>
      </c>
      <c r="E566" s="20">
        <v>10</v>
      </c>
      <c r="F566" s="20">
        <v>10</v>
      </c>
      <c r="G566" s="19">
        <f t="shared" si="46"/>
        <v>172</v>
      </c>
      <c r="H566" s="22">
        <f t="shared" si="47"/>
        <v>565</v>
      </c>
      <c r="I566" s="21">
        <f t="shared" ca="1" si="49"/>
        <v>0</v>
      </c>
      <c r="J566" s="21" t="str">
        <f ca="1">IF(I566=0,"",COUNTIF($I$2:I566,"&gt;0"))</f>
        <v/>
      </c>
      <c r="K566" s="21" t="str">
        <f t="shared" ca="1" si="45"/>
        <v/>
      </c>
    </row>
    <row r="567" spans="1:11" s="18" customFormat="1" ht="14.25" x14ac:dyDescent="0.2">
      <c r="A567" s="18" t="str">
        <f t="shared" si="48"/>
        <v>Eintrag 566</v>
      </c>
      <c r="B567" s="18">
        <v>100</v>
      </c>
      <c r="C567" s="19">
        <v>100</v>
      </c>
      <c r="D567" s="20">
        <v>10</v>
      </c>
      <c r="E567" s="20">
        <v>10</v>
      </c>
      <c r="F567" s="20">
        <v>10</v>
      </c>
      <c r="G567" s="19">
        <f t="shared" si="46"/>
        <v>172</v>
      </c>
      <c r="H567" s="22">
        <f t="shared" si="47"/>
        <v>566</v>
      </c>
      <c r="I567" s="21">
        <f t="shared" ca="1" si="49"/>
        <v>0</v>
      </c>
      <c r="J567" s="21" t="str">
        <f ca="1">IF(I567=0,"",COUNTIF($I$2:I567,"&gt;0"))</f>
        <v/>
      </c>
      <c r="K567" s="21" t="str">
        <f t="shared" ca="1" si="45"/>
        <v/>
      </c>
    </row>
    <row r="568" spans="1:11" s="18" customFormat="1" ht="14.25" x14ac:dyDescent="0.2">
      <c r="A568" s="18" t="str">
        <f t="shared" si="48"/>
        <v>Eintrag 567</v>
      </c>
      <c r="B568" s="18">
        <v>100</v>
      </c>
      <c r="C568" s="19">
        <v>100</v>
      </c>
      <c r="D568" s="20">
        <v>10</v>
      </c>
      <c r="E568" s="20">
        <v>10</v>
      </c>
      <c r="F568" s="20">
        <v>10</v>
      </c>
      <c r="G568" s="19">
        <f t="shared" si="46"/>
        <v>172</v>
      </c>
      <c r="H568" s="22">
        <f t="shared" si="47"/>
        <v>567</v>
      </c>
      <c r="I568" s="21">
        <f t="shared" ca="1" si="49"/>
        <v>0</v>
      </c>
      <c r="J568" s="21" t="str">
        <f ca="1">IF(I568=0,"",COUNTIF($I$2:I568,"&gt;0"))</f>
        <v/>
      </c>
      <c r="K568" s="21" t="str">
        <f t="shared" ca="1" si="45"/>
        <v/>
      </c>
    </row>
    <row r="569" spans="1:11" s="18" customFormat="1" ht="14.25" x14ac:dyDescent="0.2">
      <c r="A569" s="18" t="str">
        <f t="shared" si="48"/>
        <v>Eintrag 568</v>
      </c>
      <c r="B569" s="18">
        <v>100</v>
      </c>
      <c r="C569" s="19">
        <v>100</v>
      </c>
      <c r="D569" s="20">
        <v>10</v>
      </c>
      <c r="E569" s="20">
        <v>10</v>
      </c>
      <c r="F569" s="20">
        <v>10</v>
      </c>
      <c r="G569" s="19">
        <f t="shared" si="46"/>
        <v>172</v>
      </c>
      <c r="H569" s="22">
        <f t="shared" si="47"/>
        <v>568</v>
      </c>
      <c r="I569" s="21">
        <f t="shared" ca="1" si="49"/>
        <v>0</v>
      </c>
      <c r="J569" s="21" t="str">
        <f ca="1">IF(I569=0,"",COUNTIF($I$2:I569,"&gt;0"))</f>
        <v/>
      </c>
      <c r="K569" s="21" t="str">
        <f t="shared" ca="1" si="45"/>
        <v/>
      </c>
    </row>
    <row r="570" spans="1:11" s="18" customFormat="1" ht="14.25" x14ac:dyDescent="0.2">
      <c r="A570" s="18" t="str">
        <f t="shared" si="48"/>
        <v>Eintrag 569</v>
      </c>
      <c r="B570" s="18">
        <v>100</v>
      </c>
      <c r="C570" s="19">
        <v>100</v>
      </c>
      <c r="D570" s="20">
        <v>10</v>
      </c>
      <c r="E570" s="20">
        <v>10</v>
      </c>
      <c r="F570" s="20">
        <v>10</v>
      </c>
      <c r="G570" s="19">
        <f t="shared" si="46"/>
        <v>172</v>
      </c>
      <c r="H570" s="22">
        <f t="shared" si="47"/>
        <v>569</v>
      </c>
      <c r="I570" s="21">
        <f t="shared" ca="1" si="49"/>
        <v>0</v>
      </c>
      <c r="J570" s="21" t="str">
        <f ca="1">IF(I570=0,"",COUNTIF($I$2:I570,"&gt;0"))</f>
        <v/>
      </c>
      <c r="K570" s="21" t="str">
        <f t="shared" ca="1" si="45"/>
        <v/>
      </c>
    </row>
    <row r="571" spans="1:11" s="18" customFormat="1" ht="14.25" x14ac:dyDescent="0.2">
      <c r="A571" s="18" t="str">
        <f t="shared" si="48"/>
        <v>Eintrag 570</v>
      </c>
      <c r="B571" s="18">
        <v>100</v>
      </c>
      <c r="C571" s="19">
        <v>100</v>
      </c>
      <c r="D571" s="20">
        <v>10</v>
      </c>
      <c r="E571" s="20">
        <v>10</v>
      </c>
      <c r="F571" s="20">
        <v>10</v>
      </c>
      <c r="G571" s="19">
        <f t="shared" si="46"/>
        <v>172</v>
      </c>
      <c r="H571" s="22">
        <f t="shared" si="47"/>
        <v>570</v>
      </c>
      <c r="I571" s="21">
        <f t="shared" ca="1" si="49"/>
        <v>0</v>
      </c>
      <c r="J571" s="21" t="str">
        <f ca="1">IF(I571=0,"",COUNTIF($I$2:I571,"&gt;0"))</f>
        <v/>
      </c>
      <c r="K571" s="21" t="str">
        <f t="shared" ca="1" si="45"/>
        <v/>
      </c>
    </row>
    <row r="572" spans="1:11" s="18" customFormat="1" ht="14.25" x14ac:dyDescent="0.2">
      <c r="A572" s="18" t="str">
        <f t="shared" si="48"/>
        <v>Eintrag 571</v>
      </c>
      <c r="B572" s="18">
        <v>100</v>
      </c>
      <c r="C572" s="19">
        <v>100</v>
      </c>
      <c r="D572" s="20">
        <v>10</v>
      </c>
      <c r="E572" s="20">
        <v>10</v>
      </c>
      <c r="F572" s="20">
        <v>10</v>
      </c>
      <c r="G572" s="19">
        <f t="shared" si="46"/>
        <v>172</v>
      </c>
      <c r="H572" s="22">
        <f t="shared" si="47"/>
        <v>571</v>
      </c>
      <c r="I572" s="21">
        <f t="shared" ca="1" si="49"/>
        <v>0</v>
      </c>
      <c r="J572" s="21" t="str">
        <f ca="1">IF(I572=0,"",COUNTIF($I$2:I572,"&gt;0"))</f>
        <v/>
      </c>
      <c r="K572" s="21" t="str">
        <f t="shared" ca="1" si="45"/>
        <v/>
      </c>
    </row>
    <row r="573" spans="1:11" s="18" customFormat="1" ht="14.25" x14ac:dyDescent="0.2">
      <c r="A573" s="18" t="str">
        <f t="shared" si="48"/>
        <v>Eintrag 572</v>
      </c>
      <c r="B573" s="18">
        <v>100</v>
      </c>
      <c r="C573" s="19">
        <v>100</v>
      </c>
      <c r="D573" s="20">
        <v>10</v>
      </c>
      <c r="E573" s="20">
        <v>10</v>
      </c>
      <c r="F573" s="20">
        <v>10</v>
      </c>
      <c r="G573" s="19">
        <f t="shared" si="46"/>
        <v>172</v>
      </c>
      <c r="H573" s="22">
        <f t="shared" si="47"/>
        <v>572</v>
      </c>
      <c r="I573" s="21">
        <f t="shared" ca="1" si="49"/>
        <v>0</v>
      </c>
      <c r="J573" s="21" t="str">
        <f ca="1">IF(I573=0,"",COUNTIF($I$2:I573,"&gt;0"))</f>
        <v/>
      </c>
      <c r="K573" s="21" t="str">
        <f t="shared" ca="1" si="45"/>
        <v/>
      </c>
    </row>
    <row r="574" spans="1:11" s="18" customFormat="1" ht="14.25" x14ac:dyDescent="0.2">
      <c r="A574" s="18" t="str">
        <f t="shared" si="48"/>
        <v>Eintrag 573</v>
      </c>
      <c r="B574" s="18">
        <v>100</v>
      </c>
      <c r="C574" s="19">
        <v>100</v>
      </c>
      <c r="D574" s="20">
        <v>10</v>
      </c>
      <c r="E574" s="20">
        <v>10</v>
      </c>
      <c r="F574" s="20">
        <v>10</v>
      </c>
      <c r="G574" s="19">
        <f t="shared" si="46"/>
        <v>172</v>
      </c>
      <c r="H574" s="22">
        <f t="shared" si="47"/>
        <v>573</v>
      </c>
      <c r="I574" s="21">
        <f t="shared" ca="1" si="49"/>
        <v>0</v>
      </c>
      <c r="J574" s="21" t="str">
        <f ca="1">IF(I574=0,"",COUNTIF($I$2:I574,"&gt;0"))</f>
        <v/>
      </c>
      <c r="K574" s="21" t="str">
        <f t="shared" ca="1" si="45"/>
        <v/>
      </c>
    </row>
    <row r="575" spans="1:11" s="18" customFormat="1" ht="14.25" x14ac:dyDescent="0.2">
      <c r="A575" s="18" t="str">
        <f t="shared" si="48"/>
        <v>Eintrag 574</v>
      </c>
      <c r="B575" s="18">
        <v>100</v>
      </c>
      <c r="C575" s="19">
        <v>100</v>
      </c>
      <c r="D575" s="20">
        <v>10</v>
      </c>
      <c r="E575" s="20">
        <v>10</v>
      </c>
      <c r="F575" s="20">
        <v>10</v>
      </c>
      <c r="G575" s="19">
        <f t="shared" si="46"/>
        <v>172</v>
      </c>
      <c r="H575" s="22">
        <f t="shared" si="47"/>
        <v>574</v>
      </c>
      <c r="I575" s="21">
        <f t="shared" ca="1" si="49"/>
        <v>0</v>
      </c>
      <c r="J575" s="21" t="str">
        <f ca="1">IF(I575=0,"",COUNTIF($I$2:I575,"&gt;0"))</f>
        <v/>
      </c>
      <c r="K575" s="21" t="str">
        <f t="shared" ca="1" si="45"/>
        <v/>
      </c>
    </row>
    <row r="576" spans="1:11" s="18" customFormat="1" ht="14.25" x14ac:dyDescent="0.2">
      <c r="A576" s="18" t="str">
        <f t="shared" si="48"/>
        <v>Eintrag 575</v>
      </c>
      <c r="B576" s="18">
        <v>100</v>
      </c>
      <c r="C576" s="19">
        <v>100</v>
      </c>
      <c r="D576" s="20">
        <v>10</v>
      </c>
      <c r="E576" s="20">
        <v>10</v>
      </c>
      <c r="F576" s="20">
        <v>10</v>
      </c>
      <c r="G576" s="19">
        <f t="shared" si="46"/>
        <v>172</v>
      </c>
      <c r="H576" s="22">
        <f t="shared" si="47"/>
        <v>575</v>
      </c>
      <c r="I576" s="21">
        <f t="shared" ca="1" si="49"/>
        <v>0</v>
      </c>
      <c r="J576" s="21" t="str">
        <f ca="1">IF(I576=0,"",COUNTIF($I$2:I576,"&gt;0"))</f>
        <v/>
      </c>
      <c r="K576" s="21" t="str">
        <f t="shared" ca="1" si="45"/>
        <v/>
      </c>
    </row>
    <row r="577" spans="1:11" s="18" customFormat="1" ht="14.25" x14ac:dyDescent="0.2">
      <c r="A577" s="18" t="str">
        <f t="shared" si="48"/>
        <v>Eintrag 576</v>
      </c>
      <c r="B577" s="18">
        <v>100</v>
      </c>
      <c r="C577" s="19">
        <v>100</v>
      </c>
      <c r="D577" s="20">
        <v>10</v>
      </c>
      <c r="E577" s="20">
        <v>10</v>
      </c>
      <c r="F577" s="20">
        <v>10</v>
      </c>
      <c r="G577" s="19">
        <f t="shared" si="46"/>
        <v>172</v>
      </c>
      <c r="H577" s="22">
        <f t="shared" si="47"/>
        <v>576</v>
      </c>
      <c r="I577" s="21">
        <f t="shared" ca="1" si="49"/>
        <v>0</v>
      </c>
      <c r="J577" s="21" t="str">
        <f ca="1">IF(I577=0,"",COUNTIF($I$2:I577,"&gt;0"))</f>
        <v/>
      </c>
      <c r="K577" s="21" t="str">
        <f t="shared" ca="1" si="45"/>
        <v/>
      </c>
    </row>
    <row r="578" spans="1:11" s="18" customFormat="1" ht="14.25" x14ac:dyDescent="0.2">
      <c r="A578" s="18" t="str">
        <f t="shared" si="48"/>
        <v>Eintrag 577</v>
      </c>
      <c r="B578" s="18">
        <v>100</v>
      </c>
      <c r="C578" s="19">
        <v>100</v>
      </c>
      <c r="D578" s="20">
        <v>10</v>
      </c>
      <c r="E578" s="20">
        <v>10</v>
      </c>
      <c r="F578" s="20">
        <v>10</v>
      </c>
      <c r="G578" s="19">
        <f t="shared" si="46"/>
        <v>172</v>
      </c>
      <c r="H578" s="22">
        <f t="shared" si="47"/>
        <v>577</v>
      </c>
      <c r="I578" s="21">
        <f t="shared" ca="1" si="49"/>
        <v>0</v>
      </c>
      <c r="J578" s="21" t="str">
        <f ca="1">IF(I578=0,"",COUNTIF($I$2:I578,"&gt;0"))</f>
        <v/>
      </c>
      <c r="K578" s="21" t="str">
        <f t="shared" ref="K578:K641" ca="1" si="50">IFERROR(INDEX(A:A,MATCH(ROW(I577),J:J,0)),"")</f>
        <v/>
      </c>
    </row>
    <row r="579" spans="1:11" s="18" customFormat="1" ht="14.25" x14ac:dyDescent="0.2">
      <c r="A579" s="18" t="str">
        <f t="shared" si="48"/>
        <v>Eintrag 578</v>
      </c>
      <c r="B579" s="18">
        <v>100</v>
      </c>
      <c r="C579" s="19">
        <v>100</v>
      </c>
      <c r="D579" s="20">
        <v>10</v>
      </c>
      <c r="E579" s="20">
        <v>10</v>
      </c>
      <c r="F579" s="20">
        <v>10</v>
      </c>
      <c r="G579" s="19">
        <f t="shared" ref="G579:G642" si="51">D579*9+E579*4.1+F579*4.1</f>
        <v>172</v>
      </c>
      <c r="H579" s="22">
        <f t="shared" si="47"/>
        <v>578</v>
      </c>
      <c r="I579" s="21">
        <f t="shared" ca="1" si="49"/>
        <v>0</v>
      </c>
      <c r="J579" s="21" t="str">
        <f ca="1">IF(I579=0,"",COUNTIF($I$2:I579,"&gt;0"))</f>
        <v/>
      </c>
      <c r="K579" s="21" t="str">
        <f t="shared" ca="1" si="50"/>
        <v/>
      </c>
    </row>
    <row r="580" spans="1:11" s="18" customFormat="1" ht="14.25" x14ac:dyDescent="0.2">
      <c r="A580" s="18" t="str">
        <f t="shared" si="48"/>
        <v>Eintrag 579</v>
      </c>
      <c r="B580" s="18">
        <v>100</v>
      </c>
      <c r="C580" s="19">
        <v>100</v>
      </c>
      <c r="D580" s="20">
        <v>10</v>
      </c>
      <c r="E580" s="20">
        <v>10</v>
      </c>
      <c r="F580" s="20">
        <v>10</v>
      </c>
      <c r="G580" s="19">
        <f t="shared" si="51"/>
        <v>172</v>
      </c>
      <c r="H580" s="22">
        <f t="shared" si="47"/>
        <v>579</v>
      </c>
      <c r="I580" s="21">
        <f t="shared" ca="1" si="49"/>
        <v>0</v>
      </c>
      <c r="J580" s="21" t="str">
        <f ca="1">IF(I580=0,"",COUNTIF($I$2:I580,"&gt;0"))</f>
        <v/>
      </c>
      <c r="K580" s="21" t="str">
        <f t="shared" ca="1" si="50"/>
        <v/>
      </c>
    </row>
    <row r="581" spans="1:11" s="18" customFormat="1" ht="14.25" x14ac:dyDescent="0.2">
      <c r="A581" s="18" t="str">
        <f t="shared" si="48"/>
        <v>Eintrag 580</v>
      </c>
      <c r="B581" s="18">
        <v>100</v>
      </c>
      <c r="C581" s="19">
        <v>100</v>
      </c>
      <c r="D581" s="20">
        <v>10</v>
      </c>
      <c r="E581" s="20">
        <v>10</v>
      </c>
      <c r="F581" s="20">
        <v>10</v>
      </c>
      <c r="G581" s="19">
        <f t="shared" si="51"/>
        <v>172</v>
      </c>
      <c r="H581" s="22">
        <f t="shared" si="47"/>
        <v>580</v>
      </c>
      <c r="I581" s="21">
        <f t="shared" ca="1" si="49"/>
        <v>0</v>
      </c>
      <c r="J581" s="21" t="str">
        <f ca="1">IF(I581=0,"",COUNTIF($I$2:I581,"&gt;0"))</f>
        <v/>
      </c>
      <c r="K581" s="21" t="str">
        <f t="shared" ca="1" si="50"/>
        <v/>
      </c>
    </row>
    <row r="582" spans="1:11" s="18" customFormat="1" ht="14.25" x14ac:dyDescent="0.2">
      <c r="A582" s="18" t="str">
        <f t="shared" si="48"/>
        <v>Eintrag 581</v>
      </c>
      <c r="B582" s="18">
        <v>100</v>
      </c>
      <c r="C582" s="19">
        <v>100</v>
      </c>
      <c r="D582" s="20">
        <v>10</v>
      </c>
      <c r="E582" s="20">
        <v>10</v>
      </c>
      <c r="F582" s="20">
        <v>10</v>
      </c>
      <c r="G582" s="19">
        <f t="shared" si="51"/>
        <v>172</v>
      </c>
      <c r="H582" s="22">
        <f t="shared" si="47"/>
        <v>581</v>
      </c>
      <c r="I582" s="21">
        <f t="shared" ca="1" si="49"/>
        <v>0</v>
      </c>
      <c r="J582" s="21" t="str">
        <f ca="1">IF(I582=0,"",COUNTIF($I$2:I582,"&gt;0"))</f>
        <v/>
      </c>
      <c r="K582" s="21" t="str">
        <f t="shared" ca="1" si="50"/>
        <v/>
      </c>
    </row>
    <row r="583" spans="1:11" s="18" customFormat="1" ht="14.25" x14ac:dyDescent="0.2">
      <c r="A583" s="18" t="str">
        <f t="shared" si="48"/>
        <v>Eintrag 582</v>
      </c>
      <c r="B583" s="18">
        <v>100</v>
      </c>
      <c r="C583" s="19">
        <v>100</v>
      </c>
      <c r="D583" s="20">
        <v>10</v>
      </c>
      <c r="E583" s="20">
        <v>10</v>
      </c>
      <c r="F583" s="20">
        <v>10</v>
      </c>
      <c r="G583" s="19">
        <f t="shared" si="51"/>
        <v>172</v>
      </c>
      <c r="H583" s="22">
        <f t="shared" si="47"/>
        <v>582</v>
      </c>
      <c r="I583" s="21">
        <f t="shared" ca="1" si="49"/>
        <v>0</v>
      </c>
      <c r="J583" s="21" t="str">
        <f ca="1">IF(I583=0,"",COUNTIF($I$2:I583,"&gt;0"))</f>
        <v/>
      </c>
      <c r="K583" s="21" t="str">
        <f t="shared" ca="1" si="50"/>
        <v/>
      </c>
    </row>
    <row r="584" spans="1:11" s="18" customFormat="1" ht="14.25" x14ac:dyDescent="0.2">
      <c r="A584" s="18" t="str">
        <f t="shared" si="48"/>
        <v>Eintrag 583</v>
      </c>
      <c r="B584" s="18">
        <v>100</v>
      </c>
      <c r="C584" s="19">
        <v>100</v>
      </c>
      <c r="D584" s="20">
        <v>10</v>
      </c>
      <c r="E584" s="20">
        <v>10</v>
      </c>
      <c r="F584" s="20">
        <v>10</v>
      </c>
      <c r="G584" s="19">
        <f t="shared" si="51"/>
        <v>172</v>
      </c>
      <c r="H584" s="22">
        <f t="shared" si="47"/>
        <v>583</v>
      </c>
      <c r="I584" s="21">
        <f t="shared" ca="1" si="49"/>
        <v>0</v>
      </c>
      <c r="J584" s="21" t="str">
        <f ca="1">IF(I584=0,"",COUNTIF($I$2:I584,"&gt;0"))</f>
        <v/>
      </c>
      <c r="K584" s="21" t="str">
        <f t="shared" ca="1" si="50"/>
        <v/>
      </c>
    </row>
    <row r="585" spans="1:11" s="18" customFormat="1" ht="14.25" x14ac:dyDescent="0.2">
      <c r="A585" s="18" t="str">
        <f t="shared" si="48"/>
        <v>Eintrag 584</v>
      </c>
      <c r="B585" s="18">
        <v>100</v>
      </c>
      <c r="C585" s="19">
        <v>100</v>
      </c>
      <c r="D585" s="20">
        <v>10</v>
      </c>
      <c r="E585" s="20">
        <v>10</v>
      </c>
      <c r="F585" s="20">
        <v>10</v>
      </c>
      <c r="G585" s="19">
        <f t="shared" si="51"/>
        <v>172</v>
      </c>
      <c r="H585" s="22">
        <f t="shared" si="47"/>
        <v>584</v>
      </c>
      <c r="I585" s="21">
        <f t="shared" ca="1" si="49"/>
        <v>0</v>
      </c>
      <c r="J585" s="21" t="str">
        <f ca="1">IF(I585=0,"",COUNTIF($I$2:I585,"&gt;0"))</f>
        <v/>
      </c>
      <c r="K585" s="21" t="str">
        <f t="shared" ca="1" si="50"/>
        <v/>
      </c>
    </row>
    <row r="586" spans="1:11" s="18" customFormat="1" ht="14.25" x14ac:dyDescent="0.2">
      <c r="A586" s="18" t="str">
        <f t="shared" si="48"/>
        <v>Eintrag 585</v>
      </c>
      <c r="B586" s="18">
        <v>100</v>
      </c>
      <c r="C586" s="19">
        <v>100</v>
      </c>
      <c r="D586" s="20">
        <v>10</v>
      </c>
      <c r="E586" s="20">
        <v>10</v>
      </c>
      <c r="F586" s="20">
        <v>10</v>
      </c>
      <c r="G586" s="19">
        <f t="shared" si="51"/>
        <v>172</v>
      </c>
      <c r="H586" s="22">
        <f t="shared" si="47"/>
        <v>585</v>
      </c>
      <c r="I586" s="21">
        <f t="shared" ca="1" si="49"/>
        <v>0</v>
      </c>
      <c r="J586" s="21" t="str">
        <f ca="1">IF(I586=0,"",COUNTIF($I$2:I586,"&gt;0"))</f>
        <v/>
      </c>
      <c r="K586" s="21" t="str">
        <f t="shared" ca="1" si="50"/>
        <v/>
      </c>
    </row>
    <row r="587" spans="1:11" s="18" customFormat="1" ht="14.25" x14ac:dyDescent="0.2">
      <c r="A587" s="18" t="str">
        <f t="shared" si="48"/>
        <v>Eintrag 586</v>
      </c>
      <c r="B587" s="18">
        <v>100</v>
      </c>
      <c r="C587" s="19">
        <v>100</v>
      </c>
      <c r="D587" s="20">
        <v>10</v>
      </c>
      <c r="E587" s="20">
        <v>10</v>
      </c>
      <c r="F587" s="20">
        <v>10</v>
      </c>
      <c r="G587" s="19">
        <f t="shared" si="51"/>
        <v>172</v>
      </c>
      <c r="H587" s="22">
        <f t="shared" si="47"/>
        <v>586</v>
      </c>
      <c r="I587" s="21">
        <f t="shared" ca="1" si="49"/>
        <v>0</v>
      </c>
      <c r="J587" s="21" t="str">
        <f ca="1">IF(I587=0,"",COUNTIF($I$2:I587,"&gt;0"))</f>
        <v/>
      </c>
      <c r="K587" s="21" t="str">
        <f t="shared" ca="1" si="50"/>
        <v/>
      </c>
    </row>
    <row r="588" spans="1:11" s="18" customFormat="1" ht="14.25" x14ac:dyDescent="0.2">
      <c r="A588" s="18" t="str">
        <f t="shared" si="48"/>
        <v>Eintrag 587</v>
      </c>
      <c r="B588" s="18">
        <v>100</v>
      </c>
      <c r="C588" s="19">
        <v>100</v>
      </c>
      <c r="D588" s="20">
        <v>10</v>
      </c>
      <c r="E588" s="20">
        <v>10</v>
      </c>
      <c r="F588" s="20">
        <v>10</v>
      </c>
      <c r="G588" s="19">
        <f t="shared" si="51"/>
        <v>172</v>
      </c>
      <c r="H588" s="22">
        <f t="shared" si="47"/>
        <v>587</v>
      </c>
      <c r="I588" s="21">
        <f t="shared" ca="1" si="49"/>
        <v>0</v>
      </c>
      <c r="J588" s="21" t="str">
        <f ca="1">IF(I588=0,"",COUNTIF($I$2:I588,"&gt;0"))</f>
        <v/>
      </c>
      <c r="K588" s="21" t="str">
        <f t="shared" ca="1" si="50"/>
        <v/>
      </c>
    </row>
    <row r="589" spans="1:11" s="18" customFormat="1" ht="14.25" x14ac:dyDescent="0.2">
      <c r="A589" s="18" t="str">
        <f t="shared" si="48"/>
        <v>Eintrag 588</v>
      </c>
      <c r="B589" s="18">
        <v>100</v>
      </c>
      <c r="C589" s="19">
        <v>100</v>
      </c>
      <c r="D589" s="20">
        <v>10</v>
      </c>
      <c r="E589" s="20">
        <v>10</v>
      </c>
      <c r="F589" s="20">
        <v>10</v>
      </c>
      <c r="G589" s="19">
        <f t="shared" si="51"/>
        <v>172</v>
      </c>
      <c r="H589" s="22">
        <f t="shared" si="47"/>
        <v>588</v>
      </c>
      <c r="I589" s="21">
        <f t="shared" ca="1" si="49"/>
        <v>0</v>
      </c>
      <c r="J589" s="21" t="str">
        <f ca="1">IF(I589=0,"",COUNTIF($I$2:I589,"&gt;0"))</f>
        <v/>
      </c>
      <c r="K589" s="21" t="str">
        <f t="shared" ca="1" si="50"/>
        <v/>
      </c>
    </row>
    <row r="590" spans="1:11" s="18" customFormat="1" ht="14.25" x14ac:dyDescent="0.2">
      <c r="A590" s="18" t="str">
        <f t="shared" si="48"/>
        <v>Eintrag 589</v>
      </c>
      <c r="B590" s="18">
        <v>100</v>
      </c>
      <c r="C590" s="19">
        <v>100</v>
      </c>
      <c r="D590" s="20">
        <v>10</v>
      </c>
      <c r="E590" s="20">
        <v>10</v>
      </c>
      <c r="F590" s="20">
        <v>10</v>
      </c>
      <c r="G590" s="19">
        <f t="shared" si="51"/>
        <v>172</v>
      </c>
      <c r="H590" s="22">
        <f t="shared" si="47"/>
        <v>589</v>
      </c>
      <c r="I590" s="21">
        <f t="shared" ca="1" si="49"/>
        <v>0</v>
      </c>
      <c r="J590" s="21" t="str">
        <f ca="1">IF(I590=0,"",COUNTIF($I$2:I590,"&gt;0"))</f>
        <v/>
      </c>
      <c r="K590" s="21" t="str">
        <f t="shared" ca="1" si="50"/>
        <v/>
      </c>
    </row>
    <row r="591" spans="1:11" s="18" customFormat="1" ht="14.25" x14ac:dyDescent="0.2">
      <c r="A591" s="18" t="str">
        <f t="shared" si="48"/>
        <v>Eintrag 590</v>
      </c>
      <c r="B591" s="18">
        <v>100</v>
      </c>
      <c r="C591" s="19">
        <v>100</v>
      </c>
      <c r="D591" s="20">
        <v>10</v>
      </c>
      <c r="E591" s="20">
        <v>10</v>
      </c>
      <c r="F591" s="20">
        <v>10</v>
      </c>
      <c r="G591" s="19">
        <f t="shared" si="51"/>
        <v>172</v>
      </c>
      <c r="H591" s="22">
        <f t="shared" si="47"/>
        <v>590</v>
      </c>
      <c r="I591" s="21">
        <f t="shared" ca="1" si="49"/>
        <v>0</v>
      </c>
      <c r="J591" s="21" t="str">
        <f ca="1">IF(I591=0,"",COUNTIF($I$2:I591,"&gt;0"))</f>
        <v/>
      </c>
      <c r="K591" s="21" t="str">
        <f t="shared" ca="1" si="50"/>
        <v/>
      </c>
    </row>
    <row r="592" spans="1:11" s="18" customFormat="1" ht="14.25" x14ac:dyDescent="0.2">
      <c r="A592" s="18" t="str">
        <f t="shared" si="48"/>
        <v>Eintrag 591</v>
      </c>
      <c r="B592" s="18">
        <v>100</v>
      </c>
      <c r="C592" s="19">
        <v>100</v>
      </c>
      <c r="D592" s="20">
        <v>10</v>
      </c>
      <c r="E592" s="20">
        <v>10</v>
      </c>
      <c r="F592" s="20">
        <v>10</v>
      </c>
      <c r="G592" s="19">
        <f t="shared" si="51"/>
        <v>172</v>
      </c>
      <c r="H592" s="22">
        <f t="shared" si="47"/>
        <v>591</v>
      </c>
      <c r="I592" s="21">
        <f t="shared" ca="1" si="49"/>
        <v>0</v>
      </c>
      <c r="J592" s="21" t="str">
        <f ca="1">IF(I592=0,"",COUNTIF($I$2:I592,"&gt;0"))</f>
        <v/>
      </c>
      <c r="K592" s="21" t="str">
        <f t="shared" ca="1" si="50"/>
        <v/>
      </c>
    </row>
    <row r="593" spans="1:11" s="18" customFormat="1" ht="14.25" x14ac:dyDescent="0.2">
      <c r="A593" s="18" t="str">
        <f t="shared" si="48"/>
        <v>Eintrag 592</v>
      </c>
      <c r="B593" s="18">
        <v>100</v>
      </c>
      <c r="C593" s="19">
        <v>100</v>
      </c>
      <c r="D593" s="20">
        <v>10</v>
      </c>
      <c r="E593" s="20">
        <v>10</v>
      </c>
      <c r="F593" s="20">
        <v>10</v>
      </c>
      <c r="G593" s="19">
        <f t="shared" si="51"/>
        <v>172</v>
      </c>
      <c r="H593" s="22">
        <f t="shared" si="47"/>
        <v>592</v>
      </c>
      <c r="I593" s="21">
        <f t="shared" ca="1" si="49"/>
        <v>0</v>
      </c>
      <c r="J593" s="21" t="str">
        <f ca="1">IF(I593=0,"",COUNTIF($I$2:I593,"&gt;0"))</f>
        <v/>
      </c>
      <c r="K593" s="21" t="str">
        <f t="shared" ca="1" si="50"/>
        <v/>
      </c>
    </row>
    <row r="594" spans="1:11" s="18" customFormat="1" ht="14.25" x14ac:dyDescent="0.2">
      <c r="A594" s="18" t="str">
        <f t="shared" si="48"/>
        <v>Eintrag 593</v>
      </c>
      <c r="B594" s="18">
        <v>100</v>
      </c>
      <c r="C594" s="19">
        <v>100</v>
      </c>
      <c r="D594" s="20">
        <v>10</v>
      </c>
      <c r="E594" s="20">
        <v>10</v>
      </c>
      <c r="F594" s="20">
        <v>10</v>
      </c>
      <c r="G594" s="19">
        <f t="shared" si="51"/>
        <v>172</v>
      </c>
      <c r="H594" s="22">
        <f t="shared" si="47"/>
        <v>593</v>
      </c>
      <c r="I594" s="21">
        <f t="shared" ca="1" si="49"/>
        <v>0</v>
      </c>
      <c r="J594" s="21" t="str">
        <f ca="1">IF(I594=0,"",COUNTIF($I$2:I594,"&gt;0"))</f>
        <v/>
      </c>
      <c r="K594" s="21" t="str">
        <f t="shared" ca="1" si="50"/>
        <v/>
      </c>
    </row>
    <row r="595" spans="1:11" s="18" customFormat="1" ht="14.25" x14ac:dyDescent="0.2">
      <c r="A595" s="18" t="str">
        <f t="shared" si="48"/>
        <v>Eintrag 594</v>
      </c>
      <c r="B595" s="18">
        <v>100</v>
      </c>
      <c r="C595" s="19">
        <v>100</v>
      </c>
      <c r="D595" s="20">
        <v>10</v>
      </c>
      <c r="E595" s="20">
        <v>10</v>
      </c>
      <c r="F595" s="20">
        <v>10</v>
      </c>
      <c r="G595" s="19">
        <f t="shared" si="51"/>
        <v>172</v>
      </c>
      <c r="H595" s="22">
        <f t="shared" si="47"/>
        <v>594</v>
      </c>
      <c r="I595" s="21">
        <f t="shared" ca="1" si="49"/>
        <v>0</v>
      </c>
      <c r="J595" s="21" t="str">
        <f ca="1">IF(I595=0,"",COUNTIF($I$2:I595,"&gt;0"))</f>
        <v/>
      </c>
      <c r="K595" s="21" t="str">
        <f t="shared" ca="1" si="50"/>
        <v/>
      </c>
    </row>
    <row r="596" spans="1:11" s="18" customFormat="1" ht="14.25" x14ac:dyDescent="0.2">
      <c r="A596" s="18" t="str">
        <f t="shared" si="48"/>
        <v>Eintrag 595</v>
      </c>
      <c r="B596" s="18">
        <v>100</v>
      </c>
      <c r="C596" s="19">
        <v>100</v>
      </c>
      <c r="D596" s="20">
        <v>10</v>
      </c>
      <c r="E596" s="20">
        <v>10</v>
      </c>
      <c r="F596" s="20">
        <v>10</v>
      </c>
      <c r="G596" s="19">
        <f t="shared" si="51"/>
        <v>172</v>
      </c>
      <c r="H596" s="22">
        <f t="shared" si="47"/>
        <v>595</v>
      </c>
      <c r="I596" s="21">
        <f t="shared" ca="1" si="49"/>
        <v>0</v>
      </c>
      <c r="J596" s="21" t="str">
        <f ca="1">IF(I596=0,"",COUNTIF($I$2:I596,"&gt;0"))</f>
        <v/>
      </c>
      <c r="K596" s="21" t="str">
        <f t="shared" ca="1" si="50"/>
        <v/>
      </c>
    </row>
    <row r="597" spans="1:11" s="18" customFormat="1" ht="14.25" x14ac:dyDescent="0.2">
      <c r="A597" s="18" t="str">
        <f t="shared" si="48"/>
        <v>Eintrag 596</v>
      </c>
      <c r="B597" s="18">
        <v>100</v>
      </c>
      <c r="C597" s="19">
        <v>100</v>
      </c>
      <c r="D597" s="20">
        <v>10</v>
      </c>
      <c r="E597" s="20">
        <v>10</v>
      </c>
      <c r="F597" s="20">
        <v>10</v>
      </c>
      <c r="G597" s="19">
        <f t="shared" si="51"/>
        <v>172</v>
      </c>
      <c r="H597" s="22">
        <f t="shared" si="47"/>
        <v>596</v>
      </c>
      <c r="I597" s="21">
        <f t="shared" ca="1" si="49"/>
        <v>0</v>
      </c>
      <c r="J597" s="21" t="str">
        <f ca="1">IF(I597=0,"",COUNTIF($I$2:I597,"&gt;0"))</f>
        <v/>
      </c>
      <c r="K597" s="21" t="str">
        <f t="shared" ca="1" si="50"/>
        <v/>
      </c>
    </row>
    <row r="598" spans="1:11" s="18" customFormat="1" ht="14.25" x14ac:dyDescent="0.2">
      <c r="A598" s="18" t="str">
        <f t="shared" si="48"/>
        <v>Eintrag 597</v>
      </c>
      <c r="B598" s="18">
        <v>100</v>
      </c>
      <c r="C598" s="19">
        <v>100</v>
      </c>
      <c r="D598" s="20">
        <v>10</v>
      </c>
      <c r="E598" s="20">
        <v>10</v>
      </c>
      <c r="F598" s="20">
        <v>10</v>
      </c>
      <c r="G598" s="19">
        <f t="shared" si="51"/>
        <v>172</v>
      </c>
      <c r="H598" s="22">
        <f t="shared" si="47"/>
        <v>597</v>
      </c>
      <c r="I598" s="21">
        <f t="shared" ca="1" si="49"/>
        <v>0</v>
      </c>
      <c r="J598" s="21" t="str">
        <f ca="1">IF(I598=0,"",COUNTIF($I$2:I598,"&gt;0"))</f>
        <v/>
      </c>
      <c r="K598" s="21" t="str">
        <f t="shared" ca="1" si="50"/>
        <v/>
      </c>
    </row>
    <row r="599" spans="1:11" s="18" customFormat="1" ht="14.25" x14ac:dyDescent="0.2">
      <c r="A599" s="18" t="str">
        <f t="shared" si="48"/>
        <v>Eintrag 598</v>
      </c>
      <c r="B599" s="18">
        <v>100</v>
      </c>
      <c r="C599" s="19">
        <v>100</v>
      </c>
      <c r="D599" s="20">
        <v>10</v>
      </c>
      <c r="E599" s="20">
        <v>10</v>
      </c>
      <c r="F599" s="20">
        <v>10</v>
      </c>
      <c r="G599" s="19">
        <f t="shared" si="51"/>
        <v>172</v>
      </c>
      <c r="H599" s="22">
        <f t="shared" si="47"/>
        <v>598</v>
      </c>
      <c r="I599" s="21">
        <f t="shared" ca="1" si="49"/>
        <v>0</v>
      </c>
      <c r="J599" s="21" t="str">
        <f ca="1">IF(I599=0,"",COUNTIF($I$2:I599,"&gt;0"))</f>
        <v/>
      </c>
      <c r="K599" s="21" t="str">
        <f t="shared" ca="1" si="50"/>
        <v/>
      </c>
    </row>
    <row r="600" spans="1:11" s="18" customFormat="1" ht="14.25" x14ac:dyDescent="0.2">
      <c r="A600" s="18" t="str">
        <f t="shared" si="48"/>
        <v>Eintrag 599</v>
      </c>
      <c r="B600" s="18">
        <v>100</v>
      </c>
      <c r="C600" s="19">
        <v>100</v>
      </c>
      <c r="D600" s="20">
        <v>10</v>
      </c>
      <c r="E600" s="20">
        <v>10</v>
      </c>
      <c r="F600" s="20">
        <v>10</v>
      </c>
      <c r="G600" s="19">
        <f t="shared" si="51"/>
        <v>172</v>
      </c>
      <c r="H600" s="22">
        <f t="shared" si="47"/>
        <v>599</v>
      </c>
      <c r="I600" s="21">
        <f t="shared" ca="1" si="49"/>
        <v>0</v>
      </c>
      <c r="J600" s="21" t="str">
        <f ca="1">IF(I600=0,"",COUNTIF($I$2:I600,"&gt;0"))</f>
        <v/>
      </c>
      <c r="K600" s="21" t="str">
        <f t="shared" ca="1" si="50"/>
        <v/>
      </c>
    </row>
    <row r="601" spans="1:11" s="18" customFormat="1" ht="14.25" x14ac:dyDescent="0.2">
      <c r="A601" s="18" t="str">
        <f t="shared" si="48"/>
        <v>Eintrag 600</v>
      </c>
      <c r="B601" s="18">
        <v>100</v>
      </c>
      <c r="C601" s="19">
        <v>100</v>
      </c>
      <c r="D601" s="20">
        <v>10</v>
      </c>
      <c r="E601" s="20">
        <v>10</v>
      </c>
      <c r="F601" s="20">
        <v>10</v>
      </c>
      <c r="G601" s="19">
        <f t="shared" si="51"/>
        <v>172</v>
      </c>
      <c r="H601" s="22">
        <f t="shared" si="47"/>
        <v>600</v>
      </c>
      <c r="I601" s="21">
        <f t="shared" ca="1" si="49"/>
        <v>0</v>
      </c>
      <c r="J601" s="21" t="str">
        <f ca="1">IF(I601=0,"",COUNTIF($I$2:I601,"&gt;0"))</f>
        <v/>
      </c>
      <c r="K601" s="21" t="str">
        <f t="shared" ca="1" si="50"/>
        <v/>
      </c>
    </row>
    <row r="602" spans="1:11" s="18" customFormat="1" ht="14.25" x14ac:dyDescent="0.2">
      <c r="A602" s="18" t="str">
        <f t="shared" si="48"/>
        <v>Eintrag 601</v>
      </c>
      <c r="B602" s="18">
        <v>100</v>
      </c>
      <c r="C602" s="19">
        <v>100</v>
      </c>
      <c r="D602" s="20">
        <v>10</v>
      </c>
      <c r="E602" s="20">
        <v>10</v>
      </c>
      <c r="F602" s="20">
        <v>10</v>
      </c>
      <c r="G602" s="19">
        <f t="shared" si="51"/>
        <v>172</v>
      </c>
      <c r="H602" s="22">
        <f t="shared" si="47"/>
        <v>601</v>
      </c>
      <c r="I602" s="21">
        <f t="shared" ca="1" si="49"/>
        <v>0</v>
      </c>
      <c r="J602" s="21" t="str">
        <f ca="1">IF(I602=0,"",COUNTIF($I$2:I602,"&gt;0"))</f>
        <v/>
      </c>
      <c r="K602" s="21" t="str">
        <f t="shared" ca="1" si="50"/>
        <v/>
      </c>
    </row>
    <row r="603" spans="1:11" s="18" customFormat="1" ht="14.25" x14ac:dyDescent="0.2">
      <c r="A603" s="18" t="str">
        <f t="shared" si="48"/>
        <v>Eintrag 602</v>
      </c>
      <c r="B603" s="18">
        <v>100</v>
      </c>
      <c r="C603" s="19">
        <v>100</v>
      </c>
      <c r="D603" s="20">
        <v>10</v>
      </c>
      <c r="E603" s="20">
        <v>10</v>
      </c>
      <c r="F603" s="20">
        <v>10</v>
      </c>
      <c r="G603" s="19">
        <f t="shared" si="51"/>
        <v>172</v>
      </c>
      <c r="H603" s="22">
        <f t="shared" si="47"/>
        <v>602</v>
      </c>
      <c r="I603" s="21">
        <f t="shared" ca="1" si="49"/>
        <v>0</v>
      </c>
      <c r="J603" s="21" t="str">
        <f ca="1">IF(I603=0,"",COUNTIF($I$2:I603,"&gt;0"))</f>
        <v/>
      </c>
      <c r="K603" s="21" t="str">
        <f t="shared" ca="1" si="50"/>
        <v/>
      </c>
    </row>
    <row r="604" spans="1:11" s="18" customFormat="1" ht="14.25" x14ac:dyDescent="0.2">
      <c r="A604" s="18" t="str">
        <f t="shared" si="48"/>
        <v>Eintrag 603</v>
      </c>
      <c r="B604" s="18">
        <v>100</v>
      </c>
      <c r="C604" s="19">
        <v>100</v>
      </c>
      <c r="D604" s="20">
        <v>10</v>
      </c>
      <c r="E604" s="20">
        <v>10</v>
      </c>
      <c r="F604" s="20">
        <v>10</v>
      </c>
      <c r="G604" s="19">
        <f t="shared" si="51"/>
        <v>172</v>
      </c>
      <c r="H604" s="22">
        <f t="shared" si="47"/>
        <v>603</v>
      </c>
      <c r="I604" s="21">
        <f t="shared" ca="1" si="49"/>
        <v>0</v>
      </c>
      <c r="J604" s="21" t="str">
        <f ca="1">IF(I604=0,"",COUNTIF($I$2:I604,"&gt;0"))</f>
        <v/>
      </c>
      <c r="K604" s="21" t="str">
        <f t="shared" ca="1" si="50"/>
        <v/>
      </c>
    </row>
    <row r="605" spans="1:11" s="18" customFormat="1" ht="14.25" x14ac:dyDescent="0.2">
      <c r="A605" s="18" t="str">
        <f t="shared" si="48"/>
        <v>Eintrag 604</v>
      </c>
      <c r="B605" s="18">
        <v>100</v>
      </c>
      <c r="C605" s="19">
        <v>100</v>
      </c>
      <c r="D605" s="20">
        <v>10</v>
      </c>
      <c r="E605" s="20">
        <v>10</v>
      </c>
      <c r="F605" s="20">
        <v>10</v>
      </c>
      <c r="G605" s="19">
        <f t="shared" si="51"/>
        <v>172</v>
      </c>
      <c r="H605" s="22">
        <f t="shared" si="47"/>
        <v>604</v>
      </c>
      <c r="I605" s="21">
        <f t="shared" ca="1" si="49"/>
        <v>0</v>
      </c>
      <c r="J605" s="21" t="str">
        <f ca="1">IF(I605=0,"",COUNTIF($I$2:I605,"&gt;0"))</f>
        <v/>
      </c>
      <c r="K605" s="21" t="str">
        <f t="shared" ca="1" si="50"/>
        <v/>
      </c>
    </row>
    <row r="606" spans="1:11" s="18" customFormat="1" ht="14.25" x14ac:dyDescent="0.2">
      <c r="A606" s="18" t="str">
        <f t="shared" si="48"/>
        <v>Eintrag 605</v>
      </c>
      <c r="B606" s="18">
        <v>100</v>
      </c>
      <c r="C606" s="19">
        <v>100</v>
      </c>
      <c r="D606" s="20">
        <v>10</v>
      </c>
      <c r="E606" s="20">
        <v>10</v>
      </c>
      <c r="F606" s="20">
        <v>10</v>
      </c>
      <c r="G606" s="19">
        <f t="shared" si="51"/>
        <v>172</v>
      </c>
      <c r="H606" s="22">
        <f t="shared" si="47"/>
        <v>605</v>
      </c>
      <c r="I606" s="21">
        <f t="shared" ca="1" si="49"/>
        <v>0</v>
      </c>
      <c r="J606" s="21" t="str">
        <f ca="1">IF(I606=0,"",COUNTIF($I$2:I606,"&gt;0"))</f>
        <v/>
      </c>
      <c r="K606" s="21" t="str">
        <f t="shared" ca="1" si="50"/>
        <v/>
      </c>
    </row>
    <row r="607" spans="1:11" s="18" customFormat="1" ht="14.25" x14ac:dyDescent="0.2">
      <c r="A607" s="18" t="str">
        <f t="shared" si="48"/>
        <v>Eintrag 606</v>
      </c>
      <c r="B607" s="18">
        <v>100</v>
      </c>
      <c r="C607" s="19">
        <v>100</v>
      </c>
      <c r="D607" s="20">
        <v>10</v>
      </c>
      <c r="E607" s="20">
        <v>10</v>
      </c>
      <c r="F607" s="20">
        <v>10</v>
      </c>
      <c r="G607" s="19">
        <f t="shared" si="51"/>
        <v>172</v>
      </c>
      <c r="H607" s="22">
        <f t="shared" si="47"/>
        <v>606</v>
      </c>
      <c r="I607" s="21">
        <f t="shared" ca="1" si="49"/>
        <v>0</v>
      </c>
      <c r="J607" s="21" t="str">
        <f ca="1">IF(I607=0,"",COUNTIF($I$2:I607,"&gt;0"))</f>
        <v/>
      </c>
      <c r="K607" s="21" t="str">
        <f t="shared" ca="1" si="50"/>
        <v/>
      </c>
    </row>
    <row r="608" spans="1:11" s="18" customFormat="1" ht="14.25" x14ac:dyDescent="0.2">
      <c r="A608" s="18" t="str">
        <f t="shared" si="48"/>
        <v>Eintrag 607</v>
      </c>
      <c r="B608" s="18">
        <v>100</v>
      </c>
      <c r="C608" s="19">
        <v>100</v>
      </c>
      <c r="D608" s="20">
        <v>10</v>
      </c>
      <c r="E608" s="20">
        <v>10</v>
      </c>
      <c r="F608" s="20">
        <v>10</v>
      </c>
      <c r="G608" s="19">
        <f t="shared" si="51"/>
        <v>172</v>
      </c>
      <c r="H608" s="22">
        <f t="shared" si="47"/>
        <v>607</v>
      </c>
      <c r="I608" s="21">
        <f t="shared" ca="1" si="49"/>
        <v>0</v>
      </c>
      <c r="J608" s="21" t="str">
        <f ca="1">IF(I608=0,"",COUNTIF($I$2:I608,"&gt;0"))</f>
        <v/>
      </c>
      <c r="K608" s="21" t="str">
        <f t="shared" ca="1" si="50"/>
        <v/>
      </c>
    </row>
    <row r="609" spans="1:11" s="18" customFormat="1" ht="14.25" x14ac:dyDescent="0.2">
      <c r="A609" s="18" t="str">
        <f t="shared" si="48"/>
        <v>Eintrag 608</v>
      </c>
      <c r="B609" s="18">
        <v>100</v>
      </c>
      <c r="C609" s="19">
        <v>100</v>
      </c>
      <c r="D609" s="20">
        <v>10</v>
      </c>
      <c r="E609" s="20">
        <v>10</v>
      </c>
      <c r="F609" s="20">
        <v>10</v>
      </c>
      <c r="G609" s="19">
        <f t="shared" si="51"/>
        <v>172</v>
      </c>
      <c r="H609" s="22">
        <f t="shared" si="47"/>
        <v>608</v>
      </c>
      <c r="I609" s="21">
        <f t="shared" ca="1" si="49"/>
        <v>0</v>
      </c>
      <c r="J609" s="21" t="str">
        <f ca="1">IF(I609=0,"",COUNTIF($I$2:I609,"&gt;0"))</f>
        <v/>
      </c>
      <c r="K609" s="21" t="str">
        <f t="shared" ca="1" si="50"/>
        <v/>
      </c>
    </row>
    <row r="610" spans="1:11" s="18" customFormat="1" ht="14.25" x14ac:dyDescent="0.2">
      <c r="A610" s="18" t="str">
        <f t="shared" si="48"/>
        <v>Eintrag 609</v>
      </c>
      <c r="B610" s="18">
        <v>100</v>
      </c>
      <c r="C610" s="19">
        <v>100</v>
      </c>
      <c r="D610" s="20">
        <v>10</v>
      </c>
      <c r="E610" s="20">
        <v>10</v>
      </c>
      <c r="F610" s="20">
        <v>10</v>
      </c>
      <c r="G610" s="19">
        <f t="shared" si="51"/>
        <v>172</v>
      </c>
      <c r="H610" s="22">
        <f t="shared" si="47"/>
        <v>609</v>
      </c>
      <c r="I610" s="21">
        <f t="shared" ca="1" si="49"/>
        <v>0</v>
      </c>
      <c r="J610" s="21" t="str">
        <f ca="1">IF(I610=0,"",COUNTIF($I$2:I610,"&gt;0"))</f>
        <v/>
      </c>
      <c r="K610" s="21" t="str">
        <f t="shared" ca="1" si="50"/>
        <v/>
      </c>
    </row>
    <row r="611" spans="1:11" s="18" customFormat="1" ht="14.25" x14ac:dyDescent="0.2">
      <c r="A611" s="18" t="str">
        <f t="shared" si="48"/>
        <v>Eintrag 610</v>
      </c>
      <c r="B611" s="18">
        <v>100</v>
      </c>
      <c r="C611" s="19">
        <v>100</v>
      </c>
      <c r="D611" s="20">
        <v>10</v>
      </c>
      <c r="E611" s="20">
        <v>10</v>
      </c>
      <c r="F611" s="20">
        <v>10</v>
      </c>
      <c r="G611" s="19">
        <f t="shared" si="51"/>
        <v>172</v>
      </c>
      <c r="H611" s="22">
        <f t="shared" si="47"/>
        <v>610</v>
      </c>
      <c r="I611" s="21">
        <f t="shared" ca="1" si="49"/>
        <v>0</v>
      </c>
      <c r="J611" s="21" t="str">
        <f ca="1">IF(I611=0,"",COUNTIF($I$2:I611,"&gt;0"))</f>
        <v/>
      </c>
      <c r="K611" s="21" t="str">
        <f t="shared" ca="1" si="50"/>
        <v/>
      </c>
    </row>
    <row r="612" spans="1:11" s="18" customFormat="1" ht="14.25" x14ac:dyDescent="0.2">
      <c r="A612" s="18" t="str">
        <f t="shared" si="48"/>
        <v>Eintrag 611</v>
      </c>
      <c r="B612" s="18">
        <v>100</v>
      </c>
      <c r="C612" s="19">
        <v>100</v>
      </c>
      <c r="D612" s="20">
        <v>10</v>
      </c>
      <c r="E612" s="20">
        <v>10</v>
      </c>
      <c r="F612" s="20">
        <v>10</v>
      </c>
      <c r="G612" s="19">
        <f t="shared" si="51"/>
        <v>172</v>
      </c>
      <c r="H612" s="22">
        <f t="shared" si="47"/>
        <v>611</v>
      </c>
      <c r="I612" s="21">
        <f t="shared" ca="1" si="49"/>
        <v>0</v>
      </c>
      <c r="J612" s="21" t="str">
        <f ca="1">IF(I612=0,"",COUNTIF($I$2:I612,"&gt;0"))</f>
        <v/>
      </c>
      <c r="K612" s="21" t="str">
        <f t="shared" ca="1" si="50"/>
        <v/>
      </c>
    </row>
    <row r="613" spans="1:11" s="18" customFormat="1" ht="14.25" x14ac:dyDescent="0.2">
      <c r="A613" s="18" t="str">
        <f t="shared" si="48"/>
        <v>Eintrag 612</v>
      </c>
      <c r="B613" s="18">
        <v>100</v>
      </c>
      <c r="C613" s="19">
        <v>100</v>
      </c>
      <c r="D613" s="20">
        <v>10</v>
      </c>
      <c r="E613" s="20">
        <v>10</v>
      </c>
      <c r="F613" s="20">
        <v>10</v>
      </c>
      <c r="G613" s="19">
        <f t="shared" si="51"/>
        <v>172</v>
      </c>
      <c r="H613" s="22">
        <f t="shared" ref="H613:H676" si="52">H612+1</f>
        <v>612</v>
      </c>
      <c r="I613" s="21">
        <f t="shared" ca="1" si="49"/>
        <v>0</v>
      </c>
      <c r="J613" s="21" t="str">
        <f ca="1">IF(I613=0,"",COUNTIF($I$2:I613,"&gt;0"))</f>
        <v/>
      </c>
      <c r="K613" s="21" t="str">
        <f t="shared" ca="1" si="50"/>
        <v/>
      </c>
    </row>
    <row r="614" spans="1:11" s="18" customFormat="1" ht="14.25" x14ac:dyDescent="0.2">
      <c r="A614" s="18" t="str">
        <f t="shared" si="48"/>
        <v>Eintrag 613</v>
      </c>
      <c r="B614" s="18">
        <v>100</v>
      </c>
      <c r="C614" s="19">
        <v>100</v>
      </c>
      <c r="D614" s="20">
        <v>10</v>
      </c>
      <c r="E614" s="20">
        <v>10</v>
      </c>
      <c r="F614" s="20">
        <v>10</v>
      </c>
      <c r="G614" s="19">
        <f t="shared" si="51"/>
        <v>172</v>
      </c>
      <c r="H614" s="22">
        <f t="shared" si="52"/>
        <v>613</v>
      </c>
      <c r="I614" s="21">
        <f t="shared" ca="1" si="49"/>
        <v>0</v>
      </c>
      <c r="J614" s="21" t="str">
        <f ca="1">IF(I614=0,"",COUNTIF($I$2:I614,"&gt;0"))</f>
        <v/>
      </c>
      <c r="K614" s="21" t="str">
        <f t="shared" ca="1" si="50"/>
        <v/>
      </c>
    </row>
    <row r="615" spans="1:11" s="18" customFormat="1" ht="14.25" x14ac:dyDescent="0.2">
      <c r="A615" s="18" t="str">
        <f t="shared" si="48"/>
        <v>Eintrag 614</v>
      </c>
      <c r="B615" s="18">
        <v>100</v>
      </c>
      <c r="C615" s="19">
        <v>100</v>
      </c>
      <c r="D615" s="20">
        <v>10</v>
      </c>
      <c r="E615" s="20">
        <v>10</v>
      </c>
      <c r="F615" s="20">
        <v>10</v>
      </c>
      <c r="G615" s="19">
        <f t="shared" si="51"/>
        <v>172</v>
      </c>
      <c r="H615" s="22">
        <f t="shared" si="52"/>
        <v>614</v>
      </c>
      <c r="I615" s="21">
        <f t="shared" ca="1" si="49"/>
        <v>0</v>
      </c>
      <c r="J615" s="21" t="str">
        <f ca="1">IF(I615=0,"",COUNTIF($I$2:I615,"&gt;0"))</f>
        <v/>
      </c>
      <c r="K615" s="21" t="str">
        <f t="shared" ca="1" si="50"/>
        <v/>
      </c>
    </row>
    <row r="616" spans="1:11" s="18" customFormat="1" ht="14.25" x14ac:dyDescent="0.2">
      <c r="A616" s="18" t="str">
        <f t="shared" si="48"/>
        <v>Eintrag 615</v>
      </c>
      <c r="B616" s="18">
        <v>100</v>
      </c>
      <c r="C616" s="19">
        <v>100</v>
      </c>
      <c r="D616" s="20">
        <v>10</v>
      </c>
      <c r="E616" s="20">
        <v>10</v>
      </c>
      <c r="F616" s="20">
        <v>10</v>
      </c>
      <c r="G616" s="19">
        <f t="shared" si="51"/>
        <v>172</v>
      </c>
      <c r="H616" s="22">
        <f t="shared" si="52"/>
        <v>615</v>
      </c>
      <c r="I616" s="21">
        <f t="shared" ca="1" si="49"/>
        <v>0</v>
      </c>
      <c r="J616" s="21" t="str">
        <f ca="1">IF(I616=0,"",COUNTIF($I$2:I616,"&gt;0"))</f>
        <v/>
      </c>
      <c r="K616" s="21" t="str">
        <f t="shared" ca="1" si="50"/>
        <v/>
      </c>
    </row>
    <row r="617" spans="1:11" s="18" customFormat="1" ht="14.25" x14ac:dyDescent="0.2">
      <c r="A617" s="18" t="str">
        <f t="shared" si="48"/>
        <v>Eintrag 616</v>
      </c>
      <c r="B617" s="18">
        <v>100</v>
      </c>
      <c r="C617" s="19">
        <v>100</v>
      </c>
      <c r="D617" s="20">
        <v>10</v>
      </c>
      <c r="E617" s="20">
        <v>10</v>
      </c>
      <c r="F617" s="20">
        <v>10</v>
      </c>
      <c r="G617" s="19">
        <f t="shared" si="51"/>
        <v>172</v>
      </c>
      <c r="H617" s="22">
        <f t="shared" si="52"/>
        <v>616</v>
      </c>
      <c r="I617" s="21">
        <f t="shared" ca="1" si="49"/>
        <v>0</v>
      </c>
      <c r="J617" s="21" t="str">
        <f ca="1">IF(I617=0,"",COUNTIF($I$2:I617,"&gt;0"))</f>
        <v/>
      </c>
      <c r="K617" s="21" t="str">
        <f t="shared" ca="1" si="50"/>
        <v/>
      </c>
    </row>
    <row r="618" spans="1:11" s="18" customFormat="1" ht="14.25" x14ac:dyDescent="0.2">
      <c r="A618" s="18" t="str">
        <f t="shared" si="48"/>
        <v>Eintrag 617</v>
      </c>
      <c r="B618" s="18">
        <v>100</v>
      </c>
      <c r="C618" s="19">
        <v>100</v>
      </c>
      <c r="D618" s="20">
        <v>10</v>
      </c>
      <c r="E618" s="20">
        <v>10</v>
      </c>
      <c r="F618" s="20">
        <v>10</v>
      </c>
      <c r="G618" s="19">
        <f t="shared" si="51"/>
        <v>172</v>
      </c>
      <c r="H618" s="22">
        <f t="shared" si="52"/>
        <v>617</v>
      </c>
      <c r="I618" s="21">
        <f t="shared" ca="1" si="49"/>
        <v>0</v>
      </c>
      <c r="J618" s="21" t="str">
        <f ca="1">IF(I618=0,"",COUNTIF($I$2:I618,"&gt;0"))</f>
        <v/>
      </c>
      <c r="K618" s="21" t="str">
        <f t="shared" ca="1" si="50"/>
        <v/>
      </c>
    </row>
    <row r="619" spans="1:11" s="18" customFormat="1" ht="14.25" x14ac:dyDescent="0.2">
      <c r="A619" s="18" t="str">
        <f t="shared" si="48"/>
        <v>Eintrag 618</v>
      </c>
      <c r="B619" s="18">
        <v>100</v>
      </c>
      <c r="C619" s="19">
        <v>100</v>
      </c>
      <c r="D619" s="20">
        <v>10</v>
      </c>
      <c r="E619" s="20">
        <v>10</v>
      </c>
      <c r="F619" s="20">
        <v>10</v>
      </c>
      <c r="G619" s="19">
        <f t="shared" si="51"/>
        <v>172</v>
      </c>
      <c r="H619" s="22">
        <f t="shared" si="52"/>
        <v>618</v>
      </c>
      <c r="I619" s="21">
        <f t="shared" ca="1" si="49"/>
        <v>0</v>
      </c>
      <c r="J619" s="21" t="str">
        <f ca="1">IF(I619=0,"",COUNTIF($I$2:I619,"&gt;0"))</f>
        <v/>
      </c>
      <c r="K619" s="21" t="str">
        <f t="shared" ca="1" si="50"/>
        <v/>
      </c>
    </row>
    <row r="620" spans="1:11" s="18" customFormat="1" ht="14.25" x14ac:dyDescent="0.2">
      <c r="A620" s="18" t="str">
        <f t="shared" si="48"/>
        <v>Eintrag 619</v>
      </c>
      <c r="B620" s="18">
        <v>100</v>
      </c>
      <c r="C620" s="19">
        <v>100</v>
      </c>
      <c r="D620" s="20">
        <v>10</v>
      </c>
      <c r="E620" s="20">
        <v>10</v>
      </c>
      <c r="F620" s="20">
        <v>10</v>
      </c>
      <c r="G620" s="19">
        <f t="shared" si="51"/>
        <v>172</v>
      </c>
      <c r="H620" s="22">
        <f t="shared" si="52"/>
        <v>619</v>
      </c>
      <c r="I620" s="21">
        <f t="shared" ca="1" si="49"/>
        <v>0</v>
      </c>
      <c r="J620" s="21" t="str">
        <f ca="1">IF(I620=0,"",COUNTIF($I$2:I620,"&gt;0"))</f>
        <v/>
      </c>
      <c r="K620" s="21" t="str">
        <f t="shared" ca="1" si="50"/>
        <v/>
      </c>
    </row>
    <row r="621" spans="1:11" s="18" customFormat="1" ht="14.25" x14ac:dyDescent="0.2">
      <c r="A621" s="18" t="str">
        <f t="shared" si="48"/>
        <v>Eintrag 620</v>
      </c>
      <c r="B621" s="18">
        <v>100</v>
      </c>
      <c r="C621" s="19">
        <v>100</v>
      </c>
      <c r="D621" s="20">
        <v>10</v>
      </c>
      <c r="E621" s="20">
        <v>10</v>
      </c>
      <c r="F621" s="20">
        <v>10</v>
      </c>
      <c r="G621" s="19">
        <f t="shared" si="51"/>
        <v>172</v>
      </c>
      <c r="H621" s="22">
        <f t="shared" si="52"/>
        <v>620</v>
      </c>
      <c r="I621" s="21">
        <f t="shared" ca="1" si="49"/>
        <v>0</v>
      </c>
      <c r="J621" s="21" t="str">
        <f ca="1">IF(I621=0,"",COUNTIF($I$2:I621,"&gt;0"))</f>
        <v/>
      </c>
      <c r="K621" s="21" t="str">
        <f t="shared" ca="1" si="50"/>
        <v/>
      </c>
    </row>
    <row r="622" spans="1:11" s="18" customFormat="1" ht="14.25" x14ac:dyDescent="0.2">
      <c r="A622" s="18" t="str">
        <f t="shared" si="48"/>
        <v>Eintrag 621</v>
      </c>
      <c r="B622" s="18">
        <v>100</v>
      </c>
      <c r="C622" s="19">
        <v>100</v>
      </c>
      <c r="D622" s="20">
        <v>10</v>
      </c>
      <c r="E622" s="20">
        <v>10</v>
      </c>
      <c r="F622" s="20">
        <v>10</v>
      </c>
      <c r="G622" s="19">
        <f t="shared" si="51"/>
        <v>172</v>
      </c>
      <c r="H622" s="22">
        <f t="shared" si="52"/>
        <v>621</v>
      </c>
      <c r="I622" s="21">
        <f t="shared" ca="1" si="49"/>
        <v>0</v>
      </c>
      <c r="J622" s="21" t="str">
        <f ca="1">IF(I622=0,"",COUNTIF($I$2:I622,"&gt;0"))</f>
        <v/>
      </c>
      <c r="K622" s="21" t="str">
        <f t="shared" ca="1" si="50"/>
        <v/>
      </c>
    </row>
    <row r="623" spans="1:11" s="18" customFormat="1" ht="14.25" x14ac:dyDescent="0.2">
      <c r="A623" s="18" t="str">
        <f t="shared" si="48"/>
        <v>Eintrag 622</v>
      </c>
      <c r="B623" s="18">
        <v>100</v>
      </c>
      <c r="C623" s="19">
        <v>100</v>
      </c>
      <c r="D623" s="20">
        <v>10</v>
      </c>
      <c r="E623" s="20">
        <v>10</v>
      </c>
      <c r="F623" s="20">
        <v>10</v>
      </c>
      <c r="G623" s="19">
        <f t="shared" si="51"/>
        <v>172</v>
      </c>
      <c r="H623" s="22">
        <f t="shared" si="52"/>
        <v>622</v>
      </c>
      <c r="I623" s="21">
        <f t="shared" ca="1" si="49"/>
        <v>0</v>
      </c>
      <c r="J623" s="21" t="str">
        <f ca="1">IF(I623=0,"",COUNTIF($I$2:I623,"&gt;0"))</f>
        <v/>
      </c>
      <c r="K623" s="21" t="str">
        <f t="shared" ca="1" si="50"/>
        <v/>
      </c>
    </row>
    <row r="624" spans="1:11" s="18" customFormat="1" ht="14.25" x14ac:dyDescent="0.2">
      <c r="A624" s="18" t="str">
        <f t="shared" si="48"/>
        <v>Eintrag 623</v>
      </c>
      <c r="B624" s="18">
        <v>100</v>
      </c>
      <c r="C624" s="19">
        <v>100</v>
      </c>
      <c r="D624" s="20">
        <v>10</v>
      </c>
      <c r="E624" s="20">
        <v>10</v>
      </c>
      <c r="F624" s="20">
        <v>10</v>
      </c>
      <c r="G624" s="19">
        <f t="shared" si="51"/>
        <v>172</v>
      </c>
      <c r="H624" s="22">
        <f t="shared" si="52"/>
        <v>623</v>
      </c>
      <c r="I624" s="21">
        <f t="shared" ca="1" si="49"/>
        <v>0</v>
      </c>
      <c r="J624" s="21" t="str">
        <f ca="1">IF(I624=0,"",COUNTIF($I$2:I624,"&gt;0"))</f>
        <v/>
      </c>
      <c r="K624" s="21" t="str">
        <f t="shared" ca="1" si="50"/>
        <v/>
      </c>
    </row>
    <row r="625" spans="1:11" s="18" customFormat="1" ht="14.25" x14ac:dyDescent="0.2">
      <c r="A625" s="18" t="str">
        <f t="shared" si="48"/>
        <v>Eintrag 624</v>
      </c>
      <c r="B625" s="18">
        <v>100</v>
      </c>
      <c r="C625" s="19">
        <v>100</v>
      </c>
      <c r="D625" s="20">
        <v>10</v>
      </c>
      <c r="E625" s="20">
        <v>10</v>
      </c>
      <c r="F625" s="20">
        <v>10</v>
      </c>
      <c r="G625" s="19">
        <f t="shared" si="51"/>
        <v>172</v>
      </c>
      <c r="H625" s="22">
        <f t="shared" si="52"/>
        <v>624</v>
      </c>
      <c r="I625" s="21">
        <f t="shared" ca="1" si="49"/>
        <v>0</v>
      </c>
      <c r="J625" s="21" t="str">
        <f ca="1">IF(I625=0,"",COUNTIF($I$2:I625,"&gt;0"))</f>
        <v/>
      </c>
      <c r="K625" s="21" t="str">
        <f t="shared" ca="1" si="50"/>
        <v/>
      </c>
    </row>
    <row r="626" spans="1:11" s="18" customFormat="1" ht="14.25" x14ac:dyDescent="0.2">
      <c r="A626" s="18" t="str">
        <f t="shared" si="48"/>
        <v>Eintrag 625</v>
      </c>
      <c r="B626" s="18">
        <v>100</v>
      </c>
      <c r="C626" s="19">
        <v>100</v>
      </c>
      <c r="D626" s="20">
        <v>10</v>
      </c>
      <c r="E626" s="20">
        <v>10</v>
      </c>
      <c r="F626" s="20">
        <v>10</v>
      </c>
      <c r="G626" s="19">
        <f t="shared" si="51"/>
        <v>172</v>
      </c>
      <c r="H626" s="22">
        <f t="shared" si="52"/>
        <v>625</v>
      </c>
      <c r="I626" s="21">
        <f t="shared" ca="1" si="49"/>
        <v>0</v>
      </c>
      <c r="J626" s="21" t="str">
        <f ca="1">IF(I626=0,"",COUNTIF($I$2:I626,"&gt;0"))</f>
        <v/>
      </c>
      <c r="K626" s="21" t="str">
        <f t="shared" ca="1" si="50"/>
        <v/>
      </c>
    </row>
    <row r="627" spans="1:11" s="18" customFormat="1" ht="14.25" x14ac:dyDescent="0.2">
      <c r="A627" s="18" t="str">
        <f t="shared" si="48"/>
        <v>Eintrag 626</v>
      </c>
      <c r="B627" s="18">
        <v>100</v>
      </c>
      <c r="C627" s="19">
        <v>100</v>
      </c>
      <c r="D627" s="20">
        <v>10</v>
      </c>
      <c r="E627" s="20">
        <v>10</v>
      </c>
      <c r="F627" s="20">
        <v>10</v>
      </c>
      <c r="G627" s="19">
        <f t="shared" si="51"/>
        <v>172</v>
      </c>
      <c r="H627" s="22">
        <f t="shared" si="52"/>
        <v>626</v>
      </c>
      <c r="I627" s="21">
        <f t="shared" ca="1" si="49"/>
        <v>0</v>
      </c>
      <c r="J627" s="21" t="str">
        <f ca="1">IF(I627=0,"",COUNTIF($I$2:I627,"&gt;0"))</f>
        <v/>
      </c>
      <c r="K627" s="21" t="str">
        <f t="shared" ca="1" si="50"/>
        <v/>
      </c>
    </row>
    <row r="628" spans="1:11" s="18" customFormat="1" ht="14.25" x14ac:dyDescent="0.2">
      <c r="A628" s="18" t="str">
        <f t="shared" si="48"/>
        <v>Eintrag 627</v>
      </c>
      <c r="B628" s="18">
        <v>100</v>
      </c>
      <c r="C628" s="19">
        <v>100</v>
      </c>
      <c r="D628" s="20">
        <v>10</v>
      </c>
      <c r="E628" s="20">
        <v>10</v>
      </c>
      <c r="F628" s="20">
        <v>10</v>
      </c>
      <c r="G628" s="19">
        <f t="shared" si="51"/>
        <v>172</v>
      </c>
      <c r="H628" s="22">
        <f t="shared" si="52"/>
        <v>627</v>
      </c>
      <c r="I628" s="21">
        <f t="shared" ca="1" si="49"/>
        <v>0</v>
      </c>
      <c r="J628" s="21" t="str">
        <f ca="1">IF(I628=0,"",COUNTIF($I$2:I628,"&gt;0"))</f>
        <v/>
      </c>
      <c r="K628" s="21" t="str">
        <f t="shared" ca="1" si="50"/>
        <v/>
      </c>
    </row>
    <row r="629" spans="1:11" s="18" customFormat="1" ht="14.25" x14ac:dyDescent="0.2">
      <c r="A629" s="18" t="str">
        <f t="shared" ref="A629:A692" si="53">CONCATENATE("Eintrag ",H629)</f>
        <v>Eintrag 628</v>
      </c>
      <c r="B629" s="18">
        <v>100</v>
      </c>
      <c r="C629" s="19">
        <v>100</v>
      </c>
      <c r="D629" s="20">
        <v>10</v>
      </c>
      <c r="E629" s="20">
        <v>10</v>
      </c>
      <c r="F629" s="20">
        <v>10</v>
      </c>
      <c r="G629" s="19">
        <f t="shared" si="51"/>
        <v>172</v>
      </c>
      <c r="H629" s="22">
        <f t="shared" si="52"/>
        <v>628</v>
      </c>
      <c r="I629" s="21">
        <f t="shared" ref="I629:I692" ca="1" si="54">IFERROR(SEARCH(INDIRECT(CELL("address")),A629),0)</f>
        <v>0</v>
      </c>
      <c r="J629" s="21" t="str">
        <f ca="1">IF(I629=0,"",COUNTIF($I$2:I629,"&gt;0"))</f>
        <v/>
      </c>
      <c r="K629" s="21" t="str">
        <f t="shared" ca="1" si="50"/>
        <v/>
      </c>
    </row>
    <row r="630" spans="1:11" s="18" customFormat="1" ht="14.25" x14ac:dyDescent="0.2">
      <c r="A630" s="18" t="str">
        <f t="shared" si="53"/>
        <v>Eintrag 629</v>
      </c>
      <c r="B630" s="18">
        <v>100</v>
      </c>
      <c r="C630" s="19">
        <v>100</v>
      </c>
      <c r="D630" s="20">
        <v>10</v>
      </c>
      <c r="E630" s="20">
        <v>10</v>
      </c>
      <c r="F630" s="20">
        <v>10</v>
      </c>
      <c r="G630" s="19">
        <f t="shared" si="51"/>
        <v>172</v>
      </c>
      <c r="H630" s="22">
        <f t="shared" si="52"/>
        <v>629</v>
      </c>
      <c r="I630" s="21">
        <f t="shared" ca="1" si="54"/>
        <v>0</v>
      </c>
      <c r="J630" s="21" t="str">
        <f ca="1">IF(I630=0,"",COUNTIF($I$2:I630,"&gt;0"))</f>
        <v/>
      </c>
      <c r="K630" s="21" t="str">
        <f t="shared" ca="1" si="50"/>
        <v/>
      </c>
    </row>
    <row r="631" spans="1:11" s="18" customFormat="1" ht="14.25" x14ac:dyDescent="0.2">
      <c r="A631" s="18" t="str">
        <f t="shared" si="53"/>
        <v>Eintrag 630</v>
      </c>
      <c r="B631" s="18">
        <v>100</v>
      </c>
      <c r="C631" s="19">
        <v>100</v>
      </c>
      <c r="D631" s="20">
        <v>10</v>
      </c>
      <c r="E631" s="20">
        <v>10</v>
      </c>
      <c r="F631" s="20">
        <v>10</v>
      </c>
      <c r="G631" s="19">
        <f t="shared" si="51"/>
        <v>172</v>
      </c>
      <c r="H631" s="22">
        <f t="shared" si="52"/>
        <v>630</v>
      </c>
      <c r="I631" s="21">
        <f t="shared" ca="1" si="54"/>
        <v>0</v>
      </c>
      <c r="J631" s="21" t="str">
        <f ca="1">IF(I631=0,"",COUNTIF($I$2:I631,"&gt;0"))</f>
        <v/>
      </c>
      <c r="K631" s="21" t="str">
        <f t="shared" ca="1" si="50"/>
        <v/>
      </c>
    </row>
    <row r="632" spans="1:11" s="18" customFormat="1" ht="14.25" x14ac:dyDescent="0.2">
      <c r="A632" s="18" t="str">
        <f t="shared" si="53"/>
        <v>Eintrag 631</v>
      </c>
      <c r="B632" s="18">
        <v>100</v>
      </c>
      <c r="C632" s="19">
        <v>100</v>
      </c>
      <c r="D632" s="20">
        <v>10</v>
      </c>
      <c r="E632" s="20">
        <v>10</v>
      </c>
      <c r="F632" s="20">
        <v>10</v>
      </c>
      <c r="G632" s="19">
        <f t="shared" si="51"/>
        <v>172</v>
      </c>
      <c r="H632" s="22">
        <f t="shared" si="52"/>
        <v>631</v>
      </c>
      <c r="I632" s="21">
        <f t="shared" ca="1" si="54"/>
        <v>0</v>
      </c>
      <c r="J632" s="21" t="str">
        <f ca="1">IF(I632=0,"",COUNTIF($I$2:I632,"&gt;0"))</f>
        <v/>
      </c>
      <c r="K632" s="21" t="str">
        <f t="shared" ca="1" si="50"/>
        <v/>
      </c>
    </row>
    <row r="633" spans="1:11" s="18" customFormat="1" ht="14.25" x14ac:dyDescent="0.2">
      <c r="A633" s="18" t="str">
        <f t="shared" si="53"/>
        <v>Eintrag 632</v>
      </c>
      <c r="B633" s="18">
        <v>100</v>
      </c>
      <c r="C633" s="19">
        <v>100</v>
      </c>
      <c r="D633" s="20">
        <v>10</v>
      </c>
      <c r="E633" s="20">
        <v>10</v>
      </c>
      <c r="F633" s="20">
        <v>10</v>
      </c>
      <c r="G633" s="19">
        <f t="shared" si="51"/>
        <v>172</v>
      </c>
      <c r="H633" s="22">
        <f t="shared" si="52"/>
        <v>632</v>
      </c>
      <c r="I633" s="21">
        <f t="shared" ca="1" si="54"/>
        <v>0</v>
      </c>
      <c r="J633" s="21" t="str">
        <f ca="1">IF(I633=0,"",COUNTIF($I$2:I633,"&gt;0"))</f>
        <v/>
      </c>
      <c r="K633" s="21" t="str">
        <f t="shared" ca="1" si="50"/>
        <v/>
      </c>
    </row>
    <row r="634" spans="1:11" s="18" customFormat="1" ht="14.25" x14ac:dyDescent="0.2">
      <c r="A634" s="18" t="str">
        <f t="shared" si="53"/>
        <v>Eintrag 633</v>
      </c>
      <c r="B634" s="18">
        <v>100</v>
      </c>
      <c r="C634" s="19">
        <v>100</v>
      </c>
      <c r="D634" s="20">
        <v>10</v>
      </c>
      <c r="E634" s="20">
        <v>10</v>
      </c>
      <c r="F634" s="20">
        <v>10</v>
      </c>
      <c r="G634" s="19">
        <f t="shared" si="51"/>
        <v>172</v>
      </c>
      <c r="H634" s="22">
        <f t="shared" si="52"/>
        <v>633</v>
      </c>
      <c r="I634" s="21">
        <f t="shared" ca="1" si="54"/>
        <v>0</v>
      </c>
      <c r="J634" s="21" t="str">
        <f ca="1">IF(I634=0,"",COUNTIF($I$2:I634,"&gt;0"))</f>
        <v/>
      </c>
      <c r="K634" s="21" t="str">
        <f t="shared" ca="1" si="50"/>
        <v/>
      </c>
    </row>
    <row r="635" spans="1:11" s="18" customFormat="1" ht="14.25" x14ac:dyDescent="0.2">
      <c r="A635" s="18" t="str">
        <f t="shared" si="53"/>
        <v>Eintrag 634</v>
      </c>
      <c r="B635" s="18">
        <v>100</v>
      </c>
      <c r="C635" s="19">
        <v>100</v>
      </c>
      <c r="D635" s="20">
        <v>10</v>
      </c>
      <c r="E635" s="20">
        <v>10</v>
      </c>
      <c r="F635" s="20">
        <v>10</v>
      </c>
      <c r="G635" s="19">
        <f t="shared" si="51"/>
        <v>172</v>
      </c>
      <c r="H635" s="22">
        <f t="shared" si="52"/>
        <v>634</v>
      </c>
      <c r="I635" s="21">
        <f t="shared" ca="1" si="54"/>
        <v>0</v>
      </c>
      <c r="J635" s="21" t="str">
        <f ca="1">IF(I635=0,"",COUNTIF($I$2:I635,"&gt;0"))</f>
        <v/>
      </c>
      <c r="K635" s="21" t="str">
        <f t="shared" ca="1" si="50"/>
        <v/>
      </c>
    </row>
    <row r="636" spans="1:11" s="18" customFormat="1" ht="14.25" x14ac:dyDescent="0.2">
      <c r="A636" s="18" t="str">
        <f t="shared" si="53"/>
        <v>Eintrag 635</v>
      </c>
      <c r="B636" s="18">
        <v>100</v>
      </c>
      <c r="C636" s="19">
        <v>100</v>
      </c>
      <c r="D636" s="20">
        <v>10</v>
      </c>
      <c r="E636" s="20">
        <v>10</v>
      </c>
      <c r="F636" s="20">
        <v>10</v>
      </c>
      <c r="G636" s="19">
        <f t="shared" si="51"/>
        <v>172</v>
      </c>
      <c r="H636" s="22">
        <f t="shared" si="52"/>
        <v>635</v>
      </c>
      <c r="I636" s="21">
        <f t="shared" ca="1" si="54"/>
        <v>0</v>
      </c>
      <c r="J636" s="21" t="str">
        <f ca="1">IF(I636=0,"",COUNTIF($I$2:I636,"&gt;0"))</f>
        <v/>
      </c>
      <c r="K636" s="21" t="str">
        <f t="shared" ca="1" si="50"/>
        <v/>
      </c>
    </row>
    <row r="637" spans="1:11" s="18" customFormat="1" ht="14.25" x14ac:dyDescent="0.2">
      <c r="A637" s="18" t="str">
        <f t="shared" si="53"/>
        <v>Eintrag 636</v>
      </c>
      <c r="B637" s="18">
        <v>100</v>
      </c>
      <c r="C637" s="19">
        <v>100</v>
      </c>
      <c r="D637" s="20">
        <v>10</v>
      </c>
      <c r="E637" s="20">
        <v>10</v>
      </c>
      <c r="F637" s="20">
        <v>10</v>
      </c>
      <c r="G637" s="19">
        <f t="shared" si="51"/>
        <v>172</v>
      </c>
      <c r="H637" s="22">
        <f t="shared" si="52"/>
        <v>636</v>
      </c>
      <c r="I637" s="21">
        <f t="shared" ca="1" si="54"/>
        <v>0</v>
      </c>
      <c r="J637" s="21" t="str">
        <f ca="1">IF(I637=0,"",COUNTIF($I$2:I637,"&gt;0"))</f>
        <v/>
      </c>
      <c r="K637" s="21" t="str">
        <f t="shared" ca="1" si="50"/>
        <v/>
      </c>
    </row>
    <row r="638" spans="1:11" s="18" customFormat="1" ht="14.25" x14ac:dyDescent="0.2">
      <c r="A638" s="18" t="str">
        <f t="shared" si="53"/>
        <v>Eintrag 637</v>
      </c>
      <c r="B638" s="18">
        <v>100</v>
      </c>
      <c r="C638" s="19">
        <v>100</v>
      </c>
      <c r="D638" s="20">
        <v>10</v>
      </c>
      <c r="E638" s="20">
        <v>10</v>
      </c>
      <c r="F638" s="20">
        <v>10</v>
      </c>
      <c r="G638" s="19">
        <f t="shared" si="51"/>
        <v>172</v>
      </c>
      <c r="H638" s="22">
        <f t="shared" si="52"/>
        <v>637</v>
      </c>
      <c r="I638" s="21">
        <f t="shared" ca="1" si="54"/>
        <v>0</v>
      </c>
      <c r="J638" s="21" t="str">
        <f ca="1">IF(I638=0,"",COUNTIF($I$2:I638,"&gt;0"))</f>
        <v/>
      </c>
      <c r="K638" s="21" t="str">
        <f t="shared" ca="1" si="50"/>
        <v/>
      </c>
    </row>
    <row r="639" spans="1:11" s="18" customFormat="1" ht="14.25" x14ac:dyDescent="0.2">
      <c r="A639" s="18" t="str">
        <f t="shared" si="53"/>
        <v>Eintrag 638</v>
      </c>
      <c r="B639" s="18">
        <v>100</v>
      </c>
      <c r="C639" s="19">
        <v>100</v>
      </c>
      <c r="D639" s="20">
        <v>10</v>
      </c>
      <c r="E639" s="20">
        <v>10</v>
      </c>
      <c r="F639" s="20">
        <v>10</v>
      </c>
      <c r="G639" s="19">
        <f t="shared" si="51"/>
        <v>172</v>
      </c>
      <c r="H639" s="22">
        <f t="shared" si="52"/>
        <v>638</v>
      </c>
      <c r="I639" s="21">
        <f t="shared" ca="1" si="54"/>
        <v>0</v>
      </c>
      <c r="J639" s="21" t="str">
        <f ca="1">IF(I639=0,"",COUNTIF($I$2:I639,"&gt;0"))</f>
        <v/>
      </c>
      <c r="K639" s="21" t="str">
        <f t="shared" ca="1" si="50"/>
        <v/>
      </c>
    </row>
    <row r="640" spans="1:11" s="18" customFormat="1" ht="14.25" x14ac:dyDescent="0.2">
      <c r="A640" s="18" t="str">
        <f t="shared" si="53"/>
        <v>Eintrag 639</v>
      </c>
      <c r="B640" s="18">
        <v>100</v>
      </c>
      <c r="C640" s="19">
        <v>100</v>
      </c>
      <c r="D640" s="20">
        <v>10</v>
      </c>
      <c r="E640" s="20">
        <v>10</v>
      </c>
      <c r="F640" s="20">
        <v>10</v>
      </c>
      <c r="G640" s="19">
        <f t="shared" si="51"/>
        <v>172</v>
      </c>
      <c r="H640" s="22">
        <f t="shared" si="52"/>
        <v>639</v>
      </c>
      <c r="I640" s="21">
        <f t="shared" ca="1" si="54"/>
        <v>0</v>
      </c>
      <c r="J640" s="21" t="str">
        <f ca="1">IF(I640=0,"",COUNTIF($I$2:I640,"&gt;0"))</f>
        <v/>
      </c>
      <c r="K640" s="21" t="str">
        <f t="shared" ca="1" si="50"/>
        <v/>
      </c>
    </row>
    <row r="641" spans="1:11" s="18" customFormat="1" ht="14.25" x14ac:dyDescent="0.2">
      <c r="A641" s="18" t="str">
        <f t="shared" si="53"/>
        <v>Eintrag 640</v>
      </c>
      <c r="B641" s="18">
        <v>100</v>
      </c>
      <c r="C641" s="19">
        <v>100</v>
      </c>
      <c r="D641" s="20">
        <v>10</v>
      </c>
      <c r="E641" s="20">
        <v>10</v>
      </c>
      <c r="F641" s="20">
        <v>10</v>
      </c>
      <c r="G641" s="19">
        <f t="shared" si="51"/>
        <v>172</v>
      </c>
      <c r="H641" s="22">
        <f t="shared" si="52"/>
        <v>640</v>
      </c>
      <c r="I641" s="21">
        <f t="shared" ca="1" si="54"/>
        <v>0</v>
      </c>
      <c r="J641" s="21" t="str">
        <f ca="1">IF(I641=0,"",COUNTIF($I$2:I641,"&gt;0"))</f>
        <v/>
      </c>
      <c r="K641" s="21" t="str">
        <f t="shared" ca="1" si="50"/>
        <v/>
      </c>
    </row>
    <row r="642" spans="1:11" s="18" customFormat="1" ht="14.25" x14ac:dyDescent="0.2">
      <c r="A642" s="18" t="str">
        <f t="shared" si="53"/>
        <v>Eintrag 641</v>
      </c>
      <c r="B642" s="18">
        <v>100</v>
      </c>
      <c r="C642" s="19">
        <v>100</v>
      </c>
      <c r="D642" s="20">
        <v>10</v>
      </c>
      <c r="E642" s="20">
        <v>10</v>
      </c>
      <c r="F642" s="20">
        <v>10</v>
      </c>
      <c r="G642" s="19">
        <f t="shared" si="51"/>
        <v>172</v>
      </c>
      <c r="H642" s="22">
        <f t="shared" si="52"/>
        <v>641</v>
      </c>
      <c r="I642" s="21">
        <f t="shared" ca="1" si="54"/>
        <v>0</v>
      </c>
      <c r="J642" s="21" t="str">
        <f ca="1">IF(I642=0,"",COUNTIF($I$2:I642,"&gt;0"))</f>
        <v/>
      </c>
      <c r="K642" s="21" t="str">
        <f t="shared" ref="K642:K705" ca="1" si="55">IFERROR(INDEX(A:A,MATCH(ROW(I641),J:J,0)),"")</f>
        <v/>
      </c>
    </row>
    <row r="643" spans="1:11" s="18" customFormat="1" ht="14.25" x14ac:dyDescent="0.2">
      <c r="A643" s="18" t="str">
        <f t="shared" si="53"/>
        <v>Eintrag 642</v>
      </c>
      <c r="B643" s="18">
        <v>100</v>
      </c>
      <c r="C643" s="19">
        <v>100</v>
      </c>
      <c r="D643" s="20">
        <v>10</v>
      </c>
      <c r="E643" s="20">
        <v>10</v>
      </c>
      <c r="F643" s="20">
        <v>10</v>
      </c>
      <c r="G643" s="19">
        <f t="shared" ref="G643:G706" si="56">D643*9+E643*4.1+F643*4.1</f>
        <v>172</v>
      </c>
      <c r="H643" s="22">
        <f t="shared" si="52"/>
        <v>642</v>
      </c>
      <c r="I643" s="21">
        <f t="shared" ca="1" si="54"/>
        <v>0</v>
      </c>
      <c r="J643" s="21" t="str">
        <f ca="1">IF(I643=0,"",COUNTIF($I$2:I643,"&gt;0"))</f>
        <v/>
      </c>
      <c r="K643" s="21" t="str">
        <f t="shared" ca="1" si="55"/>
        <v/>
      </c>
    </row>
    <row r="644" spans="1:11" s="18" customFormat="1" ht="14.25" x14ac:dyDescent="0.2">
      <c r="A644" s="18" t="str">
        <f t="shared" si="53"/>
        <v>Eintrag 643</v>
      </c>
      <c r="B644" s="18">
        <v>100</v>
      </c>
      <c r="C644" s="19">
        <v>100</v>
      </c>
      <c r="D644" s="20">
        <v>10</v>
      </c>
      <c r="E644" s="20">
        <v>10</v>
      </c>
      <c r="F644" s="20">
        <v>10</v>
      </c>
      <c r="G644" s="19">
        <f t="shared" si="56"/>
        <v>172</v>
      </c>
      <c r="H644" s="22">
        <f t="shared" si="52"/>
        <v>643</v>
      </c>
      <c r="I644" s="21">
        <f t="shared" ca="1" si="54"/>
        <v>0</v>
      </c>
      <c r="J644" s="21" t="str">
        <f ca="1">IF(I644=0,"",COUNTIF($I$2:I644,"&gt;0"))</f>
        <v/>
      </c>
      <c r="K644" s="21" t="str">
        <f t="shared" ca="1" si="55"/>
        <v/>
      </c>
    </row>
    <row r="645" spans="1:11" s="18" customFormat="1" ht="14.25" x14ac:dyDescent="0.2">
      <c r="A645" s="18" t="str">
        <f t="shared" si="53"/>
        <v>Eintrag 644</v>
      </c>
      <c r="B645" s="18">
        <v>100</v>
      </c>
      <c r="C645" s="19">
        <v>100</v>
      </c>
      <c r="D645" s="20">
        <v>10</v>
      </c>
      <c r="E645" s="20">
        <v>10</v>
      </c>
      <c r="F645" s="20">
        <v>10</v>
      </c>
      <c r="G645" s="19">
        <f t="shared" si="56"/>
        <v>172</v>
      </c>
      <c r="H645" s="22">
        <f t="shared" si="52"/>
        <v>644</v>
      </c>
      <c r="I645" s="21">
        <f t="shared" ca="1" si="54"/>
        <v>0</v>
      </c>
      <c r="J645" s="21" t="str">
        <f ca="1">IF(I645=0,"",COUNTIF($I$2:I645,"&gt;0"))</f>
        <v/>
      </c>
      <c r="K645" s="21" t="str">
        <f t="shared" ca="1" si="55"/>
        <v/>
      </c>
    </row>
    <row r="646" spans="1:11" s="18" customFormat="1" ht="14.25" x14ac:dyDescent="0.2">
      <c r="A646" s="18" t="str">
        <f t="shared" si="53"/>
        <v>Eintrag 645</v>
      </c>
      <c r="B646" s="18">
        <v>100</v>
      </c>
      <c r="C646" s="19">
        <v>100</v>
      </c>
      <c r="D646" s="20">
        <v>10</v>
      </c>
      <c r="E646" s="20">
        <v>10</v>
      </c>
      <c r="F646" s="20">
        <v>10</v>
      </c>
      <c r="G646" s="19">
        <f t="shared" si="56"/>
        <v>172</v>
      </c>
      <c r="H646" s="22">
        <f t="shared" si="52"/>
        <v>645</v>
      </c>
      <c r="I646" s="21">
        <f t="shared" ca="1" si="54"/>
        <v>0</v>
      </c>
      <c r="J646" s="21" t="str">
        <f ca="1">IF(I646=0,"",COUNTIF($I$2:I646,"&gt;0"))</f>
        <v/>
      </c>
      <c r="K646" s="21" t="str">
        <f t="shared" ca="1" si="55"/>
        <v/>
      </c>
    </row>
    <row r="647" spans="1:11" s="18" customFormat="1" ht="14.25" x14ac:dyDescent="0.2">
      <c r="A647" s="18" t="str">
        <f t="shared" si="53"/>
        <v>Eintrag 646</v>
      </c>
      <c r="B647" s="18">
        <v>100</v>
      </c>
      <c r="C647" s="19">
        <v>100</v>
      </c>
      <c r="D647" s="20">
        <v>10</v>
      </c>
      <c r="E647" s="20">
        <v>10</v>
      </c>
      <c r="F647" s="20">
        <v>10</v>
      </c>
      <c r="G647" s="19">
        <f t="shared" si="56"/>
        <v>172</v>
      </c>
      <c r="H647" s="22">
        <f t="shared" si="52"/>
        <v>646</v>
      </c>
      <c r="I647" s="21">
        <f t="shared" ca="1" si="54"/>
        <v>0</v>
      </c>
      <c r="J647" s="21" t="str">
        <f ca="1">IF(I647=0,"",COUNTIF($I$2:I647,"&gt;0"))</f>
        <v/>
      </c>
      <c r="K647" s="21" t="str">
        <f t="shared" ca="1" si="55"/>
        <v/>
      </c>
    </row>
    <row r="648" spans="1:11" s="18" customFormat="1" ht="14.25" x14ac:dyDescent="0.2">
      <c r="A648" s="18" t="str">
        <f t="shared" si="53"/>
        <v>Eintrag 647</v>
      </c>
      <c r="B648" s="18">
        <v>100</v>
      </c>
      <c r="C648" s="19">
        <v>100</v>
      </c>
      <c r="D648" s="20">
        <v>10</v>
      </c>
      <c r="E648" s="20">
        <v>10</v>
      </c>
      <c r="F648" s="20">
        <v>10</v>
      </c>
      <c r="G648" s="19">
        <f t="shared" si="56"/>
        <v>172</v>
      </c>
      <c r="H648" s="22">
        <f t="shared" si="52"/>
        <v>647</v>
      </c>
      <c r="I648" s="21">
        <f t="shared" ca="1" si="54"/>
        <v>0</v>
      </c>
      <c r="J648" s="21" t="str">
        <f ca="1">IF(I648=0,"",COUNTIF($I$2:I648,"&gt;0"))</f>
        <v/>
      </c>
      <c r="K648" s="21" t="str">
        <f t="shared" ca="1" si="55"/>
        <v/>
      </c>
    </row>
    <row r="649" spans="1:11" s="18" customFormat="1" ht="14.25" x14ac:dyDescent="0.2">
      <c r="A649" s="18" t="str">
        <f t="shared" si="53"/>
        <v>Eintrag 648</v>
      </c>
      <c r="B649" s="18">
        <v>100</v>
      </c>
      <c r="C649" s="19">
        <v>100</v>
      </c>
      <c r="D649" s="20">
        <v>10</v>
      </c>
      <c r="E649" s="20">
        <v>10</v>
      </c>
      <c r="F649" s="20">
        <v>10</v>
      </c>
      <c r="G649" s="19">
        <f t="shared" si="56"/>
        <v>172</v>
      </c>
      <c r="H649" s="22">
        <f t="shared" si="52"/>
        <v>648</v>
      </c>
      <c r="I649" s="21">
        <f t="shared" ca="1" si="54"/>
        <v>0</v>
      </c>
      <c r="J649" s="21" t="str">
        <f ca="1">IF(I649=0,"",COUNTIF($I$2:I649,"&gt;0"))</f>
        <v/>
      </c>
      <c r="K649" s="21" t="str">
        <f t="shared" ca="1" si="55"/>
        <v/>
      </c>
    </row>
    <row r="650" spans="1:11" s="18" customFormat="1" ht="14.25" x14ac:dyDescent="0.2">
      <c r="A650" s="18" t="str">
        <f t="shared" si="53"/>
        <v>Eintrag 649</v>
      </c>
      <c r="B650" s="18">
        <v>100</v>
      </c>
      <c r="C650" s="19">
        <v>100</v>
      </c>
      <c r="D650" s="20">
        <v>10</v>
      </c>
      <c r="E650" s="20">
        <v>10</v>
      </c>
      <c r="F650" s="20">
        <v>10</v>
      </c>
      <c r="G650" s="19">
        <f t="shared" si="56"/>
        <v>172</v>
      </c>
      <c r="H650" s="22">
        <f t="shared" si="52"/>
        <v>649</v>
      </c>
      <c r="I650" s="21">
        <f t="shared" ca="1" si="54"/>
        <v>0</v>
      </c>
      <c r="J650" s="21" t="str">
        <f ca="1">IF(I650=0,"",COUNTIF($I$2:I650,"&gt;0"))</f>
        <v/>
      </c>
      <c r="K650" s="21" t="str">
        <f t="shared" ca="1" si="55"/>
        <v/>
      </c>
    </row>
    <row r="651" spans="1:11" s="18" customFormat="1" ht="14.25" x14ac:dyDescent="0.2">
      <c r="A651" s="18" t="str">
        <f t="shared" si="53"/>
        <v>Eintrag 650</v>
      </c>
      <c r="B651" s="18">
        <v>100</v>
      </c>
      <c r="C651" s="19">
        <v>100</v>
      </c>
      <c r="D651" s="20">
        <v>10</v>
      </c>
      <c r="E651" s="20">
        <v>10</v>
      </c>
      <c r="F651" s="20">
        <v>10</v>
      </c>
      <c r="G651" s="19">
        <f t="shared" si="56"/>
        <v>172</v>
      </c>
      <c r="H651" s="22">
        <f t="shared" si="52"/>
        <v>650</v>
      </c>
      <c r="I651" s="21">
        <f t="shared" ca="1" si="54"/>
        <v>0</v>
      </c>
      <c r="J651" s="21" t="str">
        <f ca="1">IF(I651=0,"",COUNTIF($I$2:I651,"&gt;0"))</f>
        <v/>
      </c>
      <c r="K651" s="21" t="str">
        <f t="shared" ca="1" si="55"/>
        <v/>
      </c>
    </row>
    <row r="652" spans="1:11" s="18" customFormat="1" ht="14.25" x14ac:dyDescent="0.2">
      <c r="A652" s="18" t="str">
        <f t="shared" si="53"/>
        <v>Eintrag 651</v>
      </c>
      <c r="B652" s="18">
        <v>100</v>
      </c>
      <c r="C652" s="19">
        <v>100</v>
      </c>
      <c r="D652" s="20">
        <v>10</v>
      </c>
      <c r="E652" s="20">
        <v>10</v>
      </c>
      <c r="F652" s="20">
        <v>10</v>
      </c>
      <c r="G652" s="19">
        <f t="shared" si="56"/>
        <v>172</v>
      </c>
      <c r="H652" s="22">
        <f t="shared" si="52"/>
        <v>651</v>
      </c>
      <c r="I652" s="21">
        <f t="shared" ca="1" si="54"/>
        <v>0</v>
      </c>
      <c r="J652" s="21" t="str">
        <f ca="1">IF(I652=0,"",COUNTIF($I$2:I652,"&gt;0"))</f>
        <v/>
      </c>
      <c r="K652" s="21" t="str">
        <f t="shared" ca="1" si="55"/>
        <v/>
      </c>
    </row>
    <row r="653" spans="1:11" s="18" customFormat="1" ht="14.25" x14ac:dyDescent="0.2">
      <c r="A653" s="18" t="str">
        <f t="shared" si="53"/>
        <v>Eintrag 652</v>
      </c>
      <c r="B653" s="18">
        <v>100</v>
      </c>
      <c r="C653" s="19">
        <v>100</v>
      </c>
      <c r="D653" s="20">
        <v>10</v>
      </c>
      <c r="E653" s="20">
        <v>10</v>
      </c>
      <c r="F653" s="20">
        <v>10</v>
      </c>
      <c r="G653" s="19">
        <f t="shared" si="56"/>
        <v>172</v>
      </c>
      <c r="H653" s="22">
        <f t="shared" si="52"/>
        <v>652</v>
      </c>
      <c r="I653" s="21">
        <f t="shared" ca="1" si="54"/>
        <v>0</v>
      </c>
      <c r="J653" s="21" t="str">
        <f ca="1">IF(I653=0,"",COUNTIF($I$2:I653,"&gt;0"))</f>
        <v/>
      </c>
      <c r="K653" s="21" t="str">
        <f t="shared" ca="1" si="55"/>
        <v/>
      </c>
    </row>
    <row r="654" spans="1:11" s="18" customFormat="1" ht="14.25" x14ac:dyDescent="0.2">
      <c r="A654" s="18" t="str">
        <f t="shared" si="53"/>
        <v>Eintrag 653</v>
      </c>
      <c r="B654" s="18">
        <v>100</v>
      </c>
      <c r="C654" s="19">
        <v>100</v>
      </c>
      <c r="D654" s="20">
        <v>10</v>
      </c>
      <c r="E654" s="20">
        <v>10</v>
      </c>
      <c r="F654" s="20">
        <v>10</v>
      </c>
      <c r="G654" s="19">
        <f t="shared" si="56"/>
        <v>172</v>
      </c>
      <c r="H654" s="22">
        <f t="shared" si="52"/>
        <v>653</v>
      </c>
      <c r="I654" s="21">
        <f t="shared" ca="1" si="54"/>
        <v>0</v>
      </c>
      <c r="J654" s="21" t="str">
        <f ca="1">IF(I654=0,"",COUNTIF($I$2:I654,"&gt;0"))</f>
        <v/>
      </c>
      <c r="K654" s="21" t="str">
        <f t="shared" ca="1" si="55"/>
        <v/>
      </c>
    </row>
    <row r="655" spans="1:11" s="18" customFormat="1" ht="14.25" x14ac:dyDescent="0.2">
      <c r="A655" s="18" t="str">
        <f t="shared" si="53"/>
        <v>Eintrag 654</v>
      </c>
      <c r="B655" s="18">
        <v>100</v>
      </c>
      <c r="C655" s="19">
        <v>100</v>
      </c>
      <c r="D655" s="20">
        <v>10</v>
      </c>
      <c r="E655" s="20">
        <v>10</v>
      </c>
      <c r="F655" s="20">
        <v>10</v>
      </c>
      <c r="G655" s="19">
        <f t="shared" si="56"/>
        <v>172</v>
      </c>
      <c r="H655" s="22">
        <f t="shared" si="52"/>
        <v>654</v>
      </c>
      <c r="I655" s="21">
        <f t="shared" ca="1" si="54"/>
        <v>0</v>
      </c>
      <c r="J655" s="21" t="str">
        <f ca="1">IF(I655=0,"",COUNTIF($I$2:I655,"&gt;0"))</f>
        <v/>
      </c>
      <c r="K655" s="21" t="str">
        <f t="shared" ca="1" si="55"/>
        <v/>
      </c>
    </row>
    <row r="656" spans="1:11" s="18" customFormat="1" ht="14.25" x14ac:dyDescent="0.2">
      <c r="A656" s="18" t="str">
        <f t="shared" si="53"/>
        <v>Eintrag 655</v>
      </c>
      <c r="B656" s="18">
        <v>100</v>
      </c>
      <c r="C656" s="19">
        <v>100</v>
      </c>
      <c r="D656" s="20">
        <v>10</v>
      </c>
      <c r="E656" s="20">
        <v>10</v>
      </c>
      <c r="F656" s="20">
        <v>10</v>
      </c>
      <c r="G656" s="19">
        <f t="shared" si="56"/>
        <v>172</v>
      </c>
      <c r="H656" s="22">
        <f t="shared" si="52"/>
        <v>655</v>
      </c>
      <c r="I656" s="21">
        <f t="shared" ca="1" si="54"/>
        <v>0</v>
      </c>
      <c r="J656" s="21" t="str">
        <f ca="1">IF(I656=0,"",COUNTIF($I$2:I656,"&gt;0"))</f>
        <v/>
      </c>
      <c r="K656" s="21" t="str">
        <f t="shared" ca="1" si="55"/>
        <v/>
      </c>
    </row>
    <row r="657" spans="1:11" s="18" customFormat="1" ht="14.25" x14ac:dyDescent="0.2">
      <c r="A657" s="18" t="str">
        <f t="shared" si="53"/>
        <v>Eintrag 656</v>
      </c>
      <c r="B657" s="18">
        <v>100</v>
      </c>
      <c r="C657" s="19">
        <v>100</v>
      </c>
      <c r="D657" s="20">
        <v>10</v>
      </c>
      <c r="E657" s="20">
        <v>10</v>
      </c>
      <c r="F657" s="20">
        <v>10</v>
      </c>
      <c r="G657" s="19">
        <f t="shared" si="56"/>
        <v>172</v>
      </c>
      <c r="H657" s="22">
        <f t="shared" si="52"/>
        <v>656</v>
      </c>
      <c r="I657" s="21">
        <f t="shared" ca="1" si="54"/>
        <v>0</v>
      </c>
      <c r="J657" s="21" t="str">
        <f ca="1">IF(I657=0,"",COUNTIF($I$2:I657,"&gt;0"))</f>
        <v/>
      </c>
      <c r="K657" s="21" t="str">
        <f t="shared" ca="1" si="55"/>
        <v/>
      </c>
    </row>
    <row r="658" spans="1:11" s="18" customFormat="1" ht="14.25" x14ac:dyDescent="0.2">
      <c r="A658" s="18" t="str">
        <f t="shared" si="53"/>
        <v>Eintrag 657</v>
      </c>
      <c r="B658" s="18">
        <v>100</v>
      </c>
      <c r="C658" s="19">
        <v>100</v>
      </c>
      <c r="D658" s="20">
        <v>10</v>
      </c>
      <c r="E658" s="20">
        <v>10</v>
      </c>
      <c r="F658" s="20">
        <v>10</v>
      </c>
      <c r="G658" s="19">
        <f t="shared" si="56"/>
        <v>172</v>
      </c>
      <c r="H658" s="22">
        <f t="shared" si="52"/>
        <v>657</v>
      </c>
      <c r="I658" s="21">
        <f t="shared" ca="1" si="54"/>
        <v>0</v>
      </c>
      <c r="J658" s="21" t="str">
        <f ca="1">IF(I658=0,"",COUNTIF($I$2:I658,"&gt;0"))</f>
        <v/>
      </c>
      <c r="K658" s="21" t="str">
        <f t="shared" ca="1" si="55"/>
        <v/>
      </c>
    </row>
    <row r="659" spans="1:11" s="18" customFormat="1" ht="14.25" x14ac:dyDescent="0.2">
      <c r="A659" s="18" t="str">
        <f t="shared" si="53"/>
        <v>Eintrag 658</v>
      </c>
      <c r="B659" s="18">
        <v>100</v>
      </c>
      <c r="C659" s="19">
        <v>100</v>
      </c>
      <c r="D659" s="20">
        <v>10</v>
      </c>
      <c r="E659" s="20">
        <v>10</v>
      </c>
      <c r="F659" s="20">
        <v>10</v>
      </c>
      <c r="G659" s="19">
        <f t="shared" si="56"/>
        <v>172</v>
      </c>
      <c r="H659" s="22">
        <f t="shared" si="52"/>
        <v>658</v>
      </c>
      <c r="I659" s="21">
        <f t="shared" ca="1" si="54"/>
        <v>0</v>
      </c>
      <c r="J659" s="21" t="str">
        <f ca="1">IF(I659=0,"",COUNTIF($I$2:I659,"&gt;0"))</f>
        <v/>
      </c>
      <c r="K659" s="21" t="str">
        <f t="shared" ca="1" si="55"/>
        <v/>
      </c>
    </row>
    <row r="660" spans="1:11" s="18" customFormat="1" ht="14.25" x14ac:dyDescent="0.2">
      <c r="A660" s="18" t="str">
        <f t="shared" si="53"/>
        <v>Eintrag 659</v>
      </c>
      <c r="B660" s="18">
        <v>100</v>
      </c>
      <c r="C660" s="19">
        <v>100</v>
      </c>
      <c r="D660" s="20">
        <v>10</v>
      </c>
      <c r="E660" s="20">
        <v>10</v>
      </c>
      <c r="F660" s="20">
        <v>10</v>
      </c>
      <c r="G660" s="19">
        <f t="shared" si="56"/>
        <v>172</v>
      </c>
      <c r="H660" s="22">
        <f t="shared" si="52"/>
        <v>659</v>
      </c>
      <c r="I660" s="21">
        <f t="shared" ca="1" si="54"/>
        <v>0</v>
      </c>
      <c r="J660" s="21" t="str">
        <f ca="1">IF(I660=0,"",COUNTIF($I$2:I660,"&gt;0"))</f>
        <v/>
      </c>
      <c r="K660" s="21" t="str">
        <f t="shared" ca="1" si="55"/>
        <v/>
      </c>
    </row>
    <row r="661" spans="1:11" s="18" customFormat="1" ht="14.25" x14ac:dyDescent="0.2">
      <c r="A661" s="18" t="str">
        <f t="shared" si="53"/>
        <v>Eintrag 660</v>
      </c>
      <c r="B661" s="18">
        <v>100</v>
      </c>
      <c r="C661" s="19">
        <v>100</v>
      </c>
      <c r="D661" s="20">
        <v>10</v>
      </c>
      <c r="E661" s="20">
        <v>10</v>
      </c>
      <c r="F661" s="20">
        <v>10</v>
      </c>
      <c r="G661" s="19">
        <f t="shared" si="56"/>
        <v>172</v>
      </c>
      <c r="H661" s="22">
        <f t="shared" si="52"/>
        <v>660</v>
      </c>
      <c r="I661" s="21">
        <f t="shared" ca="1" si="54"/>
        <v>0</v>
      </c>
      <c r="J661" s="21" t="str">
        <f ca="1">IF(I661=0,"",COUNTIF($I$2:I661,"&gt;0"))</f>
        <v/>
      </c>
      <c r="K661" s="21" t="str">
        <f t="shared" ca="1" si="55"/>
        <v/>
      </c>
    </row>
    <row r="662" spans="1:11" s="18" customFormat="1" ht="14.25" x14ac:dyDescent="0.2">
      <c r="A662" s="18" t="str">
        <f t="shared" si="53"/>
        <v>Eintrag 661</v>
      </c>
      <c r="B662" s="18">
        <v>100</v>
      </c>
      <c r="C662" s="19">
        <v>100</v>
      </c>
      <c r="D662" s="20">
        <v>10</v>
      </c>
      <c r="E662" s="20">
        <v>10</v>
      </c>
      <c r="F662" s="20">
        <v>10</v>
      </c>
      <c r="G662" s="19">
        <f t="shared" si="56"/>
        <v>172</v>
      </c>
      <c r="H662" s="22">
        <f t="shared" si="52"/>
        <v>661</v>
      </c>
      <c r="I662" s="21">
        <f t="shared" ca="1" si="54"/>
        <v>0</v>
      </c>
      <c r="J662" s="21" t="str">
        <f ca="1">IF(I662=0,"",COUNTIF($I$2:I662,"&gt;0"))</f>
        <v/>
      </c>
      <c r="K662" s="21" t="str">
        <f t="shared" ca="1" si="55"/>
        <v/>
      </c>
    </row>
    <row r="663" spans="1:11" s="18" customFormat="1" ht="14.25" x14ac:dyDescent="0.2">
      <c r="A663" s="18" t="str">
        <f t="shared" si="53"/>
        <v>Eintrag 662</v>
      </c>
      <c r="B663" s="18">
        <v>100</v>
      </c>
      <c r="C663" s="19">
        <v>100</v>
      </c>
      <c r="D663" s="20">
        <v>10</v>
      </c>
      <c r="E663" s="20">
        <v>10</v>
      </c>
      <c r="F663" s="20">
        <v>10</v>
      </c>
      <c r="G663" s="19">
        <f t="shared" si="56"/>
        <v>172</v>
      </c>
      <c r="H663" s="22">
        <f t="shared" si="52"/>
        <v>662</v>
      </c>
      <c r="I663" s="21">
        <f t="shared" ca="1" si="54"/>
        <v>0</v>
      </c>
      <c r="J663" s="21" t="str">
        <f ca="1">IF(I663=0,"",COUNTIF($I$2:I663,"&gt;0"))</f>
        <v/>
      </c>
      <c r="K663" s="21" t="str">
        <f t="shared" ca="1" si="55"/>
        <v/>
      </c>
    </row>
    <row r="664" spans="1:11" s="18" customFormat="1" ht="14.25" x14ac:dyDescent="0.2">
      <c r="A664" s="18" t="str">
        <f t="shared" si="53"/>
        <v>Eintrag 663</v>
      </c>
      <c r="B664" s="18">
        <v>100</v>
      </c>
      <c r="C664" s="19">
        <v>100</v>
      </c>
      <c r="D664" s="20">
        <v>10</v>
      </c>
      <c r="E664" s="20">
        <v>10</v>
      </c>
      <c r="F664" s="20">
        <v>10</v>
      </c>
      <c r="G664" s="19">
        <f t="shared" si="56"/>
        <v>172</v>
      </c>
      <c r="H664" s="22">
        <f t="shared" si="52"/>
        <v>663</v>
      </c>
      <c r="I664" s="21">
        <f t="shared" ca="1" si="54"/>
        <v>0</v>
      </c>
      <c r="J664" s="21" t="str">
        <f ca="1">IF(I664=0,"",COUNTIF($I$2:I664,"&gt;0"))</f>
        <v/>
      </c>
      <c r="K664" s="21" t="str">
        <f t="shared" ca="1" si="55"/>
        <v/>
      </c>
    </row>
    <row r="665" spans="1:11" s="18" customFormat="1" ht="14.25" x14ac:dyDescent="0.2">
      <c r="A665" s="18" t="str">
        <f t="shared" si="53"/>
        <v>Eintrag 664</v>
      </c>
      <c r="B665" s="18">
        <v>100</v>
      </c>
      <c r="C665" s="19">
        <v>100</v>
      </c>
      <c r="D665" s="20">
        <v>10</v>
      </c>
      <c r="E665" s="20">
        <v>10</v>
      </c>
      <c r="F665" s="20">
        <v>10</v>
      </c>
      <c r="G665" s="19">
        <f t="shared" si="56"/>
        <v>172</v>
      </c>
      <c r="H665" s="22">
        <f t="shared" si="52"/>
        <v>664</v>
      </c>
      <c r="I665" s="21">
        <f t="shared" ca="1" si="54"/>
        <v>0</v>
      </c>
      <c r="J665" s="21" t="str">
        <f ca="1">IF(I665=0,"",COUNTIF($I$2:I665,"&gt;0"))</f>
        <v/>
      </c>
      <c r="K665" s="21" t="str">
        <f t="shared" ca="1" si="55"/>
        <v/>
      </c>
    </row>
    <row r="666" spans="1:11" s="18" customFormat="1" ht="14.25" x14ac:dyDescent="0.2">
      <c r="A666" s="18" t="str">
        <f t="shared" si="53"/>
        <v>Eintrag 665</v>
      </c>
      <c r="B666" s="18">
        <v>100</v>
      </c>
      <c r="C666" s="19">
        <v>100</v>
      </c>
      <c r="D666" s="20">
        <v>10</v>
      </c>
      <c r="E666" s="20">
        <v>10</v>
      </c>
      <c r="F666" s="20">
        <v>10</v>
      </c>
      <c r="G666" s="19">
        <f t="shared" si="56"/>
        <v>172</v>
      </c>
      <c r="H666" s="22">
        <f t="shared" si="52"/>
        <v>665</v>
      </c>
      <c r="I666" s="21">
        <f t="shared" ca="1" si="54"/>
        <v>0</v>
      </c>
      <c r="J666" s="21" t="str">
        <f ca="1">IF(I666=0,"",COUNTIF($I$2:I666,"&gt;0"))</f>
        <v/>
      </c>
      <c r="K666" s="21" t="str">
        <f t="shared" ca="1" si="55"/>
        <v/>
      </c>
    </row>
    <row r="667" spans="1:11" s="18" customFormat="1" ht="14.25" x14ac:dyDescent="0.2">
      <c r="A667" s="18" t="str">
        <f t="shared" si="53"/>
        <v>Eintrag 666</v>
      </c>
      <c r="B667" s="18">
        <v>100</v>
      </c>
      <c r="C667" s="19">
        <v>100</v>
      </c>
      <c r="D667" s="20">
        <v>10</v>
      </c>
      <c r="E667" s="20">
        <v>10</v>
      </c>
      <c r="F667" s="20">
        <v>10</v>
      </c>
      <c r="G667" s="19">
        <f t="shared" si="56"/>
        <v>172</v>
      </c>
      <c r="H667" s="22">
        <f t="shared" si="52"/>
        <v>666</v>
      </c>
      <c r="I667" s="21">
        <f t="shared" ca="1" si="54"/>
        <v>0</v>
      </c>
      <c r="J667" s="21" t="str">
        <f ca="1">IF(I667=0,"",COUNTIF($I$2:I667,"&gt;0"))</f>
        <v/>
      </c>
      <c r="K667" s="21" t="str">
        <f t="shared" ca="1" si="55"/>
        <v/>
      </c>
    </row>
    <row r="668" spans="1:11" s="18" customFormat="1" ht="14.25" x14ac:dyDescent="0.2">
      <c r="A668" s="18" t="str">
        <f t="shared" si="53"/>
        <v>Eintrag 667</v>
      </c>
      <c r="B668" s="18">
        <v>100</v>
      </c>
      <c r="C668" s="19">
        <v>100</v>
      </c>
      <c r="D668" s="20">
        <v>10</v>
      </c>
      <c r="E668" s="20">
        <v>10</v>
      </c>
      <c r="F668" s="20">
        <v>10</v>
      </c>
      <c r="G668" s="19">
        <f t="shared" si="56"/>
        <v>172</v>
      </c>
      <c r="H668" s="22">
        <f t="shared" si="52"/>
        <v>667</v>
      </c>
      <c r="I668" s="21">
        <f t="shared" ca="1" si="54"/>
        <v>0</v>
      </c>
      <c r="J668" s="21" t="str">
        <f ca="1">IF(I668=0,"",COUNTIF($I$2:I668,"&gt;0"))</f>
        <v/>
      </c>
      <c r="K668" s="21" t="str">
        <f t="shared" ca="1" si="55"/>
        <v/>
      </c>
    </row>
    <row r="669" spans="1:11" s="18" customFormat="1" ht="14.25" x14ac:dyDescent="0.2">
      <c r="A669" s="18" t="str">
        <f t="shared" si="53"/>
        <v>Eintrag 668</v>
      </c>
      <c r="B669" s="18">
        <v>100</v>
      </c>
      <c r="C669" s="19">
        <v>100</v>
      </c>
      <c r="D669" s="20">
        <v>10</v>
      </c>
      <c r="E669" s="20">
        <v>10</v>
      </c>
      <c r="F669" s="20">
        <v>10</v>
      </c>
      <c r="G669" s="19">
        <f t="shared" si="56"/>
        <v>172</v>
      </c>
      <c r="H669" s="22">
        <f t="shared" si="52"/>
        <v>668</v>
      </c>
      <c r="I669" s="21">
        <f t="shared" ca="1" si="54"/>
        <v>0</v>
      </c>
      <c r="J669" s="21" t="str">
        <f ca="1">IF(I669=0,"",COUNTIF($I$2:I669,"&gt;0"))</f>
        <v/>
      </c>
      <c r="K669" s="21" t="str">
        <f t="shared" ca="1" si="55"/>
        <v/>
      </c>
    </row>
    <row r="670" spans="1:11" s="18" customFormat="1" ht="14.25" x14ac:dyDescent="0.2">
      <c r="A670" s="18" t="str">
        <f t="shared" si="53"/>
        <v>Eintrag 669</v>
      </c>
      <c r="B670" s="18">
        <v>100</v>
      </c>
      <c r="C670" s="19">
        <v>100</v>
      </c>
      <c r="D670" s="20">
        <v>10</v>
      </c>
      <c r="E670" s="20">
        <v>10</v>
      </c>
      <c r="F670" s="20">
        <v>10</v>
      </c>
      <c r="G670" s="19">
        <f t="shared" si="56"/>
        <v>172</v>
      </c>
      <c r="H670" s="22">
        <f t="shared" si="52"/>
        <v>669</v>
      </c>
      <c r="I670" s="21">
        <f t="shared" ca="1" si="54"/>
        <v>0</v>
      </c>
      <c r="J670" s="21" t="str">
        <f ca="1">IF(I670=0,"",COUNTIF($I$2:I670,"&gt;0"))</f>
        <v/>
      </c>
      <c r="K670" s="21" t="str">
        <f t="shared" ca="1" si="55"/>
        <v/>
      </c>
    </row>
    <row r="671" spans="1:11" s="18" customFormat="1" ht="14.25" x14ac:dyDescent="0.2">
      <c r="A671" s="18" t="str">
        <f t="shared" si="53"/>
        <v>Eintrag 670</v>
      </c>
      <c r="B671" s="18">
        <v>100</v>
      </c>
      <c r="C671" s="19">
        <v>100</v>
      </c>
      <c r="D671" s="20">
        <v>10</v>
      </c>
      <c r="E671" s="20">
        <v>10</v>
      </c>
      <c r="F671" s="20">
        <v>10</v>
      </c>
      <c r="G671" s="19">
        <f t="shared" si="56"/>
        <v>172</v>
      </c>
      <c r="H671" s="22">
        <f t="shared" si="52"/>
        <v>670</v>
      </c>
      <c r="I671" s="21">
        <f t="shared" ca="1" si="54"/>
        <v>0</v>
      </c>
      <c r="J671" s="21" t="str">
        <f ca="1">IF(I671=0,"",COUNTIF($I$2:I671,"&gt;0"))</f>
        <v/>
      </c>
      <c r="K671" s="21" t="str">
        <f t="shared" ca="1" si="55"/>
        <v/>
      </c>
    </row>
    <row r="672" spans="1:11" s="18" customFormat="1" ht="14.25" x14ac:dyDescent="0.2">
      <c r="A672" s="18" t="str">
        <f t="shared" si="53"/>
        <v>Eintrag 671</v>
      </c>
      <c r="B672" s="18">
        <v>100</v>
      </c>
      <c r="C672" s="19">
        <v>100</v>
      </c>
      <c r="D672" s="20">
        <v>10</v>
      </c>
      <c r="E672" s="20">
        <v>10</v>
      </c>
      <c r="F672" s="20">
        <v>10</v>
      </c>
      <c r="G672" s="19">
        <f t="shared" si="56"/>
        <v>172</v>
      </c>
      <c r="H672" s="22">
        <f t="shared" si="52"/>
        <v>671</v>
      </c>
      <c r="I672" s="21">
        <f t="shared" ca="1" si="54"/>
        <v>0</v>
      </c>
      <c r="J672" s="21" t="str">
        <f ca="1">IF(I672=0,"",COUNTIF($I$2:I672,"&gt;0"))</f>
        <v/>
      </c>
      <c r="K672" s="21" t="str">
        <f t="shared" ca="1" si="55"/>
        <v/>
      </c>
    </row>
    <row r="673" spans="1:11" s="18" customFormat="1" ht="14.25" x14ac:dyDescent="0.2">
      <c r="A673" s="18" t="str">
        <f t="shared" si="53"/>
        <v>Eintrag 672</v>
      </c>
      <c r="B673" s="18">
        <v>100</v>
      </c>
      <c r="C673" s="19">
        <v>100</v>
      </c>
      <c r="D673" s="20">
        <v>10</v>
      </c>
      <c r="E673" s="20">
        <v>10</v>
      </c>
      <c r="F673" s="20">
        <v>10</v>
      </c>
      <c r="G673" s="19">
        <f t="shared" si="56"/>
        <v>172</v>
      </c>
      <c r="H673" s="22">
        <f t="shared" si="52"/>
        <v>672</v>
      </c>
      <c r="I673" s="21">
        <f t="shared" ca="1" si="54"/>
        <v>0</v>
      </c>
      <c r="J673" s="21" t="str">
        <f ca="1">IF(I673=0,"",COUNTIF($I$2:I673,"&gt;0"))</f>
        <v/>
      </c>
      <c r="K673" s="21" t="str">
        <f t="shared" ca="1" si="55"/>
        <v/>
      </c>
    </row>
    <row r="674" spans="1:11" s="18" customFormat="1" ht="14.25" x14ac:dyDescent="0.2">
      <c r="A674" s="18" t="str">
        <f t="shared" si="53"/>
        <v>Eintrag 673</v>
      </c>
      <c r="B674" s="18">
        <v>100</v>
      </c>
      <c r="C674" s="19">
        <v>100</v>
      </c>
      <c r="D674" s="20">
        <v>10</v>
      </c>
      <c r="E674" s="20">
        <v>10</v>
      </c>
      <c r="F674" s="20">
        <v>10</v>
      </c>
      <c r="G674" s="19">
        <f t="shared" si="56"/>
        <v>172</v>
      </c>
      <c r="H674" s="22">
        <f t="shared" si="52"/>
        <v>673</v>
      </c>
      <c r="I674" s="21">
        <f t="shared" ca="1" si="54"/>
        <v>0</v>
      </c>
      <c r="J674" s="21" t="str">
        <f ca="1">IF(I674=0,"",COUNTIF($I$2:I674,"&gt;0"))</f>
        <v/>
      </c>
      <c r="K674" s="21" t="str">
        <f t="shared" ca="1" si="55"/>
        <v/>
      </c>
    </row>
    <row r="675" spans="1:11" s="18" customFormat="1" ht="14.25" x14ac:dyDescent="0.2">
      <c r="A675" s="18" t="str">
        <f t="shared" si="53"/>
        <v>Eintrag 674</v>
      </c>
      <c r="B675" s="18">
        <v>100</v>
      </c>
      <c r="C675" s="19">
        <v>100</v>
      </c>
      <c r="D675" s="20">
        <v>10</v>
      </c>
      <c r="E675" s="20">
        <v>10</v>
      </c>
      <c r="F675" s="20">
        <v>10</v>
      </c>
      <c r="G675" s="19">
        <f t="shared" si="56"/>
        <v>172</v>
      </c>
      <c r="H675" s="22">
        <f t="shared" si="52"/>
        <v>674</v>
      </c>
      <c r="I675" s="21">
        <f t="shared" ca="1" si="54"/>
        <v>0</v>
      </c>
      <c r="J675" s="21" t="str">
        <f ca="1">IF(I675=0,"",COUNTIF($I$2:I675,"&gt;0"))</f>
        <v/>
      </c>
      <c r="K675" s="21" t="str">
        <f t="shared" ca="1" si="55"/>
        <v/>
      </c>
    </row>
    <row r="676" spans="1:11" s="18" customFormat="1" ht="14.25" x14ac:dyDescent="0.2">
      <c r="A676" s="18" t="str">
        <f t="shared" si="53"/>
        <v>Eintrag 675</v>
      </c>
      <c r="B676" s="18">
        <v>100</v>
      </c>
      <c r="C676" s="19">
        <v>100</v>
      </c>
      <c r="D676" s="20">
        <v>10</v>
      </c>
      <c r="E676" s="20">
        <v>10</v>
      </c>
      <c r="F676" s="20">
        <v>10</v>
      </c>
      <c r="G676" s="19">
        <f t="shared" si="56"/>
        <v>172</v>
      </c>
      <c r="H676" s="22">
        <f t="shared" si="52"/>
        <v>675</v>
      </c>
      <c r="I676" s="21">
        <f t="shared" ca="1" si="54"/>
        <v>0</v>
      </c>
      <c r="J676" s="21" t="str">
        <f ca="1">IF(I676=0,"",COUNTIF($I$2:I676,"&gt;0"))</f>
        <v/>
      </c>
      <c r="K676" s="21" t="str">
        <f t="shared" ca="1" si="55"/>
        <v/>
      </c>
    </row>
    <row r="677" spans="1:11" s="18" customFormat="1" ht="14.25" x14ac:dyDescent="0.2">
      <c r="A677" s="18" t="str">
        <f t="shared" si="53"/>
        <v>Eintrag 676</v>
      </c>
      <c r="B677" s="18">
        <v>100</v>
      </c>
      <c r="C677" s="19">
        <v>100</v>
      </c>
      <c r="D677" s="20">
        <v>10</v>
      </c>
      <c r="E677" s="20">
        <v>10</v>
      </c>
      <c r="F677" s="20">
        <v>10</v>
      </c>
      <c r="G677" s="19">
        <f t="shared" si="56"/>
        <v>172</v>
      </c>
      <c r="H677" s="22">
        <f t="shared" ref="H677:H740" si="57">H676+1</f>
        <v>676</v>
      </c>
      <c r="I677" s="21">
        <f t="shared" ca="1" si="54"/>
        <v>0</v>
      </c>
      <c r="J677" s="21" t="str">
        <f ca="1">IF(I677=0,"",COUNTIF($I$2:I677,"&gt;0"))</f>
        <v/>
      </c>
      <c r="K677" s="21" t="str">
        <f t="shared" ca="1" si="55"/>
        <v/>
      </c>
    </row>
    <row r="678" spans="1:11" s="18" customFormat="1" ht="14.25" x14ac:dyDescent="0.2">
      <c r="A678" s="18" t="str">
        <f t="shared" si="53"/>
        <v>Eintrag 677</v>
      </c>
      <c r="B678" s="18">
        <v>100</v>
      </c>
      <c r="C678" s="19">
        <v>100</v>
      </c>
      <c r="D678" s="20">
        <v>10</v>
      </c>
      <c r="E678" s="20">
        <v>10</v>
      </c>
      <c r="F678" s="20">
        <v>10</v>
      </c>
      <c r="G678" s="19">
        <f t="shared" si="56"/>
        <v>172</v>
      </c>
      <c r="H678" s="22">
        <f t="shared" si="57"/>
        <v>677</v>
      </c>
      <c r="I678" s="21">
        <f t="shared" ca="1" si="54"/>
        <v>0</v>
      </c>
      <c r="J678" s="21" t="str">
        <f ca="1">IF(I678=0,"",COUNTIF($I$2:I678,"&gt;0"))</f>
        <v/>
      </c>
      <c r="K678" s="21" t="str">
        <f t="shared" ca="1" si="55"/>
        <v/>
      </c>
    </row>
    <row r="679" spans="1:11" s="18" customFormat="1" ht="14.25" x14ac:dyDescent="0.2">
      <c r="A679" s="18" t="str">
        <f t="shared" si="53"/>
        <v>Eintrag 678</v>
      </c>
      <c r="B679" s="18">
        <v>100</v>
      </c>
      <c r="C679" s="19">
        <v>100</v>
      </c>
      <c r="D679" s="20">
        <v>10</v>
      </c>
      <c r="E679" s="20">
        <v>10</v>
      </c>
      <c r="F679" s="20">
        <v>10</v>
      </c>
      <c r="G679" s="19">
        <f t="shared" si="56"/>
        <v>172</v>
      </c>
      <c r="H679" s="22">
        <f t="shared" si="57"/>
        <v>678</v>
      </c>
      <c r="I679" s="21">
        <f t="shared" ca="1" si="54"/>
        <v>0</v>
      </c>
      <c r="J679" s="21" t="str">
        <f ca="1">IF(I679=0,"",COUNTIF($I$2:I679,"&gt;0"))</f>
        <v/>
      </c>
      <c r="K679" s="21" t="str">
        <f t="shared" ca="1" si="55"/>
        <v/>
      </c>
    </row>
    <row r="680" spans="1:11" s="18" customFormat="1" ht="14.25" x14ac:dyDescent="0.2">
      <c r="A680" s="18" t="str">
        <f t="shared" si="53"/>
        <v>Eintrag 679</v>
      </c>
      <c r="B680" s="18">
        <v>100</v>
      </c>
      <c r="C680" s="19">
        <v>100</v>
      </c>
      <c r="D680" s="20">
        <v>10</v>
      </c>
      <c r="E680" s="20">
        <v>10</v>
      </c>
      <c r="F680" s="20">
        <v>10</v>
      </c>
      <c r="G680" s="19">
        <f t="shared" si="56"/>
        <v>172</v>
      </c>
      <c r="H680" s="22">
        <f t="shared" si="57"/>
        <v>679</v>
      </c>
      <c r="I680" s="21">
        <f t="shared" ca="1" si="54"/>
        <v>0</v>
      </c>
      <c r="J680" s="21" t="str">
        <f ca="1">IF(I680=0,"",COUNTIF($I$2:I680,"&gt;0"))</f>
        <v/>
      </c>
      <c r="K680" s="21" t="str">
        <f t="shared" ca="1" si="55"/>
        <v/>
      </c>
    </row>
    <row r="681" spans="1:11" s="18" customFormat="1" ht="14.25" x14ac:dyDescent="0.2">
      <c r="A681" s="18" t="str">
        <f t="shared" si="53"/>
        <v>Eintrag 680</v>
      </c>
      <c r="B681" s="18">
        <v>100</v>
      </c>
      <c r="C681" s="19">
        <v>100</v>
      </c>
      <c r="D681" s="20">
        <v>10</v>
      </c>
      <c r="E681" s="20">
        <v>10</v>
      </c>
      <c r="F681" s="20">
        <v>10</v>
      </c>
      <c r="G681" s="19">
        <f t="shared" si="56"/>
        <v>172</v>
      </c>
      <c r="H681" s="22">
        <f t="shared" si="57"/>
        <v>680</v>
      </c>
      <c r="I681" s="21">
        <f t="shared" ca="1" si="54"/>
        <v>0</v>
      </c>
      <c r="J681" s="21" t="str">
        <f ca="1">IF(I681=0,"",COUNTIF($I$2:I681,"&gt;0"))</f>
        <v/>
      </c>
      <c r="K681" s="21" t="str">
        <f t="shared" ca="1" si="55"/>
        <v/>
      </c>
    </row>
    <row r="682" spans="1:11" s="18" customFormat="1" ht="14.25" x14ac:dyDescent="0.2">
      <c r="A682" s="18" t="str">
        <f t="shared" si="53"/>
        <v>Eintrag 681</v>
      </c>
      <c r="B682" s="18">
        <v>100</v>
      </c>
      <c r="C682" s="19">
        <v>100</v>
      </c>
      <c r="D682" s="20">
        <v>10</v>
      </c>
      <c r="E682" s="20">
        <v>10</v>
      </c>
      <c r="F682" s="20">
        <v>10</v>
      </c>
      <c r="G682" s="19">
        <f t="shared" si="56"/>
        <v>172</v>
      </c>
      <c r="H682" s="22">
        <f t="shared" si="57"/>
        <v>681</v>
      </c>
      <c r="I682" s="21">
        <f t="shared" ca="1" si="54"/>
        <v>0</v>
      </c>
      <c r="J682" s="21" t="str">
        <f ca="1">IF(I682=0,"",COUNTIF($I$2:I682,"&gt;0"))</f>
        <v/>
      </c>
      <c r="K682" s="21" t="str">
        <f t="shared" ca="1" si="55"/>
        <v/>
      </c>
    </row>
    <row r="683" spans="1:11" s="18" customFormat="1" ht="14.25" x14ac:dyDescent="0.2">
      <c r="A683" s="18" t="str">
        <f t="shared" si="53"/>
        <v>Eintrag 682</v>
      </c>
      <c r="B683" s="18">
        <v>100</v>
      </c>
      <c r="C683" s="19">
        <v>100</v>
      </c>
      <c r="D683" s="20">
        <v>10</v>
      </c>
      <c r="E683" s="20">
        <v>10</v>
      </c>
      <c r="F683" s="20">
        <v>10</v>
      </c>
      <c r="G683" s="19">
        <f t="shared" si="56"/>
        <v>172</v>
      </c>
      <c r="H683" s="22">
        <f t="shared" si="57"/>
        <v>682</v>
      </c>
      <c r="I683" s="21">
        <f t="shared" ca="1" si="54"/>
        <v>0</v>
      </c>
      <c r="J683" s="21" t="str">
        <f ca="1">IF(I683=0,"",COUNTIF($I$2:I683,"&gt;0"))</f>
        <v/>
      </c>
      <c r="K683" s="21" t="str">
        <f t="shared" ca="1" si="55"/>
        <v/>
      </c>
    </row>
    <row r="684" spans="1:11" s="18" customFormat="1" ht="14.25" x14ac:dyDescent="0.2">
      <c r="A684" s="18" t="str">
        <f t="shared" si="53"/>
        <v>Eintrag 683</v>
      </c>
      <c r="B684" s="18">
        <v>100</v>
      </c>
      <c r="C684" s="19">
        <v>100</v>
      </c>
      <c r="D684" s="20">
        <v>10</v>
      </c>
      <c r="E684" s="20">
        <v>10</v>
      </c>
      <c r="F684" s="20">
        <v>10</v>
      </c>
      <c r="G684" s="19">
        <f t="shared" si="56"/>
        <v>172</v>
      </c>
      <c r="H684" s="22">
        <f t="shared" si="57"/>
        <v>683</v>
      </c>
      <c r="I684" s="21">
        <f t="shared" ca="1" si="54"/>
        <v>0</v>
      </c>
      <c r="J684" s="21" t="str">
        <f ca="1">IF(I684=0,"",COUNTIF($I$2:I684,"&gt;0"))</f>
        <v/>
      </c>
      <c r="K684" s="21" t="str">
        <f t="shared" ca="1" si="55"/>
        <v/>
      </c>
    </row>
    <row r="685" spans="1:11" s="18" customFormat="1" ht="14.25" x14ac:dyDescent="0.2">
      <c r="A685" s="18" t="str">
        <f t="shared" si="53"/>
        <v>Eintrag 684</v>
      </c>
      <c r="B685" s="18">
        <v>100</v>
      </c>
      <c r="C685" s="19">
        <v>100</v>
      </c>
      <c r="D685" s="20">
        <v>10</v>
      </c>
      <c r="E685" s="20">
        <v>10</v>
      </c>
      <c r="F685" s="20">
        <v>10</v>
      </c>
      <c r="G685" s="19">
        <f t="shared" si="56"/>
        <v>172</v>
      </c>
      <c r="H685" s="22">
        <f t="shared" si="57"/>
        <v>684</v>
      </c>
      <c r="I685" s="21">
        <f t="shared" ca="1" si="54"/>
        <v>0</v>
      </c>
      <c r="J685" s="21" t="str">
        <f ca="1">IF(I685=0,"",COUNTIF($I$2:I685,"&gt;0"))</f>
        <v/>
      </c>
      <c r="K685" s="21" t="str">
        <f t="shared" ca="1" si="55"/>
        <v/>
      </c>
    </row>
    <row r="686" spans="1:11" s="18" customFormat="1" ht="14.25" x14ac:dyDescent="0.2">
      <c r="A686" s="18" t="str">
        <f t="shared" si="53"/>
        <v>Eintrag 685</v>
      </c>
      <c r="B686" s="18">
        <v>100</v>
      </c>
      <c r="C686" s="19">
        <v>100</v>
      </c>
      <c r="D686" s="20">
        <v>10</v>
      </c>
      <c r="E686" s="20">
        <v>10</v>
      </c>
      <c r="F686" s="20">
        <v>10</v>
      </c>
      <c r="G686" s="19">
        <f t="shared" si="56"/>
        <v>172</v>
      </c>
      <c r="H686" s="22">
        <f t="shared" si="57"/>
        <v>685</v>
      </c>
      <c r="I686" s="21">
        <f t="shared" ca="1" si="54"/>
        <v>0</v>
      </c>
      <c r="J686" s="21" t="str">
        <f ca="1">IF(I686=0,"",COUNTIF($I$2:I686,"&gt;0"))</f>
        <v/>
      </c>
      <c r="K686" s="21" t="str">
        <f t="shared" ca="1" si="55"/>
        <v/>
      </c>
    </row>
    <row r="687" spans="1:11" s="18" customFormat="1" ht="14.25" x14ac:dyDescent="0.2">
      <c r="A687" s="18" t="str">
        <f t="shared" si="53"/>
        <v>Eintrag 686</v>
      </c>
      <c r="B687" s="18">
        <v>100</v>
      </c>
      <c r="C687" s="19">
        <v>100</v>
      </c>
      <c r="D687" s="20">
        <v>10</v>
      </c>
      <c r="E687" s="20">
        <v>10</v>
      </c>
      <c r="F687" s="20">
        <v>10</v>
      </c>
      <c r="G687" s="19">
        <f t="shared" si="56"/>
        <v>172</v>
      </c>
      <c r="H687" s="22">
        <f t="shared" si="57"/>
        <v>686</v>
      </c>
      <c r="I687" s="21">
        <f t="shared" ca="1" si="54"/>
        <v>0</v>
      </c>
      <c r="J687" s="21" t="str">
        <f ca="1">IF(I687=0,"",COUNTIF($I$2:I687,"&gt;0"))</f>
        <v/>
      </c>
      <c r="K687" s="21" t="str">
        <f t="shared" ca="1" si="55"/>
        <v/>
      </c>
    </row>
    <row r="688" spans="1:11" s="18" customFormat="1" ht="14.25" x14ac:dyDescent="0.2">
      <c r="A688" s="18" t="str">
        <f t="shared" si="53"/>
        <v>Eintrag 687</v>
      </c>
      <c r="B688" s="18">
        <v>100</v>
      </c>
      <c r="C688" s="19">
        <v>100</v>
      </c>
      <c r="D688" s="20">
        <v>10</v>
      </c>
      <c r="E688" s="20">
        <v>10</v>
      </c>
      <c r="F688" s="20">
        <v>10</v>
      </c>
      <c r="G688" s="19">
        <f t="shared" si="56"/>
        <v>172</v>
      </c>
      <c r="H688" s="22">
        <f t="shared" si="57"/>
        <v>687</v>
      </c>
      <c r="I688" s="21">
        <f t="shared" ca="1" si="54"/>
        <v>0</v>
      </c>
      <c r="J688" s="21" t="str">
        <f ca="1">IF(I688=0,"",COUNTIF($I$2:I688,"&gt;0"))</f>
        <v/>
      </c>
      <c r="K688" s="21" t="str">
        <f t="shared" ca="1" si="55"/>
        <v/>
      </c>
    </row>
    <row r="689" spans="1:11" s="18" customFormat="1" ht="14.25" x14ac:dyDescent="0.2">
      <c r="A689" s="18" t="str">
        <f t="shared" si="53"/>
        <v>Eintrag 688</v>
      </c>
      <c r="B689" s="18">
        <v>100</v>
      </c>
      <c r="C689" s="19">
        <v>100</v>
      </c>
      <c r="D689" s="20">
        <v>10</v>
      </c>
      <c r="E689" s="20">
        <v>10</v>
      </c>
      <c r="F689" s="20">
        <v>10</v>
      </c>
      <c r="G689" s="19">
        <f t="shared" si="56"/>
        <v>172</v>
      </c>
      <c r="H689" s="22">
        <f t="shared" si="57"/>
        <v>688</v>
      </c>
      <c r="I689" s="21">
        <f t="shared" ca="1" si="54"/>
        <v>0</v>
      </c>
      <c r="J689" s="21" t="str">
        <f ca="1">IF(I689=0,"",COUNTIF($I$2:I689,"&gt;0"))</f>
        <v/>
      </c>
      <c r="K689" s="21" t="str">
        <f t="shared" ca="1" si="55"/>
        <v/>
      </c>
    </row>
    <row r="690" spans="1:11" s="18" customFormat="1" ht="14.25" x14ac:dyDescent="0.2">
      <c r="A690" s="18" t="str">
        <f t="shared" si="53"/>
        <v>Eintrag 689</v>
      </c>
      <c r="B690" s="18">
        <v>100</v>
      </c>
      <c r="C690" s="19">
        <v>100</v>
      </c>
      <c r="D690" s="20">
        <v>10</v>
      </c>
      <c r="E690" s="20">
        <v>10</v>
      </c>
      <c r="F690" s="20">
        <v>10</v>
      </c>
      <c r="G690" s="19">
        <f t="shared" si="56"/>
        <v>172</v>
      </c>
      <c r="H690" s="22">
        <f t="shared" si="57"/>
        <v>689</v>
      </c>
      <c r="I690" s="21">
        <f t="shared" ca="1" si="54"/>
        <v>0</v>
      </c>
      <c r="J690" s="21" t="str">
        <f ca="1">IF(I690=0,"",COUNTIF($I$2:I690,"&gt;0"))</f>
        <v/>
      </c>
      <c r="K690" s="21" t="str">
        <f t="shared" ca="1" si="55"/>
        <v/>
      </c>
    </row>
    <row r="691" spans="1:11" s="18" customFormat="1" ht="14.25" x14ac:dyDescent="0.2">
      <c r="A691" s="18" t="str">
        <f t="shared" si="53"/>
        <v>Eintrag 690</v>
      </c>
      <c r="B691" s="18">
        <v>100</v>
      </c>
      <c r="C691" s="19">
        <v>100</v>
      </c>
      <c r="D691" s="20">
        <v>10</v>
      </c>
      <c r="E691" s="20">
        <v>10</v>
      </c>
      <c r="F691" s="20">
        <v>10</v>
      </c>
      <c r="G691" s="19">
        <f t="shared" si="56"/>
        <v>172</v>
      </c>
      <c r="H691" s="22">
        <f t="shared" si="57"/>
        <v>690</v>
      </c>
      <c r="I691" s="21">
        <f t="shared" ca="1" si="54"/>
        <v>0</v>
      </c>
      <c r="J691" s="21" t="str">
        <f ca="1">IF(I691=0,"",COUNTIF($I$2:I691,"&gt;0"))</f>
        <v/>
      </c>
      <c r="K691" s="21" t="str">
        <f t="shared" ca="1" si="55"/>
        <v/>
      </c>
    </row>
    <row r="692" spans="1:11" s="18" customFormat="1" ht="14.25" x14ac:dyDescent="0.2">
      <c r="A692" s="18" t="str">
        <f t="shared" si="53"/>
        <v>Eintrag 691</v>
      </c>
      <c r="B692" s="18">
        <v>100</v>
      </c>
      <c r="C692" s="19">
        <v>100</v>
      </c>
      <c r="D692" s="20">
        <v>10</v>
      </c>
      <c r="E692" s="20">
        <v>10</v>
      </c>
      <c r="F692" s="20">
        <v>10</v>
      </c>
      <c r="G692" s="19">
        <f t="shared" si="56"/>
        <v>172</v>
      </c>
      <c r="H692" s="22">
        <f t="shared" si="57"/>
        <v>691</v>
      </c>
      <c r="I692" s="21">
        <f t="shared" ca="1" si="54"/>
        <v>0</v>
      </c>
      <c r="J692" s="21" t="str">
        <f ca="1">IF(I692=0,"",COUNTIF($I$2:I692,"&gt;0"))</f>
        <v/>
      </c>
      <c r="K692" s="21" t="str">
        <f t="shared" ca="1" si="55"/>
        <v/>
      </c>
    </row>
    <row r="693" spans="1:11" s="18" customFormat="1" ht="14.25" x14ac:dyDescent="0.2">
      <c r="A693" s="18" t="str">
        <f t="shared" ref="A693:A756" si="58">CONCATENATE("Eintrag ",H693)</f>
        <v>Eintrag 692</v>
      </c>
      <c r="B693" s="18">
        <v>100</v>
      </c>
      <c r="C693" s="19">
        <v>100</v>
      </c>
      <c r="D693" s="20">
        <v>10</v>
      </c>
      <c r="E693" s="20">
        <v>10</v>
      </c>
      <c r="F693" s="20">
        <v>10</v>
      </c>
      <c r="G693" s="19">
        <f t="shared" si="56"/>
        <v>172</v>
      </c>
      <c r="H693" s="22">
        <f t="shared" si="57"/>
        <v>692</v>
      </c>
      <c r="I693" s="21">
        <f t="shared" ref="I693:I756" ca="1" si="59">IFERROR(SEARCH(INDIRECT(CELL("address")),A693),0)</f>
        <v>0</v>
      </c>
      <c r="J693" s="21" t="str">
        <f ca="1">IF(I693=0,"",COUNTIF($I$2:I693,"&gt;0"))</f>
        <v/>
      </c>
      <c r="K693" s="21" t="str">
        <f t="shared" ca="1" si="55"/>
        <v/>
      </c>
    </row>
    <row r="694" spans="1:11" s="18" customFormat="1" ht="14.25" x14ac:dyDescent="0.2">
      <c r="A694" s="18" t="str">
        <f t="shared" si="58"/>
        <v>Eintrag 693</v>
      </c>
      <c r="B694" s="18">
        <v>100</v>
      </c>
      <c r="C694" s="19">
        <v>100</v>
      </c>
      <c r="D694" s="20">
        <v>10</v>
      </c>
      <c r="E694" s="20">
        <v>10</v>
      </c>
      <c r="F694" s="20">
        <v>10</v>
      </c>
      <c r="G694" s="19">
        <f t="shared" si="56"/>
        <v>172</v>
      </c>
      <c r="H694" s="22">
        <f t="shared" si="57"/>
        <v>693</v>
      </c>
      <c r="I694" s="21">
        <f t="shared" ca="1" si="59"/>
        <v>0</v>
      </c>
      <c r="J694" s="21" t="str">
        <f ca="1">IF(I694=0,"",COUNTIF($I$2:I694,"&gt;0"))</f>
        <v/>
      </c>
      <c r="K694" s="21" t="str">
        <f t="shared" ca="1" si="55"/>
        <v/>
      </c>
    </row>
    <row r="695" spans="1:11" s="18" customFormat="1" ht="14.25" x14ac:dyDescent="0.2">
      <c r="A695" s="18" t="str">
        <f t="shared" si="58"/>
        <v>Eintrag 694</v>
      </c>
      <c r="B695" s="18">
        <v>100</v>
      </c>
      <c r="C695" s="19">
        <v>100</v>
      </c>
      <c r="D695" s="20">
        <v>10</v>
      </c>
      <c r="E695" s="20">
        <v>10</v>
      </c>
      <c r="F695" s="20">
        <v>10</v>
      </c>
      <c r="G695" s="19">
        <f t="shared" si="56"/>
        <v>172</v>
      </c>
      <c r="H695" s="22">
        <f t="shared" si="57"/>
        <v>694</v>
      </c>
      <c r="I695" s="21">
        <f t="shared" ca="1" si="59"/>
        <v>0</v>
      </c>
      <c r="J695" s="21" t="str">
        <f ca="1">IF(I695=0,"",COUNTIF($I$2:I695,"&gt;0"))</f>
        <v/>
      </c>
      <c r="K695" s="21" t="str">
        <f t="shared" ca="1" si="55"/>
        <v/>
      </c>
    </row>
    <row r="696" spans="1:11" s="18" customFormat="1" ht="14.25" x14ac:dyDescent="0.2">
      <c r="A696" s="18" t="str">
        <f t="shared" si="58"/>
        <v>Eintrag 695</v>
      </c>
      <c r="B696" s="18">
        <v>100</v>
      </c>
      <c r="C696" s="19">
        <v>100</v>
      </c>
      <c r="D696" s="20">
        <v>10</v>
      </c>
      <c r="E696" s="20">
        <v>10</v>
      </c>
      <c r="F696" s="20">
        <v>10</v>
      </c>
      <c r="G696" s="19">
        <f t="shared" si="56"/>
        <v>172</v>
      </c>
      <c r="H696" s="22">
        <f t="shared" si="57"/>
        <v>695</v>
      </c>
      <c r="I696" s="21">
        <f t="shared" ca="1" si="59"/>
        <v>0</v>
      </c>
      <c r="J696" s="21" t="str">
        <f ca="1">IF(I696=0,"",COUNTIF($I$2:I696,"&gt;0"))</f>
        <v/>
      </c>
      <c r="K696" s="21" t="str">
        <f t="shared" ca="1" si="55"/>
        <v/>
      </c>
    </row>
    <row r="697" spans="1:11" s="18" customFormat="1" ht="14.25" x14ac:dyDescent="0.2">
      <c r="A697" s="18" t="str">
        <f t="shared" si="58"/>
        <v>Eintrag 696</v>
      </c>
      <c r="B697" s="18">
        <v>100</v>
      </c>
      <c r="C697" s="19">
        <v>100</v>
      </c>
      <c r="D697" s="20">
        <v>10</v>
      </c>
      <c r="E697" s="20">
        <v>10</v>
      </c>
      <c r="F697" s="20">
        <v>10</v>
      </c>
      <c r="G697" s="19">
        <f t="shared" si="56"/>
        <v>172</v>
      </c>
      <c r="H697" s="22">
        <f t="shared" si="57"/>
        <v>696</v>
      </c>
      <c r="I697" s="21">
        <f t="shared" ca="1" si="59"/>
        <v>0</v>
      </c>
      <c r="J697" s="21" t="str">
        <f ca="1">IF(I697=0,"",COUNTIF($I$2:I697,"&gt;0"))</f>
        <v/>
      </c>
      <c r="K697" s="21" t="str">
        <f t="shared" ca="1" si="55"/>
        <v/>
      </c>
    </row>
    <row r="698" spans="1:11" s="18" customFormat="1" ht="14.25" x14ac:dyDescent="0.2">
      <c r="A698" s="18" t="str">
        <f t="shared" si="58"/>
        <v>Eintrag 697</v>
      </c>
      <c r="B698" s="18">
        <v>100</v>
      </c>
      <c r="C698" s="19">
        <v>100</v>
      </c>
      <c r="D698" s="20">
        <v>10</v>
      </c>
      <c r="E698" s="20">
        <v>10</v>
      </c>
      <c r="F698" s="20">
        <v>10</v>
      </c>
      <c r="G698" s="19">
        <f t="shared" si="56"/>
        <v>172</v>
      </c>
      <c r="H698" s="22">
        <f t="shared" si="57"/>
        <v>697</v>
      </c>
      <c r="I698" s="21">
        <f t="shared" ca="1" si="59"/>
        <v>0</v>
      </c>
      <c r="J698" s="21" t="str">
        <f ca="1">IF(I698=0,"",COUNTIF($I$2:I698,"&gt;0"))</f>
        <v/>
      </c>
      <c r="K698" s="21" t="str">
        <f t="shared" ca="1" si="55"/>
        <v/>
      </c>
    </row>
    <row r="699" spans="1:11" s="18" customFormat="1" ht="14.25" x14ac:dyDescent="0.2">
      <c r="A699" s="18" t="str">
        <f t="shared" si="58"/>
        <v>Eintrag 698</v>
      </c>
      <c r="B699" s="18">
        <v>100</v>
      </c>
      <c r="C699" s="19">
        <v>100</v>
      </c>
      <c r="D699" s="20">
        <v>10</v>
      </c>
      <c r="E699" s="20">
        <v>10</v>
      </c>
      <c r="F699" s="20">
        <v>10</v>
      </c>
      <c r="G699" s="19">
        <f t="shared" si="56"/>
        <v>172</v>
      </c>
      <c r="H699" s="22">
        <f t="shared" si="57"/>
        <v>698</v>
      </c>
      <c r="I699" s="21">
        <f t="shared" ca="1" si="59"/>
        <v>0</v>
      </c>
      <c r="J699" s="21" t="str">
        <f ca="1">IF(I699=0,"",COUNTIF($I$2:I699,"&gt;0"))</f>
        <v/>
      </c>
      <c r="K699" s="21" t="str">
        <f t="shared" ca="1" si="55"/>
        <v/>
      </c>
    </row>
    <row r="700" spans="1:11" s="18" customFormat="1" ht="14.25" x14ac:dyDescent="0.2">
      <c r="A700" s="18" t="str">
        <f t="shared" si="58"/>
        <v>Eintrag 699</v>
      </c>
      <c r="B700" s="18">
        <v>100</v>
      </c>
      <c r="C700" s="19">
        <v>100</v>
      </c>
      <c r="D700" s="20">
        <v>10</v>
      </c>
      <c r="E700" s="20">
        <v>10</v>
      </c>
      <c r="F700" s="20">
        <v>10</v>
      </c>
      <c r="G700" s="19">
        <f t="shared" si="56"/>
        <v>172</v>
      </c>
      <c r="H700" s="22">
        <f t="shared" si="57"/>
        <v>699</v>
      </c>
      <c r="I700" s="21">
        <f t="shared" ca="1" si="59"/>
        <v>0</v>
      </c>
      <c r="J700" s="21" t="str">
        <f ca="1">IF(I700=0,"",COUNTIF($I$2:I700,"&gt;0"))</f>
        <v/>
      </c>
      <c r="K700" s="21" t="str">
        <f t="shared" ca="1" si="55"/>
        <v/>
      </c>
    </row>
    <row r="701" spans="1:11" s="18" customFormat="1" ht="14.25" x14ac:dyDescent="0.2">
      <c r="A701" s="18" t="str">
        <f t="shared" si="58"/>
        <v>Eintrag 700</v>
      </c>
      <c r="B701" s="18">
        <v>100</v>
      </c>
      <c r="C701" s="19">
        <v>100</v>
      </c>
      <c r="D701" s="20">
        <v>10</v>
      </c>
      <c r="E701" s="20">
        <v>10</v>
      </c>
      <c r="F701" s="20">
        <v>10</v>
      </c>
      <c r="G701" s="19">
        <f t="shared" si="56"/>
        <v>172</v>
      </c>
      <c r="H701" s="22">
        <f t="shared" si="57"/>
        <v>700</v>
      </c>
      <c r="I701" s="21">
        <f t="shared" ca="1" si="59"/>
        <v>0</v>
      </c>
      <c r="J701" s="21" t="str">
        <f ca="1">IF(I701=0,"",COUNTIF($I$2:I701,"&gt;0"))</f>
        <v/>
      </c>
      <c r="K701" s="21" t="str">
        <f t="shared" ca="1" si="55"/>
        <v/>
      </c>
    </row>
    <row r="702" spans="1:11" s="18" customFormat="1" ht="14.25" x14ac:dyDescent="0.2">
      <c r="A702" s="18" t="str">
        <f t="shared" si="58"/>
        <v>Eintrag 701</v>
      </c>
      <c r="B702" s="18">
        <v>100</v>
      </c>
      <c r="C702" s="19">
        <v>100</v>
      </c>
      <c r="D702" s="20">
        <v>10</v>
      </c>
      <c r="E702" s="20">
        <v>10</v>
      </c>
      <c r="F702" s="20">
        <v>10</v>
      </c>
      <c r="G702" s="19">
        <f t="shared" si="56"/>
        <v>172</v>
      </c>
      <c r="H702" s="22">
        <f t="shared" si="57"/>
        <v>701</v>
      </c>
      <c r="I702" s="21">
        <f t="shared" ca="1" si="59"/>
        <v>0</v>
      </c>
      <c r="J702" s="21" t="str">
        <f ca="1">IF(I702=0,"",COUNTIF($I$2:I702,"&gt;0"))</f>
        <v/>
      </c>
      <c r="K702" s="21" t="str">
        <f t="shared" ca="1" si="55"/>
        <v/>
      </c>
    </row>
    <row r="703" spans="1:11" s="18" customFormat="1" ht="14.25" x14ac:dyDescent="0.2">
      <c r="A703" s="18" t="str">
        <f t="shared" si="58"/>
        <v>Eintrag 702</v>
      </c>
      <c r="B703" s="18">
        <v>100</v>
      </c>
      <c r="C703" s="19">
        <v>100</v>
      </c>
      <c r="D703" s="20">
        <v>10</v>
      </c>
      <c r="E703" s="20">
        <v>10</v>
      </c>
      <c r="F703" s="20">
        <v>10</v>
      </c>
      <c r="G703" s="19">
        <f t="shared" si="56"/>
        <v>172</v>
      </c>
      <c r="H703" s="22">
        <f t="shared" si="57"/>
        <v>702</v>
      </c>
      <c r="I703" s="21">
        <f t="shared" ca="1" si="59"/>
        <v>0</v>
      </c>
      <c r="J703" s="21" t="str">
        <f ca="1">IF(I703=0,"",COUNTIF($I$2:I703,"&gt;0"))</f>
        <v/>
      </c>
      <c r="K703" s="21" t="str">
        <f t="shared" ca="1" si="55"/>
        <v/>
      </c>
    </row>
    <row r="704" spans="1:11" s="18" customFormat="1" ht="14.25" x14ac:dyDescent="0.2">
      <c r="A704" s="18" t="str">
        <f t="shared" si="58"/>
        <v>Eintrag 703</v>
      </c>
      <c r="B704" s="18">
        <v>100</v>
      </c>
      <c r="C704" s="19">
        <v>100</v>
      </c>
      <c r="D704" s="20">
        <v>10</v>
      </c>
      <c r="E704" s="20">
        <v>10</v>
      </c>
      <c r="F704" s="20">
        <v>10</v>
      </c>
      <c r="G704" s="19">
        <f t="shared" si="56"/>
        <v>172</v>
      </c>
      <c r="H704" s="22">
        <f t="shared" si="57"/>
        <v>703</v>
      </c>
      <c r="I704" s="21">
        <f t="shared" ca="1" si="59"/>
        <v>0</v>
      </c>
      <c r="J704" s="21" t="str">
        <f ca="1">IF(I704=0,"",COUNTIF($I$2:I704,"&gt;0"))</f>
        <v/>
      </c>
      <c r="K704" s="21" t="str">
        <f t="shared" ca="1" si="55"/>
        <v/>
      </c>
    </row>
    <row r="705" spans="1:11" s="18" customFormat="1" ht="14.25" x14ac:dyDescent="0.2">
      <c r="A705" s="18" t="str">
        <f t="shared" si="58"/>
        <v>Eintrag 704</v>
      </c>
      <c r="B705" s="18">
        <v>100</v>
      </c>
      <c r="C705" s="19">
        <v>100</v>
      </c>
      <c r="D705" s="20">
        <v>10</v>
      </c>
      <c r="E705" s="20">
        <v>10</v>
      </c>
      <c r="F705" s="20">
        <v>10</v>
      </c>
      <c r="G705" s="19">
        <f t="shared" si="56"/>
        <v>172</v>
      </c>
      <c r="H705" s="22">
        <f t="shared" si="57"/>
        <v>704</v>
      </c>
      <c r="I705" s="21">
        <f t="shared" ca="1" si="59"/>
        <v>0</v>
      </c>
      <c r="J705" s="21" t="str">
        <f ca="1">IF(I705=0,"",COUNTIF($I$2:I705,"&gt;0"))</f>
        <v/>
      </c>
      <c r="K705" s="21" t="str">
        <f t="shared" ca="1" si="55"/>
        <v/>
      </c>
    </row>
    <row r="706" spans="1:11" s="18" customFormat="1" ht="14.25" x14ac:dyDescent="0.2">
      <c r="A706" s="18" t="str">
        <f t="shared" si="58"/>
        <v>Eintrag 705</v>
      </c>
      <c r="B706" s="18">
        <v>100</v>
      </c>
      <c r="C706" s="19">
        <v>100</v>
      </c>
      <c r="D706" s="20">
        <v>10</v>
      </c>
      <c r="E706" s="20">
        <v>10</v>
      </c>
      <c r="F706" s="20">
        <v>10</v>
      </c>
      <c r="G706" s="19">
        <f t="shared" si="56"/>
        <v>172</v>
      </c>
      <c r="H706" s="22">
        <f t="shared" si="57"/>
        <v>705</v>
      </c>
      <c r="I706" s="21">
        <f t="shared" ca="1" si="59"/>
        <v>0</v>
      </c>
      <c r="J706" s="21" t="str">
        <f ca="1">IF(I706=0,"",COUNTIF($I$2:I706,"&gt;0"))</f>
        <v/>
      </c>
      <c r="K706" s="21" t="str">
        <f t="shared" ref="K706:K769" ca="1" si="60">IFERROR(INDEX(A:A,MATCH(ROW(I705),J:J,0)),"")</f>
        <v/>
      </c>
    </row>
    <row r="707" spans="1:11" s="18" customFormat="1" ht="14.25" x14ac:dyDescent="0.2">
      <c r="A707" s="18" t="str">
        <f t="shared" si="58"/>
        <v>Eintrag 706</v>
      </c>
      <c r="B707" s="18">
        <v>100</v>
      </c>
      <c r="C707" s="19">
        <v>100</v>
      </c>
      <c r="D707" s="20">
        <v>10</v>
      </c>
      <c r="E707" s="20">
        <v>10</v>
      </c>
      <c r="F707" s="20">
        <v>10</v>
      </c>
      <c r="G707" s="19">
        <f t="shared" ref="G707:G770" si="61">D707*9+E707*4.1+F707*4.1</f>
        <v>172</v>
      </c>
      <c r="H707" s="22">
        <f t="shared" si="57"/>
        <v>706</v>
      </c>
      <c r="I707" s="21">
        <f t="shared" ca="1" si="59"/>
        <v>0</v>
      </c>
      <c r="J707" s="21" t="str">
        <f ca="1">IF(I707=0,"",COUNTIF($I$2:I707,"&gt;0"))</f>
        <v/>
      </c>
      <c r="K707" s="21" t="str">
        <f t="shared" ca="1" si="60"/>
        <v/>
      </c>
    </row>
    <row r="708" spans="1:11" s="18" customFormat="1" ht="14.25" x14ac:dyDescent="0.2">
      <c r="A708" s="18" t="str">
        <f t="shared" si="58"/>
        <v>Eintrag 707</v>
      </c>
      <c r="B708" s="18">
        <v>100</v>
      </c>
      <c r="C708" s="19">
        <v>100</v>
      </c>
      <c r="D708" s="20">
        <v>10</v>
      </c>
      <c r="E708" s="20">
        <v>10</v>
      </c>
      <c r="F708" s="20">
        <v>10</v>
      </c>
      <c r="G708" s="19">
        <f t="shared" si="61"/>
        <v>172</v>
      </c>
      <c r="H708" s="22">
        <f t="shared" si="57"/>
        <v>707</v>
      </c>
      <c r="I708" s="21">
        <f t="shared" ca="1" si="59"/>
        <v>0</v>
      </c>
      <c r="J708" s="21" t="str">
        <f ca="1">IF(I708=0,"",COUNTIF($I$2:I708,"&gt;0"))</f>
        <v/>
      </c>
      <c r="K708" s="21" t="str">
        <f t="shared" ca="1" si="60"/>
        <v/>
      </c>
    </row>
    <row r="709" spans="1:11" s="18" customFormat="1" ht="14.25" x14ac:dyDescent="0.2">
      <c r="A709" s="18" t="str">
        <f t="shared" si="58"/>
        <v>Eintrag 708</v>
      </c>
      <c r="B709" s="18">
        <v>100</v>
      </c>
      <c r="C709" s="19">
        <v>100</v>
      </c>
      <c r="D709" s="20">
        <v>10</v>
      </c>
      <c r="E709" s="20">
        <v>10</v>
      </c>
      <c r="F709" s="20">
        <v>10</v>
      </c>
      <c r="G709" s="19">
        <f t="shared" si="61"/>
        <v>172</v>
      </c>
      <c r="H709" s="22">
        <f t="shared" si="57"/>
        <v>708</v>
      </c>
      <c r="I709" s="21">
        <f t="shared" ca="1" si="59"/>
        <v>0</v>
      </c>
      <c r="J709" s="21" t="str">
        <f ca="1">IF(I709=0,"",COUNTIF($I$2:I709,"&gt;0"))</f>
        <v/>
      </c>
      <c r="K709" s="21" t="str">
        <f t="shared" ca="1" si="60"/>
        <v/>
      </c>
    </row>
    <row r="710" spans="1:11" s="18" customFormat="1" ht="14.25" x14ac:dyDescent="0.2">
      <c r="A710" s="18" t="str">
        <f t="shared" si="58"/>
        <v>Eintrag 709</v>
      </c>
      <c r="B710" s="18">
        <v>100</v>
      </c>
      <c r="C710" s="19">
        <v>100</v>
      </c>
      <c r="D710" s="20">
        <v>10</v>
      </c>
      <c r="E710" s="20">
        <v>10</v>
      </c>
      <c r="F710" s="20">
        <v>10</v>
      </c>
      <c r="G710" s="19">
        <f t="shared" si="61"/>
        <v>172</v>
      </c>
      <c r="H710" s="22">
        <f t="shared" si="57"/>
        <v>709</v>
      </c>
      <c r="I710" s="21">
        <f t="shared" ca="1" si="59"/>
        <v>0</v>
      </c>
      <c r="J710" s="21" t="str">
        <f ca="1">IF(I710=0,"",COUNTIF($I$2:I710,"&gt;0"))</f>
        <v/>
      </c>
      <c r="K710" s="21" t="str">
        <f t="shared" ca="1" si="60"/>
        <v/>
      </c>
    </row>
    <row r="711" spans="1:11" s="18" customFormat="1" ht="14.25" x14ac:dyDescent="0.2">
      <c r="A711" s="18" t="str">
        <f t="shared" si="58"/>
        <v>Eintrag 710</v>
      </c>
      <c r="B711" s="18">
        <v>100</v>
      </c>
      <c r="C711" s="19">
        <v>100</v>
      </c>
      <c r="D711" s="20">
        <v>10</v>
      </c>
      <c r="E711" s="20">
        <v>10</v>
      </c>
      <c r="F711" s="20">
        <v>10</v>
      </c>
      <c r="G711" s="19">
        <f t="shared" si="61"/>
        <v>172</v>
      </c>
      <c r="H711" s="22">
        <f t="shared" si="57"/>
        <v>710</v>
      </c>
      <c r="I711" s="21">
        <f t="shared" ca="1" si="59"/>
        <v>0</v>
      </c>
      <c r="J711" s="21" t="str">
        <f ca="1">IF(I711=0,"",COUNTIF($I$2:I711,"&gt;0"))</f>
        <v/>
      </c>
      <c r="K711" s="21" t="str">
        <f t="shared" ca="1" si="60"/>
        <v/>
      </c>
    </row>
    <row r="712" spans="1:11" s="18" customFormat="1" ht="14.25" x14ac:dyDescent="0.2">
      <c r="A712" s="18" t="str">
        <f t="shared" si="58"/>
        <v>Eintrag 711</v>
      </c>
      <c r="B712" s="18">
        <v>100</v>
      </c>
      <c r="C712" s="19">
        <v>100</v>
      </c>
      <c r="D712" s="20">
        <v>10</v>
      </c>
      <c r="E712" s="20">
        <v>10</v>
      </c>
      <c r="F712" s="20">
        <v>10</v>
      </c>
      <c r="G712" s="19">
        <f t="shared" si="61"/>
        <v>172</v>
      </c>
      <c r="H712" s="22">
        <f t="shared" si="57"/>
        <v>711</v>
      </c>
      <c r="I712" s="21">
        <f t="shared" ca="1" si="59"/>
        <v>0</v>
      </c>
      <c r="J712" s="21" t="str">
        <f ca="1">IF(I712=0,"",COUNTIF($I$2:I712,"&gt;0"))</f>
        <v/>
      </c>
      <c r="K712" s="21" t="str">
        <f t="shared" ca="1" si="60"/>
        <v/>
      </c>
    </row>
    <row r="713" spans="1:11" s="18" customFormat="1" ht="14.25" x14ac:dyDescent="0.2">
      <c r="A713" s="18" t="str">
        <f t="shared" si="58"/>
        <v>Eintrag 712</v>
      </c>
      <c r="B713" s="18">
        <v>100</v>
      </c>
      <c r="C713" s="19">
        <v>100</v>
      </c>
      <c r="D713" s="20">
        <v>10</v>
      </c>
      <c r="E713" s="20">
        <v>10</v>
      </c>
      <c r="F713" s="20">
        <v>10</v>
      </c>
      <c r="G713" s="19">
        <f t="shared" si="61"/>
        <v>172</v>
      </c>
      <c r="H713" s="22">
        <f t="shared" si="57"/>
        <v>712</v>
      </c>
      <c r="I713" s="21">
        <f t="shared" ca="1" si="59"/>
        <v>0</v>
      </c>
      <c r="J713" s="21" t="str">
        <f ca="1">IF(I713=0,"",COUNTIF($I$2:I713,"&gt;0"))</f>
        <v/>
      </c>
      <c r="K713" s="21" t="str">
        <f t="shared" ca="1" si="60"/>
        <v/>
      </c>
    </row>
    <row r="714" spans="1:11" s="18" customFormat="1" ht="14.25" x14ac:dyDescent="0.2">
      <c r="A714" s="18" t="str">
        <f t="shared" si="58"/>
        <v>Eintrag 713</v>
      </c>
      <c r="B714" s="18">
        <v>100</v>
      </c>
      <c r="C714" s="19">
        <v>100</v>
      </c>
      <c r="D714" s="20">
        <v>10</v>
      </c>
      <c r="E714" s="20">
        <v>10</v>
      </c>
      <c r="F714" s="20">
        <v>10</v>
      </c>
      <c r="G714" s="19">
        <f t="shared" si="61"/>
        <v>172</v>
      </c>
      <c r="H714" s="22">
        <f t="shared" si="57"/>
        <v>713</v>
      </c>
      <c r="I714" s="21">
        <f t="shared" ca="1" si="59"/>
        <v>0</v>
      </c>
      <c r="J714" s="21" t="str">
        <f ca="1">IF(I714=0,"",COUNTIF($I$2:I714,"&gt;0"))</f>
        <v/>
      </c>
      <c r="K714" s="21" t="str">
        <f t="shared" ca="1" si="60"/>
        <v/>
      </c>
    </row>
    <row r="715" spans="1:11" s="18" customFormat="1" ht="14.25" x14ac:dyDescent="0.2">
      <c r="A715" s="18" t="str">
        <f t="shared" si="58"/>
        <v>Eintrag 714</v>
      </c>
      <c r="B715" s="18">
        <v>100</v>
      </c>
      <c r="C715" s="19">
        <v>100</v>
      </c>
      <c r="D715" s="20">
        <v>10</v>
      </c>
      <c r="E715" s="20">
        <v>10</v>
      </c>
      <c r="F715" s="20">
        <v>10</v>
      </c>
      <c r="G715" s="19">
        <f t="shared" si="61"/>
        <v>172</v>
      </c>
      <c r="H715" s="22">
        <f t="shared" si="57"/>
        <v>714</v>
      </c>
      <c r="I715" s="21">
        <f t="shared" ca="1" si="59"/>
        <v>0</v>
      </c>
      <c r="J715" s="21" t="str">
        <f ca="1">IF(I715=0,"",COUNTIF($I$2:I715,"&gt;0"))</f>
        <v/>
      </c>
      <c r="K715" s="21" t="str">
        <f t="shared" ca="1" si="60"/>
        <v/>
      </c>
    </row>
    <row r="716" spans="1:11" s="18" customFormat="1" ht="14.25" x14ac:dyDescent="0.2">
      <c r="A716" s="18" t="str">
        <f t="shared" si="58"/>
        <v>Eintrag 715</v>
      </c>
      <c r="B716" s="18">
        <v>100</v>
      </c>
      <c r="C716" s="19">
        <v>100</v>
      </c>
      <c r="D716" s="20">
        <v>10</v>
      </c>
      <c r="E716" s="20">
        <v>10</v>
      </c>
      <c r="F716" s="20">
        <v>10</v>
      </c>
      <c r="G716" s="19">
        <f t="shared" si="61"/>
        <v>172</v>
      </c>
      <c r="H716" s="22">
        <f t="shared" si="57"/>
        <v>715</v>
      </c>
      <c r="I716" s="21">
        <f t="shared" ca="1" si="59"/>
        <v>0</v>
      </c>
      <c r="J716" s="21" t="str">
        <f ca="1">IF(I716=0,"",COUNTIF($I$2:I716,"&gt;0"))</f>
        <v/>
      </c>
      <c r="K716" s="21" t="str">
        <f t="shared" ca="1" si="60"/>
        <v/>
      </c>
    </row>
    <row r="717" spans="1:11" s="18" customFormat="1" ht="14.25" x14ac:dyDescent="0.2">
      <c r="A717" s="18" t="str">
        <f t="shared" si="58"/>
        <v>Eintrag 716</v>
      </c>
      <c r="B717" s="18">
        <v>100</v>
      </c>
      <c r="C717" s="19">
        <v>100</v>
      </c>
      <c r="D717" s="20">
        <v>10</v>
      </c>
      <c r="E717" s="20">
        <v>10</v>
      </c>
      <c r="F717" s="20">
        <v>10</v>
      </c>
      <c r="G717" s="19">
        <f t="shared" si="61"/>
        <v>172</v>
      </c>
      <c r="H717" s="22">
        <f t="shared" si="57"/>
        <v>716</v>
      </c>
      <c r="I717" s="21">
        <f t="shared" ca="1" si="59"/>
        <v>0</v>
      </c>
      <c r="J717" s="21" t="str">
        <f ca="1">IF(I717=0,"",COUNTIF($I$2:I717,"&gt;0"))</f>
        <v/>
      </c>
      <c r="K717" s="21" t="str">
        <f t="shared" ca="1" si="60"/>
        <v/>
      </c>
    </row>
    <row r="718" spans="1:11" s="18" customFormat="1" ht="14.25" x14ac:dyDescent="0.2">
      <c r="A718" s="18" t="str">
        <f t="shared" si="58"/>
        <v>Eintrag 717</v>
      </c>
      <c r="B718" s="18">
        <v>100</v>
      </c>
      <c r="C718" s="19">
        <v>100</v>
      </c>
      <c r="D718" s="20">
        <v>10</v>
      </c>
      <c r="E718" s="20">
        <v>10</v>
      </c>
      <c r="F718" s="20">
        <v>10</v>
      </c>
      <c r="G718" s="19">
        <f t="shared" si="61"/>
        <v>172</v>
      </c>
      <c r="H718" s="22">
        <f t="shared" si="57"/>
        <v>717</v>
      </c>
      <c r="I718" s="21">
        <f t="shared" ca="1" si="59"/>
        <v>0</v>
      </c>
      <c r="J718" s="21" t="str">
        <f ca="1">IF(I718=0,"",COUNTIF($I$2:I718,"&gt;0"))</f>
        <v/>
      </c>
      <c r="K718" s="21" t="str">
        <f t="shared" ca="1" si="60"/>
        <v/>
      </c>
    </row>
    <row r="719" spans="1:11" s="18" customFormat="1" ht="14.25" x14ac:dyDescent="0.2">
      <c r="A719" s="18" t="str">
        <f t="shared" si="58"/>
        <v>Eintrag 718</v>
      </c>
      <c r="B719" s="18">
        <v>100</v>
      </c>
      <c r="C719" s="19">
        <v>100</v>
      </c>
      <c r="D719" s="20">
        <v>10</v>
      </c>
      <c r="E719" s="20">
        <v>10</v>
      </c>
      <c r="F719" s="20">
        <v>10</v>
      </c>
      <c r="G719" s="19">
        <f t="shared" si="61"/>
        <v>172</v>
      </c>
      <c r="H719" s="22">
        <f t="shared" si="57"/>
        <v>718</v>
      </c>
      <c r="I719" s="21">
        <f t="shared" ca="1" si="59"/>
        <v>0</v>
      </c>
      <c r="J719" s="21" t="str">
        <f ca="1">IF(I719=0,"",COUNTIF($I$2:I719,"&gt;0"))</f>
        <v/>
      </c>
      <c r="K719" s="21" t="str">
        <f t="shared" ca="1" si="60"/>
        <v/>
      </c>
    </row>
    <row r="720" spans="1:11" s="18" customFormat="1" ht="14.25" x14ac:dyDescent="0.2">
      <c r="A720" s="18" t="str">
        <f t="shared" si="58"/>
        <v>Eintrag 719</v>
      </c>
      <c r="B720" s="18">
        <v>100</v>
      </c>
      <c r="C720" s="19">
        <v>100</v>
      </c>
      <c r="D720" s="20">
        <v>10</v>
      </c>
      <c r="E720" s="20">
        <v>10</v>
      </c>
      <c r="F720" s="20">
        <v>10</v>
      </c>
      <c r="G720" s="19">
        <f t="shared" si="61"/>
        <v>172</v>
      </c>
      <c r="H720" s="22">
        <f t="shared" si="57"/>
        <v>719</v>
      </c>
      <c r="I720" s="21">
        <f t="shared" ca="1" si="59"/>
        <v>0</v>
      </c>
      <c r="J720" s="21" t="str">
        <f ca="1">IF(I720=0,"",COUNTIF($I$2:I720,"&gt;0"))</f>
        <v/>
      </c>
      <c r="K720" s="21" t="str">
        <f t="shared" ca="1" si="60"/>
        <v/>
      </c>
    </row>
    <row r="721" spans="1:11" s="18" customFormat="1" ht="14.25" x14ac:dyDescent="0.2">
      <c r="A721" s="18" t="str">
        <f t="shared" si="58"/>
        <v>Eintrag 720</v>
      </c>
      <c r="B721" s="18">
        <v>100</v>
      </c>
      <c r="C721" s="19">
        <v>100</v>
      </c>
      <c r="D721" s="20">
        <v>10</v>
      </c>
      <c r="E721" s="20">
        <v>10</v>
      </c>
      <c r="F721" s="20">
        <v>10</v>
      </c>
      <c r="G721" s="19">
        <f t="shared" si="61"/>
        <v>172</v>
      </c>
      <c r="H721" s="22">
        <f t="shared" si="57"/>
        <v>720</v>
      </c>
      <c r="I721" s="21">
        <f t="shared" ca="1" si="59"/>
        <v>0</v>
      </c>
      <c r="J721" s="21" t="str">
        <f ca="1">IF(I721=0,"",COUNTIF($I$2:I721,"&gt;0"))</f>
        <v/>
      </c>
      <c r="K721" s="21" t="str">
        <f t="shared" ca="1" si="60"/>
        <v/>
      </c>
    </row>
    <row r="722" spans="1:11" s="18" customFormat="1" ht="14.25" x14ac:dyDescent="0.2">
      <c r="A722" s="18" t="str">
        <f t="shared" si="58"/>
        <v>Eintrag 721</v>
      </c>
      <c r="B722" s="18">
        <v>100</v>
      </c>
      <c r="C722" s="19">
        <v>100</v>
      </c>
      <c r="D722" s="20">
        <v>10</v>
      </c>
      <c r="E722" s="20">
        <v>10</v>
      </c>
      <c r="F722" s="20">
        <v>10</v>
      </c>
      <c r="G722" s="19">
        <f t="shared" si="61"/>
        <v>172</v>
      </c>
      <c r="H722" s="22">
        <f t="shared" si="57"/>
        <v>721</v>
      </c>
      <c r="I722" s="21">
        <f t="shared" ca="1" si="59"/>
        <v>0</v>
      </c>
      <c r="J722" s="21" t="str">
        <f ca="1">IF(I722=0,"",COUNTIF($I$2:I722,"&gt;0"))</f>
        <v/>
      </c>
      <c r="K722" s="21" t="str">
        <f t="shared" ca="1" si="60"/>
        <v/>
      </c>
    </row>
    <row r="723" spans="1:11" s="18" customFormat="1" ht="14.25" x14ac:dyDescent="0.2">
      <c r="A723" s="18" t="str">
        <f t="shared" si="58"/>
        <v>Eintrag 722</v>
      </c>
      <c r="B723" s="18">
        <v>100</v>
      </c>
      <c r="C723" s="19">
        <v>100</v>
      </c>
      <c r="D723" s="20">
        <v>10</v>
      </c>
      <c r="E723" s="20">
        <v>10</v>
      </c>
      <c r="F723" s="20">
        <v>10</v>
      </c>
      <c r="G723" s="19">
        <f t="shared" si="61"/>
        <v>172</v>
      </c>
      <c r="H723" s="22">
        <f t="shared" si="57"/>
        <v>722</v>
      </c>
      <c r="I723" s="21">
        <f t="shared" ca="1" si="59"/>
        <v>0</v>
      </c>
      <c r="J723" s="21" t="str">
        <f ca="1">IF(I723=0,"",COUNTIF($I$2:I723,"&gt;0"))</f>
        <v/>
      </c>
      <c r="K723" s="21" t="str">
        <f t="shared" ca="1" si="60"/>
        <v/>
      </c>
    </row>
    <row r="724" spans="1:11" s="18" customFormat="1" ht="14.25" x14ac:dyDescent="0.2">
      <c r="A724" s="18" t="str">
        <f t="shared" si="58"/>
        <v>Eintrag 723</v>
      </c>
      <c r="B724" s="18">
        <v>100</v>
      </c>
      <c r="C724" s="19">
        <v>100</v>
      </c>
      <c r="D724" s="20">
        <v>10</v>
      </c>
      <c r="E724" s="20">
        <v>10</v>
      </c>
      <c r="F724" s="20">
        <v>10</v>
      </c>
      <c r="G724" s="19">
        <f t="shared" si="61"/>
        <v>172</v>
      </c>
      <c r="H724" s="22">
        <f t="shared" si="57"/>
        <v>723</v>
      </c>
      <c r="I724" s="21">
        <f t="shared" ca="1" si="59"/>
        <v>0</v>
      </c>
      <c r="J724" s="21" t="str">
        <f ca="1">IF(I724=0,"",COUNTIF($I$2:I724,"&gt;0"))</f>
        <v/>
      </c>
      <c r="K724" s="21" t="str">
        <f t="shared" ca="1" si="60"/>
        <v/>
      </c>
    </row>
    <row r="725" spans="1:11" s="18" customFormat="1" ht="14.25" x14ac:dyDescent="0.2">
      <c r="A725" s="18" t="str">
        <f t="shared" si="58"/>
        <v>Eintrag 724</v>
      </c>
      <c r="B725" s="18">
        <v>100</v>
      </c>
      <c r="C725" s="19">
        <v>100</v>
      </c>
      <c r="D725" s="20">
        <v>10</v>
      </c>
      <c r="E725" s="20">
        <v>10</v>
      </c>
      <c r="F725" s="20">
        <v>10</v>
      </c>
      <c r="G725" s="19">
        <f t="shared" si="61"/>
        <v>172</v>
      </c>
      <c r="H725" s="22">
        <f t="shared" si="57"/>
        <v>724</v>
      </c>
      <c r="I725" s="21">
        <f t="shared" ca="1" si="59"/>
        <v>0</v>
      </c>
      <c r="J725" s="21" t="str">
        <f ca="1">IF(I725=0,"",COUNTIF($I$2:I725,"&gt;0"))</f>
        <v/>
      </c>
      <c r="K725" s="21" t="str">
        <f t="shared" ca="1" si="60"/>
        <v/>
      </c>
    </row>
    <row r="726" spans="1:11" s="18" customFormat="1" ht="14.25" x14ac:dyDescent="0.2">
      <c r="A726" s="18" t="str">
        <f t="shared" si="58"/>
        <v>Eintrag 725</v>
      </c>
      <c r="B726" s="18">
        <v>100</v>
      </c>
      <c r="C726" s="19">
        <v>100</v>
      </c>
      <c r="D726" s="20">
        <v>10</v>
      </c>
      <c r="E726" s="20">
        <v>10</v>
      </c>
      <c r="F726" s="20">
        <v>10</v>
      </c>
      <c r="G726" s="19">
        <f t="shared" si="61"/>
        <v>172</v>
      </c>
      <c r="H726" s="22">
        <f t="shared" si="57"/>
        <v>725</v>
      </c>
      <c r="I726" s="21">
        <f t="shared" ca="1" si="59"/>
        <v>0</v>
      </c>
      <c r="J726" s="21" t="str">
        <f ca="1">IF(I726=0,"",COUNTIF($I$2:I726,"&gt;0"))</f>
        <v/>
      </c>
      <c r="K726" s="21" t="str">
        <f t="shared" ca="1" si="60"/>
        <v/>
      </c>
    </row>
    <row r="727" spans="1:11" s="18" customFormat="1" ht="14.25" x14ac:dyDescent="0.2">
      <c r="A727" s="18" t="str">
        <f t="shared" si="58"/>
        <v>Eintrag 726</v>
      </c>
      <c r="B727" s="18">
        <v>100</v>
      </c>
      <c r="C727" s="19">
        <v>100</v>
      </c>
      <c r="D727" s="20">
        <v>10</v>
      </c>
      <c r="E727" s="20">
        <v>10</v>
      </c>
      <c r="F727" s="20">
        <v>10</v>
      </c>
      <c r="G727" s="19">
        <f t="shared" si="61"/>
        <v>172</v>
      </c>
      <c r="H727" s="22">
        <f t="shared" si="57"/>
        <v>726</v>
      </c>
      <c r="I727" s="21">
        <f t="shared" ca="1" si="59"/>
        <v>0</v>
      </c>
      <c r="J727" s="21" t="str">
        <f ca="1">IF(I727=0,"",COUNTIF($I$2:I727,"&gt;0"))</f>
        <v/>
      </c>
      <c r="K727" s="21" t="str">
        <f t="shared" ca="1" si="60"/>
        <v/>
      </c>
    </row>
    <row r="728" spans="1:11" s="18" customFormat="1" ht="14.25" x14ac:dyDescent="0.2">
      <c r="A728" s="18" t="str">
        <f t="shared" si="58"/>
        <v>Eintrag 727</v>
      </c>
      <c r="B728" s="18">
        <v>100</v>
      </c>
      <c r="C728" s="19">
        <v>100</v>
      </c>
      <c r="D728" s="20">
        <v>10</v>
      </c>
      <c r="E728" s="20">
        <v>10</v>
      </c>
      <c r="F728" s="20">
        <v>10</v>
      </c>
      <c r="G728" s="19">
        <f t="shared" si="61"/>
        <v>172</v>
      </c>
      <c r="H728" s="22">
        <f t="shared" si="57"/>
        <v>727</v>
      </c>
      <c r="I728" s="21">
        <f t="shared" ca="1" si="59"/>
        <v>0</v>
      </c>
      <c r="J728" s="21" t="str">
        <f ca="1">IF(I728=0,"",COUNTIF($I$2:I728,"&gt;0"))</f>
        <v/>
      </c>
      <c r="K728" s="21" t="str">
        <f t="shared" ca="1" si="60"/>
        <v/>
      </c>
    </row>
    <row r="729" spans="1:11" s="18" customFormat="1" ht="14.25" x14ac:dyDescent="0.2">
      <c r="A729" s="18" t="str">
        <f t="shared" si="58"/>
        <v>Eintrag 728</v>
      </c>
      <c r="B729" s="18">
        <v>100</v>
      </c>
      <c r="C729" s="19">
        <v>100</v>
      </c>
      <c r="D729" s="20">
        <v>10</v>
      </c>
      <c r="E729" s="20">
        <v>10</v>
      </c>
      <c r="F729" s="20">
        <v>10</v>
      </c>
      <c r="G729" s="19">
        <f t="shared" si="61"/>
        <v>172</v>
      </c>
      <c r="H729" s="22">
        <f t="shared" si="57"/>
        <v>728</v>
      </c>
      <c r="I729" s="21">
        <f t="shared" ca="1" si="59"/>
        <v>0</v>
      </c>
      <c r="J729" s="21" t="str">
        <f ca="1">IF(I729=0,"",COUNTIF($I$2:I729,"&gt;0"))</f>
        <v/>
      </c>
      <c r="K729" s="21" t="str">
        <f t="shared" ca="1" si="60"/>
        <v/>
      </c>
    </row>
    <row r="730" spans="1:11" s="18" customFormat="1" ht="14.25" x14ac:dyDescent="0.2">
      <c r="A730" s="18" t="str">
        <f t="shared" si="58"/>
        <v>Eintrag 729</v>
      </c>
      <c r="B730" s="18">
        <v>100</v>
      </c>
      <c r="C730" s="19">
        <v>100</v>
      </c>
      <c r="D730" s="20">
        <v>10</v>
      </c>
      <c r="E730" s="20">
        <v>10</v>
      </c>
      <c r="F730" s="20">
        <v>10</v>
      </c>
      <c r="G730" s="19">
        <f t="shared" si="61"/>
        <v>172</v>
      </c>
      <c r="H730" s="22">
        <f t="shared" si="57"/>
        <v>729</v>
      </c>
      <c r="I730" s="21">
        <f t="shared" ca="1" si="59"/>
        <v>0</v>
      </c>
      <c r="J730" s="21" t="str">
        <f ca="1">IF(I730=0,"",COUNTIF($I$2:I730,"&gt;0"))</f>
        <v/>
      </c>
      <c r="K730" s="21" t="str">
        <f t="shared" ca="1" si="60"/>
        <v/>
      </c>
    </row>
    <row r="731" spans="1:11" s="18" customFormat="1" ht="14.25" x14ac:dyDescent="0.2">
      <c r="A731" s="18" t="str">
        <f t="shared" si="58"/>
        <v>Eintrag 730</v>
      </c>
      <c r="B731" s="18">
        <v>100</v>
      </c>
      <c r="C731" s="19">
        <v>100</v>
      </c>
      <c r="D731" s="20">
        <v>10</v>
      </c>
      <c r="E731" s="20">
        <v>10</v>
      </c>
      <c r="F731" s="20">
        <v>10</v>
      </c>
      <c r="G731" s="19">
        <f t="shared" si="61"/>
        <v>172</v>
      </c>
      <c r="H731" s="22">
        <f t="shared" si="57"/>
        <v>730</v>
      </c>
      <c r="I731" s="21">
        <f t="shared" ca="1" si="59"/>
        <v>0</v>
      </c>
      <c r="J731" s="21" t="str">
        <f ca="1">IF(I731=0,"",COUNTIF($I$2:I731,"&gt;0"))</f>
        <v/>
      </c>
      <c r="K731" s="21" t="str">
        <f t="shared" ca="1" si="60"/>
        <v/>
      </c>
    </row>
    <row r="732" spans="1:11" s="18" customFormat="1" ht="14.25" x14ac:dyDescent="0.2">
      <c r="A732" s="18" t="str">
        <f t="shared" si="58"/>
        <v>Eintrag 731</v>
      </c>
      <c r="B732" s="18">
        <v>100</v>
      </c>
      <c r="C732" s="19">
        <v>100</v>
      </c>
      <c r="D732" s="20">
        <v>10</v>
      </c>
      <c r="E732" s="20">
        <v>10</v>
      </c>
      <c r="F732" s="20">
        <v>10</v>
      </c>
      <c r="G732" s="19">
        <f t="shared" si="61"/>
        <v>172</v>
      </c>
      <c r="H732" s="22">
        <f t="shared" si="57"/>
        <v>731</v>
      </c>
      <c r="I732" s="21">
        <f t="shared" ca="1" si="59"/>
        <v>0</v>
      </c>
      <c r="J732" s="21" t="str">
        <f ca="1">IF(I732=0,"",COUNTIF($I$2:I732,"&gt;0"))</f>
        <v/>
      </c>
      <c r="K732" s="21" t="str">
        <f t="shared" ca="1" si="60"/>
        <v/>
      </c>
    </row>
    <row r="733" spans="1:11" s="18" customFormat="1" ht="14.25" x14ac:dyDescent="0.2">
      <c r="A733" s="18" t="str">
        <f t="shared" si="58"/>
        <v>Eintrag 732</v>
      </c>
      <c r="B733" s="18">
        <v>100</v>
      </c>
      <c r="C733" s="19">
        <v>100</v>
      </c>
      <c r="D733" s="20">
        <v>10</v>
      </c>
      <c r="E733" s="20">
        <v>10</v>
      </c>
      <c r="F733" s="20">
        <v>10</v>
      </c>
      <c r="G733" s="19">
        <f t="shared" si="61"/>
        <v>172</v>
      </c>
      <c r="H733" s="22">
        <f t="shared" si="57"/>
        <v>732</v>
      </c>
      <c r="I733" s="21">
        <f t="shared" ca="1" si="59"/>
        <v>0</v>
      </c>
      <c r="J733" s="21" t="str">
        <f ca="1">IF(I733=0,"",COUNTIF($I$2:I733,"&gt;0"))</f>
        <v/>
      </c>
      <c r="K733" s="21" t="str">
        <f t="shared" ca="1" si="60"/>
        <v/>
      </c>
    </row>
    <row r="734" spans="1:11" s="18" customFormat="1" ht="14.25" x14ac:dyDescent="0.2">
      <c r="A734" s="18" t="str">
        <f t="shared" si="58"/>
        <v>Eintrag 733</v>
      </c>
      <c r="B734" s="18">
        <v>100</v>
      </c>
      <c r="C734" s="19">
        <v>100</v>
      </c>
      <c r="D734" s="20">
        <v>10</v>
      </c>
      <c r="E734" s="20">
        <v>10</v>
      </c>
      <c r="F734" s="20">
        <v>10</v>
      </c>
      <c r="G734" s="19">
        <f t="shared" si="61"/>
        <v>172</v>
      </c>
      <c r="H734" s="22">
        <f t="shared" si="57"/>
        <v>733</v>
      </c>
      <c r="I734" s="21">
        <f t="shared" ca="1" si="59"/>
        <v>0</v>
      </c>
      <c r="J734" s="21" t="str">
        <f ca="1">IF(I734=0,"",COUNTIF($I$2:I734,"&gt;0"))</f>
        <v/>
      </c>
      <c r="K734" s="21" t="str">
        <f t="shared" ca="1" si="60"/>
        <v/>
      </c>
    </row>
    <row r="735" spans="1:11" s="18" customFormat="1" ht="14.25" x14ac:dyDescent="0.2">
      <c r="A735" s="18" t="str">
        <f t="shared" si="58"/>
        <v>Eintrag 734</v>
      </c>
      <c r="B735" s="18">
        <v>100</v>
      </c>
      <c r="C735" s="19">
        <v>100</v>
      </c>
      <c r="D735" s="20">
        <v>10</v>
      </c>
      <c r="E735" s="20">
        <v>10</v>
      </c>
      <c r="F735" s="20">
        <v>10</v>
      </c>
      <c r="G735" s="19">
        <f t="shared" si="61"/>
        <v>172</v>
      </c>
      <c r="H735" s="22">
        <f t="shared" si="57"/>
        <v>734</v>
      </c>
      <c r="I735" s="21">
        <f t="shared" ca="1" si="59"/>
        <v>0</v>
      </c>
      <c r="J735" s="21" t="str">
        <f ca="1">IF(I735=0,"",COUNTIF($I$2:I735,"&gt;0"))</f>
        <v/>
      </c>
      <c r="K735" s="21" t="str">
        <f t="shared" ca="1" si="60"/>
        <v/>
      </c>
    </row>
    <row r="736" spans="1:11" s="18" customFormat="1" ht="14.25" x14ac:dyDescent="0.2">
      <c r="A736" s="18" t="str">
        <f t="shared" si="58"/>
        <v>Eintrag 735</v>
      </c>
      <c r="B736" s="18">
        <v>100</v>
      </c>
      <c r="C736" s="19">
        <v>100</v>
      </c>
      <c r="D736" s="20">
        <v>10</v>
      </c>
      <c r="E736" s="20">
        <v>10</v>
      </c>
      <c r="F736" s="20">
        <v>10</v>
      </c>
      <c r="G736" s="19">
        <f t="shared" si="61"/>
        <v>172</v>
      </c>
      <c r="H736" s="22">
        <f t="shared" si="57"/>
        <v>735</v>
      </c>
      <c r="I736" s="21">
        <f t="shared" ca="1" si="59"/>
        <v>0</v>
      </c>
      <c r="J736" s="21" t="str">
        <f ca="1">IF(I736=0,"",COUNTIF($I$2:I736,"&gt;0"))</f>
        <v/>
      </c>
      <c r="K736" s="21" t="str">
        <f t="shared" ca="1" si="60"/>
        <v/>
      </c>
    </row>
    <row r="737" spans="1:11" s="18" customFormat="1" ht="14.25" x14ac:dyDescent="0.2">
      <c r="A737" s="18" t="str">
        <f t="shared" si="58"/>
        <v>Eintrag 736</v>
      </c>
      <c r="B737" s="18">
        <v>100</v>
      </c>
      <c r="C737" s="19">
        <v>100</v>
      </c>
      <c r="D737" s="20">
        <v>10</v>
      </c>
      <c r="E737" s="20">
        <v>10</v>
      </c>
      <c r="F737" s="20">
        <v>10</v>
      </c>
      <c r="G737" s="19">
        <f t="shared" si="61"/>
        <v>172</v>
      </c>
      <c r="H737" s="22">
        <f t="shared" si="57"/>
        <v>736</v>
      </c>
      <c r="I737" s="21">
        <f t="shared" ca="1" si="59"/>
        <v>0</v>
      </c>
      <c r="J737" s="21" t="str">
        <f ca="1">IF(I737=0,"",COUNTIF($I$2:I737,"&gt;0"))</f>
        <v/>
      </c>
      <c r="K737" s="21" t="str">
        <f t="shared" ca="1" si="60"/>
        <v/>
      </c>
    </row>
    <row r="738" spans="1:11" s="18" customFormat="1" ht="14.25" x14ac:dyDescent="0.2">
      <c r="A738" s="18" t="str">
        <f t="shared" si="58"/>
        <v>Eintrag 737</v>
      </c>
      <c r="B738" s="18">
        <v>100</v>
      </c>
      <c r="C738" s="19">
        <v>100</v>
      </c>
      <c r="D738" s="20">
        <v>10</v>
      </c>
      <c r="E738" s="20">
        <v>10</v>
      </c>
      <c r="F738" s="20">
        <v>10</v>
      </c>
      <c r="G738" s="19">
        <f t="shared" si="61"/>
        <v>172</v>
      </c>
      <c r="H738" s="22">
        <f t="shared" si="57"/>
        <v>737</v>
      </c>
      <c r="I738" s="21">
        <f t="shared" ca="1" si="59"/>
        <v>0</v>
      </c>
      <c r="J738" s="21" t="str">
        <f ca="1">IF(I738=0,"",COUNTIF($I$2:I738,"&gt;0"))</f>
        <v/>
      </c>
      <c r="K738" s="21" t="str">
        <f t="shared" ca="1" si="60"/>
        <v/>
      </c>
    </row>
    <row r="739" spans="1:11" s="18" customFormat="1" ht="14.25" x14ac:dyDescent="0.2">
      <c r="A739" s="18" t="str">
        <f t="shared" si="58"/>
        <v>Eintrag 738</v>
      </c>
      <c r="B739" s="18">
        <v>100</v>
      </c>
      <c r="C739" s="19">
        <v>100</v>
      </c>
      <c r="D739" s="20">
        <v>10</v>
      </c>
      <c r="E739" s="20">
        <v>10</v>
      </c>
      <c r="F739" s="20">
        <v>10</v>
      </c>
      <c r="G739" s="19">
        <f t="shared" si="61"/>
        <v>172</v>
      </c>
      <c r="H739" s="22">
        <f t="shared" si="57"/>
        <v>738</v>
      </c>
      <c r="I739" s="21">
        <f t="shared" ca="1" si="59"/>
        <v>0</v>
      </c>
      <c r="J739" s="21" t="str">
        <f ca="1">IF(I739=0,"",COUNTIF($I$2:I739,"&gt;0"))</f>
        <v/>
      </c>
      <c r="K739" s="21" t="str">
        <f t="shared" ca="1" si="60"/>
        <v/>
      </c>
    </row>
    <row r="740" spans="1:11" s="18" customFormat="1" ht="14.25" x14ac:dyDescent="0.2">
      <c r="A740" s="18" t="str">
        <f t="shared" si="58"/>
        <v>Eintrag 739</v>
      </c>
      <c r="B740" s="18">
        <v>100</v>
      </c>
      <c r="C740" s="19">
        <v>100</v>
      </c>
      <c r="D740" s="20">
        <v>10</v>
      </c>
      <c r="E740" s="20">
        <v>10</v>
      </c>
      <c r="F740" s="20">
        <v>10</v>
      </c>
      <c r="G740" s="19">
        <f t="shared" si="61"/>
        <v>172</v>
      </c>
      <c r="H740" s="22">
        <f t="shared" si="57"/>
        <v>739</v>
      </c>
      <c r="I740" s="21">
        <f t="shared" ca="1" si="59"/>
        <v>0</v>
      </c>
      <c r="J740" s="21" t="str">
        <f ca="1">IF(I740=0,"",COUNTIF($I$2:I740,"&gt;0"))</f>
        <v/>
      </c>
      <c r="K740" s="21" t="str">
        <f t="shared" ca="1" si="60"/>
        <v/>
      </c>
    </row>
    <row r="741" spans="1:11" s="18" customFormat="1" ht="14.25" x14ac:dyDescent="0.2">
      <c r="A741" s="18" t="str">
        <f t="shared" si="58"/>
        <v>Eintrag 740</v>
      </c>
      <c r="B741" s="18">
        <v>100</v>
      </c>
      <c r="C741" s="19">
        <v>100</v>
      </c>
      <c r="D741" s="20">
        <v>10</v>
      </c>
      <c r="E741" s="20">
        <v>10</v>
      </c>
      <c r="F741" s="20">
        <v>10</v>
      </c>
      <c r="G741" s="19">
        <f t="shared" si="61"/>
        <v>172</v>
      </c>
      <c r="H741" s="22">
        <f t="shared" ref="H741:H804" si="62">H740+1</f>
        <v>740</v>
      </c>
      <c r="I741" s="21">
        <f t="shared" ca="1" si="59"/>
        <v>0</v>
      </c>
      <c r="J741" s="21" t="str">
        <f ca="1">IF(I741=0,"",COUNTIF($I$2:I741,"&gt;0"))</f>
        <v/>
      </c>
      <c r="K741" s="21" t="str">
        <f t="shared" ca="1" si="60"/>
        <v/>
      </c>
    </row>
    <row r="742" spans="1:11" s="18" customFormat="1" ht="14.25" x14ac:dyDescent="0.2">
      <c r="A742" s="18" t="str">
        <f t="shared" si="58"/>
        <v>Eintrag 741</v>
      </c>
      <c r="B742" s="18">
        <v>100</v>
      </c>
      <c r="C742" s="19">
        <v>100</v>
      </c>
      <c r="D742" s="20">
        <v>10</v>
      </c>
      <c r="E742" s="20">
        <v>10</v>
      </c>
      <c r="F742" s="20">
        <v>10</v>
      </c>
      <c r="G742" s="19">
        <f t="shared" si="61"/>
        <v>172</v>
      </c>
      <c r="H742" s="22">
        <f t="shared" si="62"/>
        <v>741</v>
      </c>
      <c r="I742" s="21">
        <f t="shared" ca="1" si="59"/>
        <v>0</v>
      </c>
      <c r="J742" s="21" t="str">
        <f ca="1">IF(I742=0,"",COUNTIF($I$2:I742,"&gt;0"))</f>
        <v/>
      </c>
      <c r="K742" s="21" t="str">
        <f t="shared" ca="1" si="60"/>
        <v/>
      </c>
    </row>
    <row r="743" spans="1:11" s="18" customFormat="1" ht="14.25" x14ac:dyDescent="0.2">
      <c r="A743" s="18" t="str">
        <f t="shared" si="58"/>
        <v>Eintrag 742</v>
      </c>
      <c r="B743" s="18">
        <v>100</v>
      </c>
      <c r="C743" s="19">
        <v>100</v>
      </c>
      <c r="D743" s="20">
        <v>10</v>
      </c>
      <c r="E743" s="20">
        <v>10</v>
      </c>
      <c r="F743" s="20">
        <v>10</v>
      </c>
      <c r="G743" s="19">
        <f t="shared" si="61"/>
        <v>172</v>
      </c>
      <c r="H743" s="22">
        <f t="shared" si="62"/>
        <v>742</v>
      </c>
      <c r="I743" s="21">
        <f t="shared" ca="1" si="59"/>
        <v>0</v>
      </c>
      <c r="J743" s="21" t="str">
        <f ca="1">IF(I743=0,"",COUNTIF($I$2:I743,"&gt;0"))</f>
        <v/>
      </c>
      <c r="K743" s="21" t="str">
        <f t="shared" ca="1" si="60"/>
        <v/>
      </c>
    </row>
    <row r="744" spans="1:11" s="18" customFormat="1" ht="14.25" x14ac:dyDescent="0.2">
      <c r="A744" s="18" t="str">
        <f t="shared" si="58"/>
        <v>Eintrag 743</v>
      </c>
      <c r="B744" s="18">
        <v>100</v>
      </c>
      <c r="C744" s="19">
        <v>100</v>
      </c>
      <c r="D744" s="20">
        <v>10</v>
      </c>
      <c r="E744" s="20">
        <v>10</v>
      </c>
      <c r="F744" s="20">
        <v>10</v>
      </c>
      <c r="G744" s="19">
        <f t="shared" si="61"/>
        <v>172</v>
      </c>
      <c r="H744" s="22">
        <f t="shared" si="62"/>
        <v>743</v>
      </c>
      <c r="I744" s="21">
        <f t="shared" ca="1" si="59"/>
        <v>0</v>
      </c>
      <c r="J744" s="21" t="str">
        <f ca="1">IF(I744=0,"",COUNTIF($I$2:I744,"&gt;0"))</f>
        <v/>
      </c>
      <c r="K744" s="21" t="str">
        <f t="shared" ca="1" si="60"/>
        <v/>
      </c>
    </row>
    <row r="745" spans="1:11" s="18" customFormat="1" ht="14.25" x14ac:dyDescent="0.2">
      <c r="A745" s="18" t="str">
        <f t="shared" si="58"/>
        <v>Eintrag 744</v>
      </c>
      <c r="B745" s="18">
        <v>100</v>
      </c>
      <c r="C745" s="19">
        <v>100</v>
      </c>
      <c r="D745" s="20">
        <v>10</v>
      </c>
      <c r="E745" s="20">
        <v>10</v>
      </c>
      <c r="F745" s="20">
        <v>10</v>
      </c>
      <c r="G745" s="19">
        <f t="shared" si="61"/>
        <v>172</v>
      </c>
      <c r="H745" s="22">
        <f t="shared" si="62"/>
        <v>744</v>
      </c>
      <c r="I745" s="21">
        <f t="shared" ca="1" si="59"/>
        <v>0</v>
      </c>
      <c r="J745" s="21" t="str">
        <f ca="1">IF(I745=0,"",COUNTIF($I$2:I745,"&gt;0"))</f>
        <v/>
      </c>
      <c r="K745" s="21" t="str">
        <f t="shared" ca="1" si="60"/>
        <v/>
      </c>
    </row>
    <row r="746" spans="1:11" s="18" customFormat="1" ht="14.25" x14ac:dyDescent="0.2">
      <c r="A746" s="18" t="str">
        <f t="shared" si="58"/>
        <v>Eintrag 745</v>
      </c>
      <c r="B746" s="18">
        <v>100</v>
      </c>
      <c r="C746" s="19">
        <v>100</v>
      </c>
      <c r="D746" s="20">
        <v>10</v>
      </c>
      <c r="E746" s="20">
        <v>10</v>
      </c>
      <c r="F746" s="20">
        <v>10</v>
      </c>
      <c r="G746" s="19">
        <f t="shared" si="61"/>
        <v>172</v>
      </c>
      <c r="H746" s="22">
        <f t="shared" si="62"/>
        <v>745</v>
      </c>
      <c r="I746" s="21">
        <f t="shared" ca="1" si="59"/>
        <v>0</v>
      </c>
      <c r="J746" s="21" t="str">
        <f ca="1">IF(I746=0,"",COUNTIF($I$2:I746,"&gt;0"))</f>
        <v/>
      </c>
      <c r="K746" s="21" t="str">
        <f t="shared" ca="1" si="60"/>
        <v/>
      </c>
    </row>
    <row r="747" spans="1:11" s="18" customFormat="1" ht="14.25" x14ac:dyDescent="0.2">
      <c r="A747" s="18" t="str">
        <f t="shared" si="58"/>
        <v>Eintrag 746</v>
      </c>
      <c r="B747" s="18">
        <v>100</v>
      </c>
      <c r="C747" s="19">
        <v>100</v>
      </c>
      <c r="D747" s="20">
        <v>10</v>
      </c>
      <c r="E747" s="20">
        <v>10</v>
      </c>
      <c r="F747" s="20">
        <v>10</v>
      </c>
      <c r="G747" s="19">
        <f t="shared" si="61"/>
        <v>172</v>
      </c>
      <c r="H747" s="22">
        <f t="shared" si="62"/>
        <v>746</v>
      </c>
      <c r="I747" s="21">
        <f t="shared" ca="1" si="59"/>
        <v>0</v>
      </c>
      <c r="J747" s="21" t="str">
        <f ca="1">IF(I747=0,"",COUNTIF($I$2:I747,"&gt;0"))</f>
        <v/>
      </c>
      <c r="K747" s="21" t="str">
        <f t="shared" ca="1" si="60"/>
        <v/>
      </c>
    </row>
    <row r="748" spans="1:11" s="18" customFormat="1" ht="14.25" x14ac:dyDescent="0.2">
      <c r="A748" s="18" t="str">
        <f t="shared" si="58"/>
        <v>Eintrag 747</v>
      </c>
      <c r="B748" s="18">
        <v>100</v>
      </c>
      <c r="C748" s="19">
        <v>100</v>
      </c>
      <c r="D748" s="20">
        <v>10</v>
      </c>
      <c r="E748" s="20">
        <v>10</v>
      </c>
      <c r="F748" s="20">
        <v>10</v>
      </c>
      <c r="G748" s="19">
        <f t="shared" si="61"/>
        <v>172</v>
      </c>
      <c r="H748" s="22">
        <f t="shared" si="62"/>
        <v>747</v>
      </c>
      <c r="I748" s="21">
        <f t="shared" ca="1" si="59"/>
        <v>0</v>
      </c>
      <c r="J748" s="21" t="str">
        <f ca="1">IF(I748=0,"",COUNTIF($I$2:I748,"&gt;0"))</f>
        <v/>
      </c>
      <c r="K748" s="21" t="str">
        <f t="shared" ca="1" si="60"/>
        <v/>
      </c>
    </row>
    <row r="749" spans="1:11" s="18" customFormat="1" ht="14.25" x14ac:dyDescent="0.2">
      <c r="A749" s="18" t="str">
        <f t="shared" si="58"/>
        <v>Eintrag 748</v>
      </c>
      <c r="B749" s="18">
        <v>100</v>
      </c>
      <c r="C749" s="19">
        <v>100</v>
      </c>
      <c r="D749" s="20">
        <v>10</v>
      </c>
      <c r="E749" s="20">
        <v>10</v>
      </c>
      <c r="F749" s="20">
        <v>10</v>
      </c>
      <c r="G749" s="19">
        <f t="shared" si="61"/>
        <v>172</v>
      </c>
      <c r="H749" s="22">
        <f t="shared" si="62"/>
        <v>748</v>
      </c>
      <c r="I749" s="21">
        <f t="shared" ca="1" si="59"/>
        <v>0</v>
      </c>
      <c r="J749" s="21" t="str">
        <f ca="1">IF(I749=0,"",COUNTIF($I$2:I749,"&gt;0"))</f>
        <v/>
      </c>
      <c r="K749" s="21" t="str">
        <f t="shared" ca="1" si="60"/>
        <v/>
      </c>
    </row>
    <row r="750" spans="1:11" s="18" customFormat="1" ht="14.25" x14ac:dyDescent="0.2">
      <c r="A750" s="18" t="str">
        <f t="shared" si="58"/>
        <v>Eintrag 749</v>
      </c>
      <c r="B750" s="18">
        <v>100</v>
      </c>
      <c r="C750" s="19">
        <v>100</v>
      </c>
      <c r="D750" s="20">
        <v>10</v>
      </c>
      <c r="E750" s="20">
        <v>10</v>
      </c>
      <c r="F750" s="20">
        <v>10</v>
      </c>
      <c r="G750" s="19">
        <f t="shared" si="61"/>
        <v>172</v>
      </c>
      <c r="H750" s="22">
        <f t="shared" si="62"/>
        <v>749</v>
      </c>
      <c r="I750" s="21">
        <f t="shared" ca="1" si="59"/>
        <v>0</v>
      </c>
      <c r="J750" s="21" t="str">
        <f ca="1">IF(I750=0,"",COUNTIF($I$2:I750,"&gt;0"))</f>
        <v/>
      </c>
      <c r="K750" s="21" t="str">
        <f t="shared" ca="1" si="60"/>
        <v/>
      </c>
    </row>
    <row r="751" spans="1:11" s="18" customFormat="1" ht="14.25" x14ac:dyDescent="0.2">
      <c r="A751" s="18" t="str">
        <f t="shared" si="58"/>
        <v>Eintrag 750</v>
      </c>
      <c r="B751" s="18">
        <v>100</v>
      </c>
      <c r="C751" s="19">
        <v>100</v>
      </c>
      <c r="D751" s="20">
        <v>10</v>
      </c>
      <c r="E751" s="20">
        <v>10</v>
      </c>
      <c r="F751" s="20">
        <v>10</v>
      </c>
      <c r="G751" s="19">
        <f t="shared" si="61"/>
        <v>172</v>
      </c>
      <c r="H751" s="22">
        <f t="shared" si="62"/>
        <v>750</v>
      </c>
      <c r="I751" s="21">
        <f t="shared" ca="1" si="59"/>
        <v>0</v>
      </c>
      <c r="J751" s="21" t="str">
        <f ca="1">IF(I751=0,"",COUNTIF($I$2:I751,"&gt;0"))</f>
        <v/>
      </c>
      <c r="K751" s="21" t="str">
        <f t="shared" ca="1" si="60"/>
        <v/>
      </c>
    </row>
    <row r="752" spans="1:11" s="18" customFormat="1" ht="14.25" x14ac:dyDescent="0.2">
      <c r="A752" s="18" t="str">
        <f t="shared" si="58"/>
        <v>Eintrag 751</v>
      </c>
      <c r="B752" s="18">
        <v>100</v>
      </c>
      <c r="C752" s="19">
        <v>100</v>
      </c>
      <c r="D752" s="20">
        <v>10</v>
      </c>
      <c r="E752" s="20">
        <v>10</v>
      </c>
      <c r="F752" s="20">
        <v>10</v>
      </c>
      <c r="G752" s="19">
        <f t="shared" si="61"/>
        <v>172</v>
      </c>
      <c r="H752" s="22">
        <f t="shared" si="62"/>
        <v>751</v>
      </c>
      <c r="I752" s="21">
        <f t="shared" ca="1" si="59"/>
        <v>0</v>
      </c>
      <c r="J752" s="21" t="str">
        <f ca="1">IF(I752=0,"",COUNTIF($I$2:I752,"&gt;0"))</f>
        <v/>
      </c>
      <c r="K752" s="21" t="str">
        <f t="shared" ca="1" si="60"/>
        <v/>
      </c>
    </row>
    <row r="753" spans="1:11" s="18" customFormat="1" ht="14.25" x14ac:dyDescent="0.2">
      <c r="A753" s="18" t="str">
        <f t="shared" si="58"/>
        <v>Eintrag 752</v>
      </c>
      <c r="B753" s="18">
        <v>100</v>
      </c>
      <c r="C753" s="19">
        <v>100</v>
      </c>
      <c r="D753" s="20">
        <v>10</v>
      </c>
      <c r="E753" s="20">
        <v>10</v>
      </c>
      <c r="F753" s="20">
        <v>10</v>
      </c>
      <c r="G753" s="19">
        <f t="shared" si="61"/>
        <v>172</v>
      </c>
      <c r="H753" s="22">
        <f t="shared" si="62"/>
        <v>752</v>
      </c>
      <c r="I753" s="21">
        <f t="shared" ca="1" si="59"/>
        <v>0</v>
      </c>
      <c r="J753" s="21" t="str">
        <f ca="1">IF(I753=0,"",COUNTIF($I$2:I753,"&gt;0"))</f>
        <v/>
      </c>
      <c r="K753" s="21" t="str">
        <f t="shared" ca="1" si="60"/>
        <v/>
      </c>
    </row>
    <row r="754" spans="1:11" s="18" customFormat="1" ht="14.25" x14ac:dyDescent="0.2">
      <c r="A754" s="18" t="str">
        <f t="shared" si="58"/>
        <v>Eintrag 753</v>
      </c>
      <c r="B754" s="18">
        <v>100</v>
      </c>
      <c r="C754" s="19">
        <v>100</v>
      </c>
      <c r="D754" s="20">
        <v>10</v>
      </c>
      <c r="E754" s="20">
        <v>10</v>
      </c>
      <c r="F754" s="20">
        <v>10</v>
      </c>
      <c r="G754" s="19">
        <f t="shared" si="61"/>
        <v>172</v>
      </c>
      <c r="H754" s="22">
        <f t="shared" si="62"/>
        <v>753</v>
      </c>
      <c r="I754" s="21">
        <f t="shared" ca="1" si="59"/>
        <v>0</v>
      </c>
      <c r="J754" s="21" t="str">
        <f ca="1">IF(I754=0,"",COUNTIF($I$2:I754,"&gt;0"))</f>
        <v/>
      </c>
      <c r="K754" s="21" t="str">
        <f t="shared" ca="1" si="60"/>
        <v/>
      </c>
    </row>
    <row r="755" spans="1:11" s="18" customFormat="1" ht="14.25" x14ac:dyDescent="0.2">
      <c r="A755" s="18" t="str">
        <f t="shared" si="58"/>
        <v>Eintrag 754</v>
      </c>
      <c r="B755" s="18">
        <v>100</v>
      </c>
      <c r="C755" s="19">
        <v>100</v>
      </c>
      <c r="D755" s="20">
        <v>10</v>
      </c>
      <c r="E755" s="20">
        <v>10</v>
      </c>
      <c r="F755" s="20">
        <v>10</v>
      </c>
      <c r="G755" s="19">
        <f t="shared" si="61"/>
        <v>172</v>
      </c>
      <c r="H755" s="22">
        <f t="shared" si="62"/>
        <v>754</v>
      </c>
      <c r="I755" s="21">
        <f t="shared" ca="1" si="59"/>
        <v>0</v>
      </c>
      <c r="J755" s="21" t="str">
        <f ca="1">IF(I755=0,"",COUNTIF($I$2:I755,"&gt;0"))</f>
        <v/>
      </c>
      <c r="K755" s="21" t="str">
        <f t="shared" ca="1" si="60"/>
        <v/>
      </c>
    </row>
    <row r="756" spans="1:11" s="18" customFormat="1" ht="14.25" x14ac:dyDescent="0.2">
      <c r="A756" s="18" t="str">
        <f t="shared" si="58"/>
        <v>Eintrag 755</v>
      </c>
      <c r="B756" s="18">
        <v>100</v>
      </c>
      <c r="C756" s="19">
        <v>100</v>
      </c>
      <c r="D756" s="20">
        <v>10</v>
      </c>
      <c r="E756" s="20">
        <v>10</v>
      </c>
      <c r="F756" s="20">
        <v>10</v>
      </c>
      <c r="G756" s="19">
        <f t="shared" si="61"/>
        <v>172</v>
      </c>
      <c r="H756" s="22">
        <f t="shared" si="62"/>
        <v>755</v>
      </c>
      <c r="I756" s="21">
        <f t="shared" ca="1" si="59"/>
        <v>0</v>
      </c>
      <c r="J756" s="21" t="str">
        <f ca="1">IF(I756=0,"",COUNTIF($I$2:I756,"&gt;0"))</f>
        <v/>
      </c>
      <c r="K756" s="21" t="str">
        <f t="shared" ca="1" si="60"/>
        <v/>
      </c>
    </row>
    <row r="757" spans="1:11" s="18" customFormat="1" ht="14.25" x14ac:dyDescent="0.2">
      <c r="A757" s="18" t="str">
        <f t="shared" ref="A757:A920" si="63">CONCATENATE("Eintrag ",H757)</f>
        <v>Eintrag 756</v>
      </c>
      <c r="B757" s="18">
        <v>100</v>
      </c>
      <c r="C757" s="19">
        <v>100</v>
      </c>
      <c r="D757" s="20">
        <v>10</v>
      </c>
      <c r="E757" s="20">
        <v>10</v>
      </c>
      <c r="F757" s="20">
        <v>10</v>
      </c>
      <c r="G757" s="19">
        <f t="shared" si="61"/>
        <v>172</v>
      </c>
      <c r="H757" s="22">
        <f t="shared" si="62"/>
        <v>756</v>
      </c>
      <c r="I757" s="21">
        <f t="shared" ref="I757:I820" ca="1" si="64">IFERROR(SEARCH(INDIRECT(CELL("address")),A757),0)</f>
        <v>0</v>
      </c>
      <c r="J757" s="21" t="str">
        <f ca="1">IF(I757=0,"",COUNTIF($I$2:I757,"&gt;0"))</f>
        <v/>
      </c>
      <c r="K757" s="21" t="str">
        <f t="shared" ca="1" si="60"/>
        <v/>
      </c>
    </row>
    <row r="758" spans="1:11" s="18" customFormat="1" ht="14.25" x14ac:dyDescent="0.2">
      <c r="A758" s="18" t="str">
        <f t="shared" si="63"/>
        <v>Eintrag 757</v>
      </c>
      <c r="B758" s="18">
        <v>100</v>
      </c>
      <c r="C758" s="19">
        <v>100</v>
      </c>
      <c r="D758" s="20">
        <v>10</v>
      </c>
      <c r="E758" s="20">
        <v>10</v>
      </c>
      <c r="F758" s="20">
        <v>10</v>
      </c>
      <c r="G758" s="19">
        <f t="shared" si="61"/>
        <v>172</v>
      </c>
      <c r="H758" s="22">
        <f t="shared" si="62"/>
        <v>757</v>
      </c>
      <c r="I758" s="21">
        <f t="shared" ca="1" si="64"/>
        <v>0</v>
      </c>
      <c r="J758" s="21" t="str">
        <f ca="1">IF(I758=0,"",COUNTIF($I$2:I758,"&gt;0"))</f>
        <v/>
      </c>
      <c r="K758" s="21" t="str">
        <f t="shared" ca="1" si="60"/>
        <v/>
      </c>
    </row>
    <row r="759" spans="1:11" s="18" customFormat="1" ht="14.25" x14ac:dyDescent="0.2">
      <c r="A759" s="18" t="str">
        <f t="shared" si="63"/>
        <v>Eintrag 758</v>
      </c>
      <c r="B759" s="18">
        <v>100</v>
      </c>
      <c r="C759" s="19">
        <v>100</v>
      </c>
      <c r="D759" s="20">
        <v>10</v>
      </c>
      <c r="E759" s="20">
        <v>10</v>
      </c>
      <c r="F759" s="20">
        <v>10</v>
      </c>
      <c r="G759" s="19">
        <f t="shared" si="61"/>
        <v>172</v>
      </c>
      <c r="H759" s="22">
        <f t="shared" si="62"/>
        <v>758</v>
      </c>
      <c r="I759" s="21">
        <f t="shared" ca="1" si="64"/>
        <v>0</v>
      </c>
      <c r="J759" s="21" t="str">
        <f ca="1">IF(I759=0,"",COUNTIF($I$2:I759,"&gt;0"))</f>
        <v/>
      </c>
      <c r="K759" s="21" t="str">
        <f t="shared" ca="1" si="60"/>
        <v/>
      </c>
    </row>
    <row r="760" spans="1:11" s="18" customFormat="1" ht="14.25" x14ac:dyDescent="0.2">
      <c r="A760" s="18" t="str">
        <f t="shared" si="63"/>
        <v>Eintrag 759</v>
      </c>
      <c r="B760" s="18">
        <v>100</v>
      </c>
      <c r="C760" s="19">
        <v>100</v>
      </c>
      <c r="D760" s="20">
        <v>10</v>
      </c>
      <c r="E760" s="20">
        <v>10</v>
      </c>
      <c r="F760" s="20">
        <v>10</v>
      </c>
      <c r="G760" s="19">
        <f t="shared" si="61"/>
        <v>172</v>
      </c>
      <c r="H760" s="22">
        <f t="shared" si="62"/>
        <v>759</v>
      </c>
      <c r="I760" s="21">
        <f t="shared" ca="1" si="64"/>
        <v>0</v>
      </c>
      <c r="J760" s="21" t="str">
        <f ca="1">IF(I760=0,"",COUNTIF($I$2:I760,"&gt;0"))</f>
        <v/>
      </c>
      <c r="K760" s="21" t="str">
        <f t="shared" ca="1" si="60"/>
        <v/>
      </c>
    </row>
    <row r="761" spans="1:11" s="18" customFormat="1" ht="14.25" x14ac:dyDescent="0.2">
      <c r="A761" s="18" t="str">
        <f t="shared" si="63"/>
        <v>Eintrag 760</v>
      </c>
      <c r="B761" s="18">
        <v>100</v>
      </c>
      <c r="C761" s="19">
        <v>100</v>
      </c>
      <c r="D761" s="20">
        <v>10</v>
      </c>
      <c r="E761" s="20">
        <v>10</v>
      </c>
      <c r="F761" s="20">
        <v>10</v>
      </c>
      <c r="G761" s="19">
        <f t="shared" si="61"/>
        <v>172</v>
      </c>
      <c r="H761" s="22">
        <f t="shared" si="62"/>
        <v>760</v>
      </c>
      <c r="I761" s="21">
        <f t="shared" ca="1" si="64"/>
        <v>0</v>
      </c>
      <c r="J761" s="21" t="str">
        <f ca="1">IF(I761=0,"",COUNTIF($I$2:I761,"&gt;0"))</f>
        <v/>
      </c>
      <c r="K761" s="21" t="str">
        <f t="shared" ca="1" si="60"/>
        <v/>
      </c>
    </row>
    <row r="762" spans="1:11" s="18" customFormat="1" ht="14.25" x14ac:dyDescent="0.2">
      <c r="A762" s="18" t="str">
        <f t="shared" si="63"/>
        <v>Eintrag 761</v>
      </c>
      <c r="B762" s="18">
        <v>100</v>
      </c>
      <c r="C762" s="19">
        <v>100</v>
      </c>
      <c r="D762" s="20">
        <v>10</v>
      </c>
      <c r="E762" s="20">
        <v>10</v>
      </c>
      <c r="F762" s="20">
        <v>10</v>
      </c>
      <c r="G762" s="19">
        <f t="shared" si="61"/>
        <v>172</v>
      </c>
      <c r="H762" s="22">
        <f t="shared" si="62"/>
        <v>761</v>
      </c>
      <c r="I762" s="21">
        <f t="shared" ca="1" si="64"/>
        <v>0</v>
      </c>
      <c r="J762" s="21" t="str">
        <f ca="1">IF(I762=0,"",COUNTIF($I$2:I762,"&gt;0"))</f>
        <v/>
      </c>
      <c r="K762" s="21" t="str">
        <f t="shared" ca="1" si="60"/>
        <v/>
      </c>
    </row>
    <row r="763" spans="1:11" s="18" customFormat="1" ht="14.25" x14ac:dyDescent="0.2">
      <c r="A763" s="18" t="str">
        <f t="shared" si="63"/>
        <v>Eintrag 762</v>
      </c>
      <c r="B763" s="18">
        <v>100</v>
      </c>
      <c r="C763" s="19">
        <v>100</v>
      </c>
      <c r="D763" s="20">
        <v>10</v>
      </c>
      <c r="E763" s="20">
        <v>10</v>
      </c>
      <c r="F763" s="20">
        <v>10</v>
      </c>
      <c r="G763" s="19">
        <f t="shared" si="61"/>
        <v>172</v>
      </c>
      <c r="H763" s="22">
        <f t="shared" si="62"/>
        <v>762</v>
      </c>
      <c r="I763" s="21">
        <f t="shared" ca="1" si="64"/>
        <v>0</v>
      </c>
      <c r="J763" s="21" t="str">
        <f ca="1">IF(I763=0,"",COUNTIF($I$2:I763,"&gt;0"))</f>
        <v/>
      </c>
      <c r="K763" s="21" t="str">
        <f t="shared" ca="1" si="60"/>
        <v/>
      </c>
    </row>
    <row r="764" spans="1:11" s="18" customFormat="1" ht="14.25" x14ac:dyDescent="0.2">
      <c r="A764" s="18" t="str">
        <f t="shared" si="63"/>
        <v>Eintrag 763</v>
      </c>
      <c r="B764" s="18">
        <v>100</v>
      </c>
      <c r="C764" s="19">
        <v>100</v>
      </c>
      <c r="D764" s="20">
        <v>10</v>
      </c>
      <c r="E764" s="20">
        <v>10</v>
      </c>
      <c r="F764" s="20">
        <v>10</v>
      </c>
      <c r="G764" s="19">
        <f t="shared" si="61"/>
        <v>172</v>
      </c>
      <c r="H764" s="22">
        <f t="shared" si="62"/>
        <v>763</v>
      </c>
      <c r="I764" s="21">
        <f t="shared" ca="1" si="64"/>
        <v>0</v>
      </c>
      <c r="J764" s="21" t="str">
        <f ca="1">IF(I764=0,"",COUNTIF($I$2:I764,"&gt;0"))</f>
        <v/>
      </c>
      <c r="K764" s="21" t="str">
        <f t="shared" ca="1" si="60"/>
        <v/>
      </c>
    </row>
    <row r="765" spans="1:11" s="18" customFormat="1" ht="14.25" x14ac:dyDescent="0.2">
      <c r="A765" s="18" t="str">
        <f t="shared" si="63"/>
        <v>Eintrag 764</v>
      </c>
      <c r="B765" s="18">
        <v>100</v>
      </c>
      <c r="C765" s="19">
        <v>100</v>
      </c>
      <c r="D765" s="20">
        <v>10</v>
      </c>
      <c r="E765" s="20">
        <v>10</v>
      </c>
      <c r="F765" s="20">
        <v>10</v>
      </c>
      <c r="G765" s="19">
        <f t="shared" si="61"/>
        <v>172</v>
      </c>
      <c r="H765" s="22">
        <f t="shared" si="62"/>
        <v>764</v>
      </c>
      <c r="I765" s="21">
        <f t="shared" ca="1" si="64"/>
        <v>0</v>
      </c>
      <c r="J765" s="21" t="str">
        <f ca="1">IF(I765=0,"",COUNTIF($I$2:I765,"&gt;0"))</f>
        <v/>
      </c>
      <c r="K765" s="21" t="str">
        <f t="shared" ca="1" si="60"/>
        <v/>
      </c>
    </row>
    <row r="766" spans="1:11" s="18" customFormat="1" ht="14.25" x14ac:dyDescent="0.2">
      <c r="A766" s="18" t="str">
        <f t="shared" si="63"/>
        <v>Eintrag 765</v>
      </c>
      <c r="B766" s="18">
        <v>100</v>
      </c>
      <c r="C766" s="19">
        <v>100</v>
      </c>
      <c r="D766" s="20">
        <v>10</v>
      </c>
      <c r="E766" s="20">
        <v>10</v>
      </c>
      <c r="F766" s="20">
        <v>10</v>
      </c>
      <c r="G766" s="19">
        <f t="shared" si="61"/>
        <v>172</v>
      </c>
      <c r="H766" s="22">
        <f t="shared" si="62"/>
        <v>765</v>
      </c>
      <c r="I766" s="21">
        <f t="shared" ca="1" si="64"/>
        <v>0</v>
      </c>
      <c r="J766" s="21" t="str">
        <f ca="1">IF(I766=0,"",COUNTIF($I$2:I766,"&gt;0"))</f>
        <v/>
      </c>
      <c r="K766" s="21" t="str">
        <f t="shared" ca="1" si="60"/>
        <v/>
      </c>
    </row>
    <row r="767" spans="1:11" s="18" customFormat="1" ht="14.25" x14ac:dyDescent="0.2">
      <c r="A767" s="18" t="str">
        <f t="shared" si="63"/>
        <v>Eintrag 766</v>
      </c>
      <c r="B767" s="18">
        <v>100</v>
      </c>
      <c r="C767" s="19">
        <v>100</v>
      </c>
      <c r="D767" s="20">
        <v>10</v>
      </c>
      <c r="E767" s="20">
        <v>10</v>
      </c>
      <c r="F767" s="20">
        <v>10</v>
      </c>
      <c r="G767" s="19">
        <f t="shared" si="61"/>
        <v>172</v>
      </c>
      <c r="H767" s="22">
        <f t="shared" si="62"/>
        <v>766</v>
      </c>
      <c r="I767" s="21">
        <f t="shared" ca="1" si="64"/>
        <v>0</v>
      </c>
      <c r="J767" s="21" t="str">
        <f ca="1">IF(I767=0,"",COUNTIF($I$2:I767,"&gt;0"))</f>
        <v/>
      </c>
      <c r="K767" s="21" t="str">
        <f t="shared" ca="1" si="60"/>
        <v/>
      </c>
    </row>
    <row r="768" spans="1:11" s="18" customFormat="1" ht="14.25" x14ac:dyDescent="0.2">
      <c r="A768" s="18" t="str">
        <f t="shared" si="63"/>
        <v>Eintrag 767</v>
      </c>
      <c r="B768" s="18">
        <v>100</v>
      </c>
      <c r="C768" s="19">
        <v>100</v>
      </c>
      <c r="D768" s="20">
        <v>10</v>
      </c>
      <c r="E768" s="20">
        <v>10</v>
      </c>
      <c r="F768" s="20">
        <v>10</v>
      </c>
      <c r="G768" s="19">
        <f t="shared" si="61"/>
        <v>172</v>
      </c>
      <c r="H768" s="22">
        <f t="shared" si="62"/>
        <v>767</v>
      </c>
      <c r="I768" s="21">
        <f t="shared" ca="1" si="64"/>
        <v>0</v>
      </c>
      <c r="J768" s="21" t="str">
        <f ca="1">IF(I768=0,"",COUNTIF($I$2:I768,"&gt;0"))</f>
        <v/>
      </c>
      <c r="K768" s="21" t="str">
        <f t="shared" ca="1" si="60"/>
        <v/>
      </c>
    </row>
    <row r="769" spans="1:11" s="18" customFormat="1" ht="14.25" x14ac:dyDescent="0.2">
      <c r="A769" s="18" t="str">
        <f t="shared" si="63"/>
        <v>Eintrag 768</v>
      </c>
      <c r="B769" s="18">
        <v>100</v>
      </c>
      <c r="C769" s="19">
        <v>100</v>
      </c>
      <c r="D769" s="20">
        <v>10</v>
      </c>
      <c r="E769" s="20">
        <v>10</v>
      </c>
      <c r="F769" s="20">
        <v>10</v>
      </c>
      <c r="G769" s="19">
        <f t="shared" si="61"/>
        <v>172</v>
      </c>
      <c r="H769" s="22">
        <f t="shared" si="62"/>
        <v>768</v>
      </c>
      <c r="I769" s="21">
        <f t="shared" ca="1" si="64"/>
        <v>0</v>
      </c>
      <c r="J769" s="21" t="str">
        <f ca="1">IF(I769=0,"",COUNTIF($I$2:I769,"&gt;0"))</f>
        <v/>
      </c>
      <c r="K769" s="21" t="str">
        <f t="shared" ca="1" si="60"/>
        <v/>
      </c>
    </row>
    <row r="770" spans="1:11" s="18" customFormat="1" ht="14.25" x14ac:dyDescent="0.2">
      <c r="A770" s="18" t="str">
        <f t="shared" si="63"/>
        <v>Eintrag 769</v>
      </c>
      <c r="B770" s="18">
        <v>100</v>
      </c>
      <c r="C770" s="19">
        <v>100</v>
      </c>
      <c r="D770" s="20">
        <v>10</v>
      </c>
      <c r="E770" s="20">
        <v>10</v>
      </c>
      <c r="F770" s="20">
        <v>10</v>
      </c>
      <c r="G770" s="19">
        <f t="shared" si="61"/>
        <v>172</v>
      </c>
      <c r="H770" s="22">
        <f t="shared" si="62"/>
        <v>769</v>
      </c>
      <c r="I770" s="21">
        <f t="shared" ca="1" si="64"/>
        <v>0</v>
      </c>
      <c r="J770" s="21" t="str">
        <f ca="1">IF(I770=0,"",COUNTIF($I$2:I770,"&gt;0"))</f>
        <v/>
      </c>
      <c r="K770" s="21" t="str">
        <f t="shared" ref="K770:K833" ca="1" si="65">IFERROR(INDEX(A:A,MATCH(ROW(I769),J:J,0)),"")</f>
        <v/>
      </c>
    </row>
    <row r="771" spans="1:11" s="18" customFormat="1" ht="14.25" x14ac:dyDescent="0.2">
      <c r="A771" s="18" t="str">
        <f t="shared" si="63"/>
        <v>Eintrag 770</v>
      </c>
      <c r="B771" s="18">
        <v>100</v>
      </c>
      <c r="C771" s="19">
        <v>100</v>
      </c>
      <c r="D771" s="20">
        <v>10</v>
      </c>
      <c r="E771" s="20">
        <v>10</v>
      </c>
      <c r="F771" s="20">
        <v>10</v>
      </c>
      <c r="G771" s="19">
        <f t="shared" ref="G771:G834" si="66">D771*9+E771*4.1+F771*4.1</f>
        <v>172</v>
      </c>
      <c r="H771" s="22">
        <f t="shared" si="62"/>
        <v>770</v>
      </c>
      <c r="I771" s="21">
        <f t="shared" ca="1" si="64"/>
        <v>0</v>
      </c>
      <c r="J771" s="21" t="str">
        <f ca="1">IF(I771=0,"",COUNTIF($I$2:I771,"&gt;0"))</f>
        <v/>
      </c>
      <c r="K771" s="21" t="str">
        <f t="shared" ca="1" si="65"/>
        <v/>
      </c>
    </row>
    <row r="772" spans="1:11" s="18" customFormat="1" ht="14.25" x14ac:dyDescent="0.2">
      <c r="A772" s="18" t="str">
        <f t="shared" si="63"/>
        <v>Eintrag 771</v>
      </c>
      <c r="B772" s="18">
        <v>100</v>
      </c>
      <c r="C772" s="19">
        <v>100</v>
      </c>
      <c r="D772" s="20">
        <v>10</v>
      </c>
      <c r="E772" s="20">
        <v>10</v>
      </c>
      <c r="F772" s="20">
        <v>10</v>
      </c>
      <c r="G772" s="19">
        <f t="shared" si="66"/>
        <v>172</v>
      </c>
      <c r="H772" s="22">
        <f t="shared" si="62"/>
        <v>771</v>
      </c>
      <c r="I772" s="21">
        <f t="shared" ca="1" si="64"/>
        <v>0</v>
      </c>
      <c r="J772" s="21" t="str">
        <f ca="1">IF(I772=0,"",COUNTIF($I$2:I772,"&gt;0"))</f>
        <v/>
      </c>
      <c r="K772" s="21" t="str">
        <f t="shared" ca="1" si="65"/>
        <v/>
      </c>
    </row>
    <row r="773" spans="1:11" s="18" customFormat="1" ht="14.25" x14ac:dyDescent="0.2">
      <c r="A773" s="18" t="str">
        <f t="shared" si="63"/>
        <v>Eintrag 772</v>
      </c>
      <c r="B773" s="18">
        <v>100</v>
      </c>
      <c r="C773" s="19">
        <v>100</v>
      </c>
      <c r="D773" s="20">
        <v>10</v>
      </c>
      <c r="E773" s="20">
        <v>10</v>
      </c>
      <c r="F773" s="20">
        <v>10</v>
      </c>
      <c r="G773" s="19">
        <f t="shared" si="66"/>
        <v>172</v>
      </c>
      <c r="H773" s="22">
        <f t="shared" si="62"/>
        <v>772</v>
      </c>
      <c r="I773" s="21">
        <f t="shared" ca="1" si="64"/>
        <v>0</v>
      </c>
      <c r="J773" s="21" t="str">
        <f ca="1">IF(I773=0,"",COUNTIF($I$2:I773,"&gt;0"))</f>
        <v/>
      </c>
      <c r="K773" s="21" t="str">
        <f t="shared" ca="1" si="65"/>
        <v/>
      </c>
    </row>
    <row r="774" spans="1:11" s="18" customFormat="1" ht="14.25" x14ac:dyDescent="0.2">
      <c r="A774" s="18" t="str">
        <f t="shared" si="63"/>
        <v>Eintrag 773</v>
      </c>
      <c r="B774" s="18">
        <v>100</v>
      </c>
      <c r="C774" s="19">
        <v>100</v>
      </c>
      <c r="D774" s="20">
        <v>10</v>
      </c>
      <c r="E774" s="20">
        <v>10</v>
      </c>
      <c r="F774" s="20">
        <v>10</v>
      </c>
      <c r="G774" s="19">
        <f t="shared" si="66"/>
        <v>172</v>
      </c>
      <c r="H774" s="22">
        <f t="shared" si="62"/>
        <v>773</v>
      </c>
      <c r="I774" s="21">
        <f t="shared" ca="1" si="64"/>
        <v>0</v>
      </c>
      <c r="J774" s="21" t="str">
        <f ca="1">IF(I774=0,"",COUNTIF($I$2:I774,"&gt;0"))</f>
        <v/>
      </c>
      <c r="K774" s="21" t="str">
        <f t="shared" ca="1" si="65"/>
        <v/>
      </c>
    </row>
    <row r="775" spans="1:11" s="18" customFormat="1" ht="14.25" x14ac:dyDescent="0.2">
      <c r="A775" s="18" t="str">
        <f t="shared" si="63"/>
        <v>Eintrag 774</v>
      </c>
      <c r="B775" s="18">
        <v>100</v>
      </c>
      <c r="C775" s="19">
        <v>100</v>
      </c>
      <c r="D775" s="20">
        <v>10</v>
      </c>
      <c r="E775" s="20">
        <v>10</v>
      </c>
      <c r="F775" s="20">
        <v>10</v>
      </c>
      <c r="G775" s="19">
        <f t="shared" si="66"/>
        <v>172</v>
      </c>
      <c r="H775" s="22">
        <f t="shared" si="62"/>
        <v>774</v>
      </c>
      <c r="I775" s="21">
        <f t="shared" ca="1" si="64"/>
        <v>0</v>
      </c>
      <c r="J775" s="21" t="str">
        <f ca="1">IF(I775=0,"",COUNTIF($I$2:I775,"&gt;0"))</f>
        <v/>
      </c>
      <c r="K775" s="21" t="str">
        <f t="shared" ca="1" si="65"/>
        <v/>
      </c>
    </row>
    <row r="776" spans="1:11" s="18" customFormat="1" ht="14.25" x14ac:dyDescent="0.2">
      <c r="A776" s="18" t="str">
        <f t="shared" si="63"/>
        <v>Eintrag 775</v>
      </c>
      <c r="B776" s="18">
        <v>100</v>
      </c>
      <c r="C776" s="19">
        <v>100</v>
      </c>
      <c r="D776" s="20">
        <v>10</v>
      </c>
      <c r="E776" s="20">
        <v>10</v>
      </c>
      <c r="F776" s="20">
        <v>10</v>
      </c>
      <c r="G776" s="19">
        <f t="shared" si="66"/>
        <v>172</v>
      </c>
      <c r="H776" s="22">
        <f t="shared" si="62"/>
        <v>775</v>
      </c>
      <c r="I776" s="21">
        <f t="shared" ca="1" si="64"/>
        <v>0</v>
      </c>
      <c r="J776" s="21" t="str">
        <f ca="1">IF(I776=0,"",COUNTIF($I$2:I776,"&gt;0"))</f>
        <v/>
      </c>
      <c r="K776" s="21" t="str">
        <f t="shared" ca="1" si="65"/>
        <v/>
      </c>
    </row>
    <row r="777" spans="1:11" s="18" customFormat="1" ht="14.25" x14ac:dyDescent="0.2">
      <c r="A777" s="18" t="str">
        <f t="shared" si="63"/>
        <v>Eintrag 776</v>
      </c>
      <c r="B777" s="18">
        <v>100</v>
      </c>
      <c r="C777" s="19">
        <v>100</v>
      </c>
      <c r="D777" s="20">
        <v>10</v>
      </c>
      <c r="E777" s="20">
        <v>10</v>
      </c>
      <c r="F777" s="20">
        <v>10</v>
      </c>
      <c r="G777" s="19">
        <f t="shared" si="66"/>
        <v>172</v>
      </c>
      <c r="H777" s="22">
        <f t="shared" si="62"/>
        <v>776</v>
      </c>
      <c r="I777" s="21">
        <f t="shared" ca="1" si="64"/>
        <v>0</v>
      </c>
      <c r="J777" s="21" t="str">
        <f ca="1">IF(I777=0,"",COUNTIF($I$2:I777,"&gt;0"))</f>
        <v/>
      </c>
      <c r="K777" s="21" t="str">
        <f t="shared" ca="1" si="65"/>
        <v/>
      </c>
    </row>
    <row r="778" spans="1:11" s="18" customFormat="1" ht="14.25" x14ac:dyDescent="0.2">
      <c r="A778" s="18" t="str">
        <f t="shared" si="63"/>
        <v>Eintrag 777</v>
      </c>
      <c r="B778" s="18">
        <v>100</v>
      </c>
      <c r="C778" s="19">
        <v>100</v>
      </c>
      <c r="D778" s="20">
        <v>10</v>
      </c>
      <c r="E778" s="20">
        <v>10</v>
      </c>
      <c r="F778" s="20">
        <v>10</v>
      </c>
      <c r="G778" s="19">
        <f t="shared" si="66"/>
        <v>172</v>
      </c>
      <c r="H778" s="22">
        <f t="shared" si="62"/>
        <v>777</v>
      </c>
      <c r="I778" s="21">
        <f t="shared" ca="1" si="64"/>
        <v>0</v>
      </c>
      <c r="J778" s="21" t="str">
        <f ca="1">IF(I778=0,"",COUNTIF($I$2:I778,"&gt;0"))</f>
        <v/>
      </c>
      <c r="K778" s="21" t="str">
        <f t="shared" ca="1" si="65"/>
        <v/>
      </c>
    </row>
    <row r="779" spans="1:11" s="18" customFormat="1" ht="14.25" x14ac:dyDescent="0.2">
      <c r="A779" s="18" t="str">
        <f t="shared" si="63"/>
        <v>Eintrag 778</v>
      </c>
      <c r="B779" s="18">
        <v>100</v>
      </c>
      <c r="C779" s="19">
        <v>100</v>
      </c>
      <c r="D779" s="20">
        <v>10</v>
      </c>
      <c r="E779" s="20">
        <v>10</v>
      </c>
      <c r="F779" s="20">
        <v>10</v>
      </c>
      <c r="G779" s="19">
        <f t="shared" si="66"/>
        <v>172</v>
      </c>
      <c r="H779" s="22">
        <f t="shared" si="62"/>
        <v>778</v>
      </c>
      <c r="I779" s="21">
        <f t="shared" ca="1" si="64"/>
        <v>0</v>
      </c>
      <c r="J779" s="21" t="str">
        <f ca="1">IF(I779=0,"",COUNTIF($I$2:I779,"&gt;0"))</f>
        <v/>
      </c>
      <c r="K779" s="21" t="str">
        <f t="shared" ca="1" si="65"/>
        <v/>
      </c>
    </row>
    <row r="780" spans="1:11" s="18" customFormat="1" ht="14.25" x14ac:dyDescent="0.2">
      <c r="A780" s="18" t="str">
        <f t="shared" si="63"/>
        <v>Eintrag 779</v>
      </c>
      <c r="B780" s="18">
        <v>100</v>
      </c>
      <c r="C780" s="19">
        <v>100</v>
      </c>
      <c r="D780" s="20">
        <v>10</v>
      </c>
      <c r="E780" s="20">
        <v>10</v>
      </c>
      <c r="F780" s="20">
        <v>10</v>
      </c>
      <c r="G780" s="19">
        <f t="shared" si="66"/>
        <v>172</v>
      </c>
      <c r="H780" s="22">
        <f t="shared" si="62"/>
        <v>779</v>
      </c>
      <c r="I780" s="21">
        <f t="shared" ca="1" si="64"/>
        <v>0</v>
      </c>
      <c r="J780" s="21" t="str">
        <f ca="1">IF(I780=0,"",COUNTIF($I$2:I780,"&gt;0"))</f>
        <v/>
      </c>
      <c r="K780" s="21" t="str">
        <f t="shared" ca="1" si="65"/>
        <v/>
      </c>
    </row>
    <row r="781" spans="1:11" s="18" customFormat="1" ht="14.25" x14ac:dyDescent="0.2">
      <c r="A781" s="18" t="str">
        <f t="shared" si="63"/>
        <v>Eintrag 780</v>
      </c>
      <c r="B781" s="18">
        <v>100</v>
      </c>
      <c r="C781" s="19">
        <v>100</v>
      </c>
      <c r="D781" s="20">
        <v>10</v>
      </c>
      <c r="E781" s="20">
        <v>10</v>
      </c>
      <c r="F781" s="20">
        <v>10</v>
      </c>
      <c r="G781" s="19">
        <f t="shared" si="66"/>
        <v>172</v>
      </c>
      <c r="H781" s="22">
        <f t="shared" si="62"/>
        <v>780</v>
      </c>
      <c r="I781" s="21">
        <f t="shared" ca="1" si="64"/>
        <v>0</v>
      </c>
      <c r="J781" s="21" t="str">
        <f ca="1">IF(I781=0,"",COUNTIF($I$2:I781,"&gt;0"))</f>
        <v/>
      </c>
      <c r="K781" s="21" t="str">
        <f t="shared" ca="1" si="65"/>
        <v/>
      </c>
    </row>
    <row r="782" spans="1:11" s="18" customFormat="1" ht="14.25" x14ac:dyDescent="0.2">
      <c r="A782" s="18" t="str">
        <f t="shared" si="63"/>
        <v>Eintrag 781</v>
      </c>
      <c r="B782" s="18">
        <v>100</v>
      </c>
      <c r="C782" s="19">
        <v>100</v>
      </c>
      <c r="D782" s="20">
        <v>10</v>
      </c>
      <c r="E782" s="20">
        <v>10</v>
      </c>
      <c r="F782" s="20">
        <v>10</v>
      </c>
      <c r="G782" s="19">
        <f t="shared" si="66"/>
        <v>172</v>
      </c>
      <c r="H782" s="22">
        <f t="shared" si="62"/>
        <v>781</v>
      </c>
      <c r="I782" s="21">
        <f t="shared" ca="1" si="64"/>
        <v>0</v>
      </c>
      <c r="J782" s="21" t="str">
        <f ca="1">IF(I782=0,"",COUNTIF($I$2:I782,"&gt;0"))</f>
        <v/>
      </c>
      <c r="K782" s="21" t="str">
        <f t="shared" ca="1" si="65"/>
        <v/>
      </c>
    </row>
    <row r="783" spans="1:11" s="18" customFormat="1" ht="14.25" x14ac:dyDescent="0.2">
      <c r="A783" s="18" t="str">
        <f t="shared" si="63"/>
        <v>Eintrag 782</v>
      </c>
      <c r="B783" s="18">
        <v>100</v>
      </c>
      <c r="C783" s="19">
        <v>100</v>
      </c>
      <c r="D783" s="20">
        <v>10</v>
      </c>
      <c r="E783" s="20">
        <v>10</v>
      </c>
      <c r="F783" s="20">
        <v>10</v>
      </c>
      <c r="G783" s="19">
        <f t="shared" si="66"/>
        <v>172</v>
      </c>
      <c r="H783" s="22">
        <f t="shared" si="62"/>
        <v>782</v>
      </c>
      <c r="I783" s="21">
        <f t="shared" ca="1" si="64"/>
        <v>0</v>
      </c>
      <c r="J783" s="21" t="str">
        <f ca="1">IF(I783=0,"",COUNTIF($I$2:I783,"&gt;0"))</f>
        <v/>
      </c>
      <c r="K783" s="21" t="str">
        <f t="shared" ca="1" si="65"/>
        <v/>
      </c>
    </row>
    <row r="784" spans="1:11" s="18" customFormat="1" ht="14.25" x14ac:dyDescent="0.2">
      <c r="A784" s="18" t="str">
        <f t="shared" si="63"/>
        <v>Eintrag 783</v>
      </c>
      <c r="B784" s="18">
        <v>100</v>
      </c>
      <c r="C784" s="19">
        <v>100</v>
      </c>
      <c r="D784" s="20">
        <v>10</v>
      </c>
      <c r="E784" s="20">
        <v>10</v>
      </c>
      <c r="F784" s="20">
        <v>10</v>
      </c>
      <c r="G784" s="19">
        <f t="shared" si="66"/>
        <v>172</v>
      </c>
      <c r="H784" s="22">
        <f t="shared" si="62"/>
        <v>783</v>
      </c>
      <c r="I784" s="21">
        <f t="shared" ca="1" si="64"/>
        <v>0</v>
      </c>
      <c r="J784" s="21" t="str">
        <f ca="1">IF(I784=0,"",COUNTIF($I$2:I784,"&gt;0"))</f>
        <v/>
      </c>
      <c r="K784" s="21" t="str">
        <f t="shared" ca="1" si="65"/>
        <v/>
      </c>
    </row>
    <row r="785" spans="1:11" s="18" customFormat="1" ht="14.25" x14ac:dyDescent="0.2">
      <c r="A785" s="18" t="str">
        <f t="shared" si="63"/>
        <v>Eintrag 784</v>
      </c>
      <c r="B785" s="18">
        <v>100</v>
      </c>
      <c r="C785" s="19">
        <v>100</v>
      </c>
      <c r="D785" s="20">
        <v>10</v>
      </c>
      <c r="E785" s="20">
        <v>10</v>
      </c>
      <c r="F785" s="20">
        <v>10</v>
      </c>
      <c r="G785" s="19">
        <f t="shared" si="66"/>
        <v>172</v>
      </c>
      <c r="H785" s="22">
        <f t="shared" si="62"/>
        <v>784</v>
      </c>
      <c r="I785" s="21">
        <f t="shared" ca="1" si="64"/>
        <v>0</v>
      </c>
      <c r="J785" s="21" t="str">
        <f ca="1">IF(I785=0,"",COUNTIF($I$2:I785,"&gt;0"))</f>
        <v/>
      </c>
      <c r="K785" s="21" t="str">
        <f t="shared" ca="1" si="65"/>
        <v/>
      </c>
    </row>
    <row r="786" spans="1:11" s="18" customFormat="1" ht="14.25" x14ac:dyDescent="0.2">
      <c r="A786" s="18" t="str">
        <f t="shared" si="63"/>
        <v>Eintrag 785</v>
      </c>
      <c r="B786" s="18">
        <v>100</v>
      </c>
      <c r="C786" s="19">
        <v>100</v>
      </c>
      <c r="D786" s="20">
        <v>10</v>
      </c>
      <c r="E786" s="20">
        <v>10</v>
      </c>
      <c r="F786" s="20">
        <v>10</v>
      </c>
      <c r="G786" s="19">
        <f t="shared" si="66"/>
        <v>172</v>
      </c>
      <c r="H786" s="22">
        <f t="shared" si="62"/>
        <v>785</v>
      </c>
      <c r="I786" s="21">
        <f t="shared" ca="1" si="64"/>
        <v>0</v>
      </c>
      <c r="J786" s="21" t="str">
        <f ca="1">IF(I786=0,"",COUNTIF($I$2:I786,"&gt;0"))</f>
        <v/>
      </c>
      <c r="K786" s="21" t="str">
        <f t="shared" ca="1" si="65"/>
        <v/>
      </c>
    </row>
    <row r="787" spans="1:11" s="18" customFormat="1" ht="14.25" x14ac:dyDescent="0.2">
      <c r="A787" s="18" t="str">
        <f t="shared" si="63"/>
        <v>Eintrag 786</v>
      </c>
      <c r="B787" s="18">
        <v>100</v>
      </c>
      <c r="C787" s="19">
        <v>100</v>
      </c>
      <c r="D787" s="20">
        <v>10</v>
      </c>
      <c r="E787" s="20">
        <v>10</v>
      </c>
      <c r="F787" s="20">
        <v>10</v>
      </c>
      <c r="G787" s="19">
        <f t="shared" si="66"/>
        <v>172</v>
      </c>
      <c r="H787" s="22">
        <f t="shared" si="62"/>
        <v>786</v>
      </c>
      <c r="I787" s="21">
        <f t="shared" ca="1" si="64"/>
        <v>0</v>
      </c>
      <c r="J787" s="21" t="str">
        <f ca="1">IF(I787=0,"",COUNTIF($I$2:I787,"&gt;0"))</f>
        <v/>
      </c>
      <c r="K787" s="21" t="str">
        <f t="shared" ca="1" si="65"/>
        <v/>
      </c>
    </row>
    <row r="788" spans="1:11" s="18" customFormat="1" ht="14.25" x14ac:dyDescent="0.2">
      <c r="A788" s="18" t="str">
        <f t="shared" si="63"/>
        <v>Eintrag 787</v>
      </c>
      <c r="B788" s="18">
        <v>100</v>
      </c>
      <c r="C788" s="19">
        <v>100</v>
      </c>
      <c r="D788" s="20">
        <v>10</v>
      </c>
      <c r="E788" s="20">
        <v>10</v>
      </c>
      <c r="F788" s="20">
        <v>10</v>
      </c>
      <c r="G788" s="19">
        <f t="shared" si="66"/>
        <v>172</v>
      </c>
      <c r="H788" s="22">
        <f t="shared" si="62"/>
        <v>787</v>
      </c>
      <c r="I788" s="21">
        <f t="shared" ca="1" si="64"/>
        <v>0</v>
      </c>
      <c r="J788" s="21" t="str">
        <f ca="1">IF(I788=0,"",COUNTIF($I$2:I788,"&gt;0"))</f>
        <v/>
      </c>
      <c r="K788" s="21" t="str">
        <f t="shared" ca="1" si="65"/>
        <v/>
      </c>
    </row>
    <row r="789" spans="1:11" s="18" customFormat="1" ht="14.25" x14ac:dyDescent="0.2">
      <c r="A789" s="18" t="str">
        <f t="shared" si="63"/>
        <v>Eintrag 788</v>
      </c>
      <c r="B789" s="18">
        <v>100</v>
      </c>
      <c r="C789" s="19">
        <v>100</v>
      </c>
      <c r="D789" s="20">
        <v>10</v>
      </c>
      <c r="E789" s="20">
        <v>10</v>
      </c>
      <c r="F789" s="20">
        <v>10</v>
      </c>
      <c r="G789" s="19">
        <f t="shared" si="66"/>
        <v>172</v>
      </c>
      <c r="H789" s="22">
        <f t="shared" si="62"/>
        <v>788</v>
      </c>
      <c r="I789" s="21">
        <f t="shared" ca="1" si="64"/>
        <v>0</v>
      </c>
      <c r="J789" s="21" t="str">
        <f ca="1">IF(I789=0,"",COUNTIF($I$2:I789,"&gt;0"))</f>
        <v/>
      </c>
      <c r="K789" s="21" t="str">
        <f t="shared" ca="1" si="65"/>
        <v/>
      </c>
    </row>
    <row r="790" spans="1:11" s="18" customFormat="1" ht="14.25" x14ac:dyDescent="0.2">
      <c r="A790" s="18" t="str">
        <f t="shared" si="63"/>
        <v>Eintrag 789</v>
      </c>
      <c r="B790" s="18">
        <v>100</v>
      </c>
      <c r="C790" s="19">
        <v>100</v>
      </c>
      <c r="D790" s="20">
        <v>10</v>
      </c>
      <c r="E790" s="20">
        <v>10</v>
      </c>
      <c r="F790" s="20">
        <v>10</v>
      </c>
      <c r="G790" s="19">
        <f t="shared" si="66"/>
        <v>172</v>
      </c>
      <c r="H790" s="22">
        <f t="shared" si="62"/>
        <v>789</v>
      </c>
      <c r="I790" s="21">
        <f t="shared" ca="1" si="64"/>
        <v>0</v>
      </c>
      <c r="J790" s="21" t="str">
        <f ca="1">IF(I790=0,"",COUNTIF($I$2:I790,"&gt;0"))</f>
        <v/>
      </c>
      <c r="K790" s="21" t="str">
        <f t="shared" ca="1" si="65"/>
        <v/>
      </c>
    </row>
    <row r="791" spans="1:11" s="18" customFormat="1" ht="14.25" x14ac:dyDescent="0.2">
      <c r="A791" s="18" t="str">
        <f t="shared" si="63"/>
        <v>Eintrag 790</v>
      </c>
      <c r="B791" s="18">
        <v>100</v>
      </c>
      <c r="C791" s="19">
        <v>100</v>
      </c>
      <c r="D791" s="20">
        <v>10</v>
      </c>
      <c r="E791" s="20">
        <v>10</v>
      </c>
      <c r="F791" s="20">
        <v>10</v>
      </c>
      <c r="G791" s="19">
        <f t="shared" si="66"/>
        <v>172</v>
      </c>
      <c r="H791" s="22">
        <f t="shared" si="62"/>
        <v>790</v>
      </c>
      <c r="I791" s="21">
        <f t="shared" ca="1" si="64"/>
        <v>0</v>
      </c>
      <c r="J791" s="21" t="str">
        <f ca="1">IF(I791=0,"",COUNTIF($I$2:I791,"&gt;0"))</f>
        <v/>
      </c>
      <c r="K791" s="21" t="str">
        <f t="shared" ca="1" si="65"/>
        <v/>
      </c>
    </row>
    <row r="792" spans="1:11" s="18" customFormat="1" ht="14.25" x14ac:dyDescent="0.2">
      <c r="A792" s="18" t="str">
        <f t="shared" si="63"/>
        <v>Eintrag 791</v>
      </c>
      <c r="B792" s="18">
        <v>100</v>
      </c>
      <c r="C792" s="19">
        <v>100</v>
      </c>
      <c r="D792" s="20">
        <v>10</v>
      </c>
      <c r="E792" s="20">
        <v>10</v>
      </c>
      <c r="F792" s="20">
        <v>10</v>
      </c>
      <c r="G792" s="19">
        <f t="shared" si="66"/>
        <v>172</v>
      </c>
      <c r="H792" s="22">
        <f t="shared" si="62"/>
        <v>791</v>
      </c>
      <c r="I792" s="21">
        <f t="shared" ca="1" si="64"/>
        <v>0</v>
      </c>
      <c r="J792" s="21" t="str">
        <f ca="1">IF(I792=0,"",COUNTIF($I$2:I792,"&gt;0"))</f>
        <v/>
      </c>
      <c r="K792" s="21" t="str">
        <f t="shared" ca="1" si="65"/>
        <v/>
      </c>
    </row>
    <row r="793" spans="1:11" s="18" customFormat="1" ht="14.25" x14ac:dyDescent="0.2">
      <c r="A793" s="18" t="str">
        <f t="shared" si="63"/>
        <v>Eintrag 792</v>
      </c>
      <c r="B793" s="18">
        <v>100</v>
      </c>
      <c r="C793" s="19">
        <v>100</v>
      </c>
      <c r="D793" s="20">
        <v>10</v>
      </c>
      <c r="E793" s="20">
        <v>10</v>
      </c>
      <c r="F793" s="20">
        <v>10</v>
      </c>
      <c r="G793" s="19">
        <f t="shared" si="66"/>
        <v>172</v>
      </c>
      <c r="H793" s="22">
        <f t="shared" si="62"/>
        <v>792</v>
      </c>
      <c r="I793" s="21">
        <f t="shared" ca="1" si="64"/>
        <v>0</v>
      </c>
      <c r="J793" s="21" t="str">
        <f ca="1">IF(I793=0,"",COUNTIF($I$2:I793,"&gt;0"))</f>
        <v/>
      </c>
      <c r="K793" s="21" t="str">
        <f t="shared" ca="1" si="65"/>
        <v/>
      </c>
    </row>
    <row r="794" spans="1:11" s="18" customFormat="1" ht="14.25" x14ac:dyDescent="0.2">
      <c r="A794" s="18" t="str">
        <f t="shared" si="63"/>
        <v>Eintrag 793</v>
      </c>
      <c r="B794" s="18">
        <v>100</v>
      </c>
      <c r="C794" s="19">
        <v>100</v>
      </c>
      <c r="D794" s="20">
        <v>10</v>
      </c>
      <c r="E794" s="20">
        <v>10</v>
      </c>
      <c r="F794" s="20">
        <v>10</v>
      </c>
      <c r="G794" s="19">
        <f t="shared" si="66"/>
        <v>172</v>
      </c>
      <c r="H794" s="22">
        <f t="shared" si="62"/>
        <v>793</v>
      </c>
      <c r="I794" s="21">
        <f t="shared" ca="1" si="64"/>
        <v>0</v>
      </c>
      <c r="J794" s="21" t="str">
        <f ca="1">IF(I794=0,"",COUNTIF($I$2:I794,"&gt;0"))</f>
        <v/>
      </c>
      <c r="K794" s="21" t="str">
        <f t="shared" ca="1" si="65"/>
        <v/>
      </c>
    </row>
    <row r="795" spans="1:11" s="18" customFormat="1" ht="14.25" x14ac:dyDescent="0.2">
      <c r="A795" s="18" t="str">
        <f t="shared" si="63"/>
        <v>Eintrag 794</v>
      </c>
      <c r="B795" s="18">
        <v>100</v>
      </c>
      <c r="C795" s="19">
        <v>100</v>
      </c>
      <c r="D795" s="20">
        <v>10</v>
      </c>
      <c r="E795" s="20">
        <v>10</v>
      </c>
      <c r="F795" s="20">
        <v>10</v>
      </c>
      <c r="G795" s="19">
        <f t="shared" si="66"/>
        <v>172</v>
      </c>
      <c r="H795" s="22">
        <f t="shared" si="62"/>
        <v>794</v>
      </c>
      <c r="I795" s="21">
        <f t="shared" ca="1" si="64"/>
        <v>0</v>
      </c>
      <c r="J795" s="21" t="str">
        <f ca="1">IF(I795=0,"",COUNTIF($I$2:I795,"&gt;0"))</f>
        <v/>
      </c>
      <c r="K795" s="21" t="str">
        <f t="shared" ca="1" si="65"/>
        <v/>
      </c>
    </row>
    <row r="796" spans="1:11" s="18" customFormat="1" ht="14.25" x14ac:dyDescent="0.2">
      <c r="A796" s="18" t="str">
        <f t="shared" si="63"/>
        <v>Eintrag 795</v>
      </c>
      <c r="B796" s="18">
        <v>100</v>
      </c>
      <c r="C796" s="19">
        <v>100</v>
      </c>
      <c r="D796" s="20">
        <v>10</v>
      </c>
      <c r="E796" s="20">
        <v>10</v>
      </c>
      <c r="F796" s="20">
        <v>10</v>
      </c>
      <c r="G796" s="19">
        <f t="shared" si="66"/>
        <v>172</v>
      </c>
      <c r="H796" s="22">
        <f t="shared" si="62"/>
        <v>795</v>
      </c>
      <c r="I796" s="21">
        <f t="shared" ca="1" si="64"/>
        <v>0</v>
      </c>
      <c r="J796" s="21" t="str">
        <f ca="1">IF(I796=0,"",COUNTIF($I$2:I796,"&gt;0"))</f>
        <v/>
      </c>
      <c r="K796" s="21" t="str">
        <f t="shared" ca="1" si="65"/>
        <v/>
      </c>
    </row>
    <row r="797" spans="1:11" s="18" customFormat="1" ht="14.25" x14ac:dyDescent="0.2">
      <c r="A797" s="18" t="str">
        <f t="shared" si="63"/>
        <v>Eintrag 796</v>
      </c>
      <c r="B797" s="18">
        <v>100</v>
      </c>
      <c r="C797" s="19">
        <v>100</v>
      </c>
      <c r="D797" s="20">
        <v>10</v>
      </c>
      <c r="E797" s="20">
        <v>10</v>
      </c>
      <c r="F797" s="20">
        <v>10</v>
      </c>
      <c r="G797" s="19">
        <f t="shared" si="66"/>
        <v>172</v>
      </c>
      <c r="H797" s="22">
        <f t="shared" si="62"/>
        <v>796</v>
      </c>
      <c r="I797" s="21">
        <f t="shared" ca="1" si="64"/>
        <v>0</v>
      </c>
      <c r="J797" s="21" t="str">
        <f ca="1">IF(I797=0,"",COUNTIF($I$2:I797,"&gt;0"))</f>
        <v/>
      </c>
      <c r="K797" s="21" t="str">
        <f t="shared" ca="1" si="65"/>
        <v/>
      </c>
    </row>
    <row r="798" spans="1:11" s="18" customFormat="1" ht="14.25" x14ac:dyDescent="0.2">
      <c r="A798" s="18" t="str">
        <f t="shared" si="63"/>
        <v>Eintrag 797</v>
      </c>
      <c r="B798" s="18">
        <v>100</v>
      </c>
      <c r="C798" s="19">
        <v>100</v>
      </c>
      <c r="D798" s="20">
        <v>10</v>
      </c>
      <c r="E798" s="20">
        <v>10</v>
      </c>
      <c r="F798" s="20">
        <v>10</v>
      </c>
      <c r="G798" s="19">
        <f t="shared" si="66"/>
        <v>172</v>
      </c>
      <c r="H798" s="22">
        <f t="shared" si="62"/>
        <v>797</v>
      </c>
      <c r="I798" s="21">
        <f t="shared" ca="1" si="64"/>
        <v>0</v>
      </c>
      <c r="J798" s="21" t="str">
        <f ca="1">IF(I798=0,"",COUNTIF($I$2:I798,"&gt;0"))</f>
        <v/>
      </c>
      <c r="K798" s="21" t="str">
        <f t="shared" ca="1" si="65"/>
        <v/>
      </c>
    </row>
    <row r="799" spans="1:11" s="18" customFormat="1" ht="14.25" x14ac:dyDescent="0.2">
      <c r="A799" s="18" t="str">
        <f t="shared" si="63"/>
        <v>Eintrag 798</v>
      </c>
      <c r="B799" s="18">
        <v>100</v>
      </c>
      <c r="C799" s="19">
        <v>100</v>
      </c>
      <c r="D799" s="20">
        <v>10</v>
      </c>
      <c r="E799" s="20">
        <v>10</v>
      </c>
      <c r="F799" s="20">
        <v>10</v>
      </c>
      <c r="G799" s="19">
        <f t="shared" si="66"/>
        <v>172</v>
      </c>
      <c r="H799" s="22">
        <f t="shared" si="62"/>
        <v>798</v>
      </c>
      <c r="I799" s="21">
        <f t="shared" ca="1" si="64"/>
        <v>0</v>
      </c>
      <c r="J799" s="21" t="str">
        <f ca="1">IF(I799=0,"",COUNTIF($I$2:I799,"&gt;0"))</f>
        <v/>
      </c>
      <c r="K799" s="21" t="str">
        <f t="shared" ca="1" si="65"/>
        <v/>
      </c>
    </row>
    <row r="800" spans="1:11" s="18" customFormat="1" ht="14.25" x14ac:dyDescent="0.2">
      <c r="A800" s="18" t="str">
        <f t="shared" si="63"/>
        <v>Eintrag 799</v>
      </c>
      <c r="B800" s="18">
        <v>100</v>
      </c>
      <c r="C800" s="19">
        <v>100</v>
      </c>
      <c r="D800" s="20">
        <v>10</v>
      </c>
      <c r="E800" s="20">
        <v>10</v>
      </c>
      <c r="F800" s="20">
        <v>10</v>
      </c>
      <c r="G800" s="19">
        <f t="shared" si="66"/>
        <v>172</v>
      </c>
      <c r="H800" s="22">
        <f t="shared" si="62"/>
        <v>799</v>
      </c>
      <c r="I800" s="21">
        <f t="shared" ca="1" si="64"/>
        <v>0</v>
      </c>
      <c r="J800" s="21" t="str">
        <f ca="1">IF(I800=0,"",COUNTIF($I$2:I800,"&gt;0"))</f>
        <v/>
      </c>
      <c r="K800" s="21" t="str">
        <f t="shared" ca="1" si="65"/>
        <v/>
      </c>
    </row>
    <row r="801" spans="1:11" s="18" customFormat="1" ht="14.25" x14ac:dyDescent="0.2">
      <c r="A801" s="18" t="str">
        <f t="shared" si="63"/>
        <v>Eintrag 800</v>
      </c>
      <c r="B801" s="18">
        <v>100</v>
      </c>
      <c r="C801" s="19">
        <v>100</v>
      </c>
      <c r="D801" s="20">
        <v>10</v>
      </c>
      <c r="E801" s="20">
        <v>10</v>
      </c>
      <c r="F801" s="20">
        <v>10</v>
      </c>
      <c r="G801" s="19">
        <f t="shared" si="66"/>
        <v>172</v>
      </c>
      <c r="H801" s="22">
        <f t="shared" si="62"/>
        <v>800</v>
      </c>
      <c r="I801" s="21">
        <f t="shared" ca="1" si="64"/>
        <v>0</v>
      </c>
      <c r="J801" s="21" t="str">
        <f ca="1">IF(I801=0,"",COUNTIF($I$2:I801,"&gt;0"))</f>
        <v/>
      </c>
      <c r="K801" s="21" t="str">
        <f t="shared" ca="1" si="65"/>
        <v/>
      </c>
    </row>
    <row r="802" spans="1:11" s="18" customFormat="1" ht="14.25" x14ac:dyDescent="0.2">
      <c r="A802" s="18" t="str">
        <f t="shared" si="63"/>
        <v>Eintrag 801</v>
      </c>
      <c r="B802" s="18">
        <v>100</v>
      </c>
      <c r="C802" s="19">
        <v>100</v>
      </c>
      <c r="D802" s="20">
        <v>10</v>
      </c>
      <c r="E802" s="20">
        <v>10</v>
      </c>
      <c r="F802" s="20">
        <v>10</v>
      </c>
      <c r="G802" s="19">
        <f t="shared" si="66"/>
        <v>172</v>
      </c>
      <c r="H802" s="22">
        <f t="shared" si="62"/>
        <v>801</v>
      </c>
      <c r="I802" s="21">
        <f t="shared" ca="1" si="64"/>
        <v>0</v>
      </c>
      <c r="J802" s="21" t="str">
        <f ca="1">IF(I802=0,"",COUNTIF($I$2:I802,"&gt;0"))</f>
        <v/>
      </c>
      <c r="K802" s="21" t="str">
        <f t="shared" ca="1" si="65"/>
        <v/>
      </c>
    </row>
    <row r="803" spans="1:11" s="18" customFormat="1" ht="14.25" x14ac:dyDescent="0.2">
      <c r="A803" s="18" t="str">
        <f t="shared" si="63"/>
        <v>Eintrag 802</v>
      </c>
      <c r="B803" s="18">
        <v>100</v>
      </c>
      <c r="C803" s="19">
        <v>100</v>
      </c>
      <c r="D803" s="20">
        <v>10</v>
      </c>
      <c r="E803" s="20">
        <v>10</v>
      </c>
      <c r="F803" s="20">
        <v>10</v>
      </c>
      <c r="G803" s="19">
        <f t="shared" si="66"/>
        <v>172</v>
      </c>
      <c r="H803" s="22">
        <f t="shared" si="62"/>
        <v>802</v>
      </c>
      <c r="I803" s="21">
        <f t="shared" ca="1" si="64"/>
        <v>0</v>
      </c>
      <c r="J803" s="21" t="str">
        <f ca="1">IF(I803=0,"",COUNTIF($I$2:I803,"&gt;0"))</f>
        <v/>
      </c>
      <c r="K803" s="21" t="str">
        <f t="shared" ca="1" si="65"/>
        <v/>
      </c>
    </row>
    <row r="804" spans="1:11" s="18" customFormat="1" ht="14.25" x14ac:dyDescent="0.2">
      <c r="A804" s="18" t="str">
        <f t="shared" si="63"/>
        <v>Eintrag 803</v>
      </c>
      <c r="B804" s="18">
        <v>100</v>
      </c>
      <c r="C804" s="19">
        <v>100</v>
      </c>
      <c r="D804" s="20">
        <v>10</v>
      </c>
      <c r="E804" s="20">
        <v>10</v>
      </c>
      <c r="F804" s="20">
        <v>10</v>
      </c>
      <c r="G804" s="19">
        <f t="shared" si="66"/>
        <v>172</v>
      </c>
      <c r="H804" s="22">
        <f t="shared" si="62"/>
        <v>803</v>
      </c>
      <c r="I804" s="21">
        <f t="shared" ca="1" si="64"/>
        <v>0</v>
      </c>
      <c r="J804" s="21" t="str">
        <f ca="1">IF(I804=0,"",COUNTIF($I$2:I804,"&gt;0"))</f>
        <v/>
      </c>
      <c r="K804" s="21" t="str">
        <f t="shared" ca="1" si="65"/>
        <v/>
      </c>
    </row>
    <row r="805" spans="1:11" s="18" customFormat="1" ht="14.25" x14ac:dyDescent="0.2">
      <c r="A805" s="18" t="str">
        <f t="shared" si="63"/>
        <v>Eintrag 804</v>
      </c>
      <c r="B805" s="18">
        <v>100</v>
      </c>
      <c r="C805" s="19">
        <v>100</v>
      </c>
      <c r="D805" s="20">
        <v>10</v>
      </c>
      <c r="E805" s="20">
        <v>10</v>
      </c>
      <c r="F805" s="20">
        <v>10</v>
      </c>
      <c r="G805" s="19">
        <f t="shared" si="66"/>
        <v>172</v>
      </c>
      <c r="H805" s="22">
        <f t="shared" ref="H805:H868" si="67">H804+1</f>
        <v>804</v>
      </c>
      <c r="I805" s="21">
        <f t="shared" ca="1" si="64"/>
        <v>0</v>
      </c>
      <c r="J805" s="21" t="str">
        <f ca="1">IF(I805=0,"",COUNTIF($I$2:I805,"&gt;0"))</f>
        <v/>
      </c>
      <c r="K805" s="21" t="str">
        <f t="shared" ca="1" si="65"/>
        <v/>
      </c>
    </row>
    <row r="806" spans="1:11" s="18" customFormat="1" ht="14.25" x14ac:dyDescent="0.2">
      <c r="A806" s="18" t="str">
        <f t="shared" si="63"/>
        <v>Eintrag 805</v>
      </c>
      <c r="B806" s="18">
        <v>100</v>
      </c>
      <c r="C806" s="19">
        <v>100</v>
      </c>
      <c r="D806" s="20">
        <v>10</v>
      </c>
      <c r="E806" s="20">
        <v>10</v>
      </c>
      <c r="F806" s="20">
        <v>10</v>
      </c>
      <c r="G806" s="19">
        <f t="shared" si="66"/>
        <v>172</v>
      </c>
      <c r="H806" s="22">
        <f t="shared" si="67"/>
        <v>805</v>
      </c>
      <c r="I806" s="21">
        <f t="shared" ca="1" si="64"/>
        <v>0</v>
      </c>
      <c r="J806" s="21" t="str">
        <f ca="1">IF(I806=0,"",COUNTIF($I$2:I806,"&gt;0"))</f>
        <v/>
      </c>
      <c r="K806" s="21" t="str">
        <f t="shared" ca="1" si="65"/>
        <v/>
      </c>
    </row>
    <row r="807" spans="1:11" s="18" customFormat="1" ht="14.25" x14ac:dyDescent="0.2">
      <c r="A807" s="18" t="str">
        <f t="shared" si="63"/>
        <v>Eintrag 806</v>
      </c>
      <c r="B807" s="18">
        <v>100</v>
      </c>
      <c r="C807" s="19">
        <v>100</v>
      </c>
      <c r="D807" s="20">
        <v>10</v>
      </c>
      <c r="E807" s="20">
        <v>10</v>
      </c>
      <c r="F807" s="20">
        <v>10</v>
      </c>
      <c r="G807" s="19">
        <f t="shared" si="66"/>
        <v>172</v>
      </c>
      <c r="H807" s="22">
        <f t="shared" si="67"/>
        <v>806</v>
      </c>
      <c r="I807" s="21">
        <f t="shared" ca="1" si="64"/>
        <v>0</v>
      </c>
      <c r="J807" s="21" t="str">
        <f ca="1">IF(I807=0,"",COUNTIF($I$2:I807,"&gt;0"))</f>
        <v/>
      </c>
      <c r="K807" s="21" t="str">
        <f t="shared" ca="1" si="65"/>
        <v/>
      </c>
    </row>
    <row r="808" spans="1:11" s="18" customFormat="1" ht="14.25" x14ac:dyDescent="0.2">
      <c r="A808" s="18" t="str">
        <f t="shared" si="63"/>
        <v>Eintrag 807</v>
      </c>
      <c r="B808" s="18">
        <v>100</v>
      </c>
      <c r="C808" s="19">
        <v>100</v>
      </c>
      <c r="D808" s="20">
        <v>10</v>
      </c>
      <c r="E808" s="20">
        <v>10</v>
      </c>
      <c r="F808" s="20">
        <v>10</v>
      </c>
      <c r="G808" s="19">
        <f t="shared" si="66"/>
        <v>172</v>
      </c>
      <c r="H808" s="22">
        <f t="shared" si="67"/>
        <v>807</v>
      </c>
      <c r="I808" s="21">
        <f t="shared" ca="1" si="64"/>
        <v>0</v>
      </c>
      <c r="J808" s="21" t="str">
        <f ca="1">IF(I808=0,"",COUNTIF($I$2:I808,"&gt;0"))</f>
        <v/>
      </c>
      <c r="K808" s="21" t="str">
        <f t="shared" ca="1" si="65"/>
        <v/>
      </c>
    </row>
    <row r="809" spans="1:11" s="18" customFormat="1" ht="14.25" x14ac:dyDescent="0.2">
      <c r="A809" s="18" t="str">
        <f t="shared" si="63"/>
        <v>Eintrag 808</v>
      </c>
      <c r="B809" s="18">
        <v>100</v>
      </c>
      <c r="C809" s="19">
        <v>100</v>
      </c>
      <c r="D809" s="20">
        <v>10</v>
      </c>
      <c r="E809" s="20">
        <v>10</v>
      </c>
      <c r="F809" s="20">
        <v>10</v>
      </c>
      <c r="G809" s="19">
        <f t="shared" si="66"/>
        <v>172</v>
      </c>
      <c r="H809" s="22">
        <f t="shared" si="67"/>
        <v>808</v>
      </c>
      <c r="I809" s="21">
        <f t="shared" ca="1" si="64"/>
        <v>0</v>
      </c>
      <c r="J809" s="21" t="str">
        <f ca="1">IF(I809=0,"",COUNTIF($I$2:I809,"&gt;0"))</f>
        <v/>
      </c>
      <c r="K809" s="21" t="str">
        <f t="shared" ca="1" si="65"/>
        <v/>
      </c>
    </row>
    <row r="810" spans="1:11" s="18" customFormat="1" ht="14.25" x14ac:dyDescent="0.2">
      <c r="A810" s="18" t="str">
        <f t="shared" si="63"/>
        <v>Eintrag 809</v>
      </c>
      <c r="B810" s="18">
        <v>100</v>
      </c>
      <c r="C810" s="19">
        <v>100</v>
      </c>
      <c r="D810" s="20">
        <v>10</v>
      </c>
      <c r="E810" s="20">
        <v>10</v>
      </c>
      <c r="F810" s="20">
        <v>10</v>
      </c>
      <c r="G810" s="19">
        <f t="shared" si="66"/>
        <v>172</v>
      </c>
      <c r="H810" s="22">
        <f t="shared" si="67"/>
        <v>809</v>
      </c>
      <c r="I810" s="21">
        <f t="shared" ca="1" si="64"/>
        <v>0</v>
      </c>
      <c r="J810" s="21" t="str">
        <f ca="1">IF(I810=0,"",COUNTIF($I$2:I810,"&gt;0"))</f>
        <v/>
      </c>
      <c r="K810" s="21" t="str">
        <f t="shared" ca="1" si="65"/>
        <v/>
      </c>
    </row>
    <row r="811" spans="1:11" s="18" customFormat="1" ht="14.25" x14ac:dyDescent="0.2">
      <c r="A811" s="18" t="str">
        <f t="shared" si="63"/>
        <v>Eintrag 810</v>
      </c>
      <c r="B811" s="18">
        <v>100</v>
      </c>
      <c r="C811" s="19">
        <v>100</v>
      </c>
      <c r="D811" s="20">
        <v>10</v>
      </c>
      <c r="E811" s="20">
        <v>10</v>
      </c>
      <c r="F811" s="20">
        <v>10</v>
      </c>
      <c r="G811" s="19">
        <f t="shared" si="66"/>
        <v>172</v>
      </c>
      <c r="H811" s="22">
        <f t="shared" si="67"/>
        <v>810</v>
      </c>
      <c r="I811" s="21">
        <f t="shared" ca="1" si="64"/>
        <v>0</v>
      </c>
      <c r="J811" s="21" t="str">
        <f ca="1">IF(I811=0,"",COUNTIF($I$2:I811,"&gt;0"))</f>
        <v/>
      </c>
      <c r="K811" s="21" t="str">
        <f t="shared" ca="1" si="65"/>
        <v/>
      </c>
    </row>
    <row r="812" spans="1:11" s="18" customFormat="1" ht="14.25" x14ac:dyDescent="0.2">
      <c r="A812" s="18" t="str">
        <f t="shared" si="63"/>
        <v>Eintrag 811</v>
      </c>
      <c r="B812" s="18">
        <v>100</v>
      </c>
      <c r="C812" s="19">
        <v>100</v>
      </c>
      <c r="D812" s="20">
        <v>10</v>
      </c>
      <c r="E812" s="20">
        <v>10</v>
      </c>
      <c r="F812" s="20">
        <v>10</v>
      </c>
      <c r="G812" s="19">
        <f t="shared" si="66"/>
        <v>172</v>
      </c>
      <c r="H812" s="22">
        <f t="shared" si="67"/>
        <v>811</v>
      </c>
      <c r="I812" s="21">
        <f t="shared" ca="1" si="64"/>
        <v>0</v>
      </c>
      <c r="J812" s="21" t="str">
        <f ca="1">IF(I812=0,"",COUNTIF($I$2:I812,"&gt;0"))</f>
        <v/>
      </c>
      <c r="K812" s="21" t="str">
        <f t="shared" ca="1" si="65"/>
        <v/>
      </c>
    </row>
    <row r="813" spans="1:11" s="18" customFormat="1" ht="14.25" x14ac:dyDescent="0.2">
      <c r="A813" s="18" t="str">
        <f t="shared" si="63"/>
        <v>Eintrag 812</v>
      </c>
      <c r="B813" s="18">
        <v>100</v>
      </c>
      <c r="C813" s="19">
        <v>100</v>
      </c>
      <c r="D813" s="20">
        <v>10</v>
      </c>
      <c r="E813" s="20">
        <v>10</v>
      </c>
      <c r="F813" s="20">
        <v>10</v>
      </c>
      <c r="G813" s="19">
        <f t="shared" si="66"/>
        <v>172</v>
      </c>
      <c r="H813" s="22">
        <f t="shared" si="67"/>
        <v>812</v>
      </c>
      <c r="I813" s="21">
        <f t="shared" ca="1" si="64"/>
        <v>0</v>
      </c>
      <c r="J813" s="21" t="str">
        <f ca="1">IF(I813=0,"",COUNTIF($I$2:I813,"&gt;0"))</f>
        <v/>
      </c>
      <c r="K813" s="21" t="str">
        <f t="shared" ca="1" si="65"/>
        <v/>
      </c>
    </row>
    <row r="814" spans="1:11" s="18" customFormat="1" ht="14.25" x14ac:dyDescent="0.2">
      <c r="A814" s="18" t="str">
        <f t="shared" si="63"/>
        <v>Eintrag 813</v>
      </c>
      <c r="B814" s="18">
        <v>100</v>
      </c>
      <c r="C814" s="19">
        <v>100</v>
      </c>
      <c r="D814" s="20">
        <v>10</v>
      </c>
      <c r="E814" s="20">
        <v>10</v>
      </c>
      <c r="F814" s="20">
        <v>10</v>
      </c>
      <c r="G814" s="19">
        <f t="shared" si="66"/>
        <v>172</v>
      </c>
      <c r="H814" s="22">
        <f t="shared" si="67"/>
        <v>813</v>
      </c>
      <c r="I814" s="21">
        <f t="shared" ca="1" si="64"/>
        <v>0</v>
      </c>
      <c r="J814" s="21" t="str">
        <f ca="1">IF(I814=0,"",COUNTIF($I$2:I814,"&gt;0"))</f>
        <v/>
      </c>
      <c r="K814" s="21" t="str">
        <f t="shared" ca="1" si="65"/>
        <v/>
      </c>
    </row>
    <row r="815" spans="1:11" s="18" customFormat="1" ht="14.25" x14ac:dyDescent="0.2">
      <c r="A815" s="18" t="str">
        <f t="shared" si="63"/>
        <v>Eintrag 814</v>
      </c>
      <c r="B815" s="18">
        <v>100</v>
      </c>
      <c r="C815" s="19">
        <v>100</v>
      </c>
      <c r="D815" s="20">
        <v>10</v>
      </c>
      <c r="E815" s="20">
        <v>10</v>
      </c>
      <c r="F815" s="20">
        <v>10</v>
      </c>
      <c r="G815" s="19">
        <f t="shared" si="66"/>
        <v>172</v>
      </c>
      <c r="H815" s="22">
        <f t="shared" si="67"/>
        <v>814</v>
      </c>
      <c r="I815" s="21">
        <f t="shared" ca="1" si="64"/>
        <v>0</v>
      </c>
      <c r="J815" s="21" t="str">
        <f ca="1">IF(I815=0,"",COUNTIF($I$2:I815,"&gt;0"))</f>
        <v/>
      </c>
      <c r="K815" s="21" t="str">
        <f t="shared" ca="1" si="65"/>
        <v/>
      </c>
    </row>
    <row r="816" spans="1:11" s="18" customFormat="1" ht="14.25" x14ac:dyDescent="0.2">
      <c r="A816" s="18" t="str">
        <f t="shared" si="63"/>
        <v>Eintrag 815</v>
      </c>
      <c r="B816" s="18">
        <v>100</v>
      </c>
      <c r="C816" s="19">
        <v>100</v>
      </c>
      <c r="D816" s="20">
        <v>10</v>
      </c>
      <c r="E816" s="20">
        <v>10</v>
      </c>
      <c r="F816" s="20">
        <v>10</v>
      </c>
      <c r="G816" s="19">
        <f t="shared" si="66"/>
        <v>172</v>
      </c>
      <c r="H816" s="22">
        <f t="shared" si="67"/>
        <v>815</v>
      </c>
      <c r="I816" s="21">
        <f t="shared" ca="1" si="64"/>
        <v>0</v>
      </c>
      <c r="J816" s="21" t="str">
        <f ca="1">IF(I816=0,"",COUNTIF($I$2:I816,"&gt;0"))</f>
        <v/>
      </c>
      <c r="K816" s="21" t="str">
        <f t="shared" ca="1" si="65"/>
        <v/>
      </c>
    </row>
    <row r="817" spans="1:11" s="18" customFormat="1" ht="14.25" x14ac:dyDescent="0.2">
      <c r="A817" s="18" t="str">
        <f t="shared" si="63"/>
        <v>Eintrag 816</v>
      </c>
      <c r="B817" s="18">
        <v>100</v>
      </c>
      <c r="C817" s="19">
        <v>100</v>
      </c>
      <c r="D817" s="20">
        <v>10</v>
      </c>
      <c r="E817" s="20">
        <v>10</v>
      </c>
      <c r="F817" s="20">
        <v>10</v>
      </c>
      <c r="G817" s="19">
        <f t="shared" si="66"/>
        <v>172</v>
      </c>
      <c r="H817" s="22">
        <f t="shared" si="67"/>
        <v>816</v>
      </c>
      <c r="I817" s="21">
        <f t="shared" ca="1" si="64"/>
        <v>0</v>
      </c>
      <c r="J817" s="21" t="str">
        <f ca="1">IF(I817=0,"",COUNTIF($I$2:I817,"&gt;0"))</f>
        <v/>
      </c>
      <c r="K817" s="21" t="str">
        <f t="shared" ca="1" si="65"/>
        <v/>
      </c>
    </row>
    <row r="818" spans="1:11" s="18" customFormat="1" ht="14.25" x14ac:dyDescent="0.2">
      <c r="A818" s="18" t="str">
        <f t="shared" si="63"/>
        <v>Eintrag 817</v>
      </c>
      <c r="B818" s="18">
        <v>100</v>
      </c>
      <c r="C818" s="19">
        <v>100</v>
      </c>
      <c r="D818" s="20">
        <v>10</v>
      </c>
      <c r="E818" s="20">
        <v>10</v>
      </c>
      <c r="F818" s="20">
        <v>10</v>
      </c>
      <c r="G818" s="19">
        <f t="shared" si="66"/>
        <v>172</v>
      </c>
      <c r="H818" s="22">
        <f t="shared" si="67"/>
        <v>817</v>
      </c>
      <c r="I818" s="21">
        <f t="shared" ca="1" si="64"/>
        <v>0</v>
      </c>
      <c r="J818" s="21" t="str">
        <f ca="1">IF(I818=0,"",COUNTIF($I$2:I818,"&gt;0"))</f>
        <v/>
      </c>
      <c r="K818" s="21" t="str">
        <f t="shared" ca="1" si="65"/>
        <v/>
      </c>
    </row>
    <row r="819" spans="1:11" s="18" customFormat="1" ht="14.25" x14ac:dyDescent="0.2">
      <c r="A819" s="18" t="str">
        <f t="shared" si="63"/>
        <v>Eintrag 818</v>
      </c>
      <c r="B819" s="18">
        <v>100</v>
      </c>
      <c r="C819" s="19">
        <v>100</v>
      </c>
      <c r="D819" s="20">
        <v>10</v>
      </c>
      <c r="E819" s="20">
        <v>10</v>
      </c>
      <c r="F819" s="20">
        <v>10</v>
      </c>
      <c r="G819" s="19">
        <f t="shared" si="66"/>
        <v>172</v>
      </c>
      <c r="H819" s="22">
        <f t="shared" si="67"/>
        <v>818</v>
      </c>
      <c r="I819" s="21">
        <f t="shared" ca="1" si="64"/>
        <v>0</v>
      </c>
      <c r="J819" s="21" t="str">
        <f ca="1">IF(I819=0,"",COUNTIF($I$2:I819,"&gt;0"))</f>
        <v/>
      </c>
      <c r="K819" s="21" t="str">
        <f t="shared" ca="1" si="65"/>
        <v/>
      </c>
    </row>
    <row r="820" spans="1:11" s="18" customFormat="1" ht="14.25" x14ac:dyDescent="0.2">
      <c r="A820" s="18" t="str">
        <f t="shared" si="63"/>
        <v>Eintrag 819</v>
      </c>
      <c r="B820" s="18">
        <v>100</v>
      </c>
      <c r="C820" s="19">
        <v>100</v>
      </c>
      <c r="D820" s="20">
        <v>10</v>
      </c>
      <c r="E820" s="20">
        <v>10</v>
      </c>
      <c r="F820" s="20">
        <v>10</v>
      </c>
      <c r="G820" s="19">
        <f t="shared" si="66"/>
        <v>172</v>
      </c>
      <c r="H820" s="22">
        <f t="shared" si="67"/>
        <v>819</v>
      </c>
      <c r="I820" s="21">
        <f t="shared" ca="1" si="64"/>
        <v>0</v>
      </c>
      <c r="J820" s="21" t="str">
        <f ca="1">IF(I820=0,"",COUNTIF($I$2:I820,"&gt;0"))</f>
        <v/>
      </c>
      <c r="K820" s="21" t="str">
        <f t="shared" ca="1" si="65"/>
        <v/>
      </c>
    </row>
    <row r="821" spans="1:11" s="18" customFormat="1" ht="14.25" x14ac:dyDescent="0.2">
      <c r="A821" s="18" t="str">
        <f t="shared" si="63"/>
        <v>Eintrag 820</v>
      </c>
      <c r="B821" s="18">
        <v>100</v>
      </c>
      <c r="C821" s="19">
        <v>100</v>
      </c>
      <c r="D821" s="20">
        <v>10</v>
      </c>
      <c r="E821" s="20">
        <v>10</v>
      </c>
      <c r="F821" s="20">
        <v>10</v>
      </c>
      <c r="G821" s="19">
        <f t="shared" si="66"/>
        <v>172</v>
      </c>
      <c r="H821" s="22">
        <f t="shared" si="67"/>
        <v>820</v>
      </c>
      <c r="I821" s="21">
        <f t="shared" ref="I821:I884" ca="1" si="68">IFERROR(SEARCH(INDIRECT(CELL("address")),A821),0)</f>
        <v>0</v>
      </c>
      <c r="J821" s="21" t="str">
        <f ca="1">IF(I821=0,"",COUNTIF($I$2:I821,"&gt;0"))</f>
        <v/>
      </c>
      <c r="K821" s="21" t="str">
        <f t="shared" ca="1" si="65"/>
        <v/>
      </c>
    </row>
    <row r="822" spans="1:11" s="18" customFormat="1" ht="14.25" x14ac:dyDescent="0.2">
      <c r="A822" s="18" t="str">
        <f t="shared" si="63"/>
        <v>Eintrag 821</v>
      </c>
      <c r="B822" s="18">
        <v>100</v>
      </c>
      <c r="C822" s="19">
        <v>100</v>
      </c>
      <c r="D822" s="20">
        <v>10</v>
      </c>
      <c r="E822" s="20">
        <v>10</v>
      </c>
      <c r="F822" s="20">
        <v>10</v>
      </c>
      <c r="G822" s="19">
        <f t="shared" si="66"/>
        <v>172</v>
      </c>
      <c r="H822" s="22">
        <f t="shared" si="67"/>
        <v>821</v>
      </c>
      <c r="I822" s="21">
        <f t="shared" ca="1" si="68"/>
        <v>0</v>
      </c>
      <c r="J822" s="21" t="str">
        <f ca="1">IF(I822=0,"",COUNTIF($I$2:I822,"&gt;0"))</f>
        <v/>
      </c>
      <c r="K822" s="21" t="str">
        <f t="shared" ca="1" si="65"/>
        <v/>
      </c>
    </row>
    <row r="823" spans="1:11" s="18" customFormat="1" ht="14.25" x14ac:dyDescent="0.2">
      <c r="A823" s="18" t="str">
        <f t="shared" si="63"/>
        <v>Eintrag 822</v>
      </c>
      <c r="B823" s="18">
        <v>100</v>
      </c>
      <c r="C823" s="19">
        <v>100</v>
      </c>
      <c r="D823" s="20">
        <v>10</v>
      </c>
      <c r="E823" s="20">
        <v>10</v>
      </c>
      <c r="F823" s="20">
        <v>10</v>
      </c>
      <c r="G823" s="19">
        <f t="shared" si="66"/>
        <v>172</v>
      </c>
      <c r="H823" s="22">
        <f t="shared" si="67"/>
        <v>822</v>
      </c>
      <c r="I823" s="21">
        <f t="shared" ca="1" si="68"/>
        <v>0</v>
      </c>
      <c r="J823" s="21" t="str">
        <f ca="1">IF(I823=0,"",COUNTIF($I$2:I823,"&gt;0"))</f>
        <v/>
      </c>
      <c r="K823" s="21" t="str">
        <f t="shared" ca="1" si="65"/>
        <v/>
      </c>
    </row>
    <row r="824" spans="1:11" s="18" customFormat="1" ht="14.25" x14ac:dyDescent="0.2">
      <c r="A824" s="18" t="str">
        <f t="shared" si="63"/>
        <v>Eintrag 823</v>
      </c>
      <c r="B824" s="18">
        <v>100</v>
      </c>
      <c r="C824" s="19">
        <v>100</v>
      </c>
      <c r="D824" s="20">
        <v>10</v>
      </c>
      <c r="E824" s="20">
        <v>10</v>
      </c>
      <c r="F824" s="20">
        <v>10</v>
      </c>
      <c r="G824" s="19">
        <f t="shared" si="66"/>
        <v>172</v>
      </c>
      <c r="H824" s="22">
        <f t="shared" si="67"/>
        <v>823</v>
      </c>
      <c r="I824" s="21">
        <f t="shared" ca="1" si="68"/>
        <v>0</v>
      </c>
      <c r="J824" s="21" t="str">
        <f ca="1">IF(I824=0,"",COUNTIF($I$2:I824,"&gt;0"))</f>
        <v/>
      </c>
      <c r="K824" s="21" t="str">
        <f t="shared" ca="1" si="65"/>
        <v/>
      </c>
    </row>
    <row r="825" spans="1:11" s="18" customFormat="1" ht="14.25" x14ac:dyDescent="0.2">
      <c r="A825" s="18" t="str">
        <f t="shared" si="63"/>
        <v>Eintrag 824</v>
      </c>
      <c r="B825" s="18">
        <v>100</v>
      </c>
      <c r="C825" s="19">
        <v>100</v>
      </c>
      <c r="D825" s="20">
        <v>10</v>
      </c>
      <c r="E825" s="20">
        <v>10</v>
      </c>
      <c r="F825" s="20">
        <v>10</v>
      </c>
      <c r="G825" s="19">
        <f t="shared" si="66"/>
        <v>172</v>
      </c>
      <c r="H825" s="22">
        <f t="shared" si="67"/>
        <v>824</v>
      </c>
      <c r="I825" s="21">
        <f t="shared" ca="1" si="68"/>
        <v>0</v>
      </c>
      <c r="J825" s="21" t="str">
        <f ca="1">IF(I825=0,"",COUNTIF($I$2:I825,"&gt;0"))</f>
        <v/>
      </c>
      <c r="K825" s="21" t="str">
        <f t="shared" ca="1" si="65"/>
        <v/>
      </c>
    </row>
    <row r="826" spans="1:11" s="18" customFormat="1" ht="14.25" x14ac:dyDescent="0.2">
      <c r="A826" s="18" t="str">
        <f t="shared" si="63"/>
        <v>Eintrag 825</v>
      </c>
      <c r="B826" s="18">
        <v>100</v>
      </c>
      <c r="C826" s="19">
        <v>100</v>
      </c>
      <c r="D826" s="20">
        <v>10</v>
      </c>
      <c r="E826" s="20">
        <v>10</v>
      </c>
      <c r="F826" s="20">
        <v>10</v>
      </c>
      <c r="G826" s="19">
        <f t="shared" si="66"/>
        <v>172</v>
      </c>
      <c r="H826" s="22">
        <f t="shared" si="67"/>
        <v>825</v>
      </c>
      <c r="I826" s="21">
        <f t="shared" ca="1" si="68"/>
        <v>0</v>
      </c>
      <c r="J826" s="21" t="str">
        <f ca="1">IF(I826=0,"",COUNTIF($I$2:I826,"&gt;0"))</f>
        <v/>
      </c>
      <c r="K826" s="21" t="str">
        <f t="shared" ca="1" si="65"/>
        <v/>
      </c>
    </row>
    <row r="827" spans="1:11" s="18" customFormat="1" ht="14.25" x14ac:dyDescent="0.2">
      <c r="A827" s="18" t="str">
        <f t="shared" si="63"/>
        <v>Eintrag 826</v>
      </c>
      <c r="B827" s="18">
        <v>100</v>
      </c>
      <c r="C827" s="19">
        <v>100</v>
      </c>
      <c r="D827" s="20">
        <v>10</v>
      </c>
      <c r="E827" s="20">
        <v>10</v>
      </c>
      <c r="F827" s="20">
        <v>10</v>
      </c>
      <c r="G827" s="19">
        <f t="shared" si="66"/>
        <v>172</v>
      </c>
      <c r="H827" s="22">
        <f t="shared" si="67"/>
        <v>826</v>
      </c>
      <c r="I827" s="21">
        <f t="shared" ca="1" si="68"/>
        <v>0</v>
      </c>
      <c r="J827" s="21" t="str">
        <f ca="1">IF(I827=0,"",COUNTIF($I$2:I827,"&gt;0"))</f>
        <v/>
      </c>
      <c r="K827" s="21" t="str">
        <f t="shared" ca="1" si="65"/>
        <v/>
      </c>
    </row>
    <row r="828" spans="1:11" s="18" customFormat="1" ht="14.25" x14ac:dyDescent="0.2">
      <c r="A828" s="18" t="str">
        <f t="shared" si="63"/>
        <v>Eintrag 827</v>
      </c>
      <c r="B828" s="18">
        <v>100</v>
      </c>
      <c r="C828" s="19">
        <v>100</v>
      </c>
      <c r="D828" s="20">
        <v>10</v>
      </c>
      <c r="E828" s="20">
        <v>10</v>
      </c>
      <c r="F828" s="20">
        <v>10</v>
      </c>
      <c r="G828" s="19">
        <f t="shared" si="66"/>
        <v>172</v>
      </c>
      <c r="H828" s="22">
        <f t="shared" si="67"/>
        <v>827</v>
      </c>
      <c r="I828" s="21">
        <f t="shared" ca="1" si="68"/>
        <v>0</v>
      </c>
      <c r="J828" s="21" t="str">
        <f ca="1">IF(I828=0,"",COUNTIF($I$2:I828,"&gt;0"))</f>
        <v/>
      </c>
      <c r="K828" s="21" t="str">
        <f t="shared" ca="1" si="65"/>
        <v/>
      </c>
    </row>
    <row r="829" spans="1:11" s="18" customFormat="1" ht="14.25" x14ac:dyDescent="0.2">
      <c r="A829" s="18" t="str">
        <f t="shared" si="63"/>
        <v>Eintrag 828</v>
      </c>
      <c r="B829" s="18">
        <v>100</v>
      </c>
      <c r="C829" s="19">
        <v>100</v>
      </c>
      <c r="D829" s="20">
        <v>10</v>
      </c>
      <c r="E829" s="20">
        <v>10</v>
      </c>
      <c r="F829" s="20">
        <v>10</v>
      </c>
      <c r="G829" s="19">
        <f t="shared" si="66"/>
        <v>172</v>
      </c>
      <c r="H829" s="22">
        <f t="shared" si="67"/>
        <v>828</v>
      </c>
      <c r="I829" s="21">
        <f t="shared" ca="1" si="68"/>
        <v>0</v>
      </c>
      <c r="J829" s="21" t="str">
        <f ca="1">IF(I829=0,"",COUNTIF($I$2:I829,"&gt;0"))</f>
        <v/>
      </c>
      <c r="K829" s="21" t="str">
        <f t="shared" ca="1" si="65"/>
        <v/>
      </c>
    </row>
    <row r="830" spans="1:11" s="18" customFormat="1" ht="14.25" x14ac:dyDescent="0.2">
      <c r="A830" s="18" t="str">
        <f t="shared" si="63"/>
        <v>Eintrag 829</v>
      </c>
      <c r="B830" s="18">
        <v>100</v>
      </c>
      <c r="C830" s="19">
        <v>100</v>
      </c>
      <c r="D830" s="20">
        <v>10</v>
      </c>
      <c r="E830" s="20">
        <v>10</v>
      </c>
      <c r="F830" s="20">
        <v>10</v>
      </c>
      <c r="G830" s="19">
        <f t="shared" si="66"/>
        <v>172</v>
      </c>
      <c r="H830" s="22">
        <f t="shared" si="67"/>
        <v>829</v>
      </c>
      <c r="I830" s="21">
        <f t="shared" ca="1" si="68"/>
        <v>0</v>
      </c>
      <c r="J830" s="21" t="str">
        <f ca="1">IF(I830=0,"",COUNTIF($I$2:I830,"&gt;0"))</f>
        <v/>
      </c>
      <c r="K830" s="21" t="str">
        <f t="shared" ca="1" si="65"/>
        <v/>
      </c>
    </row>
    <row r="831" spans="1:11" s="18" customFormat="1" ht="14.25" x14ac:dyDescent="0.2">
      <c r="A831" s="18" t="str">
        <f t="shared" si="63"/>
        <v>Eintrag 830</v>
      </c>
      <c r="B831" s="18">
        <v>100</v>
      </c>
      <c r="C831" s="19">
        <v>100</v>
      </c>
      <c r="D831" s="20">
        <v>10</v>
      </c>
      <c r="E831" s="20">
        <v>10</v>
      </c>
      <c r="F831" s="20">
        <v>10</v>
      </c>
      <c r="G831" s="19">
        <f t="shared" si="66"/>
        <v>172</v>
      </c>
      <c r="H831" s="22">
        <f t="shared" si="67"/>
        <v>830</v>
      </c>
      <c r="I831" s="21">
        <f t="shared" ca="1" si="68"/>
        <v>0</v>
      </c>
      <c r="J831" s="21" t="str">
        <f ca="1">IF(I831=0,"",COUNTIF($I$2:I831,"&gt;0"))</f>
        <v/>
      </c>
      <c r="K831" s="21" t="str">
        <f t="shared" ca="1" si="65"/>
        <v/>
      </c>
    </row>
    <row r="832" spans="1:11" s="18" customFormat="1" ht="14.25" x14ac:dyDescent="0.2">
      <c r="A832" s="18" t="str">
        <f t="shared" si="63"/>
        <v>Eintrag 831</v>
      </c>
      <c r="B832" s="18">
        <v>100</v>
      </c>
      <c r="C832" s="19">
        <v>100</v>
      </c>
      <c r="D832" s="20">
        <v>10</v>
      </c>
      <c r="E832" s="20">
        <v>10</v>
      </c>
      <c r="F832" s="20">
        <v>10</v>
      </c>
      <c r="G832" s="19">
        <f t="shared" si="66"/>
        <v>172</v>
      </c>
      <c r="H832" s="22">
        <f t="shared" si="67"/>
        <v>831</v>
      </c>
      <c r="I832" s="21">
        <f t="shared" ca="1" si="68"/>
        <v>0</v>
      </c>
      <c r="J832" s="21" t="str">
        <f ca="1">IF(I832=0,"",COUNTIF($I$2:I832,"&gt;0"))</f>
        <v/>
      </c>
      <c r="K832" s="21" t="str">
        <f t="shared" ca="1" si="65"/>
        <v/>
      </c>
    </row>
    <row r="833" spans="1:11" s="18" customFormat="1" ht="14.25" x14ac:dyDescent="0.2">
      <c r="A833" s="18" t="str">
        <f t="shared" si="63"/>
        <v>Eintrag 832</v>
      </c>
      <c r="B833" s="18">
        <v>100</v>
      </c>
      <c r="C833" s="19">
        <v>100</v>
      </c>
      <c r="D833" s="20">
        <v>10</v>
      </c>
      <c r="E833" s="20">
        <v>10</v>
      </c>
      <c r="F833" s="20">
        <v>10</v>
      </c>
      <c r="G833" s="19">
        <f t="shared" si="66"/>
        <v>172</v>
      </c>
      <c r="H833" s="22">
        <f t="shared" si="67"/>
        <v>832</v>
      </c>
      <c r="I833" s="21">
        <f t="shared" ca="1" si="68"/>
        <v>0</v>
      </c>
      <c r="J833" s="21" t="str">
        <f ca="1">IF(I833=0,"",COUNTIF($I$2:I833,"&gt;0"))</f>
        <v/>
      </c>
      <c r="K833" s="21" t="str">
        <f t="shared" ca="1" si="65"/>
        <v/>
      </c>
    </row>
    <row r="834" spans="1:11" s="18" customFormat="1" ht="14.25" x14ac:dyDescent="0.2">
      <c r="A834" s="18" t="str">
        <f t="shared" si="63"/>
        <v>Eintrag 833</v>
      </c>
      <c r="B834" s="18">
        <v>100</v>
      </c>
      <c r="C834" s="19">
        <v>100</v>
      </c>
      <c r="D834" s="20">
        <v>10</v>
      </c>
      <c r="E834" s="20">
        <v>10</v>
      </c>
      <c r="F834" s="20">
        <v>10</v>
      </c>
      <c r="G834" s="19">
        <f t="shared" si="66"/>
        <v>172</v>
      </c>
      <c r="H834" s="22">
        <f t="shared" si="67"/>
        <v>833</v>
      </c>
      <c r="I834" s="21">
        <f t="shared" ca="1" si="68"/>
        <v>0</v>
      </c>
      <c r="J834" s="21" t="str">
        <f ca="1">IF(I834=0,"",COUNTIF($I$2:I834,"&gt;0"))</f>
        <v/>
      </c>
      <c r="K834" s="21" t="str">
        <f t="shared" ref="K834:K897" ca="1" si="69">IFERROR(INDEX(A:A,MATCH(ROW(I833),J:J,0)),"")</f>
        <v/>
      </c>
    </row>
    <row r="835" spans="1:11" s="18" customFormat="1" ht="14.25" x14ac:dyDescent="0.2">
      <c r="A835" s="18" t="str">
        <f t="shared" si="63"/>
        <v>Eintrag 834</v>
      </c>
      <c r="B835" s="18">
        <v>100</v>
      </c>
      <c r="C835" s="19">
        <v>100</v>
      </c>
      <c r="D835" s="20">
        <v>10</v>
      </c>
      <c r="E835" s="20">
        <v>10</v>
      </c>
      <c r="F835" s="20">
        <v>10</v>
      </c>
      <c r="G835" s="19">
        <f t="shared" ref="G835:G898" si="70">D835*9+E835*4.1+F835*4.1</f>
        <v>172</v>
      </c>
      <c r="H835" s="22">
        <f t="shared" si="67"/>
        <v>834</v>
      </c>
      <c r="I835" s="21">
        <f t="shared" ca="1" si="68"/>
        <v>0</v>
      </c>
      <c r="J835" s="21" t="str">
        <f ca="1">IF(I835=0,"",COUNTIF($I$2:I835,"&gt;0"))</f>
        <v/>
      </c>
      <c r="K835" s="21" t="str">
        <f t="shared" ca="1" si="69"/>
        <v/>
      </c>
    </row>
    <row r="836" spans="1:11" s="18" customFormat="1" ht="14.25" x14ac:dyDescent="0.2">
      <c r="A836" s="18" t="str">
        <f t="shared" si="63"/>
        <v>Eintrag 835</v>
      </c>
      <c r="B836" s="18">
        <v>100</v>
      </c>
      <c r="C836" s="19">
        <v>100</v>
      </c>
      <c r="D836" s="20">
        <v>10</v>
      </c>
      <c r="E836" s="20">
        <v>10</v>
      </c>
      <c r="F836" s="20">
        <v>10</v>
      </c>
      <c r="G836" s="19">
        <f t="shared" si="70"/>
        <v>172</v>
      </c>
      <c r="H836" s="22">
        <f t="shared" si="67"/>
        <v>835</v>
      </c>
      <c r="I836" s="21">
        <f t="shared" ca="1" si="68"/>
        <v>0</v>
      </c>
      <c r="J836" s="21" t="str">
        <f ca="1">IF(I836=0,"",COUNTIF($I$2:I836,"&gt;0"))</f>
        <v/>
      </c>
      <c r="K836" s="21" t="str">
        <f t="shared" ca="1" si="69"/>
        <v/>
      </c>
    </row>
    <row r="837" spans="1:11" s="18" customFormat="1" ht="14.25" x14ac:dyDescent="0.2">
      <c r="A837" s="18" t="str">
        <f t="shared" si="63"/>
        <v>Eintrag 836</v>
      </c>
      <c r="B837" s="18">
        <v>100</v>
      </c>
      <c r="C837" s="19">
        <v>100</v>
      </c>
      <c r="D837" s="20">
        <v>10</v>
      </c>
      <c r="E837" s="20">
        <v>10</v>
      </c>
      <c r="F837" s="20">
        <v>10</v>
      </c>
      <c r="G837" s="19">
        <f t="shared" si="70"/>
        <v>172</v>
      </c>
      <c r="H837" s="22">
        <f t="shared" si="67"/>
        <v>836</v>
      </c>
      <c r="I837" s="21">
        <f t="shared" ca="1" si="68"/>
        <v>0</v>
      </c>
      <c r="J837" s="21" t="str">
        <f ca="1">IF(I837=0,"",COUNTIF($I$2:I837,"&gt;0"))</f>
        <v/>
      </c>
      <c r="K837" s="21" t="str">
        <f t="shared" ca="1" si="69"/>
        <v/>
      </c>
    </row>
    <row r="838" spans="1:11" s="18" customFormat="1" ht="14.25" x14ac:dyDescent="0.2">
      <c r="A838" s="18" t="str">
        <f t="shared" si="63"/>
        <v>Eintrag 837</v>
      </c>
      <c r="B838" s="18">
        <v>100</v>
      </c>
      <c r="C838" s="19">
        <v>100</v>
      </c>
      <c r="D838" s="20">
        <v>10</v>
      </c>
      <c r="E838" s="20">
        <v>10</v>
      </c>
      <c r="F838" s="20">
        <v>10</v>
      </c>
      <c r="G838" s="19">
        <f t="shared" si="70"/>
        <v>172</v>
      </c>
      <c r="H838" s="22">
        <f t="shared" si="67"/>
        <v>837</v>
      </c>
      <c r="I838" s="21">
        <f t="shared" ca="1" si="68"/>
        <v>0</v>
      </c>
      <c r="J838" s="21" t="str">
        <f ca="1">IF(I838=0,"",COUNTIF($I$2:I838,"&gt;0"))</f>
        <v/>
      </c>
      <c r="K838" s="21" t="str">
        <f t="shared" ca="1" si="69"/>
        <v/>
      </c>
    </row>
    <row r="839" spans="1:11" s="18" customFormat="1" ht="14.25" x14ac:dyDescent="0.2">
      <c r="A839" s="18" t="str">
        <f t="shared" si="63"/>
        <v>Eintrag 838</v>
      </c>
      <c r="B839" s="18">
        <v>100</v>
      </c>
      <c r="C839" s="19">
        <v>100</v>
      </c>
      <c r="D839" s="20">
        <v>10</v>
      </c>
      <c r="E839" s="20">
        <v>10</v>
      </c>
      <c r="F839" s="20">
        <v>10</v>
      </c>
      <c r="G839" s="19">
        <f t="shared" si="70"/>
        <v>172</v>
      </c>
      <c r="H839" s="22">
        <f t="shared" si="67"/>
        <v>838</v>
      </c>
      <c r="I839" s="21">
        <f t="shared" ca="1" si="68"/>
        <v>0</v>
      </c>
      <c r="J839" s="21" t="str">
        <f ca="1">IF(I839=0,"",COUNTIF($I$2:I839,"&gt;0"))</f>
        <v/>
      </c>
      <c r="K839" s="21" t="str">
        <f t="shared" ca="1" si="69"/>
        <v/>
      </c>
    </row>
    <row r="840" spans="1:11" s="18" customFormat="1" ht="14.25" x14ac:dyDescent="0.2">
      <c r="A840" s="18" t="str">
        <f t="shared" si="63"/>
        <v>Eintrag 839</v>
      </c>
      <c r="B840" s="18">
        <v>100</v>
      </c>
      <c r="C840" s="19">
        <v>100</v>
      </c>
      <c r="D840" s="20">
        <v>10</v>
      </c>
      <c r="E840" s="20">
        <v>10</v>
      </c>
      <c r="F840" s="20">
        <v>10</v>
      </c>
      <c r="G840" s="19">
        <f t="shared" si="70"/>
        <v>172</v>
      </c>
      <c r="H840" s="22">
        <f t="shared" si="67"/>
        <v>839</v>
      </c>
      <c r="I840" s="21">
        <f t="shared" ca="1" si="68"/>
        <v>0</v>
      </c>
      <c r="J840" s="21" t="str">
        <f ca="1">IF(I840=0,"",COUNTIF($I$2:I840,"&gt;0"))</f>
        <v/>
      </c>
      <c r="K840" s="21" t="str">
        <f t="shared" ca="1" si="69"/>
        <v/>
      </c>
    </row>
    <row r="841" spans="1:11" s="18" customFormat="1" ht="14.25" x14ac:dyDescent="0.2">
      <c r="A841" s="18" t="str">
        <f t="shared" si="63"/>
        <v>Eintrag 840</v>
      </c>
      <c r="B841" s="18">
        <v>100</v>
      </c>
      <c r="C841" s="19">
        <v>100</v>
      </c>
      <c r="D841" s="20">
        <v>10</v>
      </c>
      <c r="E841" s="20">
        <v>10</v>
      </c>
      <c r="F841" s="20">
        <v>10</v>
      </c>
      <c r="G841" s="19">
        <f t="shared" si="70"/>
        <v>172</v>
      </c>
      <c r="H841" s="22">
        <f t="shared" si="67"/>
        <v>840</v>
      </c>
      <c r="I841" s="21">
        <f t="shared" ca="1" si="68"/>
        <v>0</v>
      </c>
      <c r="J841" s="21" t="str">
        <f ca="1">IF(I841=0,"",COUNTIF($I$2:I841,"&gt;0"))</f>
        <v/>
      </c>
      <c r="K841" s="21" t="str">
        <f t="shared" ca="1" si="69"/>
        <v/>
      </c>
    </row>
    <row r="842" spans="1:11" s="18" customFormat="1" ht="14.25" x14ac:dyDescent="0.2">
      <c r="A842" s="18" t="str">
        <f t="shared" si="63"/>
        <v>Eintrag 841</v>
      </c>
      <c r="B842" s="18">
        <v>100</v>
      </c>
      <c r="C842" s="19">
        <v>100</v>
      </c>
      <c r="D842" s="20">
        <v>10</v>
      </c>
      <c r="E842" s="20">
        <v>10</v>
      </c>
      <c r="F842" s="20">
        <v>10</v>
      </c>
      <c r="G842" s="19">
        <f t="shared" si="70"/>
        <v>172</v>
      </c>
      <c r="H842" s="22">
        <f t="shared" si="67"/>
        <v>841</v>
      </c>
      <c r="I842" s="21">
        <f t="shared" ca="1" si="68"/>
        <v>0</v>
      </c>
      <c r="J842" s="21" t="str">
        <f ca="1">IF(I842=0,"",COUNTIF($I$2:I842,"&gt;0"))</f>
        <v/>
      </c>
      <c r="K842" s="21" t="str">
        <f t="shared" ca="1" si="69"/>
        <v/>
      </c>
    </row>
    <row r="843" spans="1:11" s="18" customFormat="1" ht="14.25" x14ac:dyDescent="0.2">
      <c r="A843" s="18" t="str">
        <f t="shared" si="63"/>
        <v>Eintrag 842</v>
      </c>
      <c r="B843" s="18">
        <v>100</v>
      </c>
      <c r="C843" s="19">
        <v>100</v>
      </c>
      <c r="D843" s="20">
        <v>10</v>
      </c>
      <c r="E843" s="20">
        <v>10</v>
      </c>
      <c r="F843" s="20">
        <v>10</v>
      </c>
      <c r="G843" s="19">
        <f t="shared" si="70"/>
        <v>172</v>
      </c>
      <c r="H843" s="22">
        <f t="shared" si="67"/>
        <v>842</v>
      </c>
      <c r="I843" s="21">
        <f t="shared" ca="1" si="68"/>
        <v>0</v>
      </c>
      <c r="J843" s="21" t="str">
        <f ca="1">IF(I843=0,"",COUNTIF($I$2:I843,"&gt;0"))</f>
        <v/>
      </c>
      <c r="K843" s="21" t="str">
        <f t="shared" ca="1" si="69"/>
        <v/>
      </c>
    </row>
    <row r="844" spans="1:11" s="18" customFormat="1" ht="14.25" x14ac:dyDescent="0.2">
      <c r="A844" s="18" t="str">
        <f t="shared" si="63"/>
        <v>Eintrag 843</v>
      </c>
      <c r="B844" s="18">
        <v>100</v>
      </c>
      <c r="C844" s="19">
        <v>100</v>
      </c>
      <c r="D844" s="20">
        <v>10</v>
      </c>
      <c r="E844" s="20">
        <v>10</v>
      </c>
      <c r="F844" s="20">
        <v>10</v>
      </c>
      <c r="G844" s="19">
        <f t="shared" si="70"/>
        <v>172</v>
      </c>
      <c r="H844" s="22">
        <f t="shared" si="67"/>
        <v>843</v>
      </c>
      <c r="I844" s="21">
        <f t="shared" ca="1" si="68"/>
        <v>0</v>
      </c>
      <c r="J844" s="21" t="str">
        <f ca="1">IF(I844=0,"",COUNTIF($I$2:I844,"&gt;0"))</f>
        <v/>
      </c>
      <c r="K844" s="21" t="str">
        <f t="shared" ca="1" si="69"/>
        <v/>
      </c>
    </row>
    <row r="845" spans="1:11" s="18" customFormat="1" ht="14.25" x14ac:dyDescent="0.2">
      <c r="A845" s="18" t="str">
        <f t="shared" si="63"/>
        <v>Eintrag 844</v>
      </c>
      <c r="B845" s="18">
        <v>100</v>
      </c>
      <c r="C845" s="19">
        <v>100</v>
      </c>
      <c r="D845" s="20">
        <v>10</v>
      </c>
      <c r="E845" s="20">
        <v>10</v>
      </c>
      <c r="F845" s="20">
        <v>10</v>
      </c>
      <c r="G845" s="19">
        <f t="shared" si="70"/>
        <v>172</v>
      </c>
      <c r="H845" s="22">
        <f t="shared" si="67"/>
        <v>844</v>
      </c>
      <c r="I845" s="21">
        <f t="shared" ca="1" si="68"/>
        <v>0</v>
      </c>
      <c r="J845" s="21" t="str">
        <f ca="1">IF(I845=0,"",COUNTIF($I$2:I845,"&gt;0"))</f>
        <v/>
      </c>
      <c r="K845" s="21" t="str">
        <f t="shared" ca="1" si="69"/>
        <v/>
      </c>
    </row>
    <row r="846" spans="1:11" s="18" customFormat="1" ht="14.25" x14ac:dyDescent="0.2">
      <c r="A846" s="18" t="str">
        <f t="shared" si="63"/>
        <v>Eintrag 845</v>
      </c>
      <c r="B846" s="18">
        <v>100</v>
      </c>
      <c r="C846" s="19">
        <v>100</v>
      </c>
      <c r="D846" s="20">
        <v>10</v>
      </c>
      <c r="E846" s="20">
        <v>10</v>
      </c>
      <c r="F846" s="20">
        <v>10</v>
      </c>
      <c r="G846" s="19">
        <f t="shared" si="70"/>
        <v>172</v>
      </c>
      <c r="H846" s="22">
        <f t="shared" si="67"/>
        <v>845</v>
      </c>
      <c r="I846" s="21">
        <f t="shared" ca="1" si="68"/>
        <v>0</v>
      </c>
      <c r="J846" s="21" t="str">
        <f ca="1">IF(I846=0,"",COUNTIF($I$2:I846,"&gt;0"))</f>
        <v/>
      </c>
      <c r="K846" s="21" t="str">
        <f t="shared" ca="1" si="69"/>
        <v/>
      </c>
    </row>
    <row r="847" spans="1:11" s="18" customFormat="1" ht="14.25" x14ac:dyDescent="0.2">
      <c r="A847" s="18" t="str">
        <f t="shared" si="63"/>
        <v>Eintrag 846</v>
      </c>
      <c r="B847" s="18">
        <v>100</v>
      </c>
      <c r="C847" s="19">
        <v>100</v>
      </c>
      <c r="D847" s="20">
        <v>10</v>
      </c>
      <c r="E847" s="20">
        <v>10</v>
      </c>
      <c r="F847" s="20">
        <v>10</v>
      </c>
      <c r="G847" s="19">
        <f t="shared" si="70"/>
        <v>172</v>
      </c>
      <c r="H847" s="22">
        <f t="shared" si="67"/>
        <v>846</v>
      </c>
      <c r="I847" s="21">
        <f t="shared" ca="1" si="68"/>
        <v>0</v>
      </c>
      <c r="J847" s="21" t="str">
        <f ca="1">IF(I847=0,"",COUNTIF($I$2:I847,"&gt;0"))</f>
        <v/>
      </c>
      <c r="K847" s="21" t="str">
        <f t="shared" ca="1" si="69"/>
        <v/>
      </c>
    </row>
    <row r="848" spans="1:11" s="18" customFormat="1" ht="14.25" x14ac:dyDescent="0.2">
      <c r="A848" s="18" t="str">
        <f t="shared" si="63"/>
        <v>Eintrag 847</v>
      </c>
      <c r="B848" s="18">
        <v>100</v>
      </c>
      <c r="C848" s="19">
        <v>100</v>
      </c>
      <c r="D848" s="20">
        <v>10</v>
      </c>
      <c r="E848" s="20">
        <v>10</v>
      </c>
      <c r="F848" s="20">
        <v>10</v>
      </c>
      <c r="G848" s="19">
        <f t="shared" si="70"/>
        <v>172</v>
      </c>
      <c r="H848" s="22">
        <f t="shared" si="67"/>
        <v>847</v>
      </c>
      <c r="I848" s="21">
        <f t="shared" ca="1" si="68"/>
        <v>0</v>
      </c>
      <c r="J848" s="21" t="str">
        <f ca="1">IF(I848=0,"",COUNTIF($I$2:I848,"&gt;0"))</f>
        <v/>
      </c>
      <c r="K848" s="21" t="str">
        <f t="shared" ca="1" si="69"/>
        <v/>
      </c>
    </row>
    <row r="849" spans="1:11" s="18" customFormat="1" ht="14.25" x14ac:dyDescent="0.2">
      <c r="A849" s="18" t="str">
        <f t="shared" si="63"/>
        <v>Eintrag 848</v>
      </c>
      <c r="B849" s="18">
        <v>100</v>
      </c>
      <c r="C849" s="19">
        <v>100</v>
      </c>
      <c r="D849" s="20">
        <v>10</v>
      </c>
      <c r="E849" s="20">
        <v>10</v>
      </c>
      <c r="F849" s="20">
        <v>10</v>
      </c>
      <c r="G849" s="19">
        <f t="shared" si="70"/>
        <v>172</v>
      </c>
      <c r="H849" s="22">
        <f t="shared" si="67"/>
        <v>848</v>
      </c>
      <c r="I849" s="21">
        <f t="shared" ca="1" si="68"/>
        <v>0</v>
      </c>
      <c r="J849" s="21" t="str">
        <f ca="1">IF(I849=0,"",COUNTIF($I$2:I849,"&gt;0"))</f>
        <v/>
      </c>
      <c r="K849" s="21" t="str">
        <f t="shared" ca="1" si="69"/>
        <v/>
      </c>
    </row>
    <row r="850" spans="1:11" s="18" customFormat="1" ht="14.25" x14ac:dyDescent="0.2">
      <c r="A850" s="18" t="str">
        <f t="shared" si="63"/>
        <v>Eintrag 849</v>
      </c>
      <c r="B850" s="18">
        <v>100</v>
      </c>
      <c r="C850" s="19">
        <v>100</v>
      </c>
      <c r="D850" s="20">
        <v>10</v>
      </c>
      <c r="E850" s="20">
        <v>10</v>
      </c>
      <c r="F850" s="20">
        <v>10</v>
      </c>
      <c r="G850" s="19">
        <f t="shared" si="70"/>
        <v>172</v>
      </c>
      <c r="H850" s="22">
        <f t="shared" si="67"/>
        <v>849</v>
      </c>
      <c r="I850" s="21">
        <f t="shared" ca="1" si="68"/>
        <v>0</v>
      </c>
      <c r="J850" s="21" t="str">
        <f ca="1">IF(I850=0,"",COUNTIF($I$2:I850,"&gt;0"))</f>
        <v/>
      </c>
      <c r="K850" s="21" t="str">
        <f t="shared" ca="1" si="69"/>
        <v/>
      </c>
    </row>
    <row r="851" spans="1:11" s="18" customFormat="1" ht="14.25" x14ac:dyDescent="0.2">
      <c r="A851" s="18" t="str">
        <f t="shared" si="63"/>
        <v>Eintrag 850</v>
      </c>
      <c r="B851" s="18">
        <v>100</v>
      </c>
      <c r="C851" s="19">
        <v>100</v>
      </c>
      <c r="D851" s="20">
        <v>10</v>
      </c>
      <c r="E851" s="20">
        <v>10</v>
      </c>
      <c r="F851" s="20">
        <v>10</v>
      </c>
      <c r="G851" s="19">
        <f t="shared" si="70"/>
        <v>172</v>
      </c>
      <c r="H851" s="22">
        <f t="shared" si="67"/>
        <v>850</v>
      </c>
      <c r="I851" s="21">
        <f t="shared" ca="1" si="68"/>
        <v>0</v>
      </c>
      <c r="J851" s="21" t="str">
        <f ca="1">IF(I851=0,"",COUNTIF($I$2:I851,"&gt;0"))</f>
        <v/>
      </c>
      <c r="K851" s="21" t="str">
        <f t="shared" ca="1" si="69"/>
        <v/>
      </c>
    </row>
    <row r="852" spans="1:11" s="18" customFormat="1" ht="14.25" x14ac:dyDescent="0.2">
      <c r="A852" s="18" t="str">
        <f t="shared" si="63"/>
        <v>Eintrag 851</v>
      </c>
      <c r="B852" s="18">
        <v>100</v>
      </c>
      <c r="C852" s="19">
        <v>100</v>
      </c>
      <c r="D852" s="20">
        <v>10</v>
      </c>
      <c r="E852" s="20">
        <v>10</v>
      </c>
      <c r="F852" s="20">
        <v>10</v>
      </c>
      <c r="G852" s="19">
        <f t="shared" si="70"/>
        <v>172</v>
      </c>
      <c r="H852" s="22">
        <f t="shared" si="67"/>
        <v>851</v>
      </c>
      <c r="I852" s="21">
        <f t="shared" ca="1" si="68"/>
        <v>0</v>
      </c>
      <c r="J852" s="21" t="str">
        <f ca="1">IF(I852=0,"",COUNTIF($I$2:I852,"&gt;0"))</f>
        <v/>
      </c>
      <c r="K852" s="21" t="str">
        <f t="shared" ca="1" si="69"/>
        <v/>
      </c>
    </row>
    <row r="853" spans="1:11" s="18" customFormat="1" ht="14.25" x14ac:dyDescent="0.2">
      <c r="A853" s="18" t="str">
        <f t="shared" si="63"/>
        <v>Eintrag 852</v>
      </c>
      <c r="B853" s="18">
        <v>100</v>
      </c>
      <c r="C853" s="19">
        <v>100</v>
      </c>
      <c r="D853" s="20">
        <v>10</v>
      </c>
      <c r="E853" s="20">
        <v>10</v>
      </c>
      <c r="F853" s="20">
        <v>10</v>
      </c>
      <c r="G853" s="19">
        <f t="shared" si="70"/>
        <v>172</v>
      </c>
      <c r="H853" s="22">
        <f t="shared" si="67"/>
        <v>852</v>
      </c>
      <c r="I853" s="21">
        <f t="shared" ca="1" si="68"/>
        <v>0</v>
      </c>
      <c r="J853" s="21" t="str">
        <f ca="1">IF(I853=0,"",COUNTIF($I$2:I853,"&gt;0"))</f>
        <v/>
      </c>
      <c r="K853" s="21" t="str">
        <f t="shared" ca="1" si="69"/>
        <v/>
      </c>
    </row>
    <row r="854" spans="1:11" s="18" customFormat="1" ht="14.25" x14ac:dyDescent="0.2">
      <c r="A854" s="18" t="str">
        <f t="shared" si="63"/>
        <v>Eintrag 853</v>
      </c>
      <c r="B854" s="18">
        <v>100</v>
      </c>
      <c r="C854" s="19">
        <v>100</v>
      </c>
      <c r="D854" s="20">
        <v>10</v>
      </c>
      <c r="E854" s="20">
        <v>10</v>
      </c>
      <c r="F854" s="20">
        <v>10</v>
      </c>
      <c r="G854" s="19">
        <f t="shared" si="70"/>
        <v>172</v>
      </c>
      <c r="H854" s="22">
        <f t="shared" si="67"/>
        <v>853</v>
      </c>
      <c r="I854" s="21">
        <f t="shared" ca="1" si="68"/>
        <v>0</v>
      </c>
      <c r="J854" s="21" t="str">
        <f ca="1">IF(I854=0,"",COUNTIF($I$2:I854,"&gt;0"))</f>
        <v/>
      </c>
      <c r="K854" s="21" t="str">
        <f t="shared" ca="1" si="69"/>
        <v/>
      </c>
    </row>
    <row r="855" spans="1:11" s="18" customFormat="1" ht="14.25" x14ac:dyDescent="0.2">
      <c r="A855" s="18" t="str">
        <f t="shared" si="63"/>
        <v>Eintrag 854</v>
      </c>
      <c r="B855" s="18">
        <v>100</v>
      </c>
      <c r="C855" s="19">
        <v>100</v>
      </c>
      <c r="D855" s="20">
        <v>10</v>
      </c>
      <c r="E855" s="20">
        <v>10</v>
      </c>
      <c r="F855" s="20">
        <v>10</v>
      </c>
      <c r="G855" s="19">
        <f t="shared" si="70"/>
        <v>172</v>
      </c>
      <c r="H855" s="22">
        <f t="shared" si="67"/>
        <v>854</v>
      </c>
      <c r="I855" s="21">
        <f t="shared" ca="1" si="68"/>
        <v>0</v>
      </c>
      <c r="J855" s="21" t="str">
        <f ca="1">IF(I855=0,"",COUNTIF($I$2:I855,"&gt;0"))</f>
        <v/>
      </c>
      <c r="K855" s="21" t="str">
        <f t="shared" ca="1" si="69"/>
        <v/>
      </c>
    </row>
    <row r="856" spans="1:11" s="18" customFormat="1" ht="14.25" x14ac:dyDescent="0.2">
      <c r="A856" s="18" t="str">
        <f t="shared" si="63"/>
        <v>Eintrag 855</v>
      </c>
      <c r="B856" s="18">
        <v>100</v>
      </c>
      <c r="C856" s="19">
        <v>100</v>
      </c>
      <c r="D856" s="20">
        <v>10</v>
      </c>
      <c r="E856" s="20">
        <v>10</v>
      </c>
      <c r="F856" s="20">
        <v>10</v>
      </c>
      <c r="G856" s="19">
        <f t="shared" si="70"/>
        <v>172</v>
      </c>
      <c r="H856" s="22">
        <f t="shared" si="67"/>
        <v>855</v>
      </c>
      <c r="I856" s="21">
        <f t="shared" ca="1" si="68"/>
        <v>0</v>
      </c>
      <c r="J856" s="21" t="str">
        <f ca="1">IF(I856=0,"",COUNTIF($I$2:I856,"&gt;0"))</f>
        <v/>
      </c>
      <c r="K856" s="21" t="str">
        <f t="shared" ca="1" si="69"/>
        <v/>
      </c>
    </row>
    <row r="857" spans="1:11" s="18" customFormat="1" ht="14.25" x14ac:dyDescent="0.2">
      <c r="A857" s="18" t="str">
        <f t="shared" si="63"/>
        <v>Eintrag 856</v>
      </c>
      <c r="B857" s="18">
        <v>100</v>
      </c>
      <c r="C857" s="19">
        <v>100</v>
      </c>
      <c r="D857" s="20">
        <v>10</v>
      </c>
      <c r="E857" s="20">
        <v>10</v>
      </c>
      <c r="F857" s="20">
        <v>10</v>
      </c>
      <c r="G857" s="19">
        <f t="shared" si="70"/>
        <v>172</v>
      </c>
      <c r="H857" s="22">
        <f t="shared" si="67"/>
        <v>856</v>
      </c>
      <c r="I857" s="21">
        <f t="shared" ca="1" si="68"/>
        <v>0</v>
      </c>
      <c r="J857" s="21" t="str">
        <f ca="1">IF(I857=0,"",COUNTIF($I$2:I857,"&gt;0"))</f>
        <v/>
      </c>
      <c r="K857" s="21" t="str">
        <f t="shared" ca="1" si="69"/>
        <v/>
      </c>
    </row>
    <row r="858" spans="1:11" s="18" customFormat="1" ht="14.25" x14ac:dyDescent="0.2">
      <c r="A858" s="18" t="str">
        <f t="shared" si="63"/>
        <v>Eintrag 857</v>
      </c>
      <c r="B858" s="18">
        <v>100</v>
      </c>
      <c r="C858" s="19">
        <v>100</v>
      </c>
      <c r="D858" s="20">
        <v>10</v>
      </c>
      <c r="E858" s="20">
        <v>10</v>
      </c>
      <c r="F858" s="20">
        <v>10</v>
      </c>
      <c r="G858" s="19">
        <f t="shared" si="70"/>
        <v>172</v>
      </c>
      <c r="H858" s="22">
        <f t="shared" si="67"/>
        <v>857</v>
      </c>
      <c r="I858" s="21">
        <f t="shared" ca="1" si="68"/>
        <v>0</v>
      </c>
      <c r="J858" s="21" t="str">
        <f ca="1">IF(I858=0,"",COUNTIF($I$2:I858,"&gt;0"))</f>
        <v/>
      </c>
      <c r="K858" s="21" t="str">
        <f t="shared" ca="1" si="69"/>
        <v/>
      </c>
    </row>
    <row r="859" spans="1:11" s="18" customFormat="1" ht="14.25" x14ac:dyDescent="0.2">
      <c r="A859" s="18" t="str">
        <f t="shared" si="63"/>
        <v>Eintrag 858</v>
      </c>
      <c r="B859" s="18">
        <v>100</v>
      </c>
      <c r="C859" s="19">
        <v>100</v>
      </c>
      <c r="D859" s="20">
        <v>10</v>
      </c>
      <c r="E859" s="20">
        <v>10</v>
      </c>
      <c r="F859" s="20">
        <v>10</v>
      </c>
      <c r="G859" s="19">
        <f t="shared" si="70"/>
        <v>172</v>
      </c>
      <c r="H859" s="22">
        <f t="shared" si="67"/>
        <v>858</v>
      </c>
      <c r="I859" s="21">
        <f t="shared" ca="1" si="68"/>
        <v>0</v>
      </c>
      <c r="J859" s="21" t="str">
        <f ca="1">IF(I859=0,"",COUNTIF($I$2:I859,"&gt;0"))</f>
        <v/>
      </c>
      <c r="K859" s="21" t="str">
        <f t="shared" ca="1" si="69"/>
        <v/>
      </c>
    </row>
    <row r="860" spans="1:11" s="18" customFormat="1" ht="14.25" x14ac:dyDescent="0.2">
      <c r="A860" s="18" t="str">
        <f t="shared" si="63"/>
        <v>Eintrag 859</v>
      </c>
      <c r="B860" s="18">
        <v>100</v>
      </c>
      <c r="C860" s="19">
        <v>100</v>
      </c>
      <c r="D860" s="20">
        <v>10</v>
      </c>
      <c r="E860" s="20">
        <v>10</v>
      </c>
      <c r="F860" s="20">
        <v>10</v>
      </c>
      <c r="G860" s="19">
        <f t="shared" si="70"/>
        <v>172</v>
      </c>
      <c r="H860" s="22">
        <f t="shared" si="67"/>
        <v>859</v>
      </c>
      <c r="I860" s="21">
        <f t="shared" ca="1" si="68"/>
        <v>0</v>
      </c>
      <c r="J860" s="21" t="str">
        <f ca="1">IF(I860=0,"",COUNTIF($I$2:I860,"&gt;0"))</f>
        <v/>
      </c>
      <c r="K860" s="21" t="str">
        <f t="shared" ca="1" si="69"/>
        <v/>
      </c>
    </row>
    <row r="861" spans="1:11" s="18" customFormat="1" ht="14.25" x14ac:dyDescent="0.2">
      <c r="A861" s="18" t="str">
        <f t="shared" si="63"/>
        <v>Eintrag 860</v>
      </c>
      <c r="B861" s="18">
        <v>100</v>
      </c>
      <c r="C861" s="19">
        <v>100</v>
      </c>
      <c r="D861" s="20">
        <v>10</v>
      </c>
      <c r="E861" s="20">
        <v>10</v>
      </c>
      <c r="F861" s="20">
        <v>10</v>
      </c>
      <c r="G861" s="19">
        <f t="shared" si="70"/>
        <v>172</v>
      </c>
      <c r="H861" s="22">
        <f t="shared" si="67"/>
        <v>860</v>
      </c>
      <c r="I861" s="21">
        <f t="shared" ca="1" si="68"/>
        <v>0</v>
      </c>
      <c r="J861" s="21" t="str">
        <f ca="1">IF(I861=0,"",COUNTIF($I$2:I861,"&gt;0"))</f>
        <v/>
      </c>
      <c r="K861" s="21" t="str">
        <f t="shared" ca="1" si="69"/>
        <v/>
      </c>
    </row>
    <row r="862" spans="1:11" s="18" customFormat="1" ht="14.25" x14ac:dyDescent="0.2">
      <c r="A862" s="18" t="str">
        <f t="shared" si="63"/>
        <v>Eintrag 861</v>
      </c>
      <c r="B862" s="18">
        <v>100</v>
      </c>
      <c r="C862" s="19">
        <v>100</v>
      </c>
      <c r="D862" s="20">
        <v>10</v>
      </c>
      <c r="E862" s="20">
        <v>10</v>
      </c>
      <c r="F862" s="20">
        <v>10</v>
      </c>
      <c r="G862" s="19">
        <f t="shared" si="70"/>
        <v>172</v>
      </c>
      <c r="H862" s="22">
        <f t="shared" si="67"/>
        <v>861</v>
      </c>
      <c r="I862" s="21">
        <f t="shared" ca="1" si="68"/>
        <v>0</v>
      </c>
      <c r="J862" s="21" t="str">
        <f ca="1">IF(I862=0,"",COUNTIF($I$2:I862,"&gt;0"))</f>
        <v/>
      </c>
      <c r="K862" s="21" t="str">
        <f t="shared" ca="1" si="69"/>
        <v/>
      </c>
    </row>
    <row r="863" spans="1:11" s="18" customFormat="1" ht="14.25" x14ac:dyDescent="0.2">
      <c r="A863" s="18" t="str">
        <f t="shared" si="63"/>
        <v>Eintrag 862</v>
      </c>
      <c r="B863" s="18">
        <v>100</v>
      </c>
      <c r="C863" s="19">
        <v>100</v>
      </c>
      <c r="D863" s="20">
        <v>10</v>
      </c>
      <c r="E863" s="20">
        <v>10</v>
      </c>
      <c r="F863" s="20">
        <v>10</v>
      </c>
      <c r="G863" s="19">
        <f t="shared" si="70"/>
        <v>172</v>
      </c>
      <c r="H863" s="22">
        <f t="shared" si="67"/>
        <v>862</v>
      </c>
      <c r="I863" s="21">
        <f t="shared" ca="1" si="68"/>
        <v>0</v>
      </c>
      <c r="J863" s="21" t="str">
        <f ca="1">IF(I863=0,"",COUNTIF($I$2:I863,"&gt;0"))</f>
        <v/>
      </c>
      <c r="K863" s="21" t="str">
        <f t="shared" ca="1" si="69"/>
        <v/>
      </c>
    </row>
    <row r="864" spans="1:11" s="18" customFormat="1" ht="14.25" x14ac:dyDescent="0.2">
      <c r="A864" s="18" t="str">
        <f t="shared" si="63"/>
        <v>Eintrag 863</v>
      </c>
      <c r="B864" s="18">
        <v>100</v>
      </c>
      <c r="C864" s="19">
        <v>100</v>
      </c>
      <c r="D864" s="20">
        <v>10</v>
      </c>
      <c r="E864" s="20">
        <v>10</v>
      </c>
      <c r="F864" s="20">
        <v>10</v>
      </c>
      <c r="G864" s="19">
        <f t="shared" si="70"/>
        <v>172</v>
      </c>
      <c r="H864" s="22">
        <f t="shared" si="67"/>
        <v>863</v>
      </c>
      <c r="I864" s="21">
        <f t="shared" ca="1" si="68"/>
        <v>0</v>
      </c>
      <c r="J864" s="21" t="str">
        <f ca="1">IF(I864=0,"",COUNTIF($I$2:I864,"&gt;0"))</f>
        <v/>
      </c>
      <c r="K864" s="21" t="str">
        <f t="shared" ca="1" si="69"/>
        <v/>
      </c>
    </row>
    <row r="865" spans="1:11" s="18" customFormat="1" ht="14.25" x14ac:dyDescent="0.2">
      <c r="A865" s="18" t="str">
        <f t="shared" si="63"/>
        <v>Eintrag 864</v>
      </c>
      <c r="B865" s="18">
        <v>100</v>
      </c>
      <c r="C865" s="19">
        <v>100</v>
      </c>
      <c r="D865" s="20">
        <v>10</v>
      </c>
      <c r="E865" s="20">
        <v>10</v>
      </c>
      <c r="F865" s="20">
        <v>10</v>
      </c>
      <c r="G865" s="19">
        <f t="shared" si="70"/>
        <v>172</v>
      </c>
      <c r="H865" s="22">
        <f t="shared" si="67"/>
        <v>864</v>
      </c>
      <c r="I865" s="21">
        <f t="shared" ca="1" si="68"/>
        <v>0</v>
      </c>
      <c r="J865" s="21" t="str">
        <f ca="1">IF(I865=0,"",COUNTIF($I$2:I865,"&gt;0"))</f>
        <v/>
      </c>
      <c r="K865" s="21" t="str">
        <f t="shared" ca="1" si="69"/>
        <v/>
      </c>
    </row>
    <row r="866" spans="1:11" s="18" customFormat="1" ht="14.25" x14ac:dyDescent="0.2">
      <c r="A866" s="18" t="str">
        <f t="shared" si="63"/>
        <v>Eintrag 865</v>
      </c>
      <c r="B866" s="18">
        <v>100</v>
      </c>
      <c r="C866" s="19">
        <v>100</v>
      </c>
      <c r="D866" s="20">
        <v>10</v>
      </c>
      <c r="E866" s="20">
        <v>10</v>
      </c>
      <c r="F866" s="20">
        <v>10</v>
      </c>
      <c r="G866" s="19">
        <f t="shared" si="70"/>
        <v>172</v>
      </c>
      <c r="H866" s="22">
        <f t="shared" si="67"/>
        <v>865</v>
      </c>
      <c r="I866" s="21">
        <f t="shared" ca="1" si="68"/>
        <v>0</v>
      </c>
      <c r="J866" s="21" t="str">
        <f ca="1">IF(I866=0,"",COUNTIF($I$2:I866,"&gt;0"))</f>
        <v/>
      </c>
      <c r="K866" s="21" t="str">
        <f t="shared" ca="1" si="69"/>
        <v/>
      </c>
    </row>
    <row r="867" spans="1:11" s="18" customFormat="1" ht="14.25" x14ac:dyDescent="0.2">
      <c r="A867" s="18" t="str">
        <f t="shared" si="63"/>
        <v>Eintrag 866</v>
      </c>
      <c r="B867" s="18">
        <v>100</v>
      </c>
      <c r="C867" s="19">
        <v>100</v>
      </c>
      <c r="D867" s="20">
        <v>10</v>
      </c>
      <c r="E867" s="20">
        <v>10</v>
      </c>
      <c r="F867" s="20">
        <v>10</v>
      </c>
      <c r="G867" s="19">
        <f t="shared" si="70"/>
        <v>172</v>
      </c>
      <c r="H867" s="22">
        <f t="shared" si="67"/>
        <v>866</v>
      </c>
      <c r="I867" s="21">
        <f t="shared" ca="1" si="68"/>
        <v>0</v>
      </c>
      <c r="J867" s="21" t="str">
        <f ca="1">IF(I867=0,"",COUNTIF($I$2:I867,"&gt;0"))</f>
        <v/>
      </c>
      <c r="K867" s="21" t="str">
        <f t="shared" ca="1" si="69"/>
        <v/>
      </c>
    </row>
    <row r="868" spans="1:11" s="18" customFormat="1" ht="14.25" x14ac:dyDescent="0.2">
      <c r="A868" s="18" t="str">
        <f t="shared" si="63"/>
        <v>Eintrag 867</v>
      </c>
      <c r="B868" s="18">
        <v>100</v>
      </c>
      <c r="C868" s="19">
        <v>100</v>
      </c>
      <c r="D868" s="20">
        <v>10</v>
      </c>
      <c r="E868" s="20">
        <v>10</v>
      </c>
      <c r="F868" s="20">
        <v>10</v>
      </c>
      <c r="G868" s="19">
        <f t="shared" si="70"/>
        <v>172</v>
      </c>
      <c r="H868" s="22">
        <f t="shared" si="67"/>
        <v>867</v>
      </c>
      <c r="I868" s="21">
        <f t="shared" ca="1" si="68"/>
        <v>0</v>
      </c>
      <c r="J868" s="21" t="str">
        <f ca="1">IF(I868=0,"",COUNTIF($I$2:I868,"&gt;0"))</f>
        <v/>
      </c>
      <c r="K868" s="21" t="str">
        <f t="shared" ca="1" si="69"/>
        <v/>
      </c>
    </row>
    <row r="869" spans="1:11" s="18" customFormat="1" ht="14.25" x14ac:dyDescent="0.2">
      <c r="A869" s="18" t="str">
        <f t="shared" si="63"/>
        <v>Eintrag 868</v>
      </c>
      <c r="B869" s="18">
        <v>100</v>
      </c>
      <c r="C869" s="19">
        <v>100</v>
      </c>
      <c r="D869" s="20">
        <v>10</v>
      </c>
      <c r="E869" s="20">
        <v>10</v>
      </c>
      <c r="F869" s="20">
        <v>10</v>
      </c>
      <c r="G869" s="19">
        <f t="shared" si="70"/>
        <v>172</v>
      </c>
      <c r="H869" s="22">
        <f t="shared" ref="H869:H932" si="71">H868+1</f>
        <v>868</v>
      </c>
      <c r="I869" s="21">
        <f t="shared" ca="1" si="68"/>
        <v>0</v>
      </c>
      <c r="J869" s="21" t="str">
        <f ca="1">IF(I869=0,"",COUNTIF($I$2:I869,"&gt;0"))</f>
        <v/>
      </c>
      <c r="K869" s="21" t="str">
        <f t="shared" ca="1" si="69"/>
        <v/>
      </c>
    </row>
    <row r="870" spans="1:11" s="18" customFormat="1" ht="14.25" x14ac:dyDescent="0.2">
      <c r="A870" s="18" t="str">
        <f t="shared" si="63"/>
        <v>Eintrag 869</v>
      </c>
      <c r="B870" s="18">
        <v>100</v>
      </c>
      <c r="C870" s="19">
        <v>100</v>
      </c>
      <c r="D870" s="20">
        <v>10</v>
      </c>
      <c r="E870" s="20">
        <v>10</v>
      </c>
      <c r="F870" s="20">
        <v>10</v>
      </c>
      <c r="G870" s="19">
        <f t="shared" si="70"/>
        <v>172</v>
      </c>
      <c r="H870" s="22">
        <f t="shared" si="71"/>
        <v>869</v>
      </c>
      <c r="I870" s="21">
        <f t="shared" ca="1" si="68"/>
        <v>0</v>
      </c>
      <c r="J870" s="21" t="str">
        <f ca="1">IF(I870=0,"",COUNTIF($I$2:I870,"&gt;0"))</f>
        <v/>
      </c>
      <c r="K870" s="21" t="str">
        <f t="shared" ca="1" si="69"/>
        <v/>
      </c>
    </row>
    <row r="871" spans="1:11" s="18" customFormat="1" ht="14.25" x14ac:dyDescent="0.2">
      <c r="A871" s="18" t="str">
        <f t="shared" si="63"/>
        <v>Eintrag 870</v>
      </c>
      <c r="B871" s="18">
        <v>100</v>
      </c>
      <c r="C871" s="19">
        <v>100</v>
      </c>
      <c r="D871" s="20">
        <v>10</v>
      </c>
      <c r="E871" s="20">
        <v>10</v>
      </c>
      <c r="F871" s="20">
        <v>10</v>
      </c>
      <c r="G871" s="19">
        <f t="shared" si="70"/>
        <v>172</v>
      </c>
      <c r="H871" s="22">
        <f t="shared" si="71"/>
        <v>870</v>
      </c>
      <c r="I871" s="21">
        <f t="shared" ca="1" si="68"/>
        <v>0</v>
      </c>
      <c r="J871" s="21" t="str">
        <f ca="1">IF(I871=0,"",COUNTIF($I$2:I871,"&gt;0"))</f>
        <v/>
      </c>
      <c r="K871" s="21" t="str">
        <f t="shared" ca="1" si="69"/>
        <v/>
      </c>
    </row>
    <row r="872" spans="1:11" s="18" customFormat="1" ht="14.25" x14ac:dyDescent="0.2">
      <c r="A872" s="18" t="str">
        <f t="shared" si="63"/>
        <v>Eintrag 871</v>
      </c>
      <c r="B872" s="18">
        <v>100</v>
      </c>
      <c r="C872" s="19">
        <v>100</v>
      </c>
      <c r="D872" s="20">
        <v>10</v>
      </c>
      <c r="E872" s="20">
        <v>10</v>
      </c>
      <c r="F872" s="20">
        <v>10</v>
      </c>
      <c r="G872" s="19">
        <f t="shared" si="70"/>
        <v>172</v>
      </c>
      <c r="H872" s="22">
        <f t="shared" si="71"/>
        <v>871</v>
      </c>
      <c r="I872" s="21">
        <f t="shared" ca="1" si="68"/>
        <v>0</v>
      </c>
      <c r="J872" s="21" t="str">
        <f ca="1">IF(I872=0,"",COUNTIF($I$2:I872,"&gt;0"))</f>
        <v/>
      </c>
      <c r="K872" s="21" t="str">
        <f t="shared" ca="1" si="69"/>
        <v/>
      </c>
    </row>
    <row r="873" spans="1:11" s="18" customFormat="1" ht="14.25" x14ac:dyDescent="0.2">
      <c r="A873" s="18" t="str">
        <f t="shared" si="63"/>
        <v>Eintrag 872</v>
      </c>
      <c r="B873" s="18">
        <v>100</v>
      </c>
      <c r="C873" s="19">
        <v>100</v>
      </c>
      <c r="D873" s="20">
        <v>10</v>
      </c>
      <c r="E873" s="20">
        <v>10</v>
      </c>
      <c r="F873" s="20">
        <v>10</v>
      </c>
      <c r="G873" s="19">
        <f t="shared" si="70"/>
        <v>172</v>
      </c>
      <c r="H873" s="22">
        <f t="shared" si="71"/>
        <v>872</v>
      </c>
      <c r="I873" s="21">
        <f t="shared" ca="1" si="68"/>
        <v>0</v>
      </c>
      <c r="J873" s="21" t="str">
        <f ca="1">IF(I873=0,"",COUNTIF($I$2:I873,"&gt;0"))</f>
        <v/>
      </c>
      <c r="K873" s="21" t="str">
        <f t="shared" ca="1" si="69"/>
        <v/>
      </c>
    </row>
    <row r="874" spans="1:11" s="18" customFormat="1" ht="14.25" x14ac:dyDescent="0.2">
      <c r="A874" s="18" t="str">
        <f t="shared" si="63"/>
        <v>Eintrag 873</v>
      </c>
      <c r="B874" s="18">
        <v>100</v>
      </c>
      <c r="C874" s="19">
        <v>100</v>
      </c>
      <c r="D874" s="20">
        <v>10</v>
      </c>
      <c r="E874" s="20">
        <v>10</v>
      </c>
      <c r="F874" s="20">
        <v>10</v>
      </c>
      <c r="G874" s="19">
        <f t="shared" si="70"/>
        <v>172</v>
      </c>
      <c r="H874" s="22">
        <f t="shared" si="71"/>
        <v>873</v>
      </c>
      <c r="I874" s="21">
        <f t="shared" ca="1" si="68"/>
        <v>0</v>
      </c>
      <c r="J874" s="21" t="str">
        <f ca="1">IF(I874=0,"",COUNTIF($I$2:I874,"&gt;0"))</f>
        <v/>
      </c>
      <c r="K874" s="21" t="str">
        <f t="shared" ca="1" si="69"/>
        <v/>
      </c>
    </row>
    <row r="875" spans="1:11" s="18" customFormat="1" ht="14.25" x14ac:dyDescent="0.2">
      <c r="A875" s="18" t="str">
        <f t="shared" si="63"/>
        <v>Eintrag 874</v>
      </c>
      <c r="B875" s="18">
        <v>100</v>
      </c>
      <c r="C875" s="19">
        <v>100</v>
      </c>
      <c r="D875" s="20">
        <v>10</v>
      </c>
      <c r="E875" s="20">
        <v>10</v>
      </c>
      <c r="F875" s="20">
        <v>10</v>
      </c>
      <c r="G875" s="19">
        <f t="shared" si="70"/>
        <v>172</v>
      </c>
      <c r="H875" s="22">
        <f t="shared" si="71"/>
        <v>874</v>
      </c>
      <c r="I875" s="21">
        <f t="shared" ca="1" si="68"/>
        <v>0</v>
      </c>
      <c r="J875" s="21" t="str">
        <f ca="1">IF(I875=0,"",COUNTIF($I$2:I875,"&gt;0"))</f>
        <v/>
      </c>
      <c r="K875" s="21" t="str">
        <f t="shared" ca="1" si="69"/>
        <v/>
      </c>
    </row>
    <row r="876" spans="1:11" s="18" customFormat="1" ht="14.25" x14ac:dyDescent="0.2">
      <c r="A876" s="18" t="str">
        <f t="shared" si="63"/>
        <v>Eintrag 875</v>
      </c>
      <c r="B876" s="18">
        <v>100</v>
      </c>
      <c r="C876" s="19">
        <v>100</v>
      </c>
      <c r="D876" s="20">
        <v>10</v>
      </c>
      <c r="E876" s="20">
        <v>10</v>
      </c>
      <c r="F876" s="20">
        <v>10</v>
      </c>
      <c r="G876" s="19">
        <f t="shared" si="70"/>
        <v>172</v>
      </c>
      <c r="H876" s="22">
        <f t="shared" si="71"/>
        <v>875</v>
      </c>
      <c r="I876" s="21">
        <f t="shared" ca="1" si="68"/>
        <v>0</v>
      </c>
      <c r="J876" s="21" t="str">
        <f ca="1">IF(I876=0,"",COUNTIF($I$2:I876,"&gt;0"))</f>
        <v/>
      </c>
      <c r="K876" s="21" t="str">
        <f t="shared" ca="1" si="69"/>
        <v/>
      </c>
    </row>
    <row r="877" spans="1:11" s="18" customFormat="1" ht="14.25" x14ac:dyDescent="0.2">
      <c r="A877" s="18" t="str">
        <f t="shared" si="63"/>
        <v>Eintrag 876</v>
      </c>
      <c r="B877" s="18">
        <v>100</v>
      </c>
      <c r="C877" s="19">
        <v>100</v>
      </c>
      <c r="D877" s="20">
        <v>10</v>
      </c>
      <c r="E877" s="20">
        <v>10</v>
      </c>
      <c r="F877" s="20">
        <v>10</v>
      </c>
      <c r="G877" s="19">
        <f t="shared" si="70"/>
        <v>172</v>
      </c>
      <c r="H877" s="22">
        <f t="shared" si="71"/>
        <v>876</v>
      </c>
      <c r="I877" s="21">
        <f t="shared" ca="1" si="68"/>
        <v>0</v>
      </c>
      <c r="J877" s="21" t="str">
        <f ca="1">IF(I877=0,"",COUNTIF($I$2:I877,"&gt;0"))</f>
        <v/>
      </c>
      <c r="K877" s="21" t="str">
        <f t="shared" ca="1" si="69"/>
        <v/>
      </c>
    </row>
    <row r="878" spans="1:11" s="18" customFormat="1" ht="14.25" x14ac:dyDescent="0.2">
      <c r="A878" s="18" t="str">
        <f t="shared" si="63"/>
        <v>Eintrag 877</v>
      </c>
      <c r="B878" s="18">
        <v>100</v>
      </c>
      <c r="C878" s="19">
        <v>100</v>
      </c>
      <c r="D878" s="20">
        <v>10</v>
      </c>
      <c r="E878" s="20">
        <v>10</v>
      </c>
      <c r="F878" s="20">
        <v>10</v>
      </c>
      <c r="G878" s="19">
        <f t="shared" si="70"/>
        <v>172</v>
      </c>
      <c r="H878" s="22">
        <f t="shared" si="71"/>
        <v>877</v>
      </c>
      <c r="I878" s="21">
        <f t="shared" ca="1" si="68"/>
        <v>0</v>
      </c>
      <c r="J878" s="21" t="str">
        <f ca="1">IF(I878=0,"",COUNTIF($I$2:I878,"&gt;0"))</f>
        <v/>
      </c>
      <c r="K878" s="21" t="str">
        <f t="shared" ca="1" si="69"/>
        <v/>
      </c>
    </row>
    <row r="879" spans="1:11" s="18" customFormat="1" ht="14.25" x14ac:dyDescent="0.2">
      <c r="A879" s="18" t="str">
        <f t="shared" si="63"/>
        <v>Eintrag 878</v>
      </c>
      <c r="B879" s="18">
        <v>100</v>
      </c>
      <c r="C879" s="19">
        <v>100</v>
      </c>
      <c r="D879" s="20">
        <v>10</v>
      </c>
      <c r="E879" s="20">
        <v>10</v>
      </c>
      <c r="F879" s="20">
        <v>10</v>
      </c>
      <c r="G879" s="19">
        <f t="shared" si="70"/>
        <v>172</v>
      </c>
      <c r="H879" s="22">
        <f t="shared" si="71"/>
        <v>878</v>
      </c>
      <c r="I879" s="21">
        <f t="shared" ca="1" si="68"/>
        <v>0</v>
      </c>
      <c r="J879" s="21" t="str">
        <f ca="1">IF(I879=0,"",COUNTIF($I$2:I879,"&gt;0"))</f>
        <v/>
      </c>
      <c r="K879" s="21" t="str">
        <f t="shared" ca="1" si="69"/>
        <v/>
      </c>
    </row>
    <row r="880" spans="1:11" s="18" customFormat="1" ht="14.25" x14ac:dyDescent="0.2">
      <c r="A880" s="18" t="str">
        <f t="shared" si="63"/>
        <v>Eintrag 879</v>
      </c>
      <c r="B880" s="18">
        <v>100</v>
      </c>
      <c r="C880" s="19">
        <v>100</v>
      </c>
      <c r="D880" s="20">
        <v>10</v>
      </c>
      <c r="E880" s="20">
        <v>10</v>
      </c>
      <c r="F880" s="20">
        <v>10</v>
      </c>
      <c r="G880" s="19">
        <f t="shared" si="70"/>
        <v>172</v>
      </c>
      <c r="H880" s="22">
        <f t="shared" si="71"/>
        <v>879</v>
      </c>
      <c r="I880" s="21">
        <f t="shared" ca="1" si="68"/>
        <v>0</v>
      </c>
      <c r="J880" s="21" t="str">
        <f ca="1">IF(I880=0,"",COUNTIF($I$2:I880,"&gt;0"))</f>
        <v/>
      </c>
      <c r="K880" s="21" t="str">
        <f t="shared" ca="1" si="69"/>
        <v/>
      </c>
    </row>
    <row r="881" spans="1:11" s="18" customFormat="1" ht="14.25" x14ac:dyDescent="0.2">
      <c r="A881" s="18" t="str">
        <f t="shared" si="63"/>
        <v>Eintrag 880</v>
      </c>
      <c r="B881" s="18">
        <v>100</v>
      </c>
      <c r="C881" s="19">
        <v>100</v>
      </c>
      <c r="D881" s="20">
        <v>10</v>
      </c>
      <c r="E881" s="20">
        <v>10</v>
      </c>
      <c r="F881" s="20">
        <v>10</v>
      </c>
      <c r="G881" s="19">
        <f t="shared" si="70"/>
        <v>172</v>
      </c>
      <c r="H881" s="22">
        <f t="shared" si="71"/>
        <v>880</v>
      </c>
      <c r="I881" s="21">
        <f t="shared" ca="1" si="68"/>
        <v>0</v>
      </c>
      <c r="J881" s="21" t="str">
        <f ca="1">IF(I881=0,"",COUNTIF($I$2:I881,"&gt;0"))</f>
        <v/>
      </c>
      <c r="K881" s="21" t="str">
        <f t="shared" ca="1" si="69"/>
        <v/>
      </c>
    </row>
    <row r="882" spans="1:11" s="18" customFormat="1" ht="14.25" x14ac:dyDescent="0.2">
      <c r="A882" s="18" t="str">
        <f t="shared" si="63"/>
        <v>Eintrag 881</v>
      </c>
      <c r="B882" s="18">
        <v>100</v>
      </c>
      <c r="C882" s="19">
        <v>100</v>
      </c>
      <c r="D882" s="20">
        <v>10</v>
      </c>
      <c r="E882" s="20">
        <v>10</v>
      </c>
      <c r="F882" s="20">
        <v>10</v>
      </c>
      <c r="G882" s="19">
        <f t="shared" si="70"/>
        <v>172</v>
      </c>
      <c r="H882" s="22">
        <f t="shared" si="71"/>
        <v>881</v>
      </c>
      <c r="I882" s="21">
        <f t="shared" ca="1" si="68"/>
        <v>0</v>
      </c>
      <c r="J882" s="21" t="str">
        <f ca="1">IF(I882=0,"",COUNTIF($I$2:I882,"&gt;0"))</f>
        <v/>
      </c>
      <c r="K882" s="21" t="str">
        <f t="shared" ca="1" si="69"/>
        <v/>
      </c>
    </row>
    <row r="883" spans="1:11" s="18" customFormat="1" ht="14.25" x14ac:dyDescent="0.2">
      <c r="A883" s="18" t="str">
        <f t="shared" si="63"/>
        <v>Eintrag 882</v>
      </c>
      <c r="B883" s="18">
        <v>100</v>
      </c>
      <c r="C883" s="19">
        <v>100</v>
      </c>
      <c r="D883" s="20">
        <v>10</v>
      </c>
      <c r="E883" s="20">
        <v>10</v>
      </c>
      <c r="F883" s="20">
        <v>10</v>
      </c>
      <c r="G883" s="19">
        <f t="shared" si="70"/>
        <v>172</v>
      </c>
      <c r="H883" s="22">
        <f t="shared" si="71"/>
        <v>882</v>
      </c>
      <c r="I883" s="21">
        <f t="shared" ca="1" si="68"/>
        <v>0</v>
      </c>
      <c r="J883" s="21" t="str">
        <f ca="1">IF(I883=0,"",COUNTIF($I$2:I883,"&gt;0"))</f>
        <v/>
      </c>
      <c r="K883" s="21" t="str">
        <f t="shared" ca="1" si="69"/>
        <v/>
      </c>
    </row>
    <row r="884" spans="1:11" s="18" customFormat="1" ht="14.25" x14ac:dyDescent="0.2">
      <c r="A884" s="18" t="str">
        <f t="shared" si="63"/>
        <v>Eintrag 883</v>
      </c>
      <c r="B884" s="18">
        <v>100</v>
      </c>
      <c r="C884" s="19">
        <v>100</v>
      </c>
      <c r="D884" s="20">
        <v>10</v>
      </c>
      <c r="E884" s="20">
        <v>10</v>
      </c>
      <c r="F884" s="20">
        <v>10</v>
      </c>
      <c r="G884" s="19">
        <f t="shared" si="70"/>
        <v>172</v>
      </c>
      <c r="H884" s="22">
        <f t="shared" si="71"/>
        <v>883</v>
      </c>
      <c r="I884" s="21">
        <f t="shared" ca="1" si="68"/>
        <v>0</v>
      </c>
      <c r="J884" s="21" t="str">
        <f ca="1">IF(I884=0,"",COUNTIF($I$2:I884,"&gt;0"))</f>
        <v/>
      </c>
      <c r="K884" s="21" t="str">
        <f t="shared" ca="1" si="69"/>
        <v/>
      </c>
    </row>
    <row r="885" spans="1:11" s="18" customFormat="1" ht="14.25" x14ac:dyDescent="0.2">
      <c r="A885" s="18" t="str">
        <f t="shared" si="63"/>
        <v>Eintrag 884</v>
      </c>
      <c r="B885" s="18">
        <v>100</v>
      </c>
      <c r="C885" s="19">
        <v>100</v>
      </c>
      <c r="D885" s="20">
        <v>10</v>
      </c>
      <c r="E885" s="20">
        <v>10</v>
      </c>
      <c r="F885" s="20">
        <v>10</v>
      </c>
      <c r="G885" s="19">
        <f t="shared" si="70"/>
        <v>172</v>
      </c>
      <c r="H885" s="22">
        <f t="shared" si="71"/>
        <v>884</v>
      </c>
      <c r="I885" s="21">
        <f t="shared" ref="I885:I948" ca="1" si="72">IFERROR(SEARCH(INDIRECT(CELL("address")),A885),0)</f>
        <v>0</v>
      </c>
      <c r="J885" s="21" t="str">
        <f ca="1">IF(I885=0,"",COUNTIF($I$2:I885,"&gt;0"))</f>
        <v/>
      </c>
      <c r="K885" s="21" t="str">
        <f t="shared" ca="1" si="69"/>
        <v/>
      </c>
    </row>
    <row r="886" spans="1:11" s="18" customFormat="1" ht="14.25" x14ac:dyDescent="0.2">
      <c r="A886" s="18" t="str">
        <f t="shared" si="63"/>
        <v>Eintrag 885</v>
      </c>
      <c r="B886" s="18">
        <v>100</v>
      </c>
      <c r="C886" s="19">
        <v>100</v>
      </c>
      <c r="D886" s="20">
        <v>10</v>
      </c>
      <c r="E886" s="20">
        <v>10</v>
      </c>
      <c r="F886" s="20">
        <v>10</v>
      </c>
      <c r="G886" s="19">
        <f t="shared" si="70"/>
        <v>172</v>
      </c>
      <c r="H886" s="22">
        <f t="shared" si="71"/>
        <v>885</v>
      </c>
      <c r="I886" s="21">
        <f t="shared" ca="1" si="72"/>
        <v>0</v>
      </c>
      <c r="J886" s="21" t="str">
        <f ca="1">IF(I886=0,"",COUNTIF($I$2:I886,"&gt;0"))</f>
        <v/>
      </c>
      <c r="K886" s="21" t="str">
        <f t="shared" ca="1" si="69"/>
        <v/>
      </c>
    </row>
    <row r="887" spans="1:11" s="18" customFormat="1" ht="14.25" x14ac:dyDescent="0.2">
      <c r="A887" s="18" t="str">
        <f t="shared" si="63"/>
        <v>Eintrag 886</v>
      </c>
      <c r="B887" s="18">
        <v>100</v>
      </c>
      <c r="C887" s="19">
        <v>100</v>
      </c>
      <c r="D887" s="20">
        <v>10</v>
      </c>
      <c r="E887" s="20">
        <v>10</v>
      </c>
      <c r="F887" s="20">
        <v>10</v>
      </c>
      <c r="G887" s="19">
        <f t="shared" si="70"/>
        <v>172</v>
      </c>
      <c r="H887" s="22">
        <f t="shared" si="71"/>
        <v>886</v>
      </c>
      <c r="I887" s="21">
        <f t="shared" ca="1" si="72"/>
        <v>0</v>
      </c>
      <c r="J887" s="21" t="str">
        <f ca="1">IF(I887=0,"",COUNTIF($I$2:I887,"&gt;0"))</f>
        <v/>
      </c>
      <c r="K887" s="21" t="str">
        <f t="shared" ca="1" si="69"/>
        <v/>
      </c>
    </row>
    <row r="888" spans="1:11" s="18" customFormat="1" ht="14.25" x14ac:dyDescent="0.2">
      <c r="A888" s="18" t="str">
        <f t="shared" si="63"/>
        <v>Eintrag 887</v>
      </c>
      <c r="B888" s="18">
        <v>100</v>
      </c>
      <c r="C888" s="19">
        <v>100</v>
      </c>
      <c r="D888" s="20">
        <v>10</v>
      </c>
      <c r="E888" s="20">
        <v>10</v>
      </c>
      <c r="F888" s="20">
        <v>10</v>
      </c>
      <c r="G888" s="19">
        <f t="shared" si="70"/>
        <v>172</v>
      </c>
      <c r="H888" s="22">
        <f t="shared" si="71"/>
        <v>887</v>
      </c>
      <c r="I888" s="21">
        <f t="shared" ca="1" si="72"/>
        <v>0</v>
      </c>
      <c r="J888" s="21" t="str">
        <f ca="1">IF(I888=0,"",COUNTIF($I$2:I888,"&gt;0"))</f>
        <v/>
      </c>
      <c r="K888" s="21" t="str">
        <f t="shared" ca="1" si="69"/>
        <v/>
      </c>
    </row>
    <row r="889" spans="1:11" s="18" customFormat="1" ht="14.25" x14ac:dyDescent="0.2">
      <c r="A889" s="18" t="str">
        <f t="shared" si="63"/>
        <v>Eintrag 888</v>
      </c>
      <c r="B889" s="18">
        <v>100</v>
      </c>
      <c r="C889" s="19">
        <v>100</v>
      </c>
      <c r="D889" s="20">
        <v>10</v>
      </c>
      <c r="E889" s="20">
        <v>10</v>
      </c>
      <c r="F889" s="20">
        <v>10</v>
      </c>
      <c r="G889" s="19">
        <f t="shared" si="70"/>
        <v>172</v>
      </c>
      <c r="H889" s="22">
        <f t="shared" si="71"/>
        <v>888</v>
      </c>
      <c r="I889" s="21">
        <f t="shared" ca="1" si="72"/>
        <v>0</v>
      </c>
      <c r="J889" s="21" t="str">
        <f ca="1">IF(I889=0,"",COUNTIF($I$2:I889,"&gt;0"))</f>
        <v/>
      </c>
      <c r="K889" s="21" t="str">
        <f t="shared" ca="1" si="69"/>
        <v/>
      </c>
    </row>
    <row r="890" spans="1:11" s="18" customFormat="1" ht="14.25" x14ac:dyDescent="0.2">
      <c r="A890" s="18" t="str">
        <f t="shared" si="63"/>
        <v>Eintrag 889</v>
      </c>
      <c r="B890" s="18">
        <v>100</v>
      </c>
      <c r="C890" s="19">
        <v>100</v>
      </c>
      <c r="D890" s="20">
        <v>10</v>
      </c>
      <c r="E890" s="20">
        <v>10</v>
      </c>
      <c r="F890" s="20">
        <v>10</v>
      </c>
      <c r="G890" s="19">
        <f t="shared" si="70"/>
        <v>172</v>
      </c>
      <c r="H890" s="22">
        <f t="shared" si="71"/>
        <v>889</v>
      </c>
      <c r="I890" s="21">
        <f t="shared" ca="1" si="72"/>
        <v>0</v>
      </c>
      <c r="J890" s="21" t="str">
        <f ca="1">IF(I890=0,"",COUNTIF($I$2:I890,"&gt;0"))</f>
        <v/>
      </c>
      <c r="K890" s="21" t="str">
        <f t="shared" ca="1" si="69"/>
        <v/>
      </c>
    </row>
    <row r="891" spans="1:11" s="18" customFormat="1" ht="14.25" x14ac:dyDescent="0.2">
      <c r="A891" s="18" t="str">
        <f t="shared" si="63"/>
        <v>Eintrag 890</v>
      </c>
      <c r="B891" s="18">
        <v>100</v>
      </c>
      <c r="C891" s="19">
        <v>100</v>
      </c>
      <c r="D891" s="20">
        <v>10</v>
      </c>
      <c r="E891" s="20">
        <v>10</v>
      </c>
      <c r="F891" s="20">
        <v>10</v>
      </c>
      <c r="G891" s="19">
        <f t="shared" si="70"/>
        <v>172</v>
      </c>
      <c r="H891" s="22">
        <f t="shared" si="71"/>
        <v>890</v>
      </c>
      <c r="I891" s="21">
        <f t="shared" ca="1" si="72"/>
        <v>0</v>
      </c>
      <c r="J891" s="21" t="str">
        <f ca="1">IF(I891=0,"",COUNTIF($I$2:I891,"&gt;0"))</f>
        <v/>
      </c>
      <c r="K891" s="21" t="str">
        <f t="shared" ca="1" si="69"/>
        <v/>
      </c>
    </row>
    <row r="892" spans="1:11" s="18" customFormat="1" ht="14.25" x14ac:dyDescent="0.2">
      <c r="A892" s="18" t="str">
        <f t="shared" si="63"/>
        <v>Eintrag 891</v>
      </c>
      <c r="B892" s="18">
        <v>100</v>
      </c>
      <c r="C892" s="19">
        <v>100</v>
      </c>
      <c r="D892" s="20">
        <v>10</v>
      </c>
      <c r="E892" s="20">
        <v>10</v>
      </c>
      <c r="F892" s="20">
        <v>10</v>
      </c>
      <c r="G892" s="19">
        <f t="shared" si="70"/>
        <v>172</v>
      </c>
      <c r="H892" s="22">
        <f t="shared" si="71"/>
        <v>891</v>
      </c>
      <c r="I892" s="21">
        <f t="shared" ca="1" si="72"/>
        <v>0</v>
      </c>
      <c r="J892" s="21" t="str">
        <f ca="1">IF(I892=0,"",COUNTIF($I$2:I892,"&gt;0"))</f>
        <v/>
      </c>
      <c r="K892" s="21" t="str">
        <f t="shared" ca="1" si="69"/>
        <v/>
      </c>
    </row>
    <row r="893" spans="1:11" s="18" customFormat="1" ht="14.25" x14ac:dyDescent="0.2">
      <c r="A893" s="18" t="str">
        <f t="shared" si="63"/>
        <v>Eintrag 892</v>
      </c>
      <c r="B893" s="18">
        <v>100</v>
      </c>
      <c r="C893" s="19">
        <v>100</v>
      </c>
      <c r="D893" s="20">
        <v>10</v>
      </c>
      <c r="E893" s="20">
        <v>10</v>
      </c>
      <c r="F893" s="20">
        <v>10</v>
      </c>
      <c r="G893" s="19">
        <f t="shared" si="70"/>
        <v>172</v>
      </c>
      <c r="H893" s="22">
        <f t="shared" si="71"/>
        <v>892</v>
      </c>
      <c r="I893" s="21">
        <f t="shared" ca="1" si="72"/>
        <v>0</v>
      </c>
      <c r="J893" s="21" t="str">
        <f ca="1">IF(I893=0,"",COUNTIF($I$2:I893,"&gt;0"))</f>
        <v/>
      </c>
      <c r="K893" s="21" t="str">
        <f t="shared" ca="1" si="69"/>
        <v/>
      </c>
    </row>
    <row r="894" spans="1:11" s="18" customFormat="1" ht="14.25" x14ac:dyDescent="0.2">
      <c r="A894" s="18" t="str">
        <f t="shared" si="63"/>
        <v>Eintrag 893</v>
      </c>
      <c r="B894" s="18">
        <v>100</v>
      </c>
      <c r="C894" s="19">
        <v>100</v>
      </c>
      <c r="D894" s="20">
        <v>10</v>
      </c>
      <c r="E894" s="20">
        <v>10</v>
      </c>
      <c r="F894" s="20">
        <v>10</v>
      </c>
      <c r="G894" s="19">
        <f t="shared" si="70"/>
        <v>172</v>
      </c>
      <c r="H894" s="22">
        <f t="shared" si="71"/>
        <v>893</v>
      </c>
      <c r="I894" s="21">
        <f t="shared" ca="1" si="72"/>
        <v>0</v>
      </c>
      <c r="J894" s="21" t="str">
        <f ca="1">IF(I894=0,"",COUNTIF($I$2:I894,"&gt;0"))</f>
        <v/>
      </c>
      <c r="K894" s="21" t="str">
        <f t="shared" ca="1" si="69"/>
        <v/>
      </c>
    </row>
    <row r="895" spans="1:11" s="18" customFormat="1" ht="14.25" x14ac:dyDescent="0.2">
      <c r="A895" s="18" t="str">
        <f t="shared" si="63"/>
        <v>Eintrag 894</v>
      </c>
      <c r="B895" s="18">
        <v>100</v>
      </c>
      <c r="C895" s="19">
        <v>100</v>
      </c>
      <c r="D895" s="20">
        <v>10</v>
      </c>
      <c r="E895" s="20">
        <v>10</v>
      </c>
      <c r="F895" s="20">
        <v>10</v>
      </c>
      <c r="G895" s="19">
        <f t="shared" si="70"/>
        <v>172</v>
      </c>
      <c r="H895" s="22">
        <f t="shared" si="71"/>
        <v>894</v>
      </c>
      <c r="I895" s="21">
        <f t="shared" ca="1" si="72"/>
        <v>0</v>
      </c>
      <c r="J895" s="21" t="str">
        <f ca="1">IF(I895=0,"",COUNTIF($I$2:I895,"&gt;0"))</f>
        <v/>
      </c>
      <c r="K895" s="21" t="str">
        <f t="shared" ca="1" si="69"/>
        <v/>
      </c>
    </row>
    <row r="896" spans="1:11" s="18" customFormat="1" ht="14.25" x14ac:dyDescent="0.2">
      <c r="A896" s="18" t="str">
        <f t="shared" si="63"/>
        <v>Eintrag 895</v>
      </c>
      <c r="B896" s="18">
        <v>100</v>
      </c>
      <c r="C896" s="19">
        <v>100</v>
      </c>
      <c r="D896" s="20">
        <v>10</v>
      </c>
      <c r="E896" s="20">
        <v>10</v>
      </c>
      <c r="F896" s="20">
        <v>10</v>
      </c>
      <c r="G896" s="19">
        <f t="shared" si="70"/>
        <v>172</v>
      </c>
      <c r="H896" s="22">
        <f t="shared" si="71"/>
        <v>895</v>
      </c>
      <c r="I896" s="21">
        <f t="shared" ca="1" si="72"/>
        <v>0</v>
      </c>
      <c r="J896" s="21" t="str">
        <f ca="1">IF(I896=0,"",COUNTIF($I$2:I896,"&gt;0"))</f>
        <v/>
      </c>
      <c r="K896" s="21" t="str">
        <f t="shared" ca="1" si="69"/>
        <v/>
      </c>
    </row>
    <row r="897" spans="1:11" s="18" customFormat="1" ht="14.25" x14ac:dyDescent="0.2">
      <c r="A897" s="18" t="str">
        <f t="shared" si="63"/>
        <v>Eintrag 896</v>
      </c>
      <c r="B897" s="18">
        <v>100</v>
      </c>
      <c r="C897" s="19">
        <v>100</v>
      </c>
      <c r="D897" s="20">
        <v>10</v>
      </c>
      <c r="E897" s="20">
        <v>10</v>
      </c>
      <c r="F897" s="20">
        <v>10</v>
      </c>
      <c r="G897" s="19">
        <f t="shared" si="70"/>
        <v>172</v>
      </c>
      <c r="H897" s="22">
        <f t="shared" si="71"/>
        <v>896</v>
      </c>
      <c r="I897" s="21">
        <f t="shared" ca="1" si="72"/>
        <v>0</v>
      </c>
      <c r="J897" s="21" t="str">
        <f ca="1">IF(I897=0,"",COUNTIF($I$2:I897,"&gt;0"))</f>
        <v/>
      </c>
      <c r="K897" s="21" t="str">
        <f t="shared" ca="1" si="69"/>
        <v/>
      </c>
    </row>
    <row r="898" spans="1:11" s="18" customFormat="1" ht="14.25" x14ac:dyDescent="0.2">
      <c r="A898" s="18" t="str">
        <f t="shared" si="63"/>
        <v>Eintrag 897</v>
      </c>
      <c r="B898" s="18">
        <v>100</v>
      </c>
      <c r="C898" s="19">
        <v>100</v>
      </c>
      <c r="D898" s="20">
        <v>10</v>
      </c>
      <c r="E898" s="20">
        <v>10</v>
      </c>
      <c r="F898" s="20">
        <v>10</v>
      </c>
      <c r="G898" s="19">
        <f t="shared" si="70"/>
        <v>172</v>
      </c>
      <c r="H898" s="22">
        <f t="shared" si="71"/>
        <v>897</v>
      </c>
      <c r="I898" s="21">
        <f t="shared" ca="1" si="72"/>
        <v>0</v>
      </c>
      <c r="J898" s="21" t="str">
        <f ca="1">IF(I898=0,"",COUNTIF($I$2:I898,"&gt;0"))</f>
        <v/>
      </c>
      <c r="K898" s="21" t="str">
        <f t="shared" ref="K898:K961" ca="1" si="73">IFERROR(INDEX(A:A,MATCH(ROW(I897),J:J,0)),"")</f>
        <v/>
      </c>
    </row>
    <row r="899" spans="1:11" s="18" customFormat="1" ht="14.25" x14ac:dyDescent="0.2">
      <c r="A899" s="18" t="str">
        <f t="shared" si="63"/>
        <v>Eintrag 898</v>
      </c>
      <c r="B899" s="18">
        <v>100</v>
      </c>
      <c r="C899" s="19">
        <v>100</v>
      </c>
      <c r="D899" s="20">
        <v>10</v>
      </c>
      <c r="E899" s="20">
        <v>10</v>
      </c>
      <c r="F899" s="20">
        <v>10</v>
      </c>
      <c r="G899" s="19">
        <f t="shared" ref="G899:G962" si="74">D899*9+E899*4.1+F899*4.1</f>
        <v>172</v>
      </c>
      <c r="H899" s="22">
        <f t="shared" si="71"/>
        <v>898</v>
      </c>
      <c r="I899" s="21">
        <f t="shared" ca="1" si="72"/>
        <v>0</v>
      </c>
      <c r="J899" s="21" t="str">
        <f ca="1">IF(I899=0,"",COUNTIF($I$2:I899,"&gt;0"))</f>
        <v/>
      </c>
      <c r="K899" s="21" t="str">
        <f t="shared" ca="1" si="73"/>
        <v/>
      </c>
    </row>
    <row r="900" spans="1:11" s="18" customFormat="1" ht="14.25" x14ac:dyDescent="0.2">
      <c r="A900" s="18" t="str">
        <f t="shared" si="63"/>
        <v>Eintrag 899</v>
      </c>
      <c r="B900" s="18">
        <v>100</v>
      </c>
      <c r="C900" s="19">
        <v>100</v>
      </c>
      <c r="D900" s="20">
        <v>10</v>
      </c>
      <c r="E900" s="20">
        <v>10</v>
      </c>
      <c r="F900" s="20">
        <v>10</v>
      </c>
      <c r="G900" s="19">
        <f t="shared" si="74"/>
        <v>172</v>
      </c>
      <c r="H900" s="22">
        <f t="shared" si="71"/>
        <v>899</v>
      </c>
      <c r="I900" s="21">
        <f t="shared" ca="1" si="72"/>
        <v>0</v>
      </c>
      <c r="J900" s="21" t="str">
        <f ca="1">IF(I900=0,"",COUNTIF($I$2:I900,"&gt;0"))</f>
        <v/>
      </c>
      <c r="K900" s="21" t="str">
        <f t="shared" ca="1" si="73"/>
        <v/>
      </c>
    </row>
    <row r="901" spans="1:11" s="18" customFormat="1" ht="14.25" x14ac:dyDescent="0.2">
      <c r="A901" s="18" t="str">
        <f t="shared" si="63"/>
        <v>Eintrag 900</v>
      </c>
      <c r="B901" s="18">
        <v>100</v>
      </c>
      <c r="C901" s="19">
        <v>100</v>
      </c>
      <c r="D901" s="20">
        <v>10</v>
      </c>
      <c r="E901" s="20">
        <v>10</v>
      </c>
      <c r="F901" s="20">
        <v>10</v>
      </c>
      <c r="G901" s="19">
        <f t="shared" si="74"/>
        <v>172</v>
      </c>
      <c r="H901" s="22">
        <f t="shared" si="71"/>
        <v>900</v>
      </c>
      <c r="I901" s="21">
        <f t="shared" ca="1" si="72"/>
        <v>0</v>
      </c>
      <c r="J901" s="21" t="str">
        <f ca="1">IF(I901=0,"",COUNTIF($I$2:I901,"&gt;0"))</f>
        <v/>
      </c>
      <c r="K901" s="21" t="str">
        <f t="shared" ca="1" si="73"/>
        <v/>
      </c>
    </row>
    <row r="902" spans="1:11" s="18" customFormat="1" ht="14.25" x14ac:dyDescent="0.2">
      <c r="A902" s="18" t="str">
        <f t="shared" si="63"/>
        <v>Eintrag 901</v>
      </c>
      <c r="B902" s="18">
        <v>100</v>
      </c>
      <c r="C902" s="19">
        <v>100</v>
      </c>
      <c r="D902" s="20">
        <v>10</v>
      </c>
      <c r="E902" s="20">
        <v>10</v>
      </c>
      <c r="F902" s="20">
        <v>10</v>
      </c>
      <c r="G902" s="19">
        <f t="shared" si="74"/>
        <v>172</v>
      </c>
      <c r="H902" s="22">
        <f t="shared" si="71"/>
        <v>901</v>
      </c>
      <c r="I902" s="21">
        <f t="shared" ca="1" si="72"/>
        <v>0</v>
      </c>
      <c r="J902" s="21" t="str">
        <f ca="1">IF(I902=0,"",COUNTIF($I$2:I902,"&gt;0"))</f>
        <v/>
      </c>
      <c r="K902" s="21" t="str">
        <f t="shared" ca="1" si="73"/>
        <v/>
      </c>
    </row>
    <row r="903" spans="1:11" s="18" customFormat="1" ht="14.25" x14ac:dyDescent="0.2">
      <c r="A903" s="18" t="str">
        <f t="shared" si="63"/>
        <v>Eintrag 902</v>
      </c>
      <c r="B903" s="18">
        <v>100</v>
      </c>
      <c r="C903" s="19">
        <v>100</v>
      </c>
      <c r="D903" s="20">
        <v>10</v>
      </c>
      <c r="E903" s="20">
        <v>10</v>
      </c>
      <c r="F903" s="20">
        <v>10</v>
      </c>
      <c r="G903" s="19">
        <f t="shared" si="74"/>
        <v>172</v>
      </c>
      <c r="H903" s="22">
        <f t="shared" si="71"/>
        <v>902</v>
      </c>
      <c r="I903" s="21">
        <f t="shared" ca="1" si="72"/>
        <v>0</v>
      </c>
      <c r="J903" s="21" t="str">
        <f ca="1">IF(I903=0,"",COUNTIF($I$2:I903,"&gt;0"))</f>
        <v/>
      </c>
      <c r="K903" s="21" t="str">
        <f t="shared" ca="1" si="73"/>
        <v/>
      </c>
    </row>
    <row r="904" spans="1:11" s="18" customFormat="1" ht="14.25" x14ac:dyDescent="0.2">
      <c r="A904" s="18" t="str">
        <f t="shared" si="63"/>
        <v>Eintrag 903</v>
      </c>
      <c r="B904" s="18">
        <v>100</v>
      </c>
      <c r="C904" s="19">
        <v>100</v>
      </c>
      <c r="D904" s="20">
        <v>10</v>
      </c>
      <c r="E904" s="20">
        <v>10</v>
      </c>
      <c r="F904" s="20">
        <v>10</v>
      </c>
      <c r="G904" s="19">
        <f t="shared" si="74"/>
        <v>172</v>
      </c>
      <c r="H904" s="22">
        <f t="shared" si="71"/>
        <v>903</v>
      </c>
      <c r="I904" s="21">
        <f t="shared" ca="1" si="72"/>
        <v>0</v>
      </c>
      <c r="J904" s="21" t="str">
        <f ca="1">IF(I904=0,"",COUNTIF($I$2:I904,"&gt;0"))</f>
        <v/>
      </c>
      <c r="K904" s="21" t="str">
        <f t="shared" ca="1" si="73"/>
        <v/>
      </c>
    </row>
    <row r="905" spans="1:11" s="18" customFormat="1" ht="14.25" x14ac:dyDescent="0.2">
      <c r="A905" s="18" t="str">
        <f t="shared" si="63"/>
        <v>Eintrag 904</v>
      </c>
      <c r="B905" s="18">
        <v>100</v>
      </c>
      <c r="C905" s="19">
        <v>100</v>
      </c>
      <c r="D905" s="20">
        <v>10</v>
      </c>
      <c r="E905" s="20">
        <v>10</v>
      </c>
      <c r="F905" s="20">
        <v>10</v>
      </c>
      <c r="G905" s="19">
        <f t="shared" si="74"/>
        <v>172</v>
      </c>
      <c r="H905" s="22">
        <f t="shared" si="71"/>
        <v>904</v>
      </c>
      <c r="I905" s="21">
        <f t="shared" ca="1" si="72"/>
        <v>0</v>
      </c>
      <c r="J905" s="21" t="str">
        <f ca="1">IF(I905=0,"",COUNTIF($I$2:I905,"&gt;0"))</f>
        <v/>
      </c>
      <c r="K905" s="21" t="str">
        <f t="shared" ca="1" si="73"/>
        <v/>
      </c>
    </row>
    <row r="906" spans="1:11" s="18" customFormat="1" ht="14.25" x14ac:dyDescent="0.2">
      <c r="A906" s="18" t="str">
        <f t="shared" si="63"/>
        <v>Eintrag 905</v>
      </c>
      <c r="B906" s="18">
        <v>100</v>
      </c>
      <c r="C906" s="19">
        <v>100</v>
      </c>
      <c r="D906" s="20">
        <v>10</v>
      </c>
      <c r="E906" s="20">
        <v>10</v>
      </c>
      <c r="F906" s="20">
        <v>10</v>
      </c>
      <c r="G906" s="19">
        <f t="shared" si="74"/>
        <v>172</v>
      </c>
      <c r="H906" s="22">
        <f t="shared" si="71"/>
        <v>905</v>
      </c>
      <c r="I906" s="21">
        <f t="shared" ca="1" si="72"/>
        <v>0</v>
      </c>
      <c r="J906" s="21" t="str">
        <f ca="1">IF(I906=0,"",COUNTIF($I$2:I906,"&gt;0"))</f>
        <v/>
      </c>
      <c r="K906" s="21" t="str">
        <f t="shared" ca="1" si="73"/>
        <v/>
      </c>
    </row>
    <row r="907" spans="1:11" s="18" customFormat="1" ht="14.25" x14ac:dyDescent="0.2">
      <c r="A907" s="18" t="str">
        <f t="shared" si="63"/>
        <v>Eintrag 906</v>
      </c>
      <c r="B907" s="18">
        <v>100</v>
      </c>
      <c r="C907" s="19">
        <v>100</v>
      </c>
      <c r="D907" s="20">
        <v>10</v>
      </c>
      <c r="E907" s="20">
        <v>10</v>
      </c>
      <c r="F907" s="20">
        <v>10</v>
      </c>
      <c r="G907" s="19">
        <f t="shared" si="74"/>
        <v>172</v>
      </c>
      <c r="H907" s="22">
        <f t="shared" si="71"/>
        <v>906</v>
      </c>
      <c r="I907" s="21">
        <f t="shared" ca="1" si="72"/>
        <v>0</v>
      </c>
      <c r="J907" s="21" t="str">
        <f ca="1">IF(I907=0,"",COUNTIF($I$2:I907,"&gt;0"))</f>
        <v/>
      </c>
      <c r="K907" s="21" t="str">
        <f t="shared" ca="1" si="73"/>
        <v/>
      </c>
    </row>
    <row r="908" spans="1:11" s="18" customFormat="1" ht="14.25" x14ac:dyDescent="0.2">
      <c r="A908" s="18" t="str">
        <f t="shared" si="63"/>
        <v>Eintrag 907</v>
      </c>
      <c r="B908" s="18">
        <v>100</v>
      </c>
      <c r="C908" s="19">
        <v>100</v>
      </c>
      <c r="D908" s="20">
        <v>10</v>
      </c>
      <c r="E908" s="20">
        <v>10</v>
      </c>
      <c r="F908" s="20">
        <v>10</v>
      </c>
      <c r="G908" s="19">
        <f t="shared" si="74"/>
        <v>172</v>
      </c>
      <c r="H908" s="22">
        <f t="shared" si="71"/>
        <v>907</v>
      </c>
      <c r="I908" s="21">
        <f t="shared" ca="1" si="72"/>
        <v>0</v>
      </c>
      <c r="J908" s="21" t="str">
        <f ca="1">IF(I908=0,"",COUNTIF($I$2:I908,"&gt;0"))</f>
        <v/>
      </c>
      <c r="K908" s="21" t="str">
        <f t="shared" ca="1" si="73"/>
        <v/>
      </c>
    </row>
    <row r="909" spans="1:11" s="18" customFormat="1" ht="14.25" x14ac:dyDescent="0.2">
      <c r="A909" s="18" t="str">
        <f t="shared" si="63"/>
        <v>Eintrag 908</v>
      </c>
      <c r="B909" s="18">
        <v>100</v>
      </c>
      <c r="C909" s="19">
        <v>100</v>
      </c>
      <c r="D909" s="20">
        <v>10</v>
      </c>
      <c r="E909" s="20">
        <v>10</v>
      </c>
      <c r="F909" s="20">
        <v>10</v>
      </c>
      <c r="G909" s="19">
        <f t="shared" si="74"/>
        <v>172</v>
      </c>
      <c r="H909" s="22">
        <f t="shared" si="71"/>
        <v>908</v>
      </c>
      <c r="I909" s="21">
        <f t="shared" ca="1" si="72"/>
        <v>0</v>
      </c>
      <c r="J909" s="21" t="str">
        <f ca="1">IF(I909=0,"",COUNTIF($I$2:I909,"&gt;0"))</f>
        <v/>
      </c>
      <c r="K909" s="21" t="str">
        <f t="shared" ca="1" si="73"/>
        <v/>
      </c>
    </row>
    <row r="910" spans="1:11" s="18" customFormat="1" ht="14.25" x14ac:dyDescent="0.2">
      <c r="A910" s="18" t="str">
        <f t="shared" si="63"/>
        <v>Eintrag 909</v>
      </c>
      <c r="B910" s="18">
        <v>100</v>
      </c>
      <c r="C910" s="19">
        <v>100</v>
      </c>
      <c r="D910" s="20">
        <v>10</v>
      </c>
      <c r="E910" s="20">
        <v>10</v>
      </c>
      <c r="F910" s="20">
        <v>10</v>
      </c>
      <c r="G910" s="19">
        <f t="shared" si="74"/>
        <v>172</v>
      </c>
      <c r="H910" s="22">
        <f t="shared" si="71"/>
        <v>909</v>
      </c>
      <c r="I910" s="21">
        <f t="shared" ca="1" si="72"/>
        <v>0</v>
      </c>
      <c r="J910" s="21" t="str">
        <f ca="1">IF(I910=0,"",COUNTIF($I$2:I910,"&gt;0"))</f>
        <v/>
      </c>
      <c r="K910" s="21" t="str">
        <f t="shared" ca="1" si="73"/>
        <v/>
      </c>
    </row>
    <row r="911" spans="1:11" s="18" customFormat="1" ht="14.25" x14ac:dyDescent="0.2">
      <c r="A911" s="18" t="str">
        <f t="shared" si="63"/>
        <v>Eintrag 910</v>
      </c>
      <c r="B911" s="18">
        <v>100</v>
      </c>
      <c r="C911" s="19">
        <v>100</v>
      </c>
      <c r="D911" s="20">
        <v>10</v>
      </c>
      <c r="E911" s="20">
        <v>10</v>
      </c>
      <c r="F911" s="20">
        <v>10</v>
      </c>
      <c r="G911" s="19">
        <f t="shared" si="74"/>
        <v>172</v>
      </c>
      <c r="H911" s="22">
        <f t="shared" si="71"/>
        <v>910</v>
      </c>
      <c r="I911" s="21">
        <f t="shared" ca="1" si="72"/>
        <v>0</v>
      </c>
      <c r="J911" s="21" t="str">
        <f ca="1">IF(I911=0,"",COUNTIF($I$2:I911,"&gt;0"))</f>
        <v/>
      </c>
      <c r="K911" s="21" t="str">
        <f t="shared" ca="1" si="73"/>
        <v/>
      </c>
    </row>
    <row r="912" spans="1:11" s="18" customFormat="1" ht="14.25" x14ac:dyDescent="0.2">
      <c r="A912" s="18" t="str">
        <f t="shared" si="63"/>
        <v>Eintrag 911</v>
      </c>
      <c r="B912" s="18">
        <v>100</v>
      </c>
      <c r="C912" s="19">
        <v>100</v>
      </c>
      <c r="D912" s="20">
        <v>10</v>
      </c>
      <c r="E912" s="20">
        <v>10</v>
      </c>
      <c r="F912" s="20">
        <v>10</v>
      </c>
      <c r="G912" s="19">
        <f t="shared" si="74"/>
        <v>172</v>
      </c>
      <c r="H912" s="22">
        <f t="shared" si="71"/>
        <v>911</v>
      </c>
      <c r="I912" s="21">
        <f t="shared" ca="1" si="72"/>
        <v>0</v>
      </c>
      <c r="J912" s="21" t="str">
        <f ca="1">IF(I912=0,"",COUNTIF($I$2:I912,"&gt;0"))</f>
        <v/>
      </c>
      <c r="K912" s="21" t="str">
        <f t="shared" ca="1" si="73"/>
        <v/>
      </c>
    </row>
    <row r="913" spans="1:11" s="18" customFormat="1" ht="14.25" x14ac:dyDescent="0.2">
      <c r="A913" s="18" t="str">
        <f t="shared" si="63"/>
        <v>Eintrag 912</v>
      </c>
      <c r="B913" s="18">
        <v>100</v>
      </c>
      <c r="C913" s="19">
        <v>100</v>
      </c>
      <c r="D913" s="20">
        <v>10</v>
      </c>
      <c r="E913" s="20">
        <v>10</v>
      </c>
      <c r="F913" s="20">
        <v>10</v>
      </c>
      <c r="G913" s="19">
        <f t="shared" si="74"/>
        <v>172</v>
      </c>
      <c r="H913" s="22">
        <f t="shared" si="71"/>
        <v>912</v>
      </c>
      <c r="I913" s="21">
        <f t="shared" ca="1" si="72"/>
        <v>0</v>
      </c>
      <c r="J913" s="21" t="str">
        <f ca="1">IF(I913=0,"",COUNTIF($I$2:I913,"&gt;0"))</f>
        <v/>
      </c>
      <c r="K913" s="21" t="str">
        <f t="shared" ca="1" si="73"/>
        <v/>
      </c>
    </row>
    <row r="914" spans="1:11" s="18" customFormat="1" ht="14.25" x14ac:dyDescent="0.2">
      <c r="A914" s="18" t="str">
        <f t="shared" si="63"/>
        <v>Eintrag 913</v>
      </c>
      <c r="B914" s="18">
        <v>100</v>
      </c>
      <c r="C914" s="19">
        <v>100</v>
      </c>
      <c r="D914" s="20">
        <v>10</v>
      </c>
      <c r="E914" s="20">
        <v>10</v>
      </c>
      <c r="F914" s="20">
        <v>10</v>
      </c>
      <c r="G914" s="19">
        <f t="shared" si="74"/>
        <v>172</v>
      </c>
      <c r="H914" s="22">
        <f t="shared" si="71"/>
        <v>913</v>
      </c>
      <c r="I914" s="21">
        <f t="shared" ca="1" si="72"/>
        <v>0</v>
      </c>
      <c r="J914" s="21" t="str">
        <f ca="1">IF(I914=0,"",COUNTIF($I$2:I914,"&gt;0"))</f>
        <v/>
      </c>
      <c r="K914" s="21" t="str">
        <f t="shared" ca="1" si="73"/>
        <v/>
      </c>
    </row>
    <row r="915" spans="1:11" s="18" customFormat="1" ht="14.25" x14ac:dyDescent="0.2">
      <c r="A915" s="18" t="str">
        <f t="shared" si="63"/>
        <v>Eintrag 914</v>
      </c>
      <c r="B915" s="18">
        <v>100</v>
      </c>
      <c r="C915" s="19">
        <v>100</v>
      </c>
      <c r="D915" s="20">
        <v>10</v>
      </c>
      <c r="E915" s="20">
        <v>10</v>
      </c>
      <c r="F915" s="20">
        <v>10</v>
      </c>
      <c r="G915" s="19">
        <f t="shared" si="74"/>
        <v>172</v>
      </c>
      <c r="H915" s="22">
        <f t="shared" si="71"/>
        <v>914</v>
      </c>
      <c r="I915" s="21">
        <f t="shared" ca="1" si="72"/>
        <v>0</v>
      </c>
      <c r="J915" s="21" t="str">
        <f ca="1">IF(I915=0,"",COUNTIF($I$2:I915,"&gt;0"))</f>
        <v/>
      </c>
      <c r="K915" s="21" t="str">
        <f t="shared" ca="1" si="73"/>
        <v/>
      </c>
    </row>
    <row r="916" spans="1:11" s="18" customFormat="1" ht="14.25" x14ac:dyDescent="0.2">
      <c r="A916" s="18" t="str">
        <f t="shared" si="63"/>
        <v>Eintrag 915</v>
      </c>
      <c r="B916" s="18">
        <v>100</v>
      </c>
      <c r="C916" s="19">
        <v>100</v>
      </c>
      <c r="D916" s="20">
        <v>10</v>
      </c>
      <c r="E916" s="20">
        <v>10</v>
      </c>
      <c r="F916" s="20">
        <v>10</v>
      </c>
      <c r="G916" s="19">
        <f t="shared" si="74"/>
        <v>172</v>
      </c>
      <c r="H916" s="22">
        <f t="shared" si="71"/>
        <v>915</v>
      </c>
      <c r="I916" s="21">
        <f t="shared" ca="1" si="72"/>
        <v>0</v>
      </c>
      <c r="J916" s="21" t="str">
        <f ca="1">IF(I916=0,"",COUNTIF($I$2:I916,"&gt;0"))</f>
        <v/>
      </c>
      <c r="K916" s="21" t="str">
        <f t="shared" ca="1" si="73"/>
        <v/>
      </c>
    </row>
    <row r="917" spans="1:11" s="18" customFormat="1" ht="14.25" x14ac:dyDescent="0.2">
      <c r="A917" s="18" t="str">
        <f t="shared" si="63"/>
        <v>Eintrag 916</v>
      </c>
      <c r="B917" s="18">
        <v>100</v>
      </c>
      <c r="C917" s="19">
        <v>100</v>
      </c>
      <c r="D917" s="20">
        <v>10</v>
      </c>
      <c r="E917" s="20">
        <v>10</v>
      </c>
      <c r="F917" s="20">
        <v>10</v>
      </c>
      <c r="G917" s="19">
        <f t="shared" si="74"/>
        <v>172</v>
      </c>
      <c r="H917" s="22">
        <f t="shared" si="71"/>
        <v>916</v>
      </c>
      <c r="I917" s="21">
        <f t="shared" ca="1" si="72"/>
        <v>0</v>
      </c>
      <c r="J917" s="21" t="str">
        <f ca="1">IF(I917=0,"",COUNTIF($I$2:I917,"&gt;0"))</f>
        <v/>
      </c>
      <c r="K917" s="21" t="str">
        <f t="shared" ca="1" si="73"/>
        <v/>
      </c>
    </row>
    <row r="918" spans="1:11" s="18" customFormat="1" ht="14.25" x14ac:dyDescent="0.2">
      <c r="A918" s="18" t="str">
        <f t="shared" si="63"/>
        <v>Eintrag 917</v>
      </c>
      <c r="B918" s="18">
        <v>100</v>
      </c>
      <c r="C918" s="19">
        <v>100</v>
      </c>
      <c r="D918" s="20">
        <v>10</v>
      </c>
      <c r="E918" s="20">
        <v>10</v>
      </c>
      <c r="F918" s="20">
        <v>10</v>
      </c>
      <c r="G918" s="19">
        <f t="shared" si="74"/>
        <v>172</v>
      </c>
      <c r="H918" s="22">
        <f t="shared" si="71"/>
        <v>917</v>
      </c>
      <c r="I918" s="21">
        <f t="shared" ca="1" si="72"/>
        <v>0</v>
      </c>
      <c r="J918" s="21" t="str">
        <f ca="1">IF(I918=0,"",COUNTIF($I$2:I918,"&gt;0"))</f>
        <v/>
      </c>
      <c r="K918" s="21" t="str">
        <f t="shared" ca="1" si="73"/>
        <v/>
      </c>
    </row>
    <row r="919" spans="1:11" s="18" customFormat="1" ht="14.25" x14ac:dyDescent="0.2">
      <c r="A919" s="18" t="str">
        <f t="shared" si="63"/>
        <v>Eintrag 918</v>
      </c>
      <c r="B919" s="18">
        <v>100</v>
      </c>
      <c r="C919" s="19">
        <v>100</v>
      </c>
      <c r="D919" s="20">
        <v>10</v>
      </c>
      <c r="E919" s="20">
        <v>10</v>
      </c>
      <c r="F919" s="20">
        <v>10</v>
      </c>
      <c r="G919" s="19">
        <f t="shared" si="74"/>
        <v>172</v>
      </c>
      <c r="H919" s="22">
        <f t="shared" si="71"/>
        <v>918</v>
      </c>
      <c r="I919" s="21">
        <f t="shared" ca="1" si="72"/>
        <v>0</v>
      </c>
      <c r="J919" s="21" t="str">
        <f ca="1">IF(I919=0,"",COUNTIF($I$2:I919,"&gt;0"))</f>
        <v/>
      </c>
      <c r="K919" s="21" t="str">
        <f t="shared" ca="1" si="73"/>
        <v/>
      </c>
    </row>
    <row r="920" spans="1:11" s="18" customFormat="1" ht="14.25" x14ac:dyDescent="0.2">
      <c r="A920" s="18" t="str">
        <f t="shared" si="63"/>
        <v>Eintrag 919</v>
      </c>
      <c r="B920" s="18">
        <v>100</v>
      </c>
      <c r="C920" s="19">
        <v>100</v>
      </c>
      <c r="D920" s="20">
        <v>10</v>
      </c>
      <c r="E920" s="20">
        <v>10</v>
      </c>
      <c r="F920" s="20">
        <v>10</v>
      </c>
      <c r="G920" s="19">
        <f t="shared" si="74"/>
        <v>172</v>
      </c>
      <c r="H920" s="22">
        <f t="shared" si="71"/>
        <v>919</v>
      </c>
      <c r="I920" s="21">
        <f t="shared" ca="1" si="72"/>
        <v>0</v>
      </c>
      <c r="J920" s="21" t="str">
        <f ca="1">IF(I920=0,"",COUNTIF($I$2:I920,"&gt;0"))</f>
        <v/>
      </c>
      <c r="K920" s="21" t="str">
        <f t="shared" ca="1" si="73"/>
        <v/>
      </c>
    </row>
    <row r="921" spans="1:11" s="18" customFormat="1" ht="14.25" x14ac:dyDescent="0.2">
      <c r="A921" s="18" t="str">
        <f t="shared" ref="A921:A984" si="75">CONCATENATE("Eintrag ",H921)</f>
        <v>Eintrag 920</v>
      </c>
      <c r="B921" s="18">
        <v>100</v>
      </c>
      <c r="C921" s="19">
        <v>100</v>
      </c>
      <c r="D921" s="20">
        <v>10</v>
      </c>
      <c r="E921" s="20">
        <v>10</v>
      </c>
      <c r="F921" s="20">
        <v>10</v>
      </c>
      <c r="G921" s="19">
        <f t="shared" si="74"/>
        <v>172</v>
      </c>
      <c r="H921" s="22">
        <f t="shared" si="71"/>
        <v>920</v>
      </c>
      <c r="I921" s="21">
        <f t="shared" ca="1" si="72"/>
        <v>0</v>
      </c>
      <c r="J921" s="21" t="str">
        <f ca="1">IF(I921=0,"",COUNTIF($I$2:I921,"&gt;0"))</f>
        <v/>
      </c>
      <c r="K921" s="21" t="str">
        <f t="shared" ca="1" si="73"/>
        <v/>
      </c>
    </row>
    <row r="922" spans="1:11" s="18" customFormat="1" ht="14.25" x14ac:dyDescent="0.2">
      <c r="A922" s="18" t="str">
        <f t="shared" si="75"/>
        <v>Eintrag 921</v>
      </c>
      <c r="B922" s="18">
        <v>100</v>
      </c>
      <c r="C922" s="19">
        <v>100</v>
      </c>
      <c r="D922" s="20">
        <v>10</v>
      </c>
      <c r="E922" s="20">
        <v>10</v>
      </c>
      <c r="F922" s="20">
        <v>10</v>
      </c>
      <c r="G922" s="19">
        <f t="shared" si="74"/>
        <v>172</v>
      </c>
      <c r="H922" s="22">
        <f t="shared" si="71"/>
        <v>921</v>
      </c>
      <c r="I922" s="21">
        <f t="shared" ca="1" si="72"/>
        <v>0</v>
      </c>
      <c r="J922" s="21" t="str">
        <f ca="1">IF(I922=0,"",COUNTIF($I$2:I922,"&gt;0"))</f>
        <v/>
      </c>
      <c r="K922" s="21" t="str">
        <f t="shared" ca="1" si="73"/>
        <v/>
      </c>
    </row>
    <row r="923" spans="1:11" s="18" customFormat="1" ht="14.25" x14ac:dyDescent="0.2">
      <c r="A923" s="18" t="str">
        <f t="shared" si="75"/>
        <v>Eintrag 922</v>
      </c>
      <c r="B923" s="18">
        <v>100</v>
      </c>
      <c r="C923" s="19">
        <v>100</v>
      </c>
      <c r="D923" s="20">
        <v>10</v>
      </c>
      <c r="E923" s="20">
        <v>10</v>
      </c>
      <c r="F923" s="20">
        <v>10</v>
      </c>
      <c r="G923" s="19">
        <f t="shared" si="74"/>
        <v>172</v>
      </c>
      <c r="H923" s="22">
        <f t="shared" si="71"/>
        <v>922</v>
      </c>
      <c r="I923" s="21">
        <f t="shared" ca="1" si="72"/>
        <v>0</v>
      </c>
      <c r="J923" s="21" t="str">
        <f ca="1">IF(I923=0,"",COUNTIF($I$2:I923,"&gt;0"))</f>
        <v/>
      </c>
      <c r="K923" s="21" t="str">
        <f t="shared" ca="1" si="73"/>
        <v/>
      </c>
    </row>
    <row r="924" spans="1:11" s="18" customFormat="1" ht="14.25" x14ac:dyDescent="0.2">
      <c r="A924" s="18" t="str">
        <f t="shared" si="75"/>
        <v>Eintrag 923</v>
      </c>
      <c r="B924" s="18">
        <v>100</v>
      </c>
      <c r="C924" s="19">
        <v>100</v>
      </c>
      <c r="D924" s="20">
        <v>10</v>
      </c>
      <c r="E924" s="20">
        <v>10</v>
      </c>
      <c r="F924" s="20">
        <v>10</v>
      </c>
      <c r="G924" s="19">
        <f t="shared" si="74"/>
        <v>172</v>
      </c>
      <c r="H924" s="22">
        <f t="shared" si="71"/>
        <v>923</v>
      </c>
      <c r="I924" s="21">
        <f t="shared" ca="1" si="72"/>
        <v>0</v>
      </c>
      <c r="J924" s="21" t="str">
        <f ca="1">IF(I924=0,"",COUNTIF($I$2:I924,"&gt;0"))</f>
        <v/>
      </c>
      <c r="K924" s="21" t="str">
        <f t="shared" ca="1" si="73"/>
        <v/>
      </c>
    </row>
    <row r="925" spans="1:11" s="18" customFormat="1" ht="14.25" x14ac:dyDescent="0.2">
      <c r="A925" s="18" t="str">
        <f t="shared" si="75"/>
        <v>Eintrag 924</v>
      </c>
      <c r="B925" s="18">
        <v>100</v>
      </c>
      <c r="C925" s="19">
        <v>100</v>
      </c>
      <c r="D925" s="20">
        <v>10</v>
      </c>
      <c r="E925" s="20">
        <v>10</v>
      </c>
      <c r="F925" s="20">
        <v>10</v>
      </c>
      <c r="G925" s="19">
        <f t="shared" si="74"/>
        <v>172</v>
      </c>
      <c r="H925" s="22">
        <f t="shared" si="71"/>
        <v>924</v>
      </c>
      <c r="I925" s="21">
        <f t="shared" ca="1" si="72"/>
        <v>0</v>
      </c>
      <c r="J925" s="21" t="str">
        <f ca="1">IF(I925=0,"",COUNTIF($I$2:I925,"&gt;0"))</f>
        <v/>
      </c>
      <c r="K925" s="21" t="str">
        <f t="shared" ca="1" si="73"/>
        <v/>
      </c>
    </row>
    <row r="926" spans="1:11" s="18" customFormat="1" ht="14.25" x14ac:dyDescent="0.2">
      <c r="A926" s="18" t="str">
        <f t="shared" si="75"/>
        <v>Eintrag 925</v>
      </c>
      <c r="B926" s="18">
        <v>100</v>
      </c>
      <c r="C926" s="19">
        <v>100</v>
      </c>
      <c r="D926" s="20">
        <v>10</v>
      </c>
      <c r="E926" s="20">
        <v>10</v>
      </c>
      <c r="F926" s="20">
        <v>10</v>
      </c>
      <c r="G926" s="19">
        <f t="shared" si="74"/>
        <v>172</v>
      </c>
      <c r="H926" s="22">
        <f t="shared" si="71"/>
        <v>925</v>
      </c>
      <c r="I926" s="21">
        <f t="shared" ca="1" si="72"/>
        <v>0</v>
      </c>
      <c r="J926" s="21" t="str">
        <f ca="1">IF(I926=0,"",COUNTIF($I$2:I926,"&gt;0"))</f>
        <v/>
      </c>
      <c r="K926" s="21" t="str">
        <f t="shared" ca="1" si="73"/>
        <v/>
      </c>
    </row>
    <row r="927" spans="1:11" s="18" customFormat="1" ht="14.25" x14ac:dyDescent="0.2">
      <c r="A927" s="18" t="str">
        <f t="shared" si="75"/>
        <v>Eintrag 926</v>
      </c>
      <c r="B927" s="18">
        <v>100</v>
      </c>
      <c r="C927" s="19">
        <v>100</v>
      </c>
      <c r="D927" s="20">
        <v>10</v>
      </c>
      <c r="E927" s="20">
        <v>10</v>
      </c>
      <c r="F927" s="20">
        <v>10</v>
      </c>
      <c r="G927" s="19">
        <f t="shared" si="74"/>
        <v>172</v>
      </c>
      <c r="H927" s="22">
        <f t="shared" si="71"/>
        <v>926</v>
      </c>
      <c r="I927" s="21">
        <f t="shared" ca="1" si="72"/>
        <v>0</v>
      </c>
      <c r="J927" s="21" t="str">
        <f ca="1">IF(I927=0,"",COUNTIF($I$2:I927,"&gt;0"))</f>
        <v/>
      </c>
      <c r="K927" s="21" t="str">
        <f t="shared" ca="1" si="73"/>
        <v/>
      </c>
    </row>
    <row r="928" spans="1:11" s="18" customFormat="1" ht="14.25" x14ac:dyDescent="0.2">
      <c r="A928" s="18" t="str">
        <f t="shared" si="75"/>
        <v>Eintrag 927</v>
      </c>
      <c r="B928" s="18">
        <v>100</v>
      </c>
      <c r="C928" s="19">
        <v>100</v>
      </c>
      <c r="D928" s="20">
        <v>10</v>
      </c>
      <c r="E928" s="20">
        <v>10</v>
      </c>
      <c r="F928" s="20">
        <v>10</v>
      </c>
      <c r="G928" s="19">
        <f t="shared" si="74"/>
        <v>172</v>
      </c>
      <c r="H928" s="22">
        <f t="shared" si="71"/>
        <v>927</v>
      </c>
      <c r="I928" s="21">
        <f t="shared" ca="1" si="72"/>
        <v>0</v>
      </c>
      <c r="J928" s="21" t="str">
        <f ca="1">IF(I928=0,"",COUNTIF($I$2:I928,"&gt;0"))</f>
        <v/>
      </c>
      <c r="K928" s="21" t="str">
        <f t="shared" ca="1" si="73"/>
        <v/>
      </c>
    </row>
    <row r="929" spans="1:11" s="18" customFormat="1" ht="14.25" x14ac:dyDescent="0.2">
      <c r="A929" s="18" t="str">
        <f t="shared" si="75"/>
        <v>Eintrag 928</v>
      </c>
      <c r="B929" s="18">
        <v>100</v>
      </c>
      <c r="C929" s="19">
        <v>100</v>
      </c>
      <c r="D929" s="20">
        <v>10</v>
      </c>
      <c r="E929" s="20">
        <v>10</v>
      </c>
      <c r="F929" s="20">
        <v>10</v>
      </c>
      <c r="G929" s="19">
        <f t="shared" si="74"/>
        <v>172</v>
      </c>
      <c r="H929" s="22">
        <f t="shared" si="71"/>
        <v>928</v>
      </c>
      <c r="I929" s="21">
        <f t="shared" ca="1" si="72"/>
        <v>0</v>
      </c>
      <c r="J929" s="21" t="str">
        <f ca="1">IF(I929=0,"",COUNTIF($I$2:I929,"&gt;0"))</f>
        <v/>
      </c>
      <c r="K929" s="21" t="str">
        <f t="shared" ca="1" si="73"/>
        <v/>
      </c>
    </row>
    <row r="930" spans="1:11" s="18" customFormat="1" ht="14.25" x14ac:dyDescent="0.2">
      <c r="A930" s="18" t="str">
        <f t="shared" si="75"/>
        <v>Eintrag 929</v>
      </c>
      <c r="B930" s="18">
        <v>100</v>
      </c>
      <c r="C930" s="19">
        <v>100</v>
      </c>
      <c r="D930" s="20">
        <v>10</v>
      </c>
      <c r="E930" s="20">
        <v>10</v>
      </c>
      <c r="F930" s="20">
        <v>10</v>
      </c>
      <c r="G930" s="19">
        <f t="shared" si="74"/>
        <v>172</v>
      </c>
      <c r="H930" s="22">
        <f t="shared" si="71"/>
        <v>929</v>
      </c>
      <c r="I930" s="21">
        <f t="shared" ca="1" si="72"/>
        <v>0</v>
      </c>
      <c r="J930" s="21" t="str">
        <f ca="1">IF(I930=0,"",COUNTIF($I$2:I930,"&gt;0"))</f>
        <v/>
      </c>
      <c r="K930" s="21" t="str">
        <f t="shared" ca="1" si="73"/>
        <v/>
      </c>
    </row>
    <row r="931" spans="1:11" s="18" customFormat="1" ht="14.25" x14ac:dyDescent="0.2">
      <c r="A931" s="18" t="str">
        <f t="shared" si="75"/>
        <v>Eintrag 930</v>
      </c>
      <c r="B931" s="18">
        <v>100</v>
      </c>
      <c r="C931" s="19">
        <v>100</v>
      </c>
      <c r="D931" s="20">
        <v>10</v>
      </c>
      <c r="E931" s="20">
        <v>10</v>
      </c>
      <c r="F931" s="20">
        <v>10</v>
      </c>
      <c r="G931" s="19">
        <f t="shared" si="74"/>
        <v>172</v>
      </c>
      <c r="H931" s="22">
        <f t="shared" si="71"/>
        <v>930</v>
      </c>
      <c r="I931" s="21">
        <f t="shared" ca="1" si="72"/>
        <v>0</v>
      </c>
      <c r="J931" s="21" t="str">
        <f ca="1">IF(I931=0,"",COUNTIF($I$2:I931,"&gt;0"))</f>
        <v/>
      </c>
      <c r="K931" s="21" t="str">
        <f t="shared" ca="1" si="73"/>
        <v/>
      </c>
    </row>
    <row r="932" spans="1:11" s="18" customFormat="1" ht="14.25" x14ac:dyDescent="0.2">
      <c r="A932" s="18" t="str">
        <f t="shared" si="75"/>
        <v>Eintrag 931</v>
      </c>
      <c r="B932" s="18">
        <v>100</v>
      </c>
      <c r="C932" s="19">
        <v>100</v>
      </c>
      <c r="D932" s="20">
        <v>10</v>
      </c>
      <c r="E932" s="20">
        <v>10</v>
      </c>
      <c r="F932" s="20">
        <v>10</v>
      </c>
      <c r="G932" s="19">
        <f t="shared" si="74"/>
        <v>172</v>
      </c>
      <c r="H932" s="22">
        <f t="shared" si="71"/>
        <v>931</v>
      </c>
      <c r="I932" s="21">
        <f t="shared" ca="1" si="72"/>
        <v>0</v>
      </c>
      <c r="J932" s="21" t="str">
        <f ca="1">IF(I932=0,"",COUNTIF($I$2:I932,"&gt;0"))</f>
        <v/>
      </c>
      <c r="K932" s="21" t="str">
        <f t="shared" ca="1" si="73"/>
        <v/>
      </c>
    </row>
    <row r="933" spans="1:11" s="18" customFormat="1" ht="14.25" x14ac:dyDescent="0.2">
      <c r="A933" s="18" t="str">
        <f t="shared" si="75"/>
        <v>Eintrag 932</v>
      </c>
      <c r="B933" s="18">
        <v>100</v>
      </c>
      <c r="C933" s="19">
        <v>100</v>
      </c>
      <c r="D933" s="20">
        <v>10</v>
      </c>
      <c r="E933" s="20">
        <v>10</v>
      </c>
      <c r="F933" s="20">
        <v>10</v>
      </c>
      <c r="G933" s="19">
        <f t="shared" si="74"/>
        <v>172</v>
      </c>
      <c r="H933" s="22">
        <f t="shared" ref="H933:H996" si="76">H932+1</f>
        <v>932</v>
      </c>
      <c r="I933" s="21">
        <f t="shared" ca="1" si="72"/>
        <v>0</v>
      </c>
      <c r="J933" s="21" t="str">
        <f ca="1">IF(I933=0,"",COUNTIF($I$2:I933,"&gt;0"))</f>
        <v/>
      </c>
      <c r="K933" s="21" t="str">
        <f t="shared" ca="1" si="73"/>
        <v/>
      </c>
    </row>
    <row r="934" spans="1:11" s="18" customFormat="1" ht="14.25" x14ac:dyDescent="0.2">
      <c r="A934" s="18" t="str">
        <f t="shared" si="75"/>
        <v>Eintrag 933</v>
      </c>
      <c r="B934" s="18">
        <v>100</v>
      </c>
      <c r="C934" s="19">
        <v>100</v>
      </c>
      <c r="D934" s="20">
        <v>10</v>
      </c>
      <c r="E934" s="20">
        <v>10</v>
      </c>
      <c r="F934" s="20">
        <v>10</v>
      </c>
      <c r="G934" s="19">
        <f t="shared" si="74"/>
        <v>172</v>
      </c>
      <c r="H934" s="22">
        <f t="shared" si="76"/>
        <v>933</v>
      </c>
      <c r="I934" s="21">
        <f t="shared" ca="1" si="72"/>
        <v>0</v>
      </c>
      <c r="J934" s="21" t="str">
        <f ca="1">IF(I934=0,"",COUNTIF($I$2:I934,"&gt;0"))</f>
        <v/>
      </c>
      <c r="K934" s="21" t="str">
        <f t="shared" ca="1" si="73"/>
        <v/>
      </c>
    </row>
    <row r="935" spans="1:11" s="18" customFormat="1" ht="14.25" x14ac:dyDescent="0.2">
      <c r="A935" s="18" t="str">
        <f t="shared" si="75"/>
        <v>Eintrag 934</v>
      </c>
      <c r="B935" s="18">
        <v>100</v>
      </c>
      <c r="C935" s="19">
        <v>100</v>
      </c>
      <c r="D935" s="20">
        <v>10</v>
      </c>
      <c r="E935" s="20">
        <v>10</v>
      </c>
      <c r="F935" s="20">
        <v>10</v>
      </c>
      <c r="G935" s="19">
        <f t="shared" si="74"/>
        <v>172</v>
      </c>
      <c r="H935" s="22">
        <f t="shared" si="76"/>
        <v>934</v>
      </c>
      <c r="I935" s="21">
        <f t="shared" ca="1" si="72"/>
        <v>0</v>
      </c>
      <c r="J935" s="21" t="str">
        <f ca="1">IF(I935=0,"",COUNTIF($I$2:I935,"&gt;0"))</f>
        <v/>
      </c>
      <c r="K935" s="21" t="str">
        <f t="shared" ca="1" si="73"/>
        <v/>
      </c>
    </row>
    <row r="936" spans="1:11" s="18" customFormat="1" ht="14.25" x14ac:dyDescent="0.2">
      <c r="A936" s="18" t="str">
        <f t="shared" si="75"/>
        <v>Eintrag 935</v>
      </c>
      <c r="B936" s="18">
        <v>100</v>
      </c>
      <c r="C936" s="19">
        <v>100</v>
      </c>
      <c r="D936" s="20">
        <v>10</v>
      </c>
      <c r="E936" s="20">
        <v>10</v>
      </c>
      <c r="F936" s="20">
        <v>10</v>
      </c>
      <c r="G936" s="19">
        <f t="shared" si="74"/>
        <v>172</v>
      </c>
      <c r="H936" s="22">
        <f t="shared" si="76"/>
        <v>935</v>
      </c>
      <c r="I936" s="21">
        <f t="shared" ca="1" si="72"/>
        <v>0</v>
      </c>
      <c r="J936" s="21" t="str">
        <f ca="1">IF(I936=0,"",COUNTIF($I$2:I936,"&gt;0"))</f>
        <v/>
      </c>
      <c r="K936" s="21" t="str">
        <f t="shared" ca="1" si="73"/>
        <v/>
      </c>
    </row>
    <row r="937" spans="1:11" s="18" customFormat="1" ht="14.25" x14ac:dyDescent="0.2">
      <c r="A937" s="18" t="str">
        <f t="shared" si="75"/>
        <v>Eintrag 936</v>
      </c>
      <c r="B937" s="18">
        <v>100</v>
      </c>
      <c r="C937" s="19">
        <v>100</v>
      </c>
      <c r="D937" s="20">
        <v>10</v>
      </c>
      <c r="E937" s="20">
        <v>10</v>
      </c>
      <c r="F937" s="20">
        <v>10</v>
      </c>
      <c r="G937" s="19">
        <f t="shared" si="74"/>
        <v>172</v>
      </c>
      <c r="H937" s="22">
        <f t="shared" si="76"/>
        <v>936</v>
      </c>
      <c r="I937" s="21">
        <f t="shared" ca="1" si="72"/>
        <v>0</v>
      </c>
      <c r="J937" s="21" t="str">
        <f ca="1">IF(I937=0,"",COUNTIF($I$2:I937,"&gt;0"))</f>
        <v/>
      </c>
      <c r="K937" s="21" t="str">
        <f t="shared" ca="1" si="73"/>
        <v/>
      </c>
    </row>
    <row r="938" spans="1:11" s="18" customFormat="1" ht="14.25" x14ac:dyDescent="0.2">
      <c r="A938" s="18" t="str">
        <f t="shared" si="75"/>
        <v>Eintrag 937</v>
      </c>
      <c r="B938" s="18">
        <v>100</v>
      </c>
      <c r="C938" s="19">
        <v>100</v>
      </c>
      <c r="D938" s="20">
        <v>10</v>
      </c>
      <c r="E938" s="20">
        <v>10</v>
      </c>
      <c r="F938" s="20">
        <v>10</v>
      </c>
      <c r="G938" s="19">
        <f t="shared" si="74"/>
        <v>172</v>
      </c>
      <c r="H938" s="22">
        <f t="shared" si="76"/>
        <v>937</v>
      </c>
      <c r="I938" s="21">
        <f t="shared" ca="1" si="72"/>
        <v>0</v>
      </c>
      <c r="J938" s="21" t="str">
        <f ca="1">IF(I938=0,"",COUNTIF($I$2:I938,"&gt;0"))</f>
        <v/>
      </c>
      <c r="K938" s="21" t="str">
        <f t="shared" ca="1" si="73"/>
        <v/>
      </c>
    </row>
    <row r="939" spans="1:11" s="18" customFormat="1" ht="14.25" x14ac:dyDescent="0.2">
      <c r="A939" s="18" t="str">
        <f t="shared" si="75"/>
        <v>Eintrag 938</v>
      </c>
      <c r="B939" s="18">
        <v>100</v>
      </c>
      <c r="C939" s="19">
        <v>100</v>
      </c>
      <c r="D939" s="20">
        <v>10</v>
      </c>
      <c r="E939" s="20">
        <v>10</v>
      </c>
      <c r="F939" s="20">
        <v>10</v>
      </c>
      <c r="G939" s="19">
        <f t="shared" si="74"/>
        <v>172</v>
      </c>
      <c r="H939" s="22">
        <f t="shared" si="76"/>
        <v>938</v>
      </c>
      <c r="I939" s="21">
        <f t="shared" ca="1" si="72"/>
        <v>0</v>
      </c>
      <c r="J939" s="21" t="str">
        <f ca="1">IF(I939=0,"",COUNTIF($I$2:I939,"&gt;0"))</f>
        <v/>
      </c>
      <c r="K939" s="21" t="str">
        <f t="shared" ca="1" si="73"/>
        <v/>
      </c>
    </row>
    <row r="940" spans="1:11" s="18" customFormat="1" ht="14.25" x14ac:dyDescent="0.2">
      <c r="A940" s="18" t="str">
        <f t="shared" si="75"/>
        <v>Eintrag 939</v>
      </c>
      <c r="B940" s="18">
        <v>100</v>
      </c>
      <c r="C940" s="19">
        <v>100</v>
      </c>
      <c r="D940" s="20">
        <v>10</v>
      </c>
      <c r="E940" s="20">
        <v>10</v>
      </c>
      <c r="F940" s="20">
        <v>10</v>
      </c>
      <c r="G940" s="19">
        <f t="shared" si="74"/>
        <v>172</v>
      </c>
      <c r="H940" s="22">
        <f t="shared" si="76"/>
        <v>939</v>
      </c>
      <c r="I940" s="21">
        <f t="shared" ca="1" si="72"/>
        <v>0</v>
      </c>
      <c r="J940" s="21" t="str">
        <f ca="1">IF(I940=0,"",COUNTIF($I$2:I940,"&gt;0"))</f>
        <v/>
      </c>
      <c r="K940" s="21" t="str">
        <f t="shared" ca="1" si="73"/>
        <v/>
      </c>
    </row>
    <row r="941" spans="1:11" s="18" customFormat="1" ht="14.25" x14ac:dyDescent="0.2">
      <c r="A941" s="18" t="str">
        <f t="shared" si="75"/>
        <v>Eintrag 940</v>
      </c>
      <c r="B941" s="18">
        <v>100</v>
      </c>
      <c r="C941" s="19">
        <v>100</v>
      </c>
      <c r="D941" s="20">
        <v>10</v>
      </c>
      <c r="E941" s="20">
        <v>10</v>
      </c>
      <c r="F941" s="20">
        <v>10</v>
      </c>
      <c r="G941" s="19">
        <f t="shared" si="74"/>
        <v>172</v>
      </c>
      <c r="H941" s="22">
        <f t="shared" si="76"/>
        <v>940</v>
      </c>
      <c r="I941" s="21">
        <f t="shared" ca="1" si="72"/>
        <v>0</v>
      </c>
      <c r="J941" s="21" t="str">
        <f ca="1">IF(I941=0,"",COUNTIF($I$2:I941,"&gt;0"))</f>
        <v/>
      </c>
      <c r="K941" s="21" t="str">
        <f t="shared" ca="1" si="73"/>
        <v/>
      </c>
    </row>
    <row r="942" spans="1:11" s="18" customFormat="1" ht="14.25" x14ac:dyDescent="0.2">
      <c r="A942" s="18" t="str">
        <f t="shared" si="75"/>
        <v>Eintrag 941</v>
      </c>
      <c r="B942" s="18">
        <v>100</v>
      </c>
      <c r="C942" s="19">
        <v>100</v>
      </c>
      <c r="D942" s="20">
        <v>10</v>
      </c>
      <c r="E942" s="20">
        <v>10</v>
      </c>
      <c r="F942" s="20">
        <v>10</v>
      </c>
      <c r="G942" s="19">
        <f t="shared" si="74"/>
        <v>172</v>
      </c>
      <c r="H942" s="22">
        <f t="shared" si="76"/>
        <v>941</v>
      </c>
      <c r="I942" s="21">
        <f t="shared" ca="1" si="72"/>
        <v>0</v>
      </c>
      <c r="J942" s="21" t="str">
        <f ca="1">IF(I942=0,"",COUNTIF($I$2:I942,"&gt;0"))</f>
        <v/>
      </c>
      <c r="K942" s="21" t="str">
        <f t="shared" ca="1" si="73"/>
        <v/>
      </c>
    </row>
    <row r="943" spans="1:11" s="18" customFormat="1" ht="14.25" x14ac:dyDescent="0.2">
      <c r="A943" s="18" t="str">
        <f t="shared" si="75"/>
        <v>Eintrag 942</v>
      </c>
      <c r="B943" s="18">
        <v>100</v>
      </c>
      <c r="C943" s="19">
        <v>100</v>
      </c>
      <c r="D943" s="20">
        <v>10</v>
      </c>
      <c r="E943" s="20">
        <v>10</v>
      </c>
      <c r="F943" s="20">
        <v>10</v>
      </c>
      <c r="G943" s="19">
        <f t="shared" si="74"/>
        <v>172</v>
      </c>
      <c r="H943" s="22">
        <f t="shared" si="76"/>
        <v>942</v>
      </c>
      <c r="I943" s="21">
        <f t="shared" ca="1" si="72"/>
        <v>0</v>
      </c>
      <c r="J943" s="21" t="str">
        <f ca="1">IF(I943=0,"",COUNTIF($I$2:I943,"&gt;0"))</f>
        <v/>
      </c>
      <c r="K943" s="21" t="str">
        <f t="shared" ca="1" si="73"/>
        <v/>
      </c>
    </row>
    <row r="944" spans="1:11" s="18" customFormat="1" ht="14.25" x14ac:dyDescent="0.2">
      <c r="A944" s="18" t="str">
        <f t="shared" si="75"/>
        <v>Eintrag 943</v>
      </c>
      <c r="B944" s="18">
        <v>100</v>
      </c>
      <c r="C944" s="19">
        <v>100</v>
      </c>
      <c r="D944" s="20">
        <v>10</v>
      </c>
      <c r="E944" s="20">
        <v>10</v>
      </c>
      <c r="F944" s="20">
        <v>10</v>
      </c>
      <c r="G944" s="19">
        <f t="shared" si="74"/>
        <v>172</v>
      </c>
      <c r="H944" s="22">
        <f t="shared" si="76"/>
        <v>943</v>
      </c>
      <c r="I944" s="21">
        <f t="shared" ca="1" si="72"/>
        <v>0</v>
      </c>
      <c r="J944" s="21" t="str">
        <f ca="1">IF(I944=0,"",COUNTIF($I$2:I944,"&gt;0"))</f>
        <v/>
      </c>
      <c r="K944" s="21" t="str">
        <f t="shared" ca="1" si="73"/>
        <v/>
      </c>
    </row>
    <row r="945" spans="1:11" s="18" customFormat="1" ht="14.25" x14ac:dyDescent="0.2">
      <c r="A945" s="18" t="str">
        <f t="shared" si="75"/>
        <v>Eintrag 944</v>
      </c>
      <c r="B945" s="18">
        <v>100</v>
      </c>
      <c r="C945" s="19">
        <v>100</v>
      </c>
      <c r="D945" s="20">
        <v>10</v>
      </c>
      <c r="E945" s="20">
        <v>10</v>
      </c>
      <c r="F945" s="20">
        <v>10</v>
      </c>
      <c r="G945" s="19">
        <f t="shared" si="74"/>
        <v>172</v>
      </c>
      <c r="H945" s="22">
        <f t="shared" si="76"/>
        <v>944</v>
      </c>
      <c r="I945" s="21">
        <f t="shared" ca="1" si="72"/>
        <v>0</v>
      </c>
      <c r="J945" s="21" t="str">
        <f ca="1">IF(I945=0,"",COUNTIF($I$2:I945,"&gt;0"))</f>
        <v/>
      </c>
      <c r="K945" s="21" t="str">
        <f t="shared" ca="1" si="73"/>
        <v/>
      </c>
    </row>
    <row r="946" spans="1:11" s="18" customFormat="1" ht="14.25" x14ac:dyDescent="0.2">
      <c r="A946" s="18" t="str">
        <f t="shared" si="75"/>
        <v>Eintrag 945</v>
      </c>
      <c r="B946" s="18">
        <v>100</v>
      </c>
      <c r="C946" s="19">
        <v>100</v>
      </c>
      <c r="D946" s="20">
        <v>10</v>
      </c>
      <c r="E946" s="20">
        <v>10</v>
      </c>
      <c r="F946" s="20">
        <v>10</v>
      </c>
      <c r="G946" s="19">
        <f t="shared" si="74"/>
        <v>172</v>
      </c>
      <c r="H946" s="22">
        <f t="shared" si="76"/>
        <v>945</v>
      </c>
      <c r="I946" s="21">
        <f t="shared" ca="1" si="72"/>
        <v>0</v>
      </c>
      <c r="J946" s="21" t="str">
        <f ca="1">IF(I946=0,"",COUNTIF($I$2:I946,"&gt;0"))</f>
        <v/>
      </c>
      <c r="K946" s="21" t="str">
        <f t="shared" ca="1" si="73"/>
        <v/>
      </c>
    </row>
    <row r="947" spans="1:11" s="18" customFormat="1" ht="14.25" x14ac:dyDescent="0.2">
      <c r="A947" s="18" t="str">
        <f t="shared" si="75"/>
        <v>Eintrag 946</v>
      </c>
      <c r="B947" s="18">
        <v>100</v>
      </c>
      <c r="C947" s="19">
        <v>100</v>
      </c>
      <c r="D947" s="20">
        <v>10</v>
      </c>
      <c r="E947" s="20">
        <v>10</v>
      </c>
      <c r="F947" s="20">
        <v>10</v>
      </c>
      <c r="G947" s="19">
        <f t="shared" si="74"/>
        <v>172</v>
      </c>
      <c r="H947" s="22">
        <f t="shared" si="76"/>
        <v>946</v>
      </c>
      <c r="I947" s="21">
        <f t="shared" ca="1" si="72"/>
        <v>0</v>
      </c>
      <c r="J947" s="21" t="str">
        <f ca="1">IF(I947=0,"",COUNTIF($I$2:I947,"&gt;0"))</f>
        <v/>
      </c>
      <c r="K947" s="21" t="str">
        <f t="shared" ca="1" si="73"/>
        <v/>
      </c>
    </row>
    <row r="948" spans="1:11" s="18" customFormat="1" ht="14.25" x14ac:dyDescent="0.2">
      <c r="A948" s="18" t="str">
        <f t="shared" si="75"/>
        <v>Eintrag 947</v>
      </c>
      <c r="B948" s="18">
        <v>100</v>
      </c>
      <c r="C948" s="19">
        <v>100</v>
      </c>
      <c r="D948" s="20">
        <v>10</v>
      </c>
      <c r="E948" s="20">
        <v>10</v>
      </c>
      <c r="F948" s="20">
        <v>10</v>
      </c>
      <c r="G948" s="19">
        <f t="shared" si="74"/>
        <v>172</v>
      </c>
      <c r="H948" s="22">
        <f t="shared" si="76"/>
        <v>947</v>
      </c>
      <c r="I948" s="21">
        <f t="shared" ca="1" si="72"/>
        <v>0</v>
      </c>
      <c r="J948" s="21" t="str">
        <f ca="1">IF(I948=0,"",COUNTIF($I$2:I948,"&gt;0"))</f>
        <v/>
      </c>
      <c r="K948" s="21" t="str">
        <f t="shared" ca="1" si="73"/>
        <v/>
      </c>
    </row>
    <row r="949" spans="1:11" s="18" customFormat="1" ht="14.25" x14ac:dyDescent="0.2">
      <c r="A949" s="18" t="str">
        <f t="shared" si="75"/>
        <v>Eintrag 948</v>
      </c>
      <c r="B949" s="18">
        <v>100</v>
      </c>
      <c r="C949" s="19">
        <v>100</v>
      </c>
      <c r="D949" s="20">
        <v>10</v>
      </c>
      <c r="E949" s="20">
        <v>10</v>
      </c>
      <c r="F949" s="20">
        <v>10</v>
      </c>
      <c r="G949" s="19">
        <f t="shared" si="74"/>
        <v>172</v>
      </c>
      <c r="H949" s="22">
        <f t="shared" si="76"/>
        <v>948</v>
      </c>
      <c r="I949" s="21">
        <f t="shared" ref="I949:I1202" ca="1" si="77">IFERROR(SEARCH(INDIRECT(CELL("address")),A949),0)</f>
        <v>0</v>
      </c>
      <c r="J949" s="21" t="str">
        <f ca="1">IF(I949=0,"",COUNTIF($I$2:I949,"&gt;0"))</f>
        <v/>
      </c>
      <c r="K949" s="21" t="str">
        <f t="shared" ca="1" si="73"/>
        <v/>
      </c>
    </row>
    <row r="950" spans="1:11" s="18" customFormat="1" ht="14.25" x14ac:dyDescent="0.2">
      <c r="A950" s="18" t="str">
        <f t="shared" si="75"/>
        <v>Eintrag 949</v>
      </c>
      <c r="B950" s="18">
        <v>100</v>
      </c>
      <c r="C950" s="19">
        <v>100</v>
      </c>
      <c r="D950" s="20">
        <v>10</v>
      </c>
      <c r="E950" s="20">
        <v>10</v>
      </c>
      <c r="F950" s="20">
        <v>10</v>
      </c>
      <c r="G950" s="19">
        <f t="shared" si="74"/>
        <v>172</v>
      </c>
      <c r="H950" s="22">
        <f t="shared" si="76"/>
        <v>949</v>
      </c>
      <c r="I950" s="21">
        <f t="shared" ca="1" si="77"/>
        <v>0</v>
      </c>
      <c r="J950" s="21" t="str">
        <f ca="1">IF(I950=0,"",COUNTIF($I$2:I950,"&gt;0"))</f>
        <v/>
      </c>
      <c r="K950" s="21" t="str">
        <f t="shared" ca="1" si="73"/>
        <v/>
      </c>
    </row>
    <row r="951" spans="1:11" s="18" customFormat="1" ht="14.25" x14ac:dyDescent="0.2">
      <c r="A951" s="18" t="str">
        <f t="shared" si="75"/>
        <v>Eintrag 950</v>
      </c>
      <c r="B951" s="18">
        <v>100</v>
      </c>
      <c r="C951" s="19">
        <v>100</v>
      </c>
      <c r="D951" s="20">
        <v>10</v>
      </c>
      <c r="E951" s="20">
        <v>10</v>
      </c>
      <c r="F951" s="20">
        <v>10</v>
      </c>
      <c r="G951" s="19">
        <f t="shared" si="74"/>
        <v>172</v>
      </c>
      <c r="H951" s="22">
        <f t="shared" si="76"/>
        <v>950</v>
      </c>
      <c r="I951" s="21">
        <f t="shared" ca="1" si="77"/>
        <v>0</v>
      </c>
      <c r="J951" s="21" t="str">
        <f ca="1">IF(I951=0,"",COUNTIF($I$2:I951,"&gt;0"))</f>
        <v/>
      </c>
      <c r="K951" s="21" t="str">
        <f t="shared" ca="1" si="73"/>
        <v/>
      </c>
    </row>
    <row r="952" spans="1:11" s="18" customFormat="1" ht="14.25" x14ac:dyDescent="0.2">
      <c r="A952" s="18" t="str">
        <f t="shared" si="75"/>
        <v>Eintrag 951</v>
      </c>
      <c r="B952" s="18">
        <v>100</v>
      </c>
      <c r="C952" s="19">
        <v>100</v>
      </c>
      <c r="D952" s="20">
        <v>10</v>
      </c>
      <c r="E952" s="20">
        <v>10</v>
      </c>
      <c r="F952" s="20">
        <v>10</v>
      </c>
      <c r="G952" s="19">
        <f t="shared" si="74"/>
        <v>172</v>
      </c>
      <c r="H952" s="22">
        <f t="shared" si="76"/>
        <v>951</v>
      </c>
      <c r="I952" s="21">
        <f t="shared" ca="1" si="77"/>
        <v>0</v>
      </c>
      <c r="J952" s="21" t="str">
        <f ca="1">IF(I952=0,"",COUNTIF($I$2:I952,"&gt;0"))</f>
        <v/>
      </c>
      <c r="K952" s="21" t="str">
        <f t="shared" ca="1" si="73"/>
        <v/>
      </c>
    </row>
    <row r="953" spans="1:11" s="18" customFormat="1" ht="14.25" x14ac:dyDescent="0.2">
      <c r="A953" s="18" t="str">
        <f t="shared" si="75"/>
        <v>Eintrag 952</v>
      </c>
      <c r="B953" s="18">
        <v>100</v>
      </c>
      <c r="C953" s="19">
        <v>100</v>
      </c>
      <c r="D953" s="20">
        <v>10</v>
      </c>
      <c r="E953" s="20">
        <v>10</v>
      </c>
      <c r="F953" s="20">
        <v>10</v>
      </c>
      <c r="G953" s="19">
        <f t="shared" si="74"/>
        <v>172</v>
      </c>
      <c r="H953" s="22">
        <f t="shared" si="76"/>
        <v>952</v>
      </c>
      <c r="I953" s="21">
        <f t="shared" ca="1" si="77"/>
        <v>0</v>
      </c>
      <c r="J953" s="21" t="str">
        <f ca="1">IF(I953=0,"",COUNTIF($I$2:I953,"&gt;0"))</f>
        <v/>
      </c>
      <c r="K953" s="21" t="str">
        <f t="shared" ca="1" si="73"/>
        <v/>
      </c>
    </row>
    <row r="954" spans="1:11" s="18" customFormat="1" ht="14.25" x14ac:dyDescent="0.2">
      <c r="A954" s="18" t="str">
        <f t="shared" si="75"/>
        <v>Eintrag 953</v>
      </c>
      <c r="B954" s="18">
        <v>100</v>
      </c>
      <c r="C954" s="19">
        <v>100</v>
      </c>
      <c r="D954" s="20">
        <v>10</v>
      </c>
      <c r="E954" s="20">
        <v>10</v>
      </c>
      <c r="F954" s="20">
        <v>10</v>
      </c>
      <c r="G954" s="19">
        <f t="shared" si="74"/>
        <v>172</v>
      </c>
      <c r="H954" s="22">
        <f t="shared" si="76"/>
        <v>953</v>
      </c>
      <c r="I954" s="21">
        <f t="shared" ca="1" si="77"/>
        <v>0</v>
      </c>
      <c r="J954" s="21" t="str">
        <f ca="1">IF(I954=0,"",COUNTIF($I$2:I954,"&gt;0"))</f>
        <v/>
      </c>
      <c r="K954" s="21" t="str">
        <f t="shared" ca="1" si="73"/>
        <v/>
      </c>
    </row>
    <row r="955" spans="1:11" s="18" customFormat="1" ht="14.25" x14ac:dyDescent="0.2">
      <c r="A955" s="18" t="str">
        <f t="shared" si="75"/>
        <v>Eintrag 954</v>
      </c>
      <c r="B955" s="18">
        <v>100</v>
      </c>
      <c r="C955" s="19">
        <v>100</v>
      </c>
      <c r="D955" s="20">
        <v>10</v>
      </c>
      <c r="E955" s="20">
        <v>10</v>
      </c>
      <c r="F955" s="20">
        <v>10</v>
      </c>
      <c r="G955" s="19">
        <f t="shared" si="74"/>
        <v>172</v>
      </c>
      <c r="H955" s="22">
        <f t="shared" si="76"/>
        <v>954</v>
      </c>
      <c r="I955" s="21">
        <f t="shared" ca="1" si="77"/>
        <v>0</v>
      </c>
      <c r="J955" s="21" t="str">
        <f ca="1">IF(I955=0,"",COUNTIF($I$2:I955,"&gt;0"))</f>
        <v/>
      </c>
      <c r="K955" s="21" t="str">
        <f t="shared" ca="1" si="73"/>
        <v/>
      </c>
    </row>
    <row r="956" spans="1:11" s="18" customFormat="1" ht="14.25" x14ac:dyDescent="0.2">
      <c r="A956" s="18" t="str">
        <f t="shared" si="75"/>
        <v>Eintrag 955</v>
      </c>
      <c r="B956" s="18">
        <v>100</v>
      </c>
      <c r="C956" s="19">
        <v>100</v>
      </c>
      <c r="D956" s="20">
        <v>10</v>
      </c>
      <c r="E956" s="20">
        <v>10</v>
      </c>
      <c r="F956" s="20">
        <v>10</v>
      </c>
      <c r="G956" s="19">
        <f t="shared" si="74"/>
        <v>172</v>
      </c>
      <c r="H956" s="22">
        <f t="shared" si="76"/>
        <v>955</v>
      </c>
      <c r="I956" s="21">
        <f t="shared" ca="1" si="77"/>
        <v>0</v>
      </c>
      <c r="J956" s="21" t="str">
        <f ca="1">IF(I956=0,"",COUNTIF($I$2:I956,"&gt;0"))</f>
        <v/>
      </c>
      <c r="K956" s="21" t="str">
        <f t="shared" ca="1" si="73"/>
        <v/>
      </c>
    </row>
    <row r="957" spans="1:11" s="18" customFormat="1" ht="14.25" x14ac:dyDescent="0.2">
      <c r="A957" s="18" t="str">
        <f t="shared" si="75"/>
        <v>Eintrag 956</v>
      </c>
      <c r="B957" s="18">
        <v>100</v>
      </c>
      <c r="C957" s="19">
        <v>100</v>
      </c>
      <c r="D957" s="20">
        <v>10</v>
      </c>
      <c r="E957" s="20">
        <v>10</v>
      </c>
      <c r="F957" s="20">
        <v>10</v>
      </c>
      <c r="G957" s="19">
        <f t="shared" si="74"/>
        <v>172</v>
      </c>
      <c r="H957" s="22">
        <f t="shared" si="76"/>
        <v>956</v>
      </c>
      <c r="I957" s="21">
        <f t="shared" ca="1" si="77"/>
        <v>0</v>
      </c>
      <c r="J957" s="21" t="str">
        <f ca="1">IF(I957=0,"",COUNTIF($I$2:I957,"&gt;0"))</f>
        <v/>
      </c>
      <c r="K957" s="21" t="str">
        <f t="shared" ca="1" si="73"/>
        <v/>
      </c>
    </row>
    <row r="958" spans="1:11" s="18" customFormat="1" ht="14.25" x14ac:dyDescent="0.2">
      <c r="A958" s="18" t="str">
        <f t="shared" si="75"/>
        <v>Eintrag 957</v>
      </c>
      <c r="B958" s="18">
        <v>100</v>
      </c>
      <c r="C958" s="19">
        <v>100</v>
      </c>
      <c r="D958" s="20">
        <v>10</v>
      </c>
      <c r="E958" s="20">
        <v>10</v>
      </c>
      <c r="F958" s="20">
        <v>10</v>
      </c>
      <c r="G958" s="19">
        <f t="shared" si="74"/>
        <v>172</v>
      </c>
      <c r="H958" s="22">
        <f t="shared" si="76"/>
        <v>957</v>
      </c>
      <c r="I958" s="21">
        <f t="shared" ca="1" si="77"/>
        <v>0</v>
      </c>
      <c r="J958" s="21" t="str">
        <f ca="1">IF(I958=0,"",COUNTIF($I$2:I958,"&gt;0"))</f>
        <v/>
      </c>
      <c r="K958" s="21" t="str">
        <f t="shared" ca="1" si="73"/>
        <v/>
      </c>
    </row>
    <row r="959" spans="1:11" s="18" customFormat="1" ht="14.25" x14ac:dyDescent="0.2">
      <c r="A959" s="18" t="str">
        <f t="shared" si="75"/>
        <v>Eintrag 958</v>
      </c>
      <c r="B959" s="18">
        <v>100</v>
      </c>
      <c r="C959" s="19">
        <v>100</v>
      </c>
      <c r="D959" s="20">
        <v>10</v>
      </c>
      <c r="E959" s="20">
        <v>10</v>
      </c>
      <c r="F959" s="20">
        <v>10</v>
      </c>
      <c r="G959" s="19">
        <f t="shared" si="74"/>
        <v>172</v>
      </c>
      <c r="H959" s="22">
        <f t="shared" si="76"/>
        <v>958</v>
      </c>
      <c r="I959" s="21">
        <f t="shared" ca="1" si="77"/>
        <v>0</v>
      </c>
      <c r="J959" s="21" t="str">
        <f ca="1">IF(I959=0,"",COUNTIF($I$2:I959,"&gt;0"))</f>
        <v/>
      </c>
      <c r="K959" s="21" t="str">
        <f t="shared" ca="1" si="73"/>
        <v/>
      </c>
    </row>
    <row r="960" spans="1:11" s="18" customFormat="1" ht="14.25" x14ac:dyDescent="0.2">
      <c r="A960" s="18" t="str">
        <f t="shared" si="75"/>
        <v>Eintrag 959</v>
      </c>
      <c r="B960" s="18">
        <v>100</v>
      </c>
      <c r="C960" s="19">
        <v>100</v>
      </c>
      <c r="D960" s="20">
        <v>10</v>
      </c>
      <c r="E960" s="20">
        <v>10</v>
      </c>
      <c r="F960" s="20">
        <v>10</v>
      </c>
      <c r="G960" s="19">
        <f t="shared" si="74"/>
        <v>172</v>
      </c>
      <c r="H960" s="22">
        <f t="shared" si="76"/>
        <v>959</v>
      </c>
      <c r="I960" s="21">
        <f t="shared" ca="1" si="77"/>
        <v>0</v>
      </c>
      <c r="J960" s="21" t="str">
        <f ca="1">IF(I960=0,"",COUNTIF($I$2:I960,"&gt;0"))</f>
        <v/>
      </c>
      <c r="K960" s="21" t="str">
        <f t="shared" ca="1" si="73"/>
        <v/>
      </c>
    </row>
    <row r="961" spans="1:11" s="18" customFormat="1" ht="14.25" x14ac:dyDescent="0.2">
      <c r="A961" s="18" t="str">
        <f t="shared" si="75"/>
        <v>Eintrag 960</v>
      </c>
      <c r="B961" s="18">
        <v>100</v>
      </c>
      <c r="C961" s="19">
        <v>100</v>
      </c>
      <c r="D961" s="20">
        <v>10</v>
      </c>
      <c r="E961" s="20">
        <v>10</v>
      </c>
      <c r="F961" s="20">
        <v>10</v>
      </c>
      <c r="G961" s="19">
        <f t="shared" si="74"/>
        <v>172</v>
      </c>
      <c r="H961" s="22">
        <f t="shared" si="76"/>
        <v>960</v>
      </c>
      <c r="I961" s="21">
        <f t="shared" ca="1" si="77"/>
        <v>0</v>
      </c>
      <c r="J961" s="21" t="str">
        <f ca="1">IF(I961=0,"",COUNTIF($I$2:I961,"&gt;0"))</f>
        <v/>
      </c>
      <c r="K961" s="21" t="str">
        <f t="shared" ca="1" si="73"/>
        <v/>
      </c>
    </row>
    <row r="962" spans="1:11" s="18" customFormat="1" ht="14.25" x14ac:dyDescent="0.2">
      <c r="A962" s="18" t="str">
        <f t="shared" si="75"/>
        <v>Eintrag 961</v>
      </c>
      <c r="B962" s="18">
        <v>100</v>
      </c>
      <c r="C962" s="19">
        <v>100</v>
      </c>
      <c r="D962" s="20">
        <v>10</v>
      </c>
      <c r="E962" s="20">
        <v>10</v>
      </c>
      <c r="F962" s="20">
        <v>10</v>
      </c>
      <c r="G962" s="19">
        <f t="shared" si="74"/>
        <v>172</v>
      </c>
      <c r="H962" s="22">
        <f t="shared" si="76"/>
        <v>961</v>
      </c>
      <c r="I962" s="21">
        <f t="shared" ca="1" si="77"/>
        <v>0</v>
      </c>
      <c r="J962" s="21" t="str">
        <f ca="1">IF(I962=0,"",COUNTIF($I$2:I962,"&gt;0"))</f>
        <v/>
      </c>
      <c r="K962" s="21" t="str">
        <f t="shared" ref="K962:K1025" ca="1" si="78">IFERROR(INDEX(A:A,MATCH(ROW(I961),J:J,0)),"")</f>
        <v/>
      </c>
    </row>
    <row r="963" spans="1:11" s="18" customFormat="1" ht="14.25" x14ac:dyDescent="0.2">
      <c r="A963" s="18" t="str">
        <f t="shared" si="75"/>
        <v>Eintrag 962</v>
      </c>
      <c r="B963" s="18">
        <v>100</v>
      </c>
      <c r="C963" s="19">
        <v>100</v>
      </c>
      <c r="D963" s="20">
        <v>10</v>
      </c>
      <c r="E963" s="20">
        <v>10</v>
      </c>
      <c r="F963" s="20">
        <v>10</v>
      </c>
      <c r="G963" s="19">
        <f t="shared" ref="G963:G1026" si="79">D963*9+E963*4.1+F963*4.1</f>
        <v>172</v>
      </c>
      <c r="H963" s="22">
        <f t="shared" si="76"/>
        <v>962</v>
      </c>
      <c r="I963" s="21">
        <f t="shared" ca="1" si="77"/>
        <v>0</v>
      </c>
      <c r="J963" s="21" t="str">
        <f ca="1">IF(I963=0,"",COUNTIF($I$2:I963,"&gt;0"))</f>
        <v/>
      </c>
      <c r="K963" s="21" t="str">
        <f t="shared" ca="1" si="78"/>
        <v/>
      </c>
    </row>
    <row r="964" spans="1:11" s="18" customFormat="1" ht="14.25" x14ac:dyDescent="0.2">
      <c r="A964" s="18" t="str">
        <f t="shared" si="75"/>
        <v>Eintrag 963</v>
      </c>
      <c r="B964" s="18">
        <v>100</v>
      </c>
      <c r="C964" s="19">
        <v>100</v>
      </c>
      <c r="D964" s="20">
        <v>10</v>
      </c>
      <c r="E964" s="20">
        <v>10</v>
      </c>
      <c r="F964" s="20">
        <v>10</v>
      </c>
      <c r="G964" s="19">
        <f t="shared" si="79"/>
        <v>172</v>
      </c>
      <c r="H964" s="22">
        <f t="shared" si="76"/>
        <v>963</v>
      </c>
      <c r="I964" s="21">
        <f t="shared" ca="1" si="77"/>
        <v>0</v>
      </c>
      <c r="J964" s="21" t="str">
        <f ca="1">IF(I964=0,"",COUNTIF($I$2:I964,"&gt;0"))</f>
        <v/>
      </c>
      <c r="K964" s="21" t="str">
        <f t="shared" ca="1" si="78"/>
        <v/>
      </c>
    </row>
    <row r="965" spans="1:11" s="18" customFormat="1" ht="14.25" x14ac:dyDescent="0.2">
      <c r="A965" s="18" t="str">
        <f t="shared" si="75"/>
        <v>Eintrag 964</v>
      </c>
      <c r="B965" s="18">
        <v>100</v>
      </c>
      <c r="C965" s="19">
        <v>100</v>
      </c>
      <c r="D965" s="20">
        <v>10</v>
      </c>
      <c r="E965" s="20">
        <v>10</v>
      </c>
      <c r="F965" s="20">
        <v>10</v>
      </c>
      <c r="G965" s="19">
        <f t="shared" si="79"/>
        <v>172</v>
      </c>
      <c r="H965" s="22">
        <f t="shared" si="76"/>
        <v>964</v>
      </c>
      <c r="I965" s="21">
        <f t="shared" ca="1" si="77"/>
        <v>0</v>
      </c>
      <c r="J965" s="21" t="str">
        <f ca="1">IF(I965=0,"",COUNTIF($I$2:I965,"&gt;0"))</f>
        <v/>
      </c>
      <c r="K965" s="21" t="str">
        <f t="shared" ca="1" si="78"/>
        <v/>
      </c>
    </row>
    <row r="966" spans="1:11" s="18" customFormat="1" ht="14.25" x14ac:dyDescent="0.2">
      <c r="A966" s="18" t="str">
        <f t="shared" si="75"/>
        <v>Eintrag 965</v>
      </c>
      <c r="B966" s="18">
        <v>100</v>
      </c>
      <c r="C966" s="19">
        <v>100</v>
      </c>
      <c r="D966" s="20">
        <v>10</v>
      </c>
      <c r="E966" s="20">
        <v>10</v>
      </c>
      <c r="F966" s="20">
        <v>10</v>
      </c>
      <c r="G966" s="19">
        <f t="shared" si="79"/>
        <v>172</v>
      </c>
      <c r="H966" s="22">
        <f t="shared" si="76"/>
        <v>965</v>
      </c>
      <c r="I966" s="21">
        <f t="shared" ca="1" si="77"/>
        <v>0</v>
      </c>
      <c r="J966" s="21" t="str">
        <f ca="1">IF(I966=0,"",COUNTIF($I$2:I966,"&gt;0"))</f>
        <v/>
      </c>
      <c r="K966" s="21" t="str">
        <f t="shared" ca="1" si="78"/>
        <v/>
      </c>
    </row>
    <row r="967" spans="1:11" s="18" customFormat="1" ht="14.25" x14ac:dyDescent="0.2">
      <c r="A967" s="18" t="str">
        <f t="shared" si="75"/>
        <v>Eintrag 966</v>
      </c>
      <c r="B967" s="18">
        <v>100</v>
      </c>
      <c r="C967" s="19">
        <v>100</v>
      </c>
      <c r="D967" s="20">
        <v>10</v>
      </c>
      <c r="E967" s="20">
        <v>10</v>
      </c>
      <c r="F967" s="20">
        <v>10</v>
      </c>
      <c r="G967" s="19">
        <f t="shared" si="79"/>
        <v>172</v>
      </c>
      <c r="H967" s="22">
        <f t="shared" si="76"/>
        <v>966</v>
      </c>
      <c r="I967" s="21">
        <f t="shared" ca="1" si="77"/>
        <v>0</v>
      </c>
      <c r="J967" s="21" t="str">
        <f ca="1">IF(I967=0,"",COUNTIF($I$2:I967,"&gt;0"))</f>
        <v/>
      </c>
      <c r="K967" s="21" t="str">
        <f t="shared" ca="1" si="78"/>
        <v/>
      </c>
    </row>
    <row r="968" spans="1:11" s="18" customFormat="1" ht="14.25" x14ac:dyDescent="0.2">
      <c r="A968" s="18" t="str">
        <f t="shared" si="75"/>
        <v>Eintrag 967</v>
      </c>
      <c r="B968" s="18">
        <v>100</v>
      </c>
      <c r="C968" s="19">
        <v>100</v>
      </c>
      <c r="D968" s="20">
        <v>10</v>
      </c>
      <c r="E968" s="20">
        <v>10</v>
      </c>
      <c r="F968" s="20">
        <v>10</v>
      </c>
      <c r="G968" s="19">
        <f t="shared" si="79"/>
        <v>172</v>
      </c>
      <c r="H968" s="22">
        <f t="shared" si="76"/>
        <v>967</v>
      </c>
      <c r="I968" s="21">
        <f t="shared" ca="1" si="77"/>
        <v>0</v>
      </c>
      <c r="J968" s="21" t="str">
        <f ca="1">IF(I968=0,"",COUNTIF($I$2:I968,"&gt;0"))</f>
        <v/>
      </c>
      <c r="K968" s="21" t="str">
        <f t="shared" ca="1" si="78"/>
        <v/>
      </c>
    </row>
    <row r="969" spans="1:11" s="18" customFormat="1" ht="14.25" x14ac:dyDescent="0.2">
      <c r="A969" s="18" t="str">
        <f t="shared" si="75"/>
        <v>Eintrag 968</v>
      </c>
      <c r="B969" s="18">
        <v>100</v>
      </c>
      <c r="C969" s="19">
        <v>100</v>
      </c>
      <c r="D969" s="20">
        <v>10</v>
      </c>
      <c r="E969" s="20">
        <v>10</v>
      </c>
      <c r="F969" s="20">
        <v>10</v>
      </c>
      <c r="G969" s="19">
        <f t="shared" si="79"/>
        <v>172</v>
      </c>
      <c r="H969" s="22">
        <f t="shared" si="76"/>
        <v>968</v>
      </c>
      <c r="I969" s="21">
        <f t="shared" ca="1" si="77"/>
        <v>0</v>
      </c>
      <c r="J969" s="21" t="str">
        <f ca="1">IF(I969=0,"",COUNTIF($I$2:I969,"&gt;0"))</f>
        <v/>
      </c>
      <c r="K969" s="21" t="str">
        <f t="shared" ca="1" si="78"/>
        <v/>
      </c>
    </row>
    <row r="970" spans="1:11" s="18" customFormat="1" ht="14.25" x14ac:dyDescent="0.2">
      <c r="A970" s="18" t="str">
        <f t="shared" si="75"/>
        <v>Eintrag 969</v>
      </c>
      <c r="B970" s="18">
        <v>100</v>
      </c>
      <c r="C970" s="19">
        <v>100</v>
      </c>
      <c r="D970" s="20">
        <v>10</v>
      </c>
      <c r="E970" s="20">
        <v>10</v>
      </c>
      <c r="F970" s="20">
        <v>10</v>
      </c>
      <c r="G970" s="19">
        <f t="shared" si="79"/>
        <v>172</v>
      </c>
      <c r="H970" s="22">
        <f t="shared" si="76"/>
        <v>969</v>
      </c>
      <c r="I970" s="21">
        <f t="shared" ca="1" si="77"/>
        <v>0</v>
      </c>
      <c r="J970" s="21" t="str">
        <f ca="1">IF(I970=0,"",COUNTIF($I$2:I970,"&gt;0"))</f>
        <v/>
      </c>
      <c r="K970" s="21" t="str">
        <f t="shared" ca="1" si="78"/>
        <v/>
      </c>
    </row>
    <row r="971" spans="1:11" s="18" customFormat="1" ht="14.25" x14ac:dyDescent="0.2">
      <c r="A971" s="18" t="str">
        <f t="shared" si="75"/>
        <v>Eintrag 970</v>
      </c>
      <c r="B971" s="18">
        <v>100</v>
      </c>
      <c r="C971" s="19">
        <v>100</v>
      </c>
      <c r="D971" s="20">
        <v>10</v>
      </c>
      <c r="E971" s="20">
        <v>10</v>
      </c>
      <c r="F971" s="20">
        <v>10</v>
      </c>
      <c r="G971" s="19">
        <f t="shared" si="79"/>
        <v>172</v>
      </c>
      <c r="H971" s="22">
        <f t="shared" si="76"/>
        <v>970</v>
      </c>
      <c r="I971" s="21">
        <f t="shared" ca="1" si="77"/>
        <v>0</v>
      </c>
      <c r="J971" s="21" t="str">
        <f ca="1">IF(I971=0,"",COUNTIF($I$2:I971,"&gt;0"))</f>
        <v/>
      </c>
      <c r="K971" s="21" t="str">
        <f t="shared" ca="1" si="78"/>
        <v/>
      </c>
    </row>
    <row r="972" spans="1:11" s="18" customFormat="1" ht="14.25" x14ac:dyDescent="0.2">
      <c r="A972" s="18" t="str">
        <f t="shared" si="75"/>
        <v>Eintrag 971</v>
      </c>
      <c r="B972" s="18">
        <v>100</v>
      </c>
      <c r="C972" s="19">
        <v>100</v>
      </c>
      <c r="D972" s="20">
        <v>10</v>
      </c>
      <c r="E972" s="20">
        <v>10</v>
      </c>
      <c r="F972" s="20">
        <v>10</v>
      </c>
      <c r="G972" s="19">
        <f t="shared" si="79"/>
        <v>172</v>
      </c>
      <c r="H972" s="22">
        <f t="shared" si="76"/>
        <v>971</v>
      </c>
      <c r="I972" s="21">
        <f t="shared" ca="1" si="77"/>
        <v>0</v>
      </c>
      <c r="J972" s="21" t="str">
        <f ca="1">IF(I972=0,"",COUNTIF($I$2:I972,"&gt;0"))</f>
        <v/>
      </c>
      <c r="K972" s="21" t="str">
        <f t="shared" ca="1" si="78"/>
        <v/>
      </c>
    </row>
    <row r="973" spans="1:11" s="18" customFormat="1" ht="14.25" x14ac:dyDescent="0.2">
      <c r="A973" s="18" t="str">
        <f t="shared" si="75"/>
        <v>Eintrag 972</v>
      </c>
      <c r="B973" s="18">
        <v>100</v>
      </c>
      <c r="C973" s="19">
        <v>100</v>
      </c>
      <c r="D973" s="20">
        <v>10</v>
      </c>
      <c r="E973" s="20">
        <v>10</v>
      </c>
      <c r="F973" s="20">
        <v>10</v>
      </c>
      <c r="G973" s="19">
        <f t="shared" si="79"/>
        <v>172</v>
      </c>
      <c r="H973" s="22">
        <f t="shared" si="76"/>
        <v>972</v>
      </c>
      <c r="I973" s="21">
        <f t="shared" ca="1" si="77"/>
        <v>0</v>
      </c>
      <c r="J973" s="21" t="str">
        <f ca="1">IF(I973=0,"",COUNTIF($I$2:I973,"&gt;0"))</f>
        <v/>
      </c>
      <c r="K973" s="21" t="str">
        <f t="shared" ca="1" si="78"/>
        <v/>
      </c>
    </row>
    <row r="974" spans="1:11" s="18" customFormat="1" ht="14.25" x14ac:dyDescent="0.2">
      <c r="A974" s="18" t="str">
        <f t="shared" si="75"/>
        <v>Eintrag 973</v>
      </c>
      <c r="B974" s="18">
        <v>100</v>
      </c>
      <c r="C974" s="19">
        <v>100</v>
      </c>
      <c r="D974" s="20">
        <v>10</v>
      </c>
      <c r="E974" s="20">
        <v>10</v>
      </c>
      <c r="F974" s="20">
        <v>10</v>
      </c>
      <c r="G974" s="19">
        <f t="shared" si="79"/>
        <v>172</v>
      </c>
      <c r="H974" s="22">
        <f t="shared" si="76"/>
        <v>973</v>
      </c>
      <c r="I974" s="21">
        <f t="shared" ca="1" si="77"/>
        <v>0</v>
      </c>
      <c r="J974" s="21" t="str">
        <f ca="1">IF(I974=0,"",COUNTIF($I$2:I974,"&gt;0"))</f>
        <v/>
      </c>
      <c r="K974" s="21" t="str">
        <f t="shared" ca="1" si="78"/>
        <v/>
      </c>
    </row>
    <row r="975" spans="1:11" s="18" customFormat="1" ht="14.25" x14ac:dyDescent="0.2">
      <c r="A975" s="18" t="str">
        <f t="shared" si="75"/>
        <v>Eintrag 974</v>
      </c>
      <c r="B975" s="18">
        <v>100</v>
      </c>
      <c r="C975" s="19">
        <v>100</v>
      </c>
      <c r="D975" s="20">
        <v>10</v>
      </c>
      <c r="E975" s="20">
        <v>10</v>
      </c>
      <c r="F975" s="20">
        <v>10</v>
      </c>
      <c r="G975" s="19">
        <f t="shared" si="79"/>
        <v>172</v>
      </c>
      <c r="H975" s="22">
        <f t="shared" si="76"/>
        <v>974</v>
      </c>
      <c r="I975" s="21">
        <f t="shared" ca="1" si="77"/>
        <v>0</v>
      </c>
      <c r="J975" s="21" t="str">
        <f ca="1">IF(I975=0,"",COUNTIF($I$2:I975,"&gt;0"))</f>
        <v/>
      </c>
      <c r="K975" s="21" t="str">
        <f t="shared" ca="1" si="78"/>
        <v/>
      </c>
    </row>
    <row r="976" spans="1:11" s="18" customFormat="1" ht="14.25" x14ac:dyDescent="0.2">
      <c r="A976" s="18" t="str">
        <f t="shared" si="75"/>
        <v>Eintrag 975</v>
      </c>
      <c r="B976" s="18">
        <v>100</v>
      </c>
      <c r="C976" s="19">
        <v>100</v>
      </c>
      <c r="D976" s="20">
        <v>10</v>
      </c>
      <c r="E976" s="20">
        <v>10</v>
      </c>
      <c r="F976" s="20">
        <v>10</v>
      </c>
      <c r="G976" s="19">
        <f t="shared" si="79"/>
        <v>172</v>
      </c>
      <c r="H976" s="22">
        <f t="shared" si="76"/>
        <v>975</v>
      </c>
      <c r="I976" s="21">
        <f t="shared" ca="1" si="77"/>
        <v>0</v>
      </c>
      <c r="J976" s="21" t="str">
        <f ca="1">IF(I976=0,"",COUNTIF($I$2:I976,"&gt;0"))</f>
        <v/>
      </c>
      <c r="K976" s="21" t="str">
        <f t="shared" ca="1" si="78"/>
        <v/>
      </c>
    </row>
    <row r="977" spans="1:11" s="18" customFormat="1" ht="14.25" x14ac:dyDescent="0.2">
      <c r="A977" s="18" t="str">
        <f t="shared" si="75"/>
        <v>Eintrag 976</v>
      </c>
      <c r="B977" s="18">
        <v>100</v>
      </c>
      <c r="C977" s="19">
        <v>100</v>
      </c>
      <c r="D977" s="20">
        <v>10</v>
      </c>
      <c r="E977" s="20">
        <v>10</v>
      </c>
      <c r="F977" s="20">
        <v>10</v>
      </c>
      <c r="G977" s="19">
        <f t="shared" si="79"/>
        <v>172</v>
      </c>
      <c r="H977" s="22">
        <f t="shared" si="76"/>
        <v>976</v>
      </c>
      <c r="I977" s="21">
        <f t="shared" ca="1" si="77"/>
        <v>0</v>
      </c>
      <c r="J977" s="21" t="str">
        <f ca="1">IF(I977=0,"",COUNTIF($I$2:I977,"&gt;0"))</f>
        <v/>
      </c>
      <c r="K977" s="21" t="str">
        <f t="shared" ca="1" si="78"/>
        <v/>
      </c>
    </row>
    <row r="978" spans="1:11" s="18" customFormat="1" ht="14.25" x14ac:dyDescent="0.2">
      <c r="A978" s="18" t="str">
        <f t="shared" si="75"/>
        <v>Eintrag 977</v>
      </c>
      <c r="B978" s="18">
        <v>100</v>
      </c>
      <c r="C978" s="19">
        <v>100</v>
      </c>
      <c r="D978" s="20">
        <v>10</v>
      </c>
      <c r="E978" s="20">
        <v>10</v>
      </c>
      <c r="F978" s="20">
        <v>10</v>
      </c>
      <c r="G978" s="19">
        <f t="shared" si="79"/>
        <v>172</v>
      </c>
      <c r="H978" s="22">
        <f t="shared" si="76"/>
        <v>977</v>
      </c>
      <c r="I978" s="21">
        <f t="shared" ca="1" si="77"/>
        <v>0</v>
      </c>
      <c r="J978" s="21" t="str">
        <f ca="1">IF(I978=0,"",COUNTIF($I$2:I978,"&gt;0"))</f>
        <v/>
      </c>
      <c r="K978" s="21" t="str">
        <f t="shared" ca="1" si="78"/>
        <v/>
      </c>
    </row>
    <row r="979" spans="1:11" s="18" customFormat="1" ht="14.25" x14ac:dyDescent="0.2">
      <c r="A979" s="18" t="str">
        <f t="shared" si="75"/>
        <v>Eintrag 978</v>
      </c>
      <c r="B979" s="18">
        <v>100</v>
      </c>
      <c r="C979" s="19">
        <v>100</v>
      </c>
      <c r="D979" s="20">
        <v>10</v>
      </c>
      <c r="E979" s="20">
        <v>10</v>
      </c>
      <c r="F979" s="20">
        <v>10</v>
      </c>
      <c r="G979" s="19">
        <f t="shared" si="79"/>
        <v>172</v>
      </c>
      <c r="H979" s="22">
        <f t="shared" si="76"/>
        <v>978</v>
      </c>
      <c r="I979" s="21">
        <f t="shared" ca="1" si="77"/>
        <v>0</v>
      </c>
      <c r="J979" s="21" t="str">
        <f ca="1">IF(I979=0,"",COUNTIF($I$2:I979,"&gt;0"))</f>
        <v/>
      </c>
      <c r="K979" s="21" t="str">
        <f t="shared" ca="1" si="78"/>
        <v/>
      </c>
    </row>
    <row r="980" spans="1:11" s="18" customFormat="1" ht="14.25" x14ac:dyDescent="0.2">
      <c r="A980" s="18" t="str">
        <f t="shared" si="75"/>
        <v>Eintrag 979</v>
      </c>
      <c r="B980" s="18">
        <v>100</v>
      </c>
      <c r="C980" s="19">
        <v>100</v>
      </c>
      <c r="D980" s="20">
        <v>10</v>
      </c>
      <c r="E980" s="20">
        <v>10</v>
      </c>
      <c r="F980" s="20">
        <v>10</v>
      </c>
      <c r="G980" s="19">
        <f t="shared" si="79"/>
        <v>172</v>
      </c>
      <c r="H980" s="22">
        <f t="shared" si="76"/>
        <v>979</v>
      </c>
      <c r="I980" s="21">
        <f t="shared" ca="1" si="77"/>
        <v>0</v>
      </c>
      <c r="J980" s="21" t="str">
        <f ca="1">IF(I980=0,"",COUNTIF($I$2:I980,"&gt;0"))</f>
        <v/>
      </c>
      <c r="K980" s="21" t="str">
        <f t="shared" ca="1" si="78"/>
        <v/>
      </c>
    </row>
    <row r="981" spans="1:11" s="18" customFormat="1" ht="14.25" x14ac:dyDescent="0.2">
      <c r="A981" s="18" t="str">
        <f t="shared" si="75"/>
        <v>Eintrag 980</v>
      </c>
      <c r="B981" s="18">
        <v>100</v>
      </c>
      <c r="C981" s="19">
        <v>100</v>
      </c>
      <c r="D981" s="20">
        <v>10</v>
      </c>
      <c r="E981" s="20">
        <v>10</v>
      </c>
      <c r="F981" s="20">
        <v>10</v>
      </c>
      <c r="G981" s="19">
        <f t="shared" si="79"/>
        <v>172</v>
      </c>
      <c r="H981" s="22">
        <f t="shared" si="76"/>
        <v>980</v>
      </c>
      <c r="I981" s="21">
        <f t="shared" ca="1" si="77"/>
        <v>0</v>
      </c>
      <c r="J981" s="21" t="str">
        <f ca="1">IF(I981=0,"",COUNTIF($I$2:I981,"&gt;0"))</f>
        <v/>
      </c>
      <c r="K981" s="21" t="str">
        <f t="shared" ca="1" si="78"/>
        <v/>
      </c>
    </row>
    <row r="982" spans="1:11" s="18" customFormat="1" ht="14.25" x14ac:dyDescent="0.2">
      <c r="A982" s="18" t="str">
        <f t="shared" si="75"/>
        <v>Eintrag 981</v>
      </c>
      <c r="B982" s="18">
        <v>100</v>
      </c>
      <c r="C982" s="19">
        <v>100</v>
      </c>
      <c r="D982" s="20">
        <v>10</v>
      </c>
      <c r="E982" s="20">
        <v>10</v>
      </c>
      <c r="F982" s="20">
        <v>10</v>
      </c>
      <c r="G982" s="19">
        <f t="shared" si="79"/>
        <v>172</v>
      </c>
      <c r="H982" s="22">
        <f t="shared" si="76"/>
        <v>981</v>
      </c>
      <c r="I982" s="21">
        <f t="shared" ca="1" si="77"/>
        <v>0</v>
      </c>
      <c r="J982" s="21" t="str">
        <f ca="1">IF(I982=0,"",COUNTIF($I$2:I982,"&gt;0"))</f>
        <v/>
      </c>
      <c r="K982" s="21" t="str">
        <f t="shared" ca="1" si="78"/>
        <v/>
      </c>
    </row>
    <row r="983" spans="1:11" s="18" customFormat="1" ht="14.25" x14ac:dyDescent="0.2">
      <c r="A983" s="18" t="str">
        <f t="shared" si="75"/>
        <v>Eintrag 982</v>
      </c>
      <c r="B983" s="18">
        <v>100</v>
      </c>
      <c r="C983" s="19">
        <v>100</v>
      </c>
      <c r="D983" s="20">
        <v>10</v>
      </c>
      <c r="E983" s="20">
        <v>10</v>
      </c>
      <c r="F983" s="20">
        <v>10</v>
      </c>
      <c r="G983" s="19">
        <f t="shared" si="79"/>
        <v>172</v>
      </c>
      <c r="H983" s="22">
        <f t="shared" si="76"/>
        <v>982</v>
      </c>
      <c r="I983" s="21">
        <f t="shared" ca="1" si="77"/>
        <v>0</v>
      </c>
      <c r="J983" s="21" t="str">
        <f ca="1">IF(I983=0,"",COUNTIF($I$2:I983,"&gt;0"))</f>
        <v/>
      </c>
      <c r="K983" s="21" t="str">
        <f t="shared" ca="1" si="78"/>
        <v/>
      </c>
    </row>
    <row r="984" spans="1:11" s="18" customFormat="1" ht="14.25" x14ac:dyDescent="0.2">
      <c r="A984" s="18" t="str">
        <f t="shared" si="75"/>
        <v>Eintrag 983</v>
      </c>
      <c r="B984" s="18">
        <v>100</v>
      </c>
      <c r="C984" s="19">
        <v>100</v>
      </c>
      <c r="D984" s="20">
        <v>10</v>
      </c>
      <c r="E984" s="20">
        <v>10</v>
      </c>
      <c r="F984" s="20">
        <v>10</v>
      </c>
      <c r="G984" s="19">
        <f t="shared" si="79"/>
        <v>172</v>
      </c>
      <c r="H984" s="22">
        <f t="shared" si="76"/>
        <v>983</v>
      </c>
      <c r="I984" s="21">
        <f t="shared" ca="1" si="77"/>
        <v>0</v>
      </c>
      <c r="J984" s="21" t="str">
        <f ca="1">IF(I984=0,"",COUNTIF($I$2:I984,"&gt;0"))</f>
        <v/>
      </c>
      <c r="K984" s="21" t="str">
        <f t="shared" ca="1" si="78"/>
        <v/>
      </c>
    </row>
    <row r="985" spans="1:11" s="18" customFormat="1" ht="14.25" x14ac:dyDescent="0.2">
      <c r="A985" s="18" t="str">
        <f t="shared" ref="A985:A1048" si="80">CONCATENATE("Eintrag ",H985)</f>
        <v>Eintrag 984</v>
      </c>
      <c r="B985" s="18">
        <v>100</v>
      </c>
      <c r="C985" s="19">
        <v>100</v>
      </c>
      <c r="D985" s="20">
        <v>10</v>
      </c>
      <c r="E985" s="20">
        <v>10</v>
      </c>
      <c r="F985" s="20">
        <v>10</v>
      </c>
      <c r="G985" s="19">
        <f t="shared" si="79"/>
        <v>172</v>
      </c>
      <c r="H985" s="22">
        <f t="shared" si="76"/>
        <v>984</v>
      </c>
      <c r="I985" s="21">
        <f t="shared" ca="1" si="77"/>
        <v>0</v>
      </c>
      <c r="J985" s="21" t="str">
        <f ca="1">IF(I985=0,"",COUNTIF($I$2:I985,"&gt;0"))</f>
        <v/>
      </c>
      <c r="K985" s="21" t="str">
        <f t="shared" ca="1" si="78"/>
        <v/>
      </c>
    </row>
    <row r="986" spans="1:11" s="18" customFormat="1" ht="14.25" x14ac:dyDescent="0.2">
      <c r="A986" s="18" t="str">
        <f t="shared" si="80"/>
        <v>Eintrag 985</v>
      </c>
      <c r="B986" s="18">
        <v>100</v>
      </c>
      <c r="C986" s="19">
        <v>100</v>
      </c>
      <c r="D986" s="20">
        <v>10</v>
      </c>
      <c r="E986" s="20">
        <v>10</v>
      </c>
      <c r="F986" s="20">
        <v>10</v>
      </c>
      <c r="G986" s="19">
        <f t="shared" si="79"/>
        <v>172</v>
      </c>
      <c r="H986" s="22">
        <f t="shared" si="76"/>
        <v>985</v>
      </c>
      <c r="I986" s="21">
        <f t="shared" ca="1" si="77"/>
        <v>0</v>
      </c>
      <c r="J986" s="21" t="str">
        <f ca="1">IF(I986=0,"",COUNTIF($I$2:I986,"&gt;0"))</f>
        <v/>
      </c>
      <c r="K986" s="21" t="str">
        <f t="shared" ca="1" si="78"/>
        <v/>
      </c>
    </row>
    <row r="987" spans="1:11" s="18" customFormat="1" ht="14.25" x14ac:dyDescent="0.2">
      <c r="A987" s="18" t="str">
        <f t="shared" si="80"/>
        <v>Eintrag 986</v>
      </c>
      <c r="B987" s="18">
        <v>100</v>
      </c>
      <c r="C987" s="19">
        <v>100</v>
      </c>
      <c r="D987" s="20">
        <v>10</v>
      </c>
      <c r="E987" s="20">
        <v>10</v>
      </c>
      <c r="F987" s="20">
        <v>10</v>
      </c>
      <c r="G987" s="19">
        <f t="shared" si="79"/>
        <v>172</v>
      </c>
      <c r="H987" s="22">
        <f t="shared" si="76"/>
        <v>986</v>
      </c>
      <c r="I987" s="21">
        <f t="shared" ca="1" si="77"/>
        <v>0</v>
      </c>
      <c r="J987" s="21" t="str">
        <f ca="1">IF(I987=0,"",COUNTIF($I$2:I987,"&gt;0"))</f>
        <v/>
      </c>
      <c r="K987" s="21" t="str">
        <f t="shared" ca="1" si="78"/>
        <v/>
      </c>
    </row>
    <row r="988" spans="1:11" s="18" customFormat="1" ht="14.25" x14ac:dyDescent="0.2">
      <c r="A988" s="18" t="str">
        <f t="shared" si="80"/>
        <v>Eintrag 987</v>
      </c>
      <c r="B988" s="18">
        <v>100</v>
      </c>
      <c r="C988" s="19">
        <v>100</v>
      </c>
      <c r="D988" s="20">
        <v>10</v>
      </c>
      <c r="E988" s="20">
        <v>10</v>
      </c>
      <c r="F988" s="20">
        <v>10</v>
      </c>
      <c r="G988" s="19">
        <f t="shared" si="79"/>
        <v>172</v>
      </c>
      <c r="H988" s="22">
        <f t="shared" si="76"/>
        <v>987</v>
      </c>
      <c r="I988" s="21">
        <f t="shared" ca="1" si="77"/>
        <v>0</v>
      </c>
      <c r="J988" s="21" t="str">
        <f ca="1">IF(I988=0,"",COUNTIF($I$2:I988,"&gt;0"))</f>
        <v/>
      </c>
      <c r="K988" s="21" t="str">
        <f t="shared" ca="1" si="78"/>
        <v/>
      </c>
    </row>
    <row r="989" spans="1:11" s="18" customFormat="1" ht="14.25" x14ac:dyDescent="0.2">
      <c r="A989" s="18" t="str">
        <f t="shared" si="80"/>
        <v>Eintrag 988</v>
      </c>
      <c r="B989" s="18">
        <v>100</v>
      </c>
      <c r="C989" s="19">
        <v>100</v>
      </c>
      <c r="D989" s="20">
        <v>10</v>
      </c>
      <c r="E989" s="20">
        <v>10</v>
      </c>
      <c r="F989" s="20">
        <v>10</v>
      </c>
      <c r="G989" s="19">
        <f t="shared" si="79"/>
        <v>172</v>
      </c>
      <c r="H989" s="22">
        <f t="shared" si="76"/>
        <v>988</v>
      </c>
      <c r="I989" s="21">
        <f t="shared" ca="1" si="77"/>
        <v>0</v>
      </c>
      <c r="J989" s="21" t="str">
        <f ca="1">IF(I989=0,"",COUNTIF($I$2:I989,"&gt;0"))</f>
        <v/>
      </c>
      <c r="K989" s="21" t="str">
        <f t="shared" ca="1" si="78"/>
        <v/>
      </c>
    </row>
    <row r="990" spans="1:11" s="18" customFormat="1" ht="14.25" x14ac:dyDescent="0.2">
      <c r="A990" s="18" t="str">
        <f t="shared" si="80"/>
        <v>Eintrag 989</v>
      </c>
      <c r="B990" s="18">
        <v>100</v>
      </c>
      <c r="C990" s="19">
        <v>100</v>
      </c>
      <c r="D990" s="20">
        <v>10</v>
      </c>
      <c r="E990" s="20">
        <v>10</v>
      </c>
      <c r="F990" s="20">
        <v>10</v>
      </c>
      <c r="G990" s="19">
        <f t="shared" si="79"/>
        <v>172</v>
      </c>
      <c r="H990" s="22">
        <f t="shared" si="76"/>
        <v>989</v>
      </c>
      <c r="I990" s="21">
        <f t="shared" ca="1" si="77"/>
        <v>0</v>
      </c>
      <c r="J990" s="21" t="str">
        <f ca="1">IF(I990=0,"",COUNTIF($I$2:I990,"&gt;0"))</f>
        <v/>
      </c>
      <c r="K990" s="21" t="str">
        <f t="shared" ca="1" si="78"/>
        <v/>
      </c>
    </row>
    <row r="991" spans="1:11" s="18" customFormat="1" ht="14.25" x14ac:dyDescent="0.2">
      <c r="A991" s="18" t="str">
        <f t="shared" si="80"/>
        <v>Eintrag 990</v>
      </c>
      <c r="B991" s="18">
        <v>100</v>
      </c>
      <c r="C991" s="19">
        <v>100</v>
      </c>
      <c r="D991" s="20">
        <v>10</v>
      </c>
      <c r="E991" s="20">
        <v>10</v>
      </c>
      <c r="F991" s="20">
        <v>10</v>
      </c>
      <c r="G991" s="19">
        <f t="shared" si="79"/>
        <v>172</v>
      </c>
      <c r="H991" s="22">
        <f t="shared" si="76"/>
        <v>990</v>
      </c>
      <c r="I991" s="21">
        <f t="shared" ca="1" si="77"/>
        <v>0</v>
      </c>
      <c r="J991" s="21" t="str">
        <f ca="1">IF(I991=0,"",COUNTIF($I$2:I991,"&gt;0"))</f>
        <v/>
      </c>
      <c r="K991" s="21" t="str">
        <f t="shared" ca="1" si="78"/>
        <v/>
      </c>
    </row>
    <row r="992" spans="1:11" s="18" customFormat="1" ht="14.25" x14ac:dyDescent="0.2">
      <c r="A992" s="18" t="str">
        <f t="shared" si="80"/>
        <v>Eintrag 991</v>
      </c>
      <c r="B992" s="18">
        <v>100</v>
      </c>
      <c r="C992" s="19">
        <v>100</v>
      </c>
      <c r="D992" s="20">
        <v>10</v>
      </c>
      <c r="E992" s="20">
        <v>10</v>
      </c>
      <c r="F992" s="20">
        <v>10</v>
      </c>
      <c r="G992" s="19">
        <f t="shared" si="79"/>
        <v>172</v>
      </c>
      <c r="H992" s="22">
        <f t="shared" si="76"/>
        <v>991</v>
      </c>
      <c r="I992" s="21">
        <f t="shared" ca="1" si="77"/>
        <v>0</v>
      </c>
      <c r="J992" s="21" t="str">
        <f ca="1">IF(I992=0,"",COUNTIF($I$2:I992,"&gt;0"))</f>
        <v/>
      </c>
      <c r="K992" s="21" t="str">
        <f t="shared" ca="1" si="78"/>
        <v/>
      </c>
    </row>
    <row r="993" spans="1:11" s="18" customFormat="1" ht="14.25" x14ac:dyDescent="0.2">
      <c r="A993" s="18" t="str">
        <f t="shared" si="80"/>
        <v>Eintrag 992</v>
      </c>
      <c r="B993" s="18">
        <v>100</v>
      </c>
      <c r="C993" s="19">
        <v>100</v>
      </c>
      <c r="D993" s="20">
        <v>10</v>
      </c>
      <c r="E993" s="20">
        <v>10</v>
      </c>
      <c r="F993" s="20">
        <v>10</v>
      </c>
      <c r="G993" s="19">
        <f t="shared" si="79"/>
        <v>172</v>
      </c>
      <c r="H993" s="22">
        <f t="shared" si="76"/>
        <v>992</v>
      </c>
      <c r="I993" s="21">
        <f t="shared" ca="1" si="77"/>
        <v>0</v>
      </c>
      <c r="J993" s="21" t="str">
        <f ca="1">IF(I993=0,"",COUNTIF($I$2:I993,"&gt;0"))</f>
        <v/>
      </c>
      <c r="K993" s="21" t="str">
        <f t="shared" ca="1" si="78"/>
        <v/>
      </c>
    </row>
    <row r="994" spans="1:11" s="18" customFormat="1" ht="14.25" x14ac:dyDescent="0.2">
      <c r="A994" s="18" t="str">
        <f t="shared" si="80"/>
        <v>Eintrag 993</v>
      </c>
      <c r="B994" s="18">
        <v>100</v>
      </c>
      <c r="C994" s="19">
        <v>100</v>
      </c>
      <c r="D994" s="20">
        <v>10</v>
      </c>
      <c r="E994" s="20">
        <v>10</v>
      </c>
      <c r="F994" s="20">
        <v>10</v>
      </c>
      <c r="G994" s="19">
        <f t="shared" si="79"/>
        <v>172</v>
      </c>
      <c r="H994" s="22">
        <f t="shared" si="76"/>
        <v>993</v>
      </c>
      <c r="I994" s="21">
        <f t="shared" ca="1" si="77"/>
        <v>0</v>
      </c>
      <c r="J994" s="21" t="str">
        <f ca="1">IF(I994=0,"",COUNTIF($I$2:I994,"&gt;0"))</f>
        <v/>
      </c>
      <c r="K994" s="21" t="str">
        <f t="shared" ca="1" si="78"/>
        <v/>
      </c>
    </row>
    <row r="995" spans="1:11" s="18" customFormat="1" ht="14.25" x14ac:dyDescent="0.2">
      <c r="A995" s="18" t="str">
        <f t="shared" si="80"/>
        <v>Eintrag 994</v>
      </c>
      <c r="B995" s="18">
        <v>100</v>
      </c>
      <c r="C995" s="19">
        <v>100</v>
      </c>
      <c r="D995" s="20">
        <v>10</v>
      </c>
      <c r="E995" s="20">
        <v>10</v>
      </c>
      <c r="F995" s="20">
        <v>10</v>
      </c>
      <c r="G995" s="19">
        <f t="shared" si="79"/>
        <v>172</v>
      </c>
      <c r="H995" s="22">
        <f t="shared" si="76"/>
        <v>994</v>
      </c>
      <c r="I995" s="21">
        <f t="shared" ca="1" si="77"/>
        <v>0</v>
      </c>
      <c r="J995" s="21" t="str">
        <f ca="1">IF(I995=0,"",COUNTIF($I$2:I995,"&gt;0"))</f>
        <v/>
      </c>
      <c r="K995" s="21" t="str">
        <f t="shared" ca="1" si="78"/>
        <v/>
      </c>
    </row>
    <row r="996" spans="1:11" s="18" customFormat="1" ht="14.25" x14ac:dyDescent="0.2">
      <c r="A996" s="18" t="str">
        <f t="shared" si="80"/>
        <v>Eintrag 995</v>
      </c>
      <c r="B996" s="18">
        <v>100</v>
      </c>
      <c r="C996" s="19">
        <v>100</v>
      </c>
      <c r="D996" s="20">
        <v>10</v>
      </c>
      <c r="E996" s="20">
        <v>10</v>
      </c>
      <c r="F996" s="20">
        <v>10</v>
      </c>
      <c r="G996" s="19">
        <f t="shared" si="79"/>
        <v>172</v>
      </c>
      <c r="H996" s="22">
        <f t="shared" si="76"/>
        <v>995</v>
      </c>
      <c r="I996" s="21">
        <f t="shared" ca="1" si="77"/>
        <v>0</v>
      </c>
      <c r="J996" s="21" t="str">
        <f ca="1">IF(I996=0,"",COUNTIF($I$2:I996,"&gt;0"))</f>
        <v/>
      </c>
      <c r="K996" s="21" t="str">
        <f t="shared" ca="1" si="78"/>
        <v/>
      </c>
    </row>
    <row r="997" spans="1:11" s="18" customFormat="1" ht="14.25" x14ac:dyDescent="0.2">
      <c r="A997" s="18" t="str">
        <f t="shared" si="80"/>
        <v>Eintrag 996</v>
      </c>
      <c r="B997" s="18">
        <v>100</v>
      </c>
      <c r="C997" s="19">
        <v>100</v>
      </c>
      <c r="D997" s="20">
        <v>10</v>
      </c>
      <c r="E997" s="20">
        <v>10</v>
      </c>
      <c r="F997" s="20">
        <v>10</v>
      </c>
      <c r="G997" s="19">
        <f t="shared" si="79"/>
        <v>172</v>
      </c>
      <c r="H997" s="22">
        <f t="shared" ref="H997:H1060" si="81">H996+1</f>
        <v>996</v>
      </c>
      <c r="I997" s="21">
        <f t="shared" ca="1" si="77"/>
        <v>0</v>
      </c>
      <c r="J997" s="21" t="str">
        <f ca="1">IF(I997=0,"",COUNTIF($I$2:I997,"&gt;0"))</f>
        <v/>
      </c>
      <c r="K997" s="21" t="str">
        <f t="shared" ca="1" si="78"/>
        <v/>
      </c>
    </row>
    <row r="998" spans="1:11" s="18" customFormat="1" ht="14.25" x14ac:dyDescent="0.2">
      <c r="A998" s="18" t="str">
        <f t="shared" si="80"/>
        <v>Eintrag 997</v>
      </c>
      <c r="B998" s="18">
        <v>100</v>
      </c>
      <c r="C998" s="19">
        <v>100</v>
      </c>
      <c r="D998" s="20">
        <v>10</v>
      </c>
      <c r="E998" s="20">
        <v>10</v>
      </c>
      <c r="F998" s="20">
        <v>10</v>
      </c>
      <c r="G998" s="19">
        <f t="shared" si="79"/>
        <v>172</v>
      </c>
      <c r="H998" s="22">
        <f t="shared" si="81"/>
        <v>997</v>
      </c>
      <c r="I998" s="21">
        <f t="shared" ca="1" si="77"/>
        <v>0</v>
      </c>
      <c r="J998" s="21" t="str">
        <f ca="1">IF(I998=0,"",COUNTIF($I$2:I998,"&gt;0"))</f>
        <v/>
      </c>
      <c r="K998" s="21" t="str">
        <f t="shared" ca="1" si="78"/>
        <v/>
      </c>
    </row>
    <row r="999" spans="1:11" s="18" customFormat="1" ht="14.25" x14ac:dyDescent="0.2">
      <c r="A999" s="18" t="str">
        <f t="shared" si="80"/>
        <v>Eintrag 998</v>
      </c>
      <c r="B999" s="18">
        <v>100</v>
      </c>
      <c r="C999" s="19">
        <v>100</v>
      </c>
      <c r="D999" s="20">
        <v>10</v>
      </c>
      <c r="E999" s="20">
        <v>10</v>
      </c>
      <c r="F999" s="20">
        <v>10</v>
      </c>
      <c r="G999" s="19">
        <f t="shared" si="79"/>
        <v>172</v>
      </c>
      <c r="H999" s="22">
        <f t="shared" si="81"/>
        <v>998</v>
      </c>
      <c r="I999" s="21">
        <f t="shared" ca="1" si="77"/>
        <v>0</v>
      </c>
      <c r="J999" s="21" t="str">
        <f ca="1">IF(I999=0,"",COUNTIF($I$2:I999,"&gt;0"))</f>
        <v/>
      </c>
      <c r="K999" s="21" t="str">
        <f t="shared" ca="1" si="78"/>
        <v/>
      </c>
    </row>
    <row r="1000" spans="1:11" s="18" customFormat="1" ht="14.25" x14ac:dyDescent="0.2">
      <c r="A1000" s="18" t="str">
        <f t="shared" si="80"/>
        <v>Eintrag 999</v>
      </c>
      <c r="B1000" s="18">
        <v>100</v>
      </c>
      <c r="C1000" s="19">
        <v>100</v>
      </c>
      <c r="D1000" s="20">
        <v>10</v>
      </c>
      <c r="E1000" s="20">
        <v>10</v>
      </c>
      <c r="F1000" s="20">
        <v>10</v>
      </c>
      <c r="G1000" s="19">
        <f t="shared" si="79"/>
        <v>172</v>
      </c>
      <c r="H1000" s="22">
        <f t="shared" si="81"/>
        <v>999</v>
      </c>
      <c r="I1000" s="21">
        <f t="shared" ca="1" si="77"/>
        <v>0</v>
      </c>
      <c r="J1000" s="21" t="str">
        <f ca="1">IF(I1000=0,"",COUNTIF($I$2:I1000,"&gt;0"))</f>
        <v/>
      </c>
      <c r="K1000" s="21" t="str">
        <f t="shared" ca="1" si="78"/>
        <v/>
      </c>
    </row>
    <row r="1001" spans="1:11" s="18" customFormat="1" ht="14.25" x14ac:dyDescent="0.2">
      <c r="A1001" s="18" t="str">
        <f t="shared" si="80"/>
        <v>Eintrag 1000</v>
      </c>
      <c r="B1001" s="18">
        <v>100</v>
      </c>
      <c r="C1001" s="19">
        <v>100</v>
      </c>
      <c r="D1001" s="20">
        <v>10</v>
      </c>
      <c r="E1001" s="20">
        <v>10</v>
      </c>
      <c r="F1001" s="20">
        <v>10</v>
      </c>
      <c r="G1001" s="19">
        <f t="shared" si="79"/>
        <v>172</v>
      </c>
      <c r="H1001" s="22">
        <f t="shared" si="81"/>
        <v>1000</v>
      </c>
      <c r="I1001" s="21">
        <f t="shared" ca="1" si="77"/>
        <v>0</v>
      </c>
      <c r="J1001" s="21" t="str">
        <f ca="1">IF(I1001=0,"",COUNTIF($I$2:I1001,"&gt;0"))</f>
        <v/>
      </c>
      <c r="K1001" s="21" t="str">
        <f t="shared" ca="1" si="78"/>
        <v/>
      </c>
    </row>
    <row r="1002" spans="1:11" s="18" customFormat="1" ht="14.25" x14ac:dyDescent="0.2">
      <c r="A1002" s="18" t="str">
        <f t="shared" si="80"/>
        <v>Eintrag 1001</v>
      </c>
      <c r="B1002" s="18">
        <v>100</v>
      </c>
      <c r="C1002" s="19">
        <v>100</v>
      </c>
      <c r="D1002" s="20">
        <v>10</v>
      </c>
      <c r="E1002" s="20">
        <v>10</v>
      </c>
      <c r="F1002" s="20">
        <v>10</v>
      </c>
      <c r="G1002" s="19">
        <f t="shared" si="79"/>
        <v>172</v>
      </c>
      <c r="H1002" s="22">
        <f t="shared" si="81"/>
        <v>1001</v>
      </c>
      <c r="I1002" s="21">
        <f t="shared" ca="1" si="77"/>
        <v>0</v>
      </c>
      <c r="J1002" s="21" t="str">
        <f ca="1">IF(I1002=0,"",COUNTIF($I$2:I1002,"&gt;0"))</f>
        <v/>
      </c>
      <c r="K1002" s="21" t="str">
        <f t="shared" ca="1" si="78"/>
        <v/>
      </c>
    </row>
    <row r="1003" spans="1:11" s="18" customFormat="1" ht="14.25" x14ac:dyDescent="0.2">
      <c r="A1003" s="18" t="str">
        <f t="shared" si="80"/>
        <v>Eintrag 1002</v>
      </c>
      <c r="B1003" s="18">
        <v>100</v>
      </c>
      <c r="C1003" s="19">
        <v>100</v>
      </c>
      <c r="D1003" s="20">
        <v>10</v>
      </c>
      <c r="E1003" s="20">
        <v>10</v>
      </c>
      <c r="F1003" s="20">
        <v>10</v>
      </c>
      <c r="G1003" s="19">
        <f t="shared" si="79"/>
        <v>172</v>
      </c>
      <c r="H1003" s="22">
        <f t="shared" si="81"/>
        <v>1002</v>
      </c>
      <c r="I1003" s="21">
        <f t="shared" ca="1" si="77"/>
        <v>0</v>
      </c>
      <c r="J1003" s="21" t="str">
        <f ca="1">IF(I1003=0,"",COUNTIF($I$2:I1003,"&gt;0"))</f>
        <v/>
      </c>
      <c r="K1003" s="21" t="str">
        <f t="shared" ca="1" si="78"/>
        <v/>
      </c>
    </row>
    <row r="1004" spans="1:11" s="18" customFormat="1" ht="14.25" x14ac:dyDescent="0.2">
      <c r="A1004" s="18" t="str">
        <f t="shared" si="80"/>
        <v>Eintrag 1003</v>
      </c>
      <c r="B1004" s="18">
        <v>100</v>
      </c>
      <c r="C1004" s="19">
        <v>100</v>
      </c>
      <c r="D1004" s="20">
        <v>10</v>
      </c>
      <c r="E1004" s="20">
        <v>10</v>
      </c>
      <c r="F1004" s="20">
        <v>10</v>
      </c>
      <c r="G1004" s="19">
        <f t="shared" si="79"/>
        <v>172</v>
      </c>
      <c r="H1004" s="22">
        <f t="shared" si="81"/>
        <v>1003</v>
      </c>
      <c r="I1004" s="21">
        <f t="shared" ca="1" si="77"/>
        <v>0</v>
      </c>
      <c r="J1004" s="21" t="str">
        <f ca="1">IF(I1004=0,"",COUNTIF($I$2:I1004,"&gt;0"))</f>
        <v/>
      </c>
      <c r="K1004" s="21" t="str">
        <f t="shared" ca="1" si="78"/>
        <v/>
      </c>
    </row>
    <row r="1005" spans="1:11" s="18" customFormat="1" ht="14.25" x14ac:dyDescent="0.2">
      <c r="A1005" s="18" t="str">
        <f t="shared" si="80"/>
        <v>Eintrag 1004</v>
      </c>
      <c r="B1005" s="18">
        <v>100</v>
      </c>
      <c r="C1005" s="19">
        <v>100</v>
      </c>
      <c r="D1005" s="20">
        <v>10</v>
      </c>
      <c r="E1005" s="20">
        <v>10</v>
      </c>
      <c r="F1005" s="20">
        <v>10</v>
      </c>
      <c r="G1005" s="19">
        <f t="shared" si="79"/>
        <v>172</v>
      </c>
      <c r="H1005" s="22">
        <f t="shared" si="81"/>
        <v>1004</v>
      </c>
      <c r="I1005" s="21">
        <f t="shared" ca="1" si="77"/>
        <v>0</v>
      </c>
      <c r="J1005" s="21" t="str">
        <f ca="1">IF(I1005=0,"",COUNTIF($I$2:I1005,"&gt;0"))</f>
        <v/>
      </c>
      <c r="K1005" s="21" t="str">
        <f t="shared" ca="1" si="78"/>
        <v/>
      </c>
    </row>
    <row r="1006" spans="1:11" s="18" customFormat="1" ht="14.25" x14ac:dyDescent="0.2">
      <c r="A1006" s="18" t="str">
        <f t="shared" si="80"/>
        <v>Eintrag 1005</v>
      </c>
      <c r="B1006" s="18">
        <v>100</v>
      </c>
      <c r="C1006" s="19">
        <v>100</v>
      </c>
      <c r="D1006" s="20">
        <v>10</v>
      </c>
      <c r="E1006" s="20">
        <v>10</v>
      </c>
      <c r="F1006" s="20">
        <v>10</v>
      </c>
      <c r="G1006" s="19">
        <f t="shared" si="79"/>
        <v>172</v>
      </c>
      <c r="H1006" s="22">
        <f t="shared" si="81"/>
        <v>1005</v>
      </c>
      <c r="I1006" s="21">
        <f t="shared" ca="1" si="77"/>
        <v>0</v>
      </c>
      <c r="J1006" s="21" t="str">
        <f ca="1">IF(I1006=0,"",COUNTIF($I$2:I1006,"&gt;0"))</f>
        <v/>
      </c>
      <c r="K1006" s="21" t="str">
        <f t="shared" ca="1" si="78"/>
        <v/>
      </c>
    </row>
    <row r="1007" spans="1:11" s="18" customFormat="1" ht="14.25" x14ac:dyDescent="0.2">
      <c r="A1007" s="18" t="str">
        <f t="shared" si="80"/>
        <v>Eintrag 1006</v>
      </c>
      <c r="B1007" s="18">
        <v>100</v>
      </c>
      <c r="C1007" s="19">
        <v>100</v>
      </c>
      <c r="D1007" s="20">
        <v>10</v>
      </c>
      <c r="E1007" s="20">
        <v>10</v>
      </c>
      <c r="F1007" s="20">
        <v>10</v>
      </c>
      <c r="G1007" s="19">
        <f t="shared" si="79"/>
        <v>172</v>
      </c>
      <c r="H1007" s="22">
        <f t="shared" si="81"/>
        <v>1006</v>
      </c>
      <c r="I1007" s="21">
        <f t="shared" ca="1" si="77"/>
        <v>0</v>
      </c>
      <c r="J1007" s="21" t="str">
        <f ca="1">IF(I1007=0,"",COUNTIF($I$2:I1007,"&gt;0"))</f>
        <v/>
      </c>
      <c r="K1007" s="21" t="str">
        <f t="shared" ca="1" si="78"/>
        <v/>
      </c>
    </row>
    <row r="1008" spans="1:11" s="18" customFormat="1" ht="14.25" x14ac:dyDescent="0.2">
      <c r="A1008" s="18" t="str">
        <f t="shared" si="80"/>
        <v>Eintrag 1007</v>
      </c>
      <c r="B1008" s="18">
        <v>100</v>
      </c>
      <c r="C1008" s="19">
        <v>100</v>
      </c>
      <c r="D1008" s="20">
        <v>10</v>
      </c>
      <c r="E1008" s="20">
        <v>10</v>
      </c>
      <c r="F1008" s="20">
        <v>10</v>
      </c>
      <c r="G1008" s="19">
        <f t="shared" si="79"/>
        <v>172</v>
      </c>
      <c r="H1008" s="22">
        <f t="shared" si="81"/>
        <v>1007</v>
      </c>
      <c r="I1008" s="21">
        <f t="shared" ca="1" si="77"/>
        <v>0</v>
      </c>
      <c r="J1008" s="21" t="str">
        <f ca="1">IF(I1008=0,"",COUNTIF($I$2:I1008,"&gt;0"))</f>
        <v/>
      </c>
      <c r="K1008" s="21" t="str">
        <f t="shared" ca="1" si="78"/>
        <v/>
      </c>
    </row>
    <row r="1009" spans="1:11" s="18" customFormat="1" ht="14.25" x14ac:dyDescent="0.2">
      <c r="A1009" s="18" t="str">
        <f t="shared" si="80"/>
        <v>Eintrag 1008</v>
      </c>
      <c r="B1009" s="18">
        <v>100</v>
      </c>
      <c r="C1009" s="19">
        <v>100</v>
      </c>
      <c r="D1009" s="20">
        <v>10</v>
      </c>
      <c r="E1009" s="20">
        <v>10</v>
      </c>
      <c r="F1009" s="20">
        <v>10</v>
      </c>
      <c r="G1009" s="19">
        <f t="shared" si="79"/>
        <v>172</v>
      </c>
      <c r="H1009" s="22">
        <f t="shared" si="81"/>
        <v>1008</v>
      </c>
      <c r="I1009" s="21">
        <f t="shared" ca="1" si="77"/>
        <v>0</v>
      </c>
      <c r="J1009" s="21" t="str">
        <f ca="1">IF(I1009=0,"",COUNTIF($I$2:I1009,"&gt;0"))</f>
        <v/>
      </c>
      <c r="K1009" s="21" t="str">
        <f t="shared" ca="1" si="78"/>
        <v/>
      </c>
    </row>
    <row r="1010" spans="1:11" s="18" customFormat="1" ht="14.25" x14ac:dyDescent="0.2">
      <c r="A1010" s="18" t="str">
        <f t="shared" si="80"/>
        <v>Eintrag 1009</v>
      </c>
      <c r="B1010" s="18">
        <v>100</v>
      </c>
      <c r="C1010" s="19">
        <v>100</v>
      </c>
      <c r="D1010" s="20">
        <v>10</v>
      </c>
      <c r="E1010" s="20">
        <v>10</v>
      </c>
      <c r="F1010" s="20">
        <v>10</v>
      </c>
      <c r="G1010" s="19">
        <f t="shared" si="79"/>
        <v>172</v>
      </c>
      <c r="H1010" s="22">
        <f t="shared" si="81"/>
        <v>1009</v>
      </c>
      <c r="I1010" s="21">
        <f t="shared" ca="1" si="77"/>
        <v>0</v>
      </c>
      <c r="J1010" s="21" t="str">
        <f ca="1">IF(I1010=0,"",COUNTIF($I$2:I1010,"&gt;0"))</f>
        <v/>
      </c>
      <c r="K1010" s="21" t="str">
        <f t="shared" ca="1" si="78"/>
        <v/>
      </c>
    </row>
    <row r="1011" spans="1:11" s="18" customFormat="1" ht="14.25" x14ac:dyDescent="0.2">
      <c r="A1011" s="18" t="str">
        <f t="shared" si="80"/>
        <v>Eintrag 1010</v>
      </c>
      <c r="B1011" s="18">
        <v>100</v>
      </c>
      <c r="C1011" s="19">
        <v>100</v>
      </c>
      <c r="D1011" s="20">
        <v>10</v>
      </c>
      <c r="E1011" s="20">
        <v>10</v>
      </c>
      <c r="F1011" s="20">
        <v>10</v>
      </c>
      <c r="G1011" s="19">
        <f t="shared" si="79"/>
        <v>172</v>
      </c>
      <c r="H1011" s="22">
        <f t="shared" si="81"/>
        <v>1010</v>
      </c>
      <c r="I1011" s="21">
        <f t="shared" ca="1" si="77"/>
        <v>0</v>
      </c>
      <c r="J1011" s="21" t="str">
        <f ca="1">IF(I1011=0,"",COUNTIF($I$2:I1011,"&gt;0"))</f>
        <v/>
      </c>
      <c r="K1011" s="21" t="str">
        <f t="shared" ca="1" si="78"/>
        <v/>
      </c>
    </row>
    <row r="1012" spans="1:11" s="18" customFormat="1" ht="14.25" x14ac:dyDescent="0.2">
      <c r="A1012" s="18" t="str">
        <f t="shared" si="80"/>
        <v>Eintrag 1011</v>
      </c>
      <c r="B1012" s="18">
        <v>100</v>
      </c>
      <c r="C1012" s="19">
        <v>100</v>
      </c>
      <c r="D1012" s="20">
        <v>10</v>
      </c>
      <c r="E1012" s="20">
        <v>10</v>
      </c>
      <c r="F1012" s="20">
        <v>10</v>
      </c>
      <c r="G1012" s="19">
        <f t="shared" si="79"/>
        <v>172</v>
      </c>
      <c r="H1012" s="22">
        <f t="shared" si="81"/>
        <v>1011</v>
      </c>
      <c r="I1012" s="21">
        <f t="shared" ca="1" si="77"/>
        <v>0</v>
      </c>
      <c r="J1012" s="21" t="str">
        <f ca="1">IF(I1012=0,"",COUNTIF($I$2:I1012,"&gt;0"))</f>
        <v/>
      </c>
      <c r="K1012" s="21" t="str">
        <f t="shared" ca="1" si="78"/>
        <v/>
      </c>
    </row>
    <row r="1013" spans="1:11" s="18" customFormat="1" ht="14.25" x14ac:dyDescent="0.2">
      <c r="A1013" s="18" t="str">
        <f t="shared" si="80"/>
        <v>Eintrag 1012</v>
      </c>
      <c r="B1013" s="18">
        <v>100</v>
      </c>
      <c r="C1013" s="19">
        <v>100</v>
      </c>
      <c r="D1013" s="20">
        <v>10</v>
      </c>
      <c r="E1013" s="20">
        <v>10</v>
      </c>
      <c r="F1013" s="20">
        <v>10</v>
      </c>
      <c r="G1013" s="19">
        <f t="shared" si="79"/>
        <v>172</v>
      </c>
      <c r="H1013" s="22">
        <f t="shared" si="81"/>
        <v>1012</v>
      </c>
      <c r="I1013" s="21">
        <f t="shared" ca="1" si="77"/>
        <v>0</v>
      </c>
      <c r="J1013" s="21" t="str">
        <f ca="1">IF(I1013=0,"",COUNTIF($I$2:I1013,"&gt;0"))</f>
        <v/>
      </c>
      <c r="K1013" s="21" t="str">
        <f t="shared" ca="1" si="78"/>
        <v/>
      </c>
    </row>
    <row r="1014" spans="1:11" s="18" customFormat="1" ht="14.25" x14ac:dyDescent="0.2">
      <c r="A1014" s="18" t="str">
        <f t="shared" si="80"/>
        <v>Eintrag 1013</v>
      </c>
      <c r="B1014" s="18">
        <v>100</v>
      </c>
      <c r="C1014" s="19">
        <v>100</v>
      </c>
      <c r="D1014" s="20">
        <v>10</v>
      </c>
      <c r="E1014" s="20">
        <v>10</v>
      </c>
      <c r="F1014" s="20">
        <v>10</v>
      </c>
      <c r="G1014" s="19">
        <f t="shared" si="79"/>
        <v>172</v>
      </c>
      <c r="H1014" s="22">
        <f t="shared" si="81"/>
        <v>1013</v>
      </c>
      <c r="I1014" s="21">
        <f t="shared" ca="1" si="77"/>
        <v>0</v>
      </c>
      <c r="J1014" s="21" t="str">
        <f ca="1">IF(I1014=0,"",COUNTIF($I$2:I1014,"&gt;0"))</f>
        <v/>
      </c>
      <c r="K1014" s="21" t="str">
        <f t="shared" ca="1" si="78"/>
        <v/>
      </c>
    </row>
    <row r="1015" spans="1:11" s="18" customFormat="1" ht="14.25" x14ac:dyDescent="0.2">
      <c r="A1015" s="18" t="str">
        <f t="shared" si="80"/>
        <v>Eintrag 1014</v>
      </c>
      <c r="B1015" s="18">
        <v>100</v>
      </c>
      <c r="C1015" s="19">
        <v>100</v>
      </c>
      <c r="D1015" s="20">
        <v>10</v>
      </c>
      <c r="E1015" s="20">
        <v>10</v>
      </c>
      <c r="F1015" s="20">
        <v>10</v>
      </c>
      <c r="G1015" s="19">
        <f t="shared" si="79"/>
        <v>172</v>
      </c>
      <c r="H1015" s="22">
        <f t="shared" si="81"/>
        <v>1014</v>
      </c>
      <c r="I1015" s="21">
        <f t="shared" ca="1" si="77"/>
        <v>0</v>
      </c>
      <c r="J1015" s="21" t="str">
        <f ca="1">IF(I1015=0,"",COUNTIF($I$2:I1015,"&gt;0"))</f>
        <v/>
      </c>
      <c r="K1015" s="21" t="str">
        <f t="shared" ca="1" si="78"/>
        <v/>
      </c>
    </row>
    <row r="1016" spans="1:11" s="18" customFormat="1" ht="14.25" x14ac:dyDescent="0.2">
      <c r="A1016" s="18" t="str">
        <f t="shared" si="80"/>
        <v>Eintrag 1015</v>
      </c>
      <c r="B1016" s="18">
        <v>100</v>
      </c>
      <c r="C1016" s="19">
        <v>100</v>
      </c>
      <c r="D1016" s="20">
        <v>10</v>
      </c>
      <c r="E1016" s="20">
        <v>10</v>
      </c>
      <c r="F1016" s="20">
        <v>10</v>
      </c>
      <c r="G1016" s="19">
        <f t="shared" si="79"/>
        <v>172</v>
      </c>
      <c r="H1016" s="22">
        <f t="shared" si="81"/>
        <v>1015</v>
      </c>
      <c r="I1016" s="21">
        <f t="shared" ca="1" si="77"/>
        <v>0</v>
      </c>
      <c r="J1016" s="21" t="str">
        <f ca="1">IF(I1016=0,"",COUNTIF($I$2:I1016,"&gt;0"))</f>
        <v/>
      </c>
      <c r="K1016" s="21" t="str">
        <f t="shared" ca="1" si="78"/>
        <v/>
      </c>
    </row>
    <row r="1017" spans="1:11" s="18" customFormat="1" ht="14.25" x14ac:dyDescent="0.2">
      <c r="A1017" s="18" t="str">
        <f t="shared" si="80"/>
        <v>Eintrag 1016</v>
      </c>
      <c r="B1017" s="18">
        <v>100</v>
      </c>
      <c r="C1017" s="19">
        <v>100</v>
      </c>
      <c r="D1017" s="20">
        <v>10</v>
      </c>
      <c r="E1017" s="20">
        <v>10</v>
      </c>
      <c r="F1017" s="20">
        <v>10</v>
      </c>
      <c r="G1017" s="19">
        <f t="shared" si="79"/>
        <v>172</v>
      </c>
      <c r="H1017" s="22">
        <f t="shared" si="81"/>
        <v>1016</v>
      </c>
      <c r="I1017" s="21">
        <f t="shared" ca="1" si="77"/>
        <v>0</v>
      </c>
      <c r="J1017" s="21" t="str">
        <f ca="1">IF(I1017=0,"",COUNTIF($I$2:I1017,"&gt;0"))</f>
        <v/>
      </c>
      <c r="K1017" s="21" t="str">
        <f t="shared" ca="1" si="78"/>
        <v/>
      </c>
    </row>
    <row r="1018" spans="1:11" s="18" customFormat="1" ht="14.25" x14ac:dyDescent="0.2">
      <c r="A1018" s="18" t="str">
        <f t="shared" si="80"/>
        <v>Eintrag 1017</v>
      </c>
      <c r="B1018" s="18">
        <v>100</v>
      </c>
      <c r="C1018" s="19">
        <v>100</v>
      </c>
      <c r="D1018" s="20">
        <v>10</v>
      </c>
      <c r="E1018" s="20">
        <v>10</v>
      </c>
      <c r="F1018" s="20">
        <v>10</v>
      </c>
      <c r="G1018" s="19">
        <f t="shared" si="79"/>
        <v>172</v>
      </c>
      <c r="H1018" s="22">
        <f t="shared" si="81"/>
        <v>1017</v>
      </c>
      <c r="I1018" s="21">
        <f t="shared" ca="1" si="77"/>
        <v>0</v>
      </c>
      <c r="J1018" s="21" t="str">
        <f ca="1">IF(I1018=0,"",COUNTIF($I$2:I1018,"&gt;0"))</f>
        <v/>
      </c>
      <c r="K1018" s="21" t="str">
        <f t="shared" ca="1" si="78"/>
        <v/>
      </c>
    </row>
    <row r="1019" spans="1:11" s="18" customFormat="1" ht="14.25" x14ac:dyDescent="0.2">
      <c r="A1019" s="18" t="str">
        <f t="shared" si="80"/>
        <v>Eintrag 1018</v>
      </c>
      <c r="B1019" s="18">
        <v>100</v>
      </c>
      <c r="C1019" s="19">
        <v>100</v>
      </c>
      <c r="D1019" s="20">
        <v>10</v>
      </c>
      <c r="E1019" s="20">
        <v>10</v>
      </c>
      <c r="F1019" s="20">
        <v>10</v>
      </c>
      <c r="G1019" s="19">
        <f t="shared" si="79"/>
        <v>172</v>
      </c>
      <c r="H1019" s="22">
        <f t="shared" si="81"/>
        <v>1018</v>
      </c>
      <c r="I1019" s="21">
        <f t="shared" ca="1" si="77"/>
        <v>0</v>
      </c>
      <c r="J1019" s="21" t="str">
        <f ca="1">IF(I1019=0,"",COUNTIF($I$2:I1019,"&gt;0"))</f>
        <v/>
      </c>
      <c r="K1019" s="21" t="str">
        <f t="shared" ca="1" si="78"/>
        <v/>
      </c>
    </row>
    <row r="1020" spans="1:11" s="18" customFormat="1" ht="14.25" x14ac:dyDescent="0.2">
      <c r="A1020" s="18" t="str">
        <f t="shared" si="80"/>
        <v>Eintrag 1019</v>
      </c>
      <c r="B1020" s="18">
        <v>100</v>
      </c>
      <c r="C1020" s="19">
        <v>100</v>
      </c>
      <c r="D1020" s="20">
        <v>10</v>
      </c>
      <c r="E1020" s="20">
        <v>10</v>
      </c>
      <c r="F1020" s="20">
        <v>10</v>
      </c>
      <c r="G1020" s="19">
        <f t="shared" si="79"/>
        <v>172</v>
      </c>
      <c r="H1020" s="22">
        <f t="shared" si="81"/>
        <v>1019</v>
      </c>
      <c r="I1020" s="21">
        <f t="shared" ca="1" si="77"/>
        <v>0</v>
      </c>
      <c r="J1020" s="21" t="str">
        <f ca="1">IF(I1020=0,"",COUNTIF($I$2:I1020,"&gt;0"))</f>
        <v/>
      </c>
      <c r="K1020" s="21" t="str">
        <f t="shared" ca="1" si="78"/>
        <v/>
      </c>
    </row>
    <row r="1021" spans="1:11" s="18" customFormat="1" ht="14.25" x14ac:dyDescent="0.2">
      <c r="A1021" s="18" t="str">
        <f t="shared" si="80"/>
        <v>Eintrag 1020</v>
      </c>
      <c r="B1021" s="18">
        <v>100</v>
      </c>
      <c r="C1021" s="19">
        <v>100</v>
      </c>
      <c r="D1021" s="20">
        <v>10</v>
      </c>
      <c r="E1021" s="20">
        <v>10</v>
      </c>
      <c r="F1021" s="20">
        <v>10</v>
      </c>
      <c r="G1021" s="19">
        <f t="shared" si="79"/>
        <v>172</v>
      </c>
      <c r="H1021" s="22">
        <f t="shared" si="81"/>
        <v>1020</v>
      </c>
      <c r="I1021" s="21">
        <f t="shared" ca="1" si="77"/>
        <v>0</v>
      </c>
      <c r="J1021" s="21" t="str">
        <f ca="1">IF(I1021=0,"",COUNTIF($I$2:I1021,"&gt;0"))</f>
        <v/>
      </c>
      <c r="K1021" s="21" t="str">
        <f t="shared" ca="1" si="78"/>
        <v/>
      </c>
    </row>
    <row r="1022" spans="1:11" s="18" customFormat="1" ht="14.25" x14ac:dyDescent="0.2">
      <c r="A1022" s="18" t="str">
        <f t="shared" si="80"/>
        <v>Eintrag 1021</v>
      </c>
      <c r="B1022" s="18">
        <v>100</v>
      </c>
      <c r="C1022" s="19">
        <v>100</v>
      </c>
      <c r="D1022" s="20">
        <v>10</v>
      </c>
      <c r="E1022" s="20">
        <v>10</v>
      </c>
      <c r="F1022" s="20">
        <v>10</v>
      </c>
      <c r="G1022" s="19">
        <f t="shared" si="79"/>
        <v>172</v>
      </c>
      <c r="H1022" s="22">
        <f t="shared" si="81"/>
        <v>1021</v>
      </c>
      <c r="I1022" s="21">
        <f t="shared" ca="1" si="77"/>
        <v>0</v>
      </c>
      <c r="J1022" s="21" t="str">
        <f ca="1">IF(I1022=0,"",COUNTIF($I$2:I1022,"&gt;0"))</f>
        <v/>
      </c>
      <c r="K1022" s="21" t="str">
        <f t="shared" ca="1" si="78"/>
        <v/>
      </c>
    </row>
    <row r="1023" spans="1:11" s="18" customFormat="1" ht="14.25" x14ac:dyDescent="0.2">
      <c r="A1023" s="18" t="str">
        <f t="shared" si="80"/>
        <v>Eintrag 1022</v>
      </c>
      <c r="B1023" s="18">
        <v>100</v>
      </c>
      <c r="C1023" s="19">
        <v>100</v>
      </c>
      <c r="D1023" s="20">
        <v>10</v>
      </c>
      <c r="E1023" s="20">
        <v>10</v>
      </c>
      <c r="F1023" s="20">
        <v>10</v>
      </c>
      <c r="G1023" s="19">
        <f t="shared" si="79"/>
        <v>172</v>
      </c>
      <c r="H1023" s="22">
        <f t="shared" si="81"/>
        <v>1022</v>
      </c>
      <c r="I1023" s="21">
        <f t="shared" ca="1" si="77"/>
        <v>0</v>
      </c>
      <c r="J1023" s="21" t="str">
        <f ca="1">IF(I1023=0,"",COUNTIF($I$2:I1023,"&gt;0"))</f>
        <v/>
      </c>
      <c r="K1023" s="21" t="str">
        <f t="shared" ca="1" si="78"/>
        <v/>
      </c>
    </row>
    <row r="1024" spans="1:11" s="18" customFormat="1" ht="14.25" x14ac:dyDescent="0.2">
      <c r="A1024" s="18" t="str">
        <f t="shared" si="80"/>
        <v>Eintrag 1023</v>
      </c>
      <c r="B1024" s="18">
        <v>100</v>
      </c>
      <c r="C1024" s="19">
        <v>100</v>
      </c>
      <c r="D1024" s="20">
        <v>10</v>
      </c>
      <c r="E1024" s="20">
        <v>10</v>
      </c>
      <c r="F1024" s="20">
        <v>10</v>
      </c>
      <c r="G1024" s="19">
        <f t="shared" si="79"/>
        <v>172</v>
      </c>
      <c r="H1024" s="22">
        <f t="shared" si="81"/>
        <v>1023</v>
      </c>
      <c r="I1024" s="21">
        <f t="shared" ca="1" si="77"/>
        <v>0</v>
      </c>
      <c r="J1024" s="21" t="str">
        <f ca="1">IF(I1024=0,"",COUNTIF($I$2:I1024,"&gt;0"))</f>
        <v/>
      </c>
      <c r="K1024" s="21" t="str">
        <f t="shared" ca="1" si="78"/>
        <v/>
      </c>
    </row>
    <row r="1025" spans="1:11" s="18" customFormat="1" ht="14.25" x14ac:dyDescent="0.2">
      <c r="A1025" s="18" t="str">
        <f t="shared" si="80"/>
        <v>Eintrag 1024</v>
      </c>
      <c r="B1025" s="18">
        <v>100</v>
      </c>
      <c r="C1025" s="19">
        <v>100</v>
      </c>
      <c r="D1025" s="20">
        <v>10</v>
      </c>
      <c r="E1025" s="20">
        <v>10</v>
      </c>
      <c r="F1025" s="20">
        <v>10</v>
      </c>
      <c r="G1025" s="19">
        <f t="shared" si="79"/>
        <v>172</v>
      </c>
      <c r="H1025" s="22">
        <f t="shared" si="81"/>
        <v>1024</v>
      </c>
      <c r="I1025" s="21">
        <f t="shared" ca="1" si="77"/>
        <v>0</v>
      </c>
      <c r="J1025" s="21" t="str">
        <f ca="1">IF(I1025=0,"",COUNTIF($I$2:I1025,"&gt;0"))</f>
        <v/>
      </c>
      <c r="K1025" s="21" t="str">
        <f t="shared" ca="1" si="78"/>
        <v/>
      </c>
    </row>
    <row r="1026" spans="1:11" s="18" customFormat="1" ht="14.25" x14ac:dyDescent="0.2">
      <c r="A1026" s="18" t="str">
        <f t="shared" si="80"/>
        <v>Eintrag 1025</v>
      </c>
      <c r="B1026" s="18">
        <v>100</v>
      </c>
      <c r="C1026" s="19">
        <v>100</v>
      </c>
      <c r="D1026" s="20">
        <v>10</v>
      </c>
      <c r="E1026" s="20">
        <v>10</v>
      </c>
      <c r="F1026" s="20">
        <v>10</v>
      </c>
      <c r="G1026" s="19">
        <f t="shared" si="79"/>
        <v>172</v>
      </c>
      <c r="H1026" s="22">
        <f t="shared" si="81"/>
        <v>1025</v>
      </c>
      <c r="I1026" s="21">
        <f t="shared" ca="1" si="77"/>
        <v>0</v>
      </c>
      <c r="J1026" s="21" t="str">
        <f ca="1">IF(I1026=0,"",COUNTIF($I$2:I1026,"&gt;0"))</f>
        <v/>
      </c>
      <c r="K1026" s="21" t="str">
        <f t="shared" ref="K1026:K1089" ca="1" si="82">IFERROR(INDEX(A:A,MATCH(ROW(I1025),J:J,0)),"")</f>
        <v/>
      </c>
    </row>
    <row r="1027" spans="1:11" s="18" customFormat="1" ht="14.25" x14ac:dyDescent="0.2">
      <c r="A1027" s="18" t="str">
        <f t="shared" si="80"/>
        <v>Eintrag 1026</v>
      </c>
      <c r="B1027" s="18">
        <v>100</v>
      </c>
      <c r="C1027" s="19">
        <v>100</v>
      </c>
      <c r="D1027" s="20">
        <v>10</v>
      </c>
      <c r="E1027" s="20">
        <v>10</v>
      </c>
      <c r="F1027" s="20">
        <v>10</v>
      </c>
      <c r="G1027" s="19">
        <f t="shared" ref="G1027:G1090" si="83">D1027*9+E1027*4.1+F1027*4.1</f>
        <v>172</v>
      </c>
      <c r="H1027" s="22">
        <f t="shared" si="81"/>
        <v>1026</v>
      </c>
      <c r="I1027" s="21">
        <f t="shared" ca="1" si="77"/>
        <v>0</v>
      </c>
      <c r="J1027" s="21" t="str">
        <f ca="1">IF(I1027=0,"",COUNTIF($I$2:I1027,"&gt;0"))</f>
        <v/>
      </c>
      <c r="K1027" s="21" t="str">
        <f t="shared" ca="1" si="82"/>
        <v/>
      </c>
    </row>
    <row r="1028" spans="1:11" s="18" customFormat="1" ht="14.25" x14ac:dyDescent="0.2">
      <c r="A1028" s="18" t="str">
        <f t="shared" si="80"/>
        <v>Eintrag 1027</v>
      </c>
      <c r="B1028" s="18">
        <v>100</v>
      </c>
      <c r="C1028" s="19">
        <v>100</v>
      </c>
      <c r="D1028" s="20">
        <v>10</v>
      </c>
      <c r="E1028" s="20">
        <v>10</v>
      </c>
      <c r="F1028" s="20">
        <v>10</v>
      </c>
      <c r="G1028" s="19">
        <f t="shared" si="83"/>
        <v>172</v>
      </c>
      <c r="H1028" s="22">
        <f t="shared" si="81"/>
        <v>1027</v>
      </c>
      <c r="I1028" s="21">
        <f t="shared" ca="1" si="77"/>
        <v>0</v>
      </c>
      <c r="J1028" s="21" t="str">
        <f ca="1">IF(I1028=0,"",COUNTIF($I$2:I1028,"&gt;0"))</f>
        <v/>
      </c>
      <c r="K1028" s="21" t="str">
        <f t="shared" ca="1" si="82"/>
        <v/>
      </c>
    </row>
    <row r="1029" spans="1:11" s="18" customFormat="1" ht="14.25" x14ac:dyDescent="0.2">
      <c r="A1029" s="18" t="str">
        <f t="shared" si="80"/>
        <v>Eintrag 1028</v>
      </c>
      <c r="B1029" s="18">
        <v>100</v>
      </c>
      <c r="C1029" s="19">
        <v>100</v>
      </c>
      <c r="D1029" s="20">
        <v>10</v>
      </c>
      <c r="E1029" s="20">
        <v>10</v>
      </c>
      <c r="F1029" s="20">
        <v>10</v>
      </c>
      <c r="G1029" s="19">
        <f t="shared" si="83"/>
        <v>172</v>
      </c>
      <c r="H1029" s="22">
        <f t="shared" si="81"/>
        <v>1028</v>
      </c>
      <c r="I1029" s="21">
        <f t="shared" ca="1" si="77"/>
        <v>0</v>
      </c>
      <c r="J1029" s="21" t="str">
        <f ca="1">IF(I1029=0,"",COUNTIF($I$2:I1029,"&gt;0"))</f>
        <v/>
      </c>
      <c r="K1029" s="21" t="str">
        <f t="shared" ca="1" si="82"/>
        <v/>
      </c>
    </row>
    <row r="1030" spans="1:11" s="18" customFormat="1" ht="14.25" x14ac:dyDescent="0.2">
      <c r="A1030" s="18" t="str">
        <f t="shared" si="80"/>
        <v>Eintrag 1029</v>
      </c>
      <c r="B1030" s="18">
        <v>100</v>
      </c>
      <c r="C1030" s="19">
        <v>100</v>
      </c>
      <c r="D1030" s="20">
        <v>10</v>
      </c>
      <c r="E1030" s="20">
        <v>10</v>
      </c>
      <c r="F1030" s="20">
        <v>10</v>
      </c>
      <c r="G1030" s="19">
        <f t="shared" si="83"/>
        <v>172</v>
      </c>
      <c r="H1030" s="22">
        <f t="shared" si="81"/>
        <v>1029</v>
      </c>
      <c r="I1030" s="21">
        <f t="shared" ca="1" si="77"/>
        <v>0</v>
      </c>
      <c r="J1030" s="21" t="str">
        <f ca="1">IF(I1030=0,"",COUNTIF($I$2:I1030,"&gt;0"))</f>
        <v/>
      </c>
      <c r="K1030" s="21" t="str">
        <f t="shared" ca="1" si="82"/>
        <v/>
      </c>
    </row>
    <row r="1031" spans="1:11" s="18" customFormat="1" ht="14.25" x14ac:dyDescent="0.2">
      <c r="A1031" s="18" t="str">
        <f t="shared" si="80"/>
        <v>Eintrag 1030</v>
      </c>
      <c r="B1031" s="18">
        <v>100</v>
      </c>
      <c r="C1031" s="19">
        <v>100</v>
      </c>
      <c r="D1031" s="20">
        <v>10</v>
      </c>
      <c r="E1031" s="20">
        <v>10</v>
      </c>
      <c r="F1031" s="20">
        <v>10</v>
      </c>
      <c r="G1031" s="19">
        <f t="shared" si="83"/>
        <v>172</v>
      </c>
      <c r="H1031" s="22">
        <f t="shared" si="81"/>
        <v>1030</v>
      </c>
      <c r="I1031" s="21">
        <f t="shared" ca="1" si="77"/>
        <v>0</v>
      </c>
      <c r="J1031" s="21" t="str">
        <f ca="1">IF(I1031=0,"",COUNTIF($I$2:I1031,"&gt;0"))</f>
        <v/>
      </c>
      <c r="K1031" s="21" t="str">
        <f t="shared" ca="1" si="82"/>
        <v/>
      </c>
    </row>
    <row r="1032" spans="1:11" s="18" customFormat="1" ht="14.25" x14ac:dyDescent="0.2">
      <c r="A1032" s="18" t="str">
        <f t="shared" si="80"/>
        <v>Eintrag 1031</v>
      </c>
      <c r="B1032" s="18">
        <v>100</v>
      </c>
      <c r="C1032" s="19">
        <v>100</v>
      </c>
      <c r="D1032" s="20">
        <v>10</v>
      </c>
      <c r="E1032" s="20">
        <v>10</v>
      </c>
      <c r="F1032" s="20">
        <v>10</v>
      </c>
      <c r="G1032" s="19">
        <f t="shared" si="83"/>
        <v>172</v>
      </c>
      <c r="H1032" s="22">
        <f t="shared" si="81"/>
        <v>1031</v>
      </c>
      <c r="I1032" s="21">
        <f t="shared" ca="1" si="77"/>
        <v>0</v>
      </c>
      <c r="J1032" s="21" t="str">
        <f ca="1">IF(I1032=0,"",COUNTIF($I$2:I1032,"&gt;0"))</f>
        <v/>
      </c>
      <c r="K1032" s="21" t="str">
        <f t="shared" ca="1" si="82"/>
        <v/>
      </c>
    </row>
    <row r="1033" spans="1:11" s="18" customFormat="1" ht="14.25" x14ac:dyDescent="0.2">
      <c r="A1033" s="18" t="str">
        <f t="shared" si="80"/>
        <v>Eintrag 1032</v>
      </c>
      <c r="B1033" s="18">
        <v>100</v>
      </c>
      <c r="C1033" s="19">
        <v>100</v>
      </c>
      <c r="D1033" s="20">
        <v>10</v>
      </c>
      <c r="E1033" s="20">
        <v>10</v>
      </c>
      <c r="F1033" s="20">
        <v>10</v>
      </c>
      <c r="G1033" s="19">
        <f t="shared" si="83"/>
        <v>172</v>
      </c>
      <c r="H1033" s="22">
        <f t="shared" si="81"/>
        <v>1032</v>
      </c>
      <c r="I1033" s="21">
        <f t="shared" ca="1" si="77"/>
        <v>0</v>
      </c>
      <c r="J1033" s="21" t="str">
        <f ca="1">IF(I1033=0,"",COUNTIF($I$2:I1033,"&gt;0"))</f>
        <v/>
      </c>
      <c r="K1033" s="21" t="str">
        <f t="shared" ca="1" si="82"/>
        <v/>
      </c>
    </row>
    <row r="1034" spans="1:11" s="18" customFormat="1" ht="14.25" x14ac:dyDescent="0.2">
      <c r="A1034" s="18" t="str">
        <f t="shared" si="80"/>
        <v>Eintrag 1033</v>
      </c>
      <c r="B1034" s="18">
        <v>100</v>
      </c>
      <c r="C1034" s="19">
        <v>100</v>
      </c>
      <c r="D1034" s="20">
        <v>10</v>
      </c>
      <c r="E1034" s="20">
        <v>10</v>
      </c>
      <c r="F1034" s="20">
        <v>10</v>
      </c>
      <c r="G1034" s="19">
        <f t="shared" si="83"/>
        <v>172</v>
      </c>
      <c r="H1034" s="22">
        <f t="shared" si="81"/>
        <v>1033</v>
      </c>
      <c r="I1034" s="21">
        <f t="shared" ca="1" si="77"/>
        <v>0</v>
      </c>
      <c r="J1034" s="21" t="str">
        <f ca="1">IF(I1034=0,"",COUNTIF($I$2:I1034,"&gt;0"))</f>
        <v/>
      </c>
      <c r="K1034" s="21" t="str">
        <f t="shared" ca="1" si="82"/>
        <v/>
      </c>
    </row>
    <row r="1035" spans="1:11" s="18" customFormat="1" ht="14.25" x14ac:dyDescent="0.2">
      <c r="A1035" s="18" t="str">
        <f t="shared" si="80"/>
        <v>Eintrag 1034</v>
      </c>
      <c r="B1035" s="18">
        <v>100</v>
      </c>
      <c r="C1035" s="19">
        <v>100</v>
      </c>
      <c r="D1035" s="20">
        <v>10</v>
      </c>
      <c r="E1035" s="20">
        <v>10</v>
      </c>
      <c r="F1035" s="20">
        <v>10</v>
      </c>
      <c r="G1035" s="19">
        <f t="shared" si="83"/>
        <v>172</v>
      </c>
      <c r="H1035" s="22">
        <f t="shared" si="81"/>
        <v>1034</v>
      </c>
      <c r="I1035" s="21">
        <f t="shared" ca="1" si="77"/>
        <v>0</v>
      </c>
      <c r="J1035" s="21" t="str">
        <f ca="1">IF(I1035=0,"",COUNTIF($I$2:I1035,"&gt;0"))</f>
        <v/>
      </c>
      <c r="K1035" s="21" t="str">
        <f t="shared" ca="1" si="82"/>
        <v/>
      </c>
    </row>
    <row r="1036" spans="1:11" s="18" customFormat="1" ht="14.25" x14ac:dyDescent="0.2">
      <c r="A1036" s="18" t="str">
        <f t="shared" si="80"/>
        <v>Eintrag 1035</v>
      </c>
      <c r="B1036" s="18">
        <v>100</v>
      </c>
      <c r="C1036" s="19">
        <v>100</v>
      </c>
      <c r="D1036" s="20">
        <v>10</v>
      </c>
      <c r="E1036" s="20">
        <v>10</v>
      </c>
      <c r="F1036" s="20">
        <v>10</v>
      </c>
      <c r="G1036" s="19">
        <f t="shared" si="83"/>
        <v>172</v>
      </c>
      <c r="H1036" s="22">
        <f t="shared" si="81"/>
        <v>1035</v>
      </c>
      <c r="I1036" s="21">
        <f t="shared" ca="1" si="77"/>
        <v>0</v>
      </c>
      <c r="J1036" s="21" t="str">
        <f ca="1">IF(I1036=0,"",COUNTIF($I$2:I1036,"&gt;0"))</f>
        <v/>
      </c>
      <c r="K1036" s="21" t="str">
        <f t="shared" ca="1" si="82"/>
        <v/>
      </c>
    </row>
    <row r="1037" spans="1:11" s="18" customFormat="1" ht="14.25" x14ac:dyDescent="0.2">
      <c r="A1037" s="18" t="str">
        <f t="shared" si="80"/>
        <v>Eintrag 1036</v>
      </c>
      <c r="B1037" s="18">
        <v>100</v>
      </c>
      <c r="C1037" s="19">
        <v>100</v>
      </c>
      <c r="D1037" s="20">
        <v>10</v>
      </c>
      <c r="E1037" s="20">
        <v>10</v>
      </c>
      <c r="F1037" s="20">
        <v>10</v>
      </c>
      <c r="G1037" s="19">
        <f t="shared" si="83"/>
        <v>172</v>
      </c>
      <c r="H1037" s="22">
        <f t="shared" si="81"/>
        <v>1036</v>
      </c>
      <c r="I1037" s="21">
        <f t="shared" ca="1" si="77"/>
        <v>0</v>
      </c>
      <c r="J1037" s="21" t="str">
        <f ca="1">IF(I1037=0,"",COUNTIF($I$2:I1037,"&gt;0"))</f>
        <v/>
      </c>
      <c r="K1037" s="21" t="str">
        <f t="shared" ca="1" si="82"/>
        <v/>
      </c>
    </row>
    <row r="1038" spans="1:11" s="18" customFormat="1" ht="14.25" x14ac:dyDescent="0.2">
      <c r="A1038" s="18" t="str">
        <f t="shared" si="80"/>
        <v>Eintrag 1037</v>
      </c>
      <c r="B1038" s="18">
        <v>100</v>
      </c>
      <c r="C1038" s="19">
        <v>100</v>
      </c>
      <c r="D1038" s="20">
        <v>10</v>
      </c>
      <c r="E1038" s="20">
        <v>10</v>
      </c>
      <c r="F1038" s="20">
        <v>10</v>
      </c>
      <c r="G1038" s="19">
        <f t="shared" si="83"/>
        <v>172</v>
      </c>
      <c r="H1038" s="22">
        <f t="shared" si="81"/>
        <v>1037</v>
      </c>
      <c r="I1038" s="21">
        <f t="shared" ca="1" si="77"/>
        <v>0</v>
      </c>
      <c r="J1038" s="21" t="str">
        <f ca="1">IF(I1038=0,"",COUNTIF($I$2:I1038,"&gt;0"))</f>
        <v/>
      </c>
      <c r="K1038" s="21" t="str">
        <f t="shared" ca="1" si="82"/>
        <v/>
      </c>
    </row>
    <row r="1039" spans="1:11" s="18" customFormat="1" ht="14.25" x14ac:dyDescent="0.2">
      <c r="A1039" s="18" t="str">
        <f t="shared" si="80"/>
        <v>Eintrag 1038</v>
      </c>
      <c r="B1039" s="18">
        <v>100</v>
      </c>
      <c r="C1039" s="19">
        <v>100</v>
      </c>
      <c r="D1039" s="20">
        <v>10</v>
      </c>
      <c r="E1039" s="20">
        <v>10</v>
      </c>
      <c r="F1039" s="20">
        <v>10</v>
      </c>
      <c r="G1039" s="19">
        <f t="shared" si="83"/>
        <v>172</v>
      </c>
      <c r="H1039" s="22">
        <f t="shared" si="81"/>
        <v>1038</v>
      </c>
      <c r="I1039" s="21">
        <f t="shared" ca="1" si="77"/>
        <v>0</v>
      </c>
      <c r="J1039" s="21" t="str">
        <f ca="1">IF(I1039=0,"",COUNTIF($I$2:I1039,"&gt;0"))</f>
        <v/>
      </c>
      <c r="K1039" s="21" t="str">
        <f t="shared" ca="1" si="82"/>
        <v/>
      </c>
    </row>
    <row r="1040" spans="1:11" s="18" customFormat="1" ht="14.25" x14ac:dyDescent="0.2">
      <c r="A1040" s="18" t="str">
        <f t="shared" si="80"/>
        <v>Eintrag 1039</v>
      </c>
      <c r="B1040" s="18">
        <v>100</v>
      </c>
      <c r="C1040" s="19">
        <v>100</v>
      </c>
      <c r="D1040" s="20">
        <v>10</v>
      </c>
      <c r="E1040" s="20">
        <v>10</v>
      </c>
      <c r="F1040" s="20">
        <v>10</v>
      </c>
      <c r="G1040" s="19">
        <f t="shared" si="83"/>
        <v>172</v>
      </c>
      <c r="H1040" s="22">
        <f t="shared" si="81"/>
        <v>1039</v>
      </c>
      <c r="I1040" s="21">
        <f t="shared" ca="1" si="77"/>
        <v>0</v>
      </c>
      <c r="J1040" s="21" t="str">
        <f ca="1">IF(I1040=0,"",COUNTIF($I$2:I1040,"&gt;0"))</f>
        <v/>
      </c>
      <c r="K1040" s="21" t="str">
        <f t="shared" ca="1" si="82"/>
        <v/>
      </c>
    </row>
    <row r="1041" spans="1:11" s="18" customFormat="1" ht="14.25" x14ac:dyDescent="0.2">
      <c r="A1041" s="18" t="str">
        <f t="shared" si="80"/>
        <v>Eintrag 1040</v>
      </c>
      <c r="B1041" s="18">
        <v>100</v>
      </c>
      <c r="C1041" s="19">
        <v>100</v>
      </c>
      <c r="D1041" s="20">
        <v>10</v>
      </c>
      <c r="E1041" s="20">
        <v>10</v>
      </c>
      <c r="F1041" s="20">
        <v>10</v>
      </c>
      <c r="G1041" s="19">
        <f t="shared" si="83"/>
        <v>172</v>
      </c>
      <c r="H1041" s="22">
        <f t="shared" si="81"/>
        <v>1040</v>
      </c>
      <c r="I1041" s="21">
        <f t="shared" ca="1" si="77"/>
        <v>0</v>
      </c>
      <c r="J1041" s="21" t="str">
        <f ca="1">IF(I1041=0,"",COUNTIF($I$2:I1041,"&gt;0"))</f>
        <v/>
      </c>
      <c r="K1041" s="21" t="str">
        <f t="shared" ca="1" si="82"/>
        <v/>
      </c>
    </row>
    <row r="1042" spans="1:11" s="18" customFormat="1" ht="14.25" x14ac:dyDescent="0.2">
      <c r="A1042" s="18" t="str">
        <f t="shared" si="80"/>
        <v>Eintrag 1041</v>
      </c>
      <c r="B1042" s="18">
        <v>100</v>
      </c>
      <c r="C1042" s="19">
        <v>100</v>
      </c>
      <c r="D1042" s="20">
        <v>10</v>
      </c>
      <c r="E1042" s="20">
        <v>10</v>
      </c>
      <c r="F1042" s="20">
        <v>10</v>
      </c>
      <c r="G1042" s="19">
        <f t="shared" si="83"/>
        <v>172</v>
      </c>
      <c r="H1042" s="22">
        <f t="shared" si="81"/>
        <v>1041</v>
      </c>
      <c r="I1042" s="21">
        <f t="shared" ca="1" si="77"/>
        <v>0</v>
      </c>
      <c r="J1042" s="21" t="str">
        <f ca="1">IF(I1042=0,"",COUNTIF($I$2:I1042,"&gt;0"))</f>
        <v/>
      </c>
      <c r="K1042" s="21" t="str">
        <f t="shared" ca="1" si="82"/>
        <v/>
      </c>
    </row>
    <row r="1043" spans="1:11" s="18" customFormat="1" ht="14.25" x14ac:dyDescent="0.2">
      <c r="A1043" s="18" t="str">
        <f t="shared" si="80"/>
        <v>Eintrag 1042</v>
      </c>
      <c r="B1043" s="18">
        <v>100</v>
      </c>
      <c r="C1043" s="19">
        <v>100</v>
      </c>
      <c r="D1043" s="20">
        <v>10</v>
      </c>
      <c r="E1043" s="20">
        <v>10</v>
      </c>
      <c r="F1043" s="20">
        <v>10</v>
      </c>
      <c r="G1043" s="19">
        <f t="shared" si="83"/>
        <v>172</v>
      </c>
      <c r="H1043" s="22">
        <f t="shared" si="81"/>
        <v>1042</v>
      </c>
      <c r="I1043" s="21">
        <f t="shared" ca="1" si="77"/>
        <v>0</v>
      </c>
      <c r="J1043" s="21" t="str">
        <f ca="1">IF(I1043=0,"",COUNTIF($I$2:I1043,"&gt;0"))</f>
        <v/>
      </c>
      <c r="K1043" s="21" t="str">
        <f t="shared" ca="1" si="82"/>
        <v/>
      </c>
    </row>
    <row r="1044" spans="1:11" s="18" customFormat="1" ht="14.25" x14ac:dyDescent="0.2">
      <c r="A1044" s="18" t="str">
        <f t="shared" si="80"/>
        <v>Eintrag 1043</v>
      </c>
      <c r="B1044" s="18">
        <v>100</v>
      </c>
      <c r="C1044" s="19">
        <v>100</v>
      </c>
      <c r="D1044" s="20">
        <v>10</v>
      </c>
      <c r="E1044" s="20">
        <v>10</v>
      </c>
      <c r="F1044" s="20">
        <v>10</v>
      </c>
      <c r="G1044" s="19">
        <f t="shared" si="83"/>
        <v>172</v>
      </c>
      <c r="H1044" s="22">
        <f t="shared" si="81"/>
        <v>1043</v>
      </c>
      <c r="I1044" s="21">
        <f t="shared" ca="1" si="77"/>
        <v>0</v>
      </c>
      <c r="J1044" s="21" t="str">
        <f ca="1">IF(I1044=0,"",COUNTIF($I$2:I1044,"&gt;0"))</f>
        <v/>
      </c>
      <c r="K1044" s="21" t="str">
        <f t="shared" ca="1" si="82"/>
        <v/>
      </c>
    </row>
    <row r="1045" spans="1:11" s="18" customFormat="1" ht="14.25" x14ac:dyDescent="0.2">
      <c r="A1045" s="18" t="str">
        <f t="shared" si="80"/>
        <v>Eintrag 1044</v>
      </c>
      <c r="B1045" s="18">
        <v>100</v>
      </c>
      <c r="C1045" s="19">
        <v>100</v>
      </c>
      <c r="D1045" s="20">
        <v>10</v>
      </c>
      <c r="E1045" s="20">
        <v>10</v>
      </c>
      <c r="F1045" s="20">
        <v>10</v>
      </c>
      <c r="G1045" s="19">
        <f t="shared" si="83"/>
        <v>172</v>
      </c>
      <c r="H1045" s="22">
        <f t="shared" si="81"/>
        <v>1044</v>
      </c>
      <c r="I1045" s="21">
        <f t="shared" ca="1" si="77"/>
        <v>0</v>
      </c>
      <c r="J1045" s="21" t="str">
        <f ca="1">IF(I1045=0,"",COUNTIF($I$2:I1045,"&gt;0"))</f>
        <v/>
      </c>
      <c r="K1045" s="21" t="str">
        <f t="shared" ca="1" si="82"/>
        <v/>
      </c>
    </row>
    <row r="1046" spans="1:11" s="18" customFormat="1" ht="14.25" x14ac:dyDescent="0.2">
      <c r="A1046" s="18" t="str">
        <f t="shared" si="80"/>
        <v>Eintrag 1045</v>
      </c>
      <c r="B1046" s="18">
        <v>100</v>
      </c>
      <c r="C1046" s="19">
        <v>100</v>
      </c>
      <c r="D1046" s="20">
        <v>10</v>
      </c>
      <c r="E1046" s="20">
        <v>10</v>
      </c>
      <c r="F1046" s="20">
        <v>10</v>
      </c>
      <c r="G1046" s="19">
        <f t="shared" si="83"/>
        <v>172</v>
      </c>
      <c r="H1046" s="22">
        <f t="shared" si="81"/>
        <v>1045</v>
      </c>
      <c r="I1046" s="21">
        <f t="shared" ca="1" si="77"/>
        <v>0</v>
      </c>
      <c r="J1046" s="21" t="str">
        <f ca="1">IF(I1046=0,"",COUNTIF($I$2:I1046,"&gt;0"))</f>
        <v/>
      </c>
      <c r="K1046" s="21" t="str">
        <f t="shared" ca="1" si="82"/>
        <v/>
      </c>
    </row>
    <row r="1047" spans="1:11" s="18" customFormat="1" ht="14.25" x14ac:dyDescent="0.2">
      <c r="A1047" s="18" t="str">
        <f t="shared" si="80"/>
        <v>Eintrag 1046</v>
      </c>
      <c r="B1047" s="18">
        <v>100</v>
      </c>
      <c r="C1047" s="19">
        <v>100</v>
      </c>
      <c r="D1047" s="20">
        <v>10</v>
      </c>
      <c r="E1047" s="20">
        <v>10</v>
      </c>
      <c r="F1047" s="20">
        <v>10</v>
      </c>
      <c r="G1047" s="19">
        <f t="shared" si="83"/>
        <v>172</v>
      </c>
      <c r="H1047" s="22">
        <f t="shared" si="81"/>
        <v>1046</v>
      </c>
      <c r="I1047" s="21">
        <f t="shared" ca="1" si="77"/>
        <v>0</v>
      </c>
      <c r="J1047" s="21" t="str">
        <f ca="1">IF(I1047=0,"",COUNTIF($I$2:I1047,"&gt;0"))</f>
        <v/>
      </c>
      <c r="K1047" s="21" t="str">
        <f t="shared" ca="1" si="82"/>
        <v/>
      </c>
    </row>
    <row r="1048" spans="1:11" s="18" customFormat="1" ht="14.25" x14ac:dyDescent="0.2">
      <c r="A1048" s="18" t="str">
        <f t="shared" si="80"/>
        <v>Eintrag 1047</v>
      </c>
      <c r="B1048" s="18">
        <v>100</v>
      </c>
      <c r="C1048" s="19">
        <v>100</v>
      </c>
      <c r="D1048" s="20">
        <v>10</v>
      </c>
      <c r="E1048" s="20">
        <v>10</v>
      </c>
      <c r="F1048" s="20">
        <v>10</v>
      </c>
      <c r="G1048" s="19">
        <f t="shared" si="83"/>
        <v>172</v>
      </c>
      <c r="H1048" s="22">
        <f t="shared" si="81"/>
        <v>1047</v>
      </c>
      <c r="I1048" s="21">
        <f t="shared" ca="1" si="77"/>
        <v>0</v>
      </c>
      <c r="J1048" s="21" t="str">
        <f ca="1">IF(I1048=0,"",COUNTIF($I$2:I1048,"&gt;0"))</f>
        <v/>
      </c>
      <c r="K1048" s="21" t="str">
        <f t="shared" ca="1" si="82"/>
        <v/>
      </c>
    </row>
    <row r="1049" spans="1:11" s="18" customFormat="1" ht="14.25" x14ac:dyDescent="0.2">
      <c r="A1049" s="18" t="str">
        <f t="shared" ref="A1049:A1112" si="84">CONCATENATE("Eintrag ",H1049)</f>
        <v>Eintrag 1048</v>
      </c>
      <c r="B1049" s="18">
        <v>100</v>
      </c>
      <c r="C1049" s="19">
        <v>100</v>
      </c>
      <c r="D1049" s="20">
        <v>10</v>
      </c>
      <c r="E1049" s="20">
        <v>10</v>
      </c>
      <c r="F1049" s="20">
        <v>10</v>
      </c>
      <c r="G1049" s="19">
        <f t="shared" si="83"/>
        <v>172</v>
      </c>
      <c r="H1049" s="22">
        <f t="shared" si="81"/>
        <v>1048</v>
      </c>
      <c r="I1049" s="21">
        <f t="shared" ca="1" si="77"/>
        <v>0</v>
      </c>
      <c r="J1049" s="21" t="str">
        <f ca="1">IF(I1049=0,"",COUNTIF($I$2:I1049,"&gt;0"))</f>
        <v/>
      </c>
      <c r="K1049" s="21" t="str">
        <f t="shared" ca="1" si="82"/>
        <v/>
      </c>
    </row>
    <row r="1050" spans="1:11" s="18" customFormat="1" ht="14.25" x14ac:dyDescent="0.2">
      <c r="A1050" s="18" t="str">
        <f t="shared" si="84"/>
        <v>Eintrag 1049</v>
      </c>
      <c r="B1050" s="18">
        <v>100</v>
      </c>
      <c r="C1050" s="19">
        <v>100</v>
      </c>
      <c r="D1050" s="20">
        <v>10</v>
      </c>
      <c r="E1050" s="20">
        <v>10</v>
      </c>
      <c r="F1050" s="20">
        <v>10</v>
      </c>
      <c r="G1050" s="19">
        <f t="shared" si="83"/>
        <v>172</v>
      </c>
      <c r="H1050" s="22">
        <f t="shared" si="81"/>
        <v>1049</v>
      </c>
      <c r="I1050" s="21">
        <f t="shared" ca="1" si="77"/>
        <v>0</v>
      </c>
      <c r="J1050" s="21" t="str">
        <f ca="1">IF(I1050=0,"",COUNTIF($I$2:I1050,"&gt;0"))</f>
        <v/>
      </c>
      <c r="K1050" s="21" t="str">
        <f t="shared" ca="1" si="82"/>
        <v/>
      </c>
    </row>
    <row r="1051" spans="1:11" s="18" customFormat="1" ht="14.25" x14ac:dyDescent="0.2">
      <c r="A1051" s="18" t="str">
        <f t="shared" si="84"/>
        <v>Eintrag 1050</v>
      </c>
      <c r="B1051" s="18">
        <v>100</v>
      </c>
      <c r="C1051" s="19">
        <v>100</v>
      </c>
      <c r="D1051" s="20">
        <v>10</v>
      </c>
      <c r="E1051" s="20">
        <v>10</v>
      </c>
      <c r="F1051" s="20">
        <v>10</v>
      </c>
      <c r="G1051" s="19">
        <f t="shared" si="83"/>
        <v>172</v>
      </c>
      <c r="H1051" s="22">
        <f t="shared" si="81"/>
        <v>1050</v>
      </c>
      <c r="I1051" s="21">
        <f t="shared" ca="1" si="77"/>
        <v>0</v>
      </c>
      <c r="J1051" s="21" t="str">
        <f ca="1">IF(I1051=0,"",COUNTIF($I$2:I1051,"&gt;0"))</f>
        <v/>
      </c>
      <c r="K1051" s="21" t="str">
        <f t="shared" ca="1" si="82"/>
        <v/>
      </c>
    </row>
    <row r="1052" spans="1:11" s="18" customFormat="1" ht="14.25" x14ac:dyDescent="0.2">
      <c r="A1052" s="18" t="str">
        <f t="shared" si="84"/>
        <v>Eintrag 1051</v>
      </c>
      <c r="B1052" s="18">
        <v>100</v>
      </c>
      <c r="C1052" s="19">
        <v>100</v>
      </c>
      <c r="D1052" s="20">
        <v>10</v>
      </c>
      <c r="E1052" s="20">
        <v>10</v>
      </c>
      <c r="F1052" s="20">
        <v>10</v>
      </c>
      <c r="G1052" s="19">
        <f t="shared" si="83"/>
        <v>172</v>
      </c>
      <c r="H1052" s="22">
        <f t="shared" si="81"/>
        <v>1051</v>
      </c>
      <c r="I1052" s="21">
        <f t="shared" ca="1" si="77"/>
        <v>0</v>
      </c>
      <c r="J1052" s="21" t="str">
        <f ca="1">IF(I1052=0,"",COUNTIF($I$2:I1052,"&gt;0"))</f>
        <v/>
      </c>
      <c r="K1052" s="21" t="str">
        <f t="shared" ca="1" si="82"/>
        <v/>
      </c>
    </row>
    <row r="1053" spans="1:11" s="18" customFormat="1" ht="14.25" x14ac:dyDescent="0.2">
      <c r="A1053" s="18" t="str">
        <f t="shared" si="84"/>
        <v>Eintrag 1052</v>
      </c>
      <c r="B1053" s="18">
        <v>100</v>
      </c>
      <c r="C1053" s="19">
        <v>100</v>
      </c>
      <c r="D1053" s="20">
        <v>10</v>
      </c>
      <c r="E1053" s="20">
        <v>10</v>
      </c>
      <c r="F1053" s="20">
        <v>10</v>
      </c>
      <c r="G1053" s="19">
        <f t="shared" si="83"/>
        <v>172</v>
      </c>
      <c r="H1053" s="22">
        <f t="shared" si="81"/>
        <v>1052</v>
      </c>
      <c r="I1053" s="21">
        <f t="shared" ca="1" si="77"/>
        <v>0</v>
      </c>
      <c r="J1053" s="21" t="str">
        <f ca="1">IF(I1053=0,"",COUNTIF($I$2:I1053,"&gt;0"))</f>
        <v/>
      </c>
      <c r="K1053" s="21" t="str">
        <f t="shared" ca="1" si="82"/>
        <v/>
      </c>
    </row>
    <row r="1054" spans="1:11" s="18" customFormat="1" ht="14.25" x14ac:dyDescent="0.2">
      <c r="A1054" s="18" t="str">
        <f t="shared" si="84"/>
        <v>Eintrag 1053</v>
      </c>
      <c r="B1054" s="18">
        <v>100</v>
      </c>
      <c r="C1054" s="19">
        <v>100</v>
      </c>
      <c r="D1054" s="20">
        <v>10</v>
      </c>
      <c r="E1054" s="20">
        <v>10</v>
      </c>
      <c r="F1054" s="20">
        <v>10</v>
      </c>
      <c r="G1054" s="19">
        <f t="shared" si="83"/>
        <v>172</v>
      </c>
      <c r="H1054" s="22">
        <f t="shared" si="81"/>
        <v>1053</v>
      </c>
      <c r="I1054" s="21">
        <f t="shared" ca="1" si="77"/>
        <v>0</v>
      </c>
      <c r="J1054" s="21" t="str">
        <f ca="1">IF(I1054=0,"",COUNTIF($I$2:I1054,"&gt;0"))</f>
        <v/>
      </c>
      <c r="K1054" s="21" t="str">
        <f t="shared" ca="1" si="82"/>
        <v/>
      </c>
    </row>
    <row r="1055" spans="1:11" s="18" customFormat="1" ht="14.25" x14ac:dyDescent="0.2">
      <c r="A1055" s="18" t="str">
        <f t="shared" si="84"/>
        <v>Eintrag 1054</v>
      </c>
      <c r="B1055" s="18">
        <v>100</v>
      </c>
      <c r="C1055" s="19">
        <v>100</v>
      </c>
      <c r="D1055" s="20">
        <v>10</v>
      </c>
      <c r="E1055" s="20">
        <v>10</v>
      </c>
      <c r="F1055" s="20">
        <v>10</v>
      </c>
      <c r="G1055" s="19">
        <f t="shared" si="83"/>
        <v>172</v>
      </c>
      <c r="H1055" s="22">
        <f t="shared" si="81"/>
        <v>1054</v>
      </c>
      <c r="I1055" s="21">
        <f t="shared" ca="1" si="77"/>
        <v>0</v>
      </c>
      <c r="J1055" s="21" t="str">
        <f ca="1">IF(I1055=0,"",COUNTIF($I$2:I1055,"&gt;0"))</f>
        <v/>
      </c>
      <c r="K1055" s="21" t="str">
        <f t="shared" ca="1" si="82"/>
        <v/>
      </c>
    </row>
    <row r="1056" spans="1:11" s="18" customFormat="1" ht="14.25" x14ac:dyDescent="0.2">
      <c r="A1056" s="18" t="str">
        <f t="shared" si="84"/>
        <v>Eintrag 1055</v>
      </c>
      <c r="B1056" s="18">
        <v>100</v>
      </c>
      <c r="C1056" s="19">
        <v>100</v>
      </c>
      <c r="D1056" s="20">
        <v>10</v>
      </c>
      <c r="E1056" s="20">
        <v>10</v>
      </c>
      <c r="F1056" s="20">
        <v>10</v>
      </c>
      <c r="G1056" s="19">
        <f t="shared" si="83"/>
        <v>172</v>
      </c>
      <c r="H1056" s="22">
        <f t="shared" si="81"/>
        <v>1055</v>
      </c>
      <c r="I1056" s="21">
        <f t="shared" ca="1" si="77"/>
        <v>0</v>
      </c>
      <c r="J1056" s="21" t="str">
        <f ca="1">IF(I1056=0,"",COUNTIF($I$2:I1056,"&gt;0"))</f>
        <v/>
      </c>
      <c r="K1056" s="21" t="str">
        <f t="shared" ca="1" si="82"/>
        <v/>
      </c>
    </row>
    <row r="1057" spans="1:11" s="18" customFormat="1" ht="14.25" x14ac:dyDescent="0.2">
      <c r="A1057" s="18" t="str">
        <f t="shared" si="84"/>
        <v>Eintrag 1056</v>
      </c>
      <c r="B1057" s="18">
        <v>100</v>
      </c>
      <c r="C1057" s="19">
        <v>100</v>
      </c>
      <c r="D1057" s="20">
        <v>10</v>
      </c>
      <c r="E1057" s="20">
        <v>10</v>
      </c>
      <c r="F1057" s="20">
        <v>10</v>
      </c>
      <c r="G1057" s="19">
        <f t="shared" si="83"/>
        <v>172</v>
      </c>
      <c r="H1057" s="22">
        <f t="shared" si="81"/>
        <v>1056</v>
      </c>
      <c r="I1057" s="21">
        <f t="shared" ca="1" si="77"/>
        <v>0</v>
      </c>
      <c r="J1057" s="21" t="str">
        <f ca="1">IF(I1057=0,"",COUNTIF($I$2:I1057,"&gt;0"))</f>
        <v/>
      </c>
      <c r="K1057" s="21" t="str">
        <f t="shared" ca="1" si="82"/>
        <v/>
      </c>
    </row>
    <row r="1058" spans="1:11" s="18" customFormat="1" ht="14.25" x14ac:dyDescent="0.2">
      <c r="A1058" s="18" t="str">
        <f t="shared" si="84"/>
        <v>Eintrag 1057</v>
      </c>
      <c r="B1058" s="18">
        <v>100</v>
      </c>
      <c r="C1058" s="19">
        <v>100</v>
      </c>
      <c r="D1058" s="20">
        <v>10</v>
      </c>
      <c r="E1058" s="20">
        <v>10</v>
      </c>
      <c r="F1058" s="20">
        <v>10</v>
      </c>
      <c r="G1058" s="19">
        <f t="shared" si="83"/>
        <v>172</v>
      </c>
      <c r="H1058" s="22">
        <f t="shared" si="81"/>
        <v>1057</v>
      </c>
      <c r="I1058" s="21">
        <f t="shared" ca="1" si="77"/>
        <v>0</v>
      </c>
      <c r="J1058" s="21" t="str">
        <f ca="1">IF(I1058=0,"",COUNTIF($I$2:I1058,"&gt;0"))</f>
        <v/>
      </c>
      <c r="K1058" s="21" t="str">
        <f t="shared" ca="1" si="82"/>
        <v/>
      </c>
    </row>
    <row r="1059" spans="1:11" s="18" customFormat="1" ht="14.25" x14ac:dyDescent="0.2">
      <c r="A1059" s="18" t="str">
        <f t="shared" si="84"/>
        <v>Eintrag 1058</v>
      </c>
      <c r="B1059" s="18">
        <v>100</v>
      </c>
      <c r="C1059" s="19">
        <v>100</v>
      </c>
      <c r="D1059" s="20">
        <v>10</v>
      </c>
      <c r="E1059" s="20">
        <v>10</v>
      </c>
      <c r="F1059" s="20">
        <v>10</v>
      </c>
      <c r="G1059" s="19">
        <f t="shared" si="83"/>
        <v>172</v>
      </c>
      <c r="H1059" s="22">
        <f t="shared" si="81"/>
        <v>1058</v>
      </c>
      <c r="I1059" s="21">
        <f t="shared" ca="1" si="77"/>
        <v>0</v>
      </c>
      <c r="J1059" s="21" t="str">
        <f ca="1">IF(I1059=0,"",COUNTIF($I$2:I1059,"&gt;0"))</f>
        <v/>
      </c>
      <c r="K1059" s="21" t="str">
        <f t="shared" ca="1" si="82"/>
        <v/>
      </c>
    </row>
    <row r="1060" spans="1:11" s="18" customFormat="1" ht="14.25" x14ac:dyDescent="0.2">
      <c r="A1060" s="18" t="str">
        <f t="shared" si="84"/>
        <v>Eintrag 1059</v>
      </c>
      <c r="B1060" s="18">
        <v>100</v>
      </c>
      <c r="C1060" s="19">
        <v>100</v>
      </c>
      <c r="D1060" s="20">
        <v>10</v>
      </c>
      <c r="E1060" s="20">
        <v>10</v>
      </c>
      <c r="F1060" s="20">
        <v>10</v>
      </c>
      <c r="G1060" s="19">
        <f t="shared" si="83"/>
        <v>172</v>
      </c>
      <c r="H1060" s="22">
        <f t="shared" si="81"/>
        <v>1059</v>
      </c>
      <c r="I1060" s="21">
        <f t="shared" ca="1" si="77"/>
        <v>0</v>
      </c>
      <c r="J1060" s="21" t="str">
        <f ca="1">IF(I1060=0,"",COUNTIF($I$2:I1060,"&gt;0"))</f>
        <v/>
      </c>
      <c r="K1060" s="21" t="str">
        <f t="shared" ca="1" si="82"/>
        <v/>
      </c>
    </row>
    <row r="1061" spans="1:11" s="18" customFormat="1" ht="14.25" x14ac:dyDescent="0.2">
      <c r="A1061" s="18" t="str">
        <f t="shared" si="84"/>
        <v>Eintrag 1060</v>
      </c>
      <c r="B1061" s="18">
        <v>100</v>
      </c>
      <c r="C1061" s="19">
        <v>100</v>
      </c>
      <c r="D1061" s="20">
        <v>10</v>
      </c>
      <c r="E1061" s="20">
        <v>10</v>
      </c>
      <c r="F1061" s="20">
        <v>10</v>
      </c>
      <c r="G1061" s="19">
        <f t="shared" si="83"/>
        <v>172</v>
      </c>
      <c r="H1061" s="22">
        <f t="shared" ref="H1061:H1124" si="85">H1060+1</f>
        <v>1060</v>
      </c>
      <c r="I1061" s="21">
        <f t="shared" ca="1" si="77"/>
        <v>0</v>
      </c>
      <c r="J1061" s="21" t="str">
        <f ca="1">IF(I1061=0,"",COUNTIF($I$2:I1061,"&gt;0"))</f>
        <v/>
      </c>
      <c r="K1061" s="21" t="str">
        <f t="shared" ca="1" si="82"/>
        <v/>
      </c>
    </row>
    <row r="1062" spans="1:11" s="18" customFormat="1" ht="14.25" x14ac:dyDescent="0.2">
      <c r="A1062" s="18" t="str">
        <f t="shared" si="84"/>
        <v>Eintrag 1061</v>
      </c>
      <c r="B1062" s="18">
        <v>100</v>
      </c>
      <c r="C1062" s="19">
        <v>100</v>
      </c>
      <c r="D1062" s="20">
        <v>10</v>
      </c>
      <c r="E1062" s="20">
        <v>10</v>
      </c>
      <c r="F1062" s="20">
        <v>10</v>
      </c>
      <c r="G1062" s="19">
        <f t="shared" si="83"/>
        <v>172</v>
      </c>
      <c r="H1062" s="22">
        <f t="shared" si="85"/>
        <v>1061</v>
      </c>
      <c r="I1062" s="21">
        <f t="shared" ca="1" si="77"/>
        <v>0</v>
      </c>
      <c r="J1062" s="21" t="str">
        <f ca="1">IF(I1062=0,"",COUNTIF($I$2:I1062,"&gt;0"))</f>
        <v/>
      </c>
      <c r="K1062" s="21" t="str">
        <f t="shared" ca="1" si="82"/>
        <v/>
      </c>
    </row>
    <row r="1063" spans="1:11" s="18" customFormat="1" ht="14.25" x14ac:dyDescent="0.2">
      <c r="A1063" s="18" t="str">
        <f t="shared" si="84"/>
        <v>Eintrag 1062</v>
      </c>
      <c r="B1063" s="18">
        <v>100</v>
      </c>
      <c r="C1063" s="19">
        <v>100</v>
      </c>
      <c r="D1063" s="20">
        <v>10</v>
      </c>
      <c r="E1063" s="20">
        <v>10</v>
      </c>
      <c r="F1063" s="20">
        <v>10</v>
      </c>
      <c r="G1063" s="19">
        <f t="shared" si="83"/>
        <v>172</v>
      </c>
      <c r="H1063" s="22">
        <f t="shared" si="85"/>
        <v>1062</v>
      </c>
      <c r="I1063" s="21">
        <f t="shared" ca="1" si="77"/>
        <v>0</v>
      </c>
      <c r="J1063" s="21" t="str">
        <f ca="1">IF(I1063=0,"",COUNTIF($I$2:I1063,"&gt;0"))</f>
        <v/>
      </c>
      <c r="K1063" s="21" t="str">
        <f t="shared" ca="1" si="82"/>
        <v/>
      </c>
    </row>
    <row r="1064" spans="1:11" s="18" customFormat="1" ht="14.25" x14ac:dyDescent="0.2">
      <c r="A1064" s="18" t="str">
        <f t="shared" si="84"/>
        <v>Eintrag 1063</v>
      </c>
      <c r="B1064" s="18">
        <v>100</v>
      </c>
      <c r="C1064" s="19">
        <v>100</v>
      </c>
      <c r="D1064" s="20">
        <v>10</v>
      </c>
      <c r="E1064" s="20">
        <v>10</v>
      </c>
      <c r="F1064" s="20">
        <v>10</v>
      </c>
      <c r="G1064" s="19">
        <f t="shared" si="83"/>
        <v>172</v>
      </c>
      <c r="H1064" s="22">
        <f t="shared" si="85"/>
        <v>1063</v>
      </c>
      <c r="I1064" s="21">
        <f t="shared" ca="1" si="77"/>
        <v>0</v>
      </c>
      <c r="J1064" s="21" t="str">
        <f ca="1">IF(I1064=0,"",COUNTIF($I$2:I1064,"&gt;0"))</f>
        <v/>
      </c>
      <c r="K1064" s="21" t="str">
        <f t="shared" ca="1" si="82"/>
        <v/>
      </c>
    </row>
    <row r="1065" spans="1:11" s="18" customFormat="1" ht="14.25" x14ac:dyDescent="0.2">
      <c r="A1065" s="18" t="str">
        <f t="shared" si="84"/>
        <v>Eintrag 1064</v>
      </c>
      <c r="B1065" s="18">
        <v>100</v>
      </c>
      <c r="C1065" s="19">
        <v>100</v>
      </c>
      <c r="D1065" s="20">
        <v>10</v>
      </c>
      <c r="E1065" s="20">
        <v>10</v>
      </c>
      <c r="F1065" s="20">
        <v>10</v>
      </c>
      <c r="G1065" s="19">
        <f t="shared" si="83"/>
        <v>172</v>
      </c>
      <c r="H1065" s="22">
        <f t="shared" si="85"/>
        <v>1064</v>
      </c>
      <c r="I1065" s="21">
        <f t="shared" ca="1" si="77"/>
        <v>0</v>
      </c>
      <c r="J1065" s="21" t="str">
        <f ca="1">IF(I1065=0,"",COUNTIF($I$2:I1065,"&gt;0"))</f>
        <v/>
      </c>
      <c r="K1065" s="21" t="str">
        <f t="shared" ca="1" si="82"/>
        <v/>
      </c>
    </row>
    <row r="1066" spans="1:11" s="18" customFormat="1" ht="14.25" x14ac:dyDescent="0.2">
      <c r="A1066" s="18" t="str">
        <f t="shared" si="84"/>
        <v>Eintrag 1065</v>
      </c>
      <c r="B1066" s="18">
        <v>100</v>
      </c>
      <c r="C1066" s="19">
        <v>100</v>
      </c>
      <c r="D1066" s="20">
        <v>10</v>
      </c>
      <c r="E1066" s="20">
        <v>10</v>
      </c>
      <c r="F1066" s="20">
        <v>10</v>
      </c>
      <c r="G1066" s="19">
        <f t="shared" si="83"/>
        <v>172</v>
      </c>
      <c r="H1066" s="22">
        <f t="shared" si="85"/>
        <v>1065</v>
      </c>
      <c r="I1066" s="21">
        <f t="shared" ca="1" si="77"/>
        <v>0</v>
      </c>
      <c r="J1066" s="21" t="str">
        <f ca="1">IF(I1066=0,"",COUNTIF($I$2:I1066,"&gt;0"))</f>
        <v/>
      </c>
      <c r="K1066" s="21" t="str">
        <f t="shared" ca="1" si="82"/>
        <v/>
      </c>
    </row>
    <row r="1067" spans="1:11" s="18" customFormat="1" ht="14.25" x14ac:dyDescent="0.2">
      <c r="A1067" s="18" t="str">
        <f t="shared" si="84"/>
        <v>Eintrag 1066</v>
      </c>
      <c r="B1067" s="18">
        <v>100</v>
      </c>
      <c r="C1067" s="19">
        <v>100</v>
      </c>
      <c r="D1067" s="20">
        <v>10</v>
      </c>
      <c r="E1067" s="20">
        <v>10</v>
      </c>
      <c r="F1067" s="20">
        <v>10</v>
      </c>
      <c r="G1067" s="19">
        <f t="shared" si="83"/>
        <v>172</v>
      </c>
      <c r="H1067" s="22">
        <f t="shared" si="85"/>
        <v>1066</v>
      </c>
      <c r="I1067" s="21">
        <f t="shared" ca="1" si="77"/>
        <v>0</v>
      </c>
      <c r="J1067" s="21" t="str">
        <f ca="1">IF(I1067=0,"",COUNTIF($I$2:I1067,"&gt;0"))</f>
        <v/>
      </c>
      <c r="K1067" s="21" t="str">
        <f t="shared" ca="1" si="82"/>
        <v/>
      </c>
    </row>
    <row r="1068" spans="1:11" s="18" customFormat="1" ht="14.25" x14ac:dyDescent="0.2">
      <c r="A1068" s="18" t="str">
        <f t="shared" si="84"/>
        <v>Eintrag 1067</v>
      </c>
      <c r="B1068" s="18">
        <v>100</v>
      </c>
      <c r="C1068" s="19">
        <v>100</v>
      </c>
      <c r="D1068" s="20">
        <v>10</v>
      </c>
      <c r="E1068" s="20">
        <v>10</v>
      </c>
      <c r="F1068" s="20">
        <v>10</v>
      </c>
      <c r="G1068" s="19">
        <f t="shared" si="83"/>
        <v>172</v>
      </c>
      <c r="H1068" s="22">
        <f t="shared" si="85"/>
        <v>1067</v>
      </c>
      <c r="I1068" s="21">
        <f t="shared" ca="1" si="77"/>
        <v>0</v>
      </c>
      <c r="J1068" s="21" t="str">
        <f ca="1">IF(I1068=0,"",COUNTIF($I$2:I1068,"&gt;0"))</f>
        <v/>
      </c>
      <c r="K1068" s="21" t="str">
        <f t="shared" ca="1" si="82"/>
        <v/>
      </c>
    </row>
    <row r="1069" spans="1:11" s="18" customFormat="1" ht="14.25" x14ac:dyDescent="0.2">
      <c r="A1069" s="18" t="str">
        <f t="shared" si="84"/>
        <v>Eintrag 1068</v>
      </c>
      <c r="B1069" s="18">
        <v>100</v>
      </c>
      <c r="C1069" s="19">
        <v>100</v>
      </c>
      <c r="D1069" s="20">
        <v>10</v>
      </c>
      <c r="E1069" s="20">
        <v>10</v>
      </c>
      <c r="F1069" s="20">
        <v>10</v>
      </c>
      <c r="G1069" s="19">
        <f t="shared" si="83"/>
        <v>172</v>
      </c>
      <c r="H1069" s="22">
        <f t="shared" si="85"/>
        <v>1068</v>
      </c>
      <c r="I1069" s="21">
        <f t="shared" ca="1" si="77"/>
        <v>0</v>
      </c>
      <c r="J1069" s="21" t="str">
        <f ca="1">IF(I1069=0,"",COUNTIF($I$2:I1069,"&gt;0"))</f>
        <v/>
      </c>
      <c r="K1069" s="21" t="str">
        <f t="shared" ca="1" si="82"/>
        <v/>
      </c>
    </row>
    <row r="1070" spans="1:11" s="18" customFormat="1" ht="14.25" x14ac:dyDescent="0.2">
      <c r="A1070" s="18" t="str">
        <f t="shared" si="84"/>
        <v>Eintrag 1069</v>
      </c>
      <c r="B1070" s="18">
        <v>100</v>
      </c>
      <c r="C1070" s="19">
        <v>100</v>
      </c>
      <c r="D1070" s="20">
        <v>10</v>
      </c>
      <c r="E1070" s="20">
        <v>10</v>
      </c>
      <c r="F1070" s="20">
        <v>10</v>
      </c>
      <c r="G1070" s="19">
        <f t="shared" si="83"/>
        <v>172</v>
      </c>
      <c r="H1070" s="22">
        <f t="shared" si="85"/>
        <v>1069</v>
      </c>
      <c r="I1070" s="21">
        <f t="shared" ca="1" si="77"/>
        <v>0</v>
      </c>
      <c r="J1070" s="21" t="str">
        <f ca="1">IF(I1070=0,"",COUNTIF($I$2:I1070,"&gt;0"))</f>
        <v/>
      </c>
      <c r="K1070" s="21" t="str">
        <f t="shared" ca="1" si="82"/>
        <v/>
      </c>
    </row>
    <row r="1071" spans="1:11" s="18" customFormat="1" ht="14.25" x14ac:dyDescent="0.2">
      <c r="A1071" s="18" t="str">
        <f t="shared" si="84"/>
        <v>Eintrag 1070</v>
      </c>
      <c r="B1071" s="18">
        <v>100</v>
      </c>
      <c r="C1071" s="19">
        <v>100</v>
      </c>
      <c r="D1071" s="20">
        <v>10</v>
      </c>
      <c r="E1071" s="20">
        <v>10</v>
      </c>
      <c r="F1071" s="20">
        <v>10</v>
      </c>
      <c r="G1071" s="19">
        <f t="shared" si="83"/>
        <v>172</v>
      </c>
      <c r="H1071" s="22">
        <f t="shared" si="85"/>
        <v>1070</v>
      </c>
      <c r="I1071" s="21">
        <f t="shared" ca="1" si="77"/>
        <v>0</v>
      </c>
      <c r="J1071" s="21" t="str">
        <f ca="1">IF(I1071=0,"",COUNTIF($I$2:I1071,"&gt;0"))</f>
        <v/>
      </c>
      <c r="K1071" s="21" t="str">
        <f t="shared" ca="1" si="82"/>
        <v/>
      </c>
    </row>
    <row r="1072" spans="1:11" s="18" customFormat="1" ht="14.25" x14ac:dyDescent="0.2">
      <c r="A1072" s="18" t="str">
        <f t="shared" si="84"/>
        <v>Eintrag 1071</v>
      </c>
      <c r="B1072" s="18">
        <v>100</v>
      </c>
      <c r="C1072" s="19">
        <v>100</v>
      </c>
      <c r="D1072" s="20">
        <v>10</v>
      </c>
      <c r="E1072" s="20">
        <v>10</v>
      </c>
      <c r="F1072" s="20">
        <v>10</v>
      </c>
      <c r="G1072" s="19">
        <f t="shared" si="83"/>
        <v>172</v>
      </c>
      <c r="H1072" s="22">
        <f t="shared" si="85"/>
        <v>1071</v>
      </c>
      <c r="I1072" s="21">
        <f t="shared" ca="1" si="77"/>
        <v>0</v>
      </c>
      <c r="J1072" s="21" t="str">
        <f ca="1">IF(I1072=0,"",COUNTIF($I$2:I1072,"&gt;0"))</f>
        <v/>
      </c>
      <c r="K1072" s="21" t="str">
        <f t="shared" ca="1" si="82"/>
        <v/>
      </c>
    </row>
    <row r="1073" spans="1:11" s="18" customFormat="1" ht="14.25" x14ac:dyDescent="0.2">
      <c r="A1073" s="18" t="str">
        <f t="shared" si="84"/>
        <v>Eintrag 1072</v>
      </c>
      <c r="B1073" s="18">
        <v>100</v>
      </c>
      <c r="C1073" s="19">
        <v>100</v>
      </c>
      <c r="D1073" s="20">
        <v>10</v>
      </c>
      <c r="E1073" s="20">
        <v>10</v>
      </c>
      <c r="F1073" s="20">
        <v>10</v>
      </c>
      <c r="G1073" s="19">
        <f t="shared" si="83"/>
        <v>172</v>
      </c>
      <c r="H1073" s="22">
        <f t="shared" si="85"/>
        <v>1072</v>
      </c>
      <c r="I1073" s="21">
        <f t="shared" ca="1" si="77"/>
        <v>0</v>
      </c>
      <c r="J1073" s="21" t="str">
        <f ca="1">IF(I1073=0,"",COUNTIF($I$2:I1073,"&gt;0"))</f>
        <v/>
      </c>
      <c r="K1073" s="21" t="str">
        <f t="shared" ca="1" si="82"/>
        <v/>
      </c>
    </row>
    <row r="1074" spans="1:11" s="18" customFormat="1" ht="14.25" x14ac:dyDescent="0.2">
      <c r="A1074" s="18" t="str">
        <f t="shared" si="84"/>
        <v>Eintrag 1073</v>
      </c>
      <c r="B1074" s="18">
        <v>100</v>
      </c>
      <c r="C1074" s="19">
        <v>100</v>
      </c>
      <c r="D1074" s="20">
        <v>10</v>
      </c>
      <c r="E1074" s="20">
        <v>10</v>
      </c>
      <c r="F1074" s="20">
        <v>10</v>
      </c>
      <c r="G1074" s="19">
        <f t="shared" si="83"/>
        <v>172</v>
      </c>
      <c r="H1074" s="22">
        <f t="shared" si="85"/>
        <v>1073</v>
      </c>
      <c r="I1074" s="21">
        <f t="shared" ca="1" si="77"/>
        <v>0</v>
      </c>
      <c r="J1074" s="21" t="str">
        <f ca="1">IF(I1074=0,"",COUNTIF($I$2:I1074,"&gt;0"))</f>
        <v/>
      </c>
      <c r="K1074" s="21" t="str">
        <f t="shared" ca="1" si="82"/>
        <v/>
      </c>
    </row>
    <row r="1075" spans="1:11" s="18" customFormat="1" ht="14.25" x14ac:dyDescent="0.2">
      <c r="A1075" s="18" t="str">
        <f t="shared" si="84"/>
        <v>Eintrag 1074</v>
      </c>
      <c r="B1075" s="18">
        <v>100</v>
      </c>
      <c r="C1075" s="19">
        <v>100</v>
      </c>
      <c r="D1075" s="20">
        <v>10</v>
      </c>
      <c r="E1075" s="20">
        <v>10</v>
      </c>
      <c r="F1075" s="20">
        <v>10</v>
      </c>
      <c r="G1075" s="19">
        <f t="shared" si="83"/>
        <v>172</v>
      </c>
      <c r="H1075" s="22">
        <f t="shared" si="85"/>
        <v>1074</v>
      </c>
      <c r="I1075" s="21">
        <f t="shared" ca="1" si="77"/>
        <v>0</v>
      </c>
      <c r="J1075" s="21" t="str">
        <f ca="1">IF(I1075=0,"",COUNTIF($I$2:I1075,"&gt;0"))</f>
        <v/>
      </c>
      <c r="K1075" s="21" t="str">
        <f t="shared" ca="1" si="82"/>
        <v/>
      </c>
    </row>
    <row r="1076" spans="1:11" s="18" customFormat="1" ht="14.25" x14ac:dyDescent="0.2">
      <c r="A1076" s="18" t="str">
        <f t="shared" si="84"/>
        <v>Eintrag 1075</v>
      </c>
      <c r="B1076" s="18">
        <v>100</v>
      </c>
      <c r="C1076" s="19">
        <v>100</v>
      </c>
      <c r="D1076" s="20">
        <v>10</v>
      </c>
      <c r="E1076" s="20">
        <v>10</v>
      </c>
      <c r="F1076" s="20">
        <v>10</v>
      </c>
      <c r="G1076" s="19">
        <f t="shared" si="83"/>
        <v>172</v>
      </c>
      <c r="H1076" s="22">
        <f t="shared" si="85"/>
        <v>1075</v>
      </c>
      <c r="I1076" s="21">
        <f t="shared" ca="1" si="77"/>
        <v>0</v>
      </c>
      <c r="J1076" s="21" t="str">
        <f ca="1">IF(I1076=0,"",COUNTIF($I$2:I1076,"&gt;0"))</f>
        <v/>
      </c>
      <c r="K1076" s="21" t="str">
        <f t="shared" ca="1" si="82"/>
        <v/>
      </c>
    </row>
    <row r="1077" spans="1:11" s="18" customFormat="1" ht="14.25" x14ac:dyDescent="0.2">
      <c r="A1077" s="18" t="str">
        <f t="shared" si="84"/>
        <v>Eintrag 1076</v>
      </c>
      <c r="B1077" s="18">
        <v>100</v>
      </c>
      <c r="C1077" s="19">
        <v>100</v>
      </c>
      <c r="D1077" s="20">
        <v>10</v>
      </c>
      <c r="E1077" s="20">
        <v>10</v>
      </c>
      <c r="F1077" s="20">
        <v>10</v>
      </c>
      <c r="G1077" s="19">
        <f t="shared" si="83"/>
        <v>172</v>
      </c>
      <c r="H1077" s="22">
        <f t="shared" si="85"/>
        <v>1076</v>
      </c>
      <c r="I1077" s="21">
        <f t="shared" ca="1" si="77"/>
        <v>0</v>
      </c>
      <c r="J1077" s="21" t="str">
        <f ca="1">IF(I1077=0,"",COUNTIF($I$2:I1077,"&gt;0"))</f>
        <v/>
      </c>
      <c r="K1077" s="21" t="str">
        <f t="shared" ca="1" si="82"/>
        <v/>
      </c>
    </row>
    <row r="1078" spans="1:11" s="18" customFormat="1" ht="14.25" x14ac:dyDescent="0.2">
      <c r="A1078" s="18" t="str">
        <f t="shared" si="84"/>
        <v>Eintrag 1077</v>
      </c>
      <c r="B1078" s="18">
        <v>100</v>
      </c>
      <c r="C1078" s="19">
        <v>100</v>
      </c>
      <c r="D1078" s="20">
        <v>10</v>
      </c>
      <c r="E1078" s="20">
        <v>10</v>
      </c>
      <c r="F1078" s="20">
        <v>10</v>
      </c>
      <c r="G1078" s="19">
        <f t="shared" si="83"/>
        <v>172</v>
      </c>
      <c r="H1078" s="22">
        <f t="shared" si="85"/>
        <v>1077</v>
      </c>
      <c r="I1078" s="21">
        <f t="shared" ca="1" si="77"/>
        <v>0</v>
      </c>
      <c r="J1078" s="21" t="str">
        <f ca="1">IF(I1078=0,"",COUNTIF($I$2:I1078,"&gt;0"))</f>
        <v/>
      </c>
      <c r="K1078" s="21" t="str">
        <f t="shared" ca="1" si="82"/>
        <v/>
      </c>
    </row>
    <row r="1079" spans="1:11" s="18" customFormat="1" ht="14.25" x14ac:dyDescent="0.2">
      <c r="A1079" s="18" t="str">
        <f t="shared" si="84"/>
        <v>Eintrag 1078</v>
      </c>
      <c r="B1079" s="18">
        <v>100</v>
      </c>
      <c r="C1079" s="19">
        <v>100</v>
      </c>
      <c r="D1079" s="20">
        <v>10</v>
      </c>
      <c r="E1079" s="20">
        <v>10</v>
      </c>
      <c r="F1079" s="20">
        <v>10</v>
      </c>
      <c r="G1079" s="19">
        <f t="shared" si="83"/>
        <v>172</v>
      </c>
      <c r="H1079" s="22">
        <f t="shared" si="85"/>
        <v>1078</v>
      </c>
      <c r="I1079" s="21">
        <f t="shared" ca="1" si="77"/>
        <v>0</v>
      </c>
      <c r="J1079" s="21" t="str">
        <f ca="1">IF(I1079=0,"",COUNTIF($I$2:I1079,"&gt;0"))</f>
        <v/>
      </c>
      <c r="K1079" s="21" t="str">
        <f t="shared" ca="1" si="82"/>
        <v/>
      </c>
    </row>
    <row r="1080" spans="1:11" s="18" customFormat="1" ht="14.25" x14ac:dyDescent="0.2">
      <c r="A1080" s="18" t="str">
        <f t="shared" si="84"/>
        <v>Eintrag 1079</v>
      </c>
      <c r="B1080" s="18">
        <v>100</v>
      </c>
      <c r="C1080" s="19">
        <v>100</v>
      </c>
      <c r="D1080" s="20">
        <v>10</v>
      </c>
      <c r="E1080" s="20">
        <v>10</v>
      </c>
      <c r="F1080" s="20">
        <v>10</v>
      </c>
      <c r="G1080" s="19">
        <f t="shared" si="83"/>
        <v>172</v>
      </c>
      <c r="H1080" s="22">
        <f t="shared" si="85"/>
        <v>1079</v>
      </c>
      <c r="I1080" s="21">
        <f t="shared" ca="1" si="77"/>
        <v>0</v>
      </c>
      <c r="J1080" s="21" t="str">
        <f ca="1">IF(I1080=0,"",COUNTIF($I$2:I1080,"&gt;0"))</f>
        <v/>
      </c>
      <c r="K1080" s="21" t="str">
        <f t="shared" ca="1" si="82"/>
        <v/>
      </c>
    </row>
    <row r="1081" spans="1:11" s="18" customFormat="1" ht="14.25" x14ac:dyDescent="0.2">
      <c r="A1081" s="18" t="str">
        <f t="shared" si="84"/>
        <v>Eintrag 1080</v>
      </c>
      <c r="B1081" s="18">
        <v>100</v>
      </c>
      <c r="C1081" s="19">
        <v>100</v>
      </c>
      <c r="D1081" s="20">
        <v>10</v>
      </c>
      <c r="E1081" s="20">
        <v>10</v>
      </c>
      <c r="F1081" s="20">
        <v>10</v>
      </c>
      <c r="G1081" s="19">
        <f t="shared" si="83"/>
        <v>172</v>
      </c>
      <c r="H1081" s="22">
        <f t="shared" si="85"/>
        <v>1080</v>
      </c>
      <c r="I1081" s="21">
        <f t="shared" ca="1" si="77"/>
        <v>0</v>
      </c>
      <c r="J1081" s="21" t="str">
        <f ca="1">IF(I1081=0,"",COUNTIF($I$2:I1081,"&gt;0"))</f>
        <v/>
      </c>
      <c r="K1081" s="21" t="str">
        <f t="shared" ca="1" si="82"/>
        <v/>
      </c>
    </row>
    <row r="1082" spans="1:11" s="18" customFormat="1" ht="14.25" x14ac:dyDescent="0.2">
      <c r="A1082" s="18" t="str">
        <f t="shared" si="84"/>
        <v>Eintrag 1081</v>
      </c>
      <c r="B1082" s="18">
        <v>100</v>
      </c>
      <c r="C1082" s="19">
        <v>100</v>
      </c>
      <c r="D1082" s="20">
        <v>10</v>
      </c>
      <c r="E1082" s="20">
        <v>10</v>
      </c>
      <c r="F1082" s="20">
        <v>10</v>
      </c>
      <c r="G1082" s="19">
        <f t="shared" si="83"/>
        <v>172</v>
      </c>
      <c r="H1082" s="22">
        <f t="shared" si="85"/>
        <v>1081</v>
      </c>
      <c r="I1082" s="21">
        <f t="shared" ca="1" si="77"/>
        <v>0</v>
      </c>
      <c r="J1082" s="21" t="str">
        <f ca="1">IF(I1082=0,"",COUNTIF($I$2:I1082,"&gt;0"))</f>
        <v/>
      </c>
      <c r="K1082" s="21" t="str">
        <f t="shared" ca="1" si="82"/>
        <v/>
      </c>
    </row>
    <row r="1083" spans="1:11" s="18" customFormat="1" ht="14.25" x14ac:dyDescent="0.2">
      <c r="A1083" s="18" t="str">
        <f t="shared" si="84"/>
        <v>Eintrag 1082</v>
      </c>
      <c r="B1083" s="18">
        <v>100</v>
      </c>
      <c r="C1083" s="19">
        <v>100</v>
      </c>
      <c r="D1083" s="20">
        <v>10</v>
      </c>
      <c r="E1083" s="20">
        <v>10</v>
      </c>
      <c r="F1083" s="20">
        <v>10</v>
      </c>
      <c r="G1083" s="19">
        <f t="shared" si="83"/>
        <v>172</v>
      </c>
      <c r="H1083" s="22">
        <f t="shared" si="85"/>
        <v>1082</v>
      </c>
      <c r="I1083" s="21">
        <f t="shared" ca="1" si="77"/>
        <v>0</v>
      </c>
      <c r="J1083" s="21" t="str">
        <f ca="1">IF(I1083=0,"",COUNTIF($I$2:I1083,"&gt;0"))</f>
        <v/>
      </c>
      <c r="K1083" s="21" t="str">
        <f t="shared" ca="1" si="82"/>
        <v/>
      </c>
    </row>
    <row r="1084" spans="1:11" s="18" customFormat="1" ht="14.25" x14ac:dyDescent="0.2">
      <c r="A1084" s="18" t="str">
        <f t="shared" si="84"/>
        <v>Eintrag 1083</v>
      </c>
      <c r="B1084" s="18">
        <v>100</v>
      </c>
      <c r="C1084" s="19">
        <v>100</v>
      </c>
      <c r="D1084" s="20">
        <v>10</v>
      </c>
      <c r="E1084" s="20">
        <v>10</v>
      </c>
      <c r="F1084" s="20">
        <v>10</v>
      </c>
      <c r="G1084" s="19">
        <f t="shared" si="83"/>
        <v>172</v>
      </c>
      <c r="H1084" s="22">
        <f t="shared" si="85"/>
        <v>1083</v>
      </c>
      <c r="I1084" s="21">
        <f t="shared" ca="1" si="77"/>
        <v>0</v>
      </c>
      <c r="J1084" s="21" t="str">
        <f ca="1">IF(I1084=0,"",COUNTIF($I$2:I1084,"&gt;0"))</f>
        <v/>
      </c>
      <c r="K1084" s="21" t="str">
        <f t="shared" ca="1" si="82"/>
        <v/>
      </c>
    </row>
    <row r="1085" spans="1:11" s="18" customFormat="1" ht="14.25" x14ac:dyDescent="0.2">
      <c r="A1085" s="18" t="str">
        <f t="shared" si="84"/>
        <v>Eintrag 1084</v>
      </c>
      <c r="B1085" s="18">
        <v>100</v>
      </c>
      <c r="C1085" s="19">
        <v>100</v>
      </c>
      <c r="D1085" s="20">
        <v>10</v>
      </c>
      <c r="E1085" s="20">
        <v>10</v>
      </c>
      <c r="F1085" s="20">
        <v>10</v>
      </c>
      <c r="G1085" s="19">
        <f t="shared" si="83"/>
        <v>172</v>
      </c>
      <c r="H1085" s="22">
        <f t="shared" si="85"/>
        <v>1084</v>
      </c>
      <c r="I1085" s="21">
        <f t="shared" ca="1" si="77"/>
        <v>0</v>
      </c>
      <c r="J1085" s="21" t="str">
        <f ca="1">IF(I1085=0,"",COUNTIF($I$2:I1085,"&gt;0"))</f>
        <v/>
      </c>
      <c r="K1085" s="21" t="str">
        <f t="shared" ca="1" si="82"/>
        <v/>
      </c>
    </row>
    <row r="1086" spans="1:11" s="18" customFormat="1" ht="14.25" x14ac:dyDescent="0.2">
      <c r="A1086" s="18" t="str">
        <f t="shared" si="84"/>
        <v>Eintrag 1085</v>
      </c>
      <c r="B1086" s="18">
        <v>100</v>
      </c>
      <c r="C1086" s="19">
        <v>100</v>
      </c>
      <c r="D1086" s="20">
        <v>10</v>
      </c>
      <c r="E1086" s="20">
        <v>10</v>
      </c>
      <c r="F1086" s="20">
        <v>10</v>
      </c>
      <c r="G1086" s="19">
        <f t="shared" si="83"/>
        <v>172</v>
      </c>
      <c r="H1086" s="22">
        <f t="shared" si="85"/>
        <v>1085</v>
      </c>
      <c r="I1086" s="21">
        <f t="shared" ca="1" si="77"/>
        <v>0</v>
      </c>
      <c r="J1086" s="21" t="str">
        <f ca="1">IF(I1086=0,"",COUNTIF($I$2:I1086,"&gt;0"))</f>
        <v/>
      </c>
      <c r="K1086" s="21" t="str">
        <f t="shared" ca="1" si="82"/>
        <v/>
      </c>
    </row>
    <row r="1087" spans="1:11" s="18" customFormat="1" ht="14.25" x14ac:dyDescent="0.2">
      <c r="A1087" s="18" t="str">
        <f t="shared" si="84"/>
        <v>Eintrag 1086</v>
      </c>
      <c r="B1087" s="18">
        <v>100</v>
      </c>
      <c r="C1087" s="19">
        <v>100</v>
      </c>
      <c r="D1087" s="20">
        <v>10</v>
      </c>
      <c r="E1087" s="20">
        <v>10</v>
      </c>
      <c r="F1087" s="20">
        <v>10</v>
      </c>
      <c r="G1087" s="19">
        <f t="shared" si="83"/>
        <v>172</v>
      </c>
      <c r="H1087" s="22">
        <f t="shared" si="85"/>
        <v>1086</v>
      </c>
      <c r="I1087" s="21">
        <f t="shared" ca="1" si="77"/>
        <v>0</v>
      </c>
      <c r="J1087" s="21" t="str">
        <f ca="1">IF(I1087=0,"",COUNTIF($I$2:I1087,"&gt;0"))</f>
        <v/>
      </c>
      <c r="K1087" s="21" t="str">
        <f t="shared" ca="1" si="82"/>
        <v/>
      </c>
    </row>
    <row r="1088" spans="1:11" s="18" customFormat="1" ht="14.25" x14ac:dyDescent="0.2">
      <c r="A1088" s="18" t="str">
        <f t="shared" si="84"/>
        <v>Eintrag 1087</v>
      </c>
      <c r="B1088" s="18">
        <v>100</v>
      </c>
      <c r="C1088" s="19">
        <v>100</v>
      </c>
      <c r="D1088" s="20">
        <v>10</v>
      </c>
      <c r="E1088" s="20">
        <v>10</v>
      </c>
      <c r="F1088" s="20">
        <v>10</v>
      </c>
      <c r="G1088" s="19">
        <f t="shared" si="83"/>
        <v>172</v>
      </c>
      <c r="H1088" s="22">
        <f t="shared" si="85"/>
        <v>1087</v>
      </c>
      <c r="I1088" s="21">
        <f t="shared" ca="1" si="77"/>
        <v>0</v>
      </c>
      <c r="J1088" s="21" t="str">
        <f ca="1">IF(I1088=0,"",COUNTIF($I$2:I1088,"&gt;0"))</f>
        <v/>
      </c>
      <c r="K1088" s="21" t="str">
        <f t="shared" ca="1" si="82"/>
        <v/>
      </c>
    </row>
    <row r="1089" spans="1:11" s="18" customFormat="1" ht="14.25" x14ac:dyDescent="0.2">
      <c r="A1089" s="18" t="str">
        <f t="shared" si="84"/>
        <v>Eintrag 1088</v>
      </c>
      <c r="B1089" s="18">
        <v>100</v>
      </c>
      <c r="C1089" s="19">
        <v>100</v>
      </c>
      <c r="D1089" s="20">
        <v>10</v>
      </c>
      <c r="E1089" s="20">
        <v>10</v>
      </c>
      <c r="F1089" s="20">
        <v>10</v>
      </c>
      <c r="G1089" s="19">
        <f t="shared" si="83"/>
        <v>172</v>
      </c>
      <c r="H1089" s="22">
        <f t="shared" si="85"/>
        <v>1088</v>
      </c>
      <c r="I1089" s="21">
        <f t="shared" ca="1" si="77"/>
        <v>0</v>
      </c>
      <c r="J1089" s="21" t="str">
        <f ca="1">IF(I1089=0,"",COUNTIF($I$2:I1089,"&gt;0"))</f>
        <v/>
      </c>
      <c r="K1089" s="21" t="str">
        <f t="shared" ca="1" si="82"/>
        <v/>
      </c>
    </row>
    <row r="1090" spans="1:11" s="18" customFormat="1" ht="14.25" x14ac:dyDescent="0.2">
      <c r="A1090" s="18" t="str">
        <f t="shared" si="84"/>
        <v>Eintrag 1089</v>
      </c>
      <c r="B1090" s="18">
        <v>100</v>
      </c>
      <c r="C1090" s="19">
        <v>100</v>
      </c>
      <c r="D1090" s="20">
        <v>10</v>
      </c>
      <c r="E1090" s="20">
        <v>10</v>
      </c>
      <c r="F1090" s="20">
        <v>10</v>
      </c>
      <c r="G1090" s="19">
        <f t="shared" si="83"/>
        <v>172</v>
      </c>
      <c r="H1090" s="22">
        <f t="shared" si="85"/>
        <v>1089</v>
      </c>
      <c r="I1090" s="21">
        <f t="shared" ca="1" si="77"/>
        <v>0</v>
      </c>
      <c r="J1090" s="21" t="str">
        <f ca="1">IF(I1090=0,"",COUNTIF($I$2:I1090,"&gt;0"))</f>
        <v/>
      </c>
      <c r="K1090" s="21" t="str">
        <f t="shared" ref="K1090:K1153" ca="1" si="86">IFERROR(INDEX(A:A,MATCH(ROW(I1089),J:J,0)),"")</f>
        <v/>
      </c>
    </row>
    <row r="1091" spans="1:11" s="18" customFormat="1" ht="14.25" x14ac:dyDescent="0.2">
      <c r="A1091" s="18" t="str">
        <f t="shared" si="84"/>
        <v>Eintrag 1090</v>
      </c>
      <c r="B1091" s="18">
        <v>100</v>
      </c>
      <c r="C1091" s="19">
        <v>100</v>
      </c>
      <c r="D1091" s="20">
        <v>10</v>
      </c>
      <c r="E1091" s="20">
        <v>10</v>
      </c>
      <c r="F1091" s="20">
        <v>10</v>
      </c>
      <c r="G1091" s="19">
        <f t="shared" ref="G1091:G1154" si="87">D1091*9+E1091*4.1+F1091*4.1</f>
        <v>172</v>
      </c>
      <c r="H1091" s="22">
        <f t="shared" si="85"/>
        <v>1090</v>
      </c>
      <c r="I1091" s="21">
        <f t="shared" ca="1" si="77"/>
        <v>0</v>
      </c>
      <c r="J1091" s="21" t="str">
        <f ca="1">IF(I1091=0,"",COUNTIF($I$2:I1091,"&gt;0"))</f>
        <v/>
      </c>
      <c r="K1091" s="21" t="str">
        <f t="shared" ca="1" si="86"/>
        <v/>
      </c>
    </row>
    <row r="1092" spans="1:11" s="18" customFormat="1" ht="14.25" x14ac:dyDescent="0.2">
      <c r="A1092" s="18" t="str">
        <f t="shared" si="84"/>
        <v>Eintrag 1091</v>
      </c>
      <c r="B1092" s="18">
        <v>100</v>
      </c>
      <c r="C1092" s="19">
        <v>100</v>
      </c>
      <c r="D1092" s="20">
        <v>10</v>
      </c>
      <c r="E1092" s="20">
        <v>10</v>
      </c>
      <c r="F1092" s="20">
        <v>10</v>
      </c>
      <c r="G1092" s="19">
        <f t="shared" si="87"/>
        <v>172</v>
      </c>
      <c r="H1092" s="22">
        <f t="shared" si="85"/>
        <v>1091</v>
      </c>
      <c r="I1092" s="21">
        <f t="shared" ca="1" si="77"/>
        <v>0</v>
      </c>
      <c r="J1092" s="21" t="str">
        <f ca="1">IF(I1092=0,"",COUNTIF($I$2:I1092,"&gt;0"))</f>
        <v/>
      </c>
      <c r="K1092" s="21" t="str">
        <f t="shared" ca="1" si="86"/>
        <v/>
      </c>
    </row>
    <row r="1093" spans="1:11" s="18" customFormat="1" ht="14.25" x14ac:dyDescent="0.2">
      <c r="A1093" s="18" t="str">
        <f t="shared" si="84"/>
        <v>Eintrag 1092</v>
      </c>
      <c r="B1093" s="18">
        <v>100</v>
      </c>
      <c r="C1093" s="19">
        <v>100</v>
      </c>
      <c r="D1093" s="20">
        <v>10</v>
      </c>
      <c r="E1093" s="20">
        <v>10</v>
      </c>
      <c r="F1093" s="20">
        <v>10</v>
      </c>
      <c r="G1093" s="19">
        <f t="shared" si="87"/>
        <v>172</v>
      </c>
      <c r="H1093" s="22">
        <f t="shared" si="85"/>
        <v>1092</v>
      </c>
      <c r="I1093" s="21">
        <f t="shared" ca="1" si="77"/>
        <v>0</v>
      </c>
      <c r="J1093" s="21" t="str">
        <f ca="1">IF(I1093=0,"",COUNTIF($I$2:I1093,"&gt;0"))</f>
        <v/>
      </c>
      <c r="K1093" s="21" t="str">
        <f t="shared" ca="1" si="86"/>
        <v/>
      </c>
    </row>
    <row r="1094" spans="1:11" s="18" customFormat="1" ht="14.25" x14ac:dyDescent="0.2">
      <c r="A1094" s="18" t="str">
        <f t="shared" si="84"/>
        <v>Eintrag 1093</v>
      </c>
      <c r="B1094" s="18">
        <v>100</v>
      </c>
      <c r="C1094" s="19">
        <v>100</v>
      </c>
      <c r="D1094" s="20">
        <v>10</v>
      </c>
      <c r="E1094" s="20">
        <v>10</v>
      </c>
      <c r="F1094" s="20">
        <v>10</v>
      </c>
      <c r="G1094" s="19">
        <f t="shared" si="87"/>
        <v>172</v>
      </c>
      <c r="H1094" s="22">
        <f t="shared" si="85"/>
        <v>1093</v>
      </c>
      <c r="I1094" s="21">
        <f t="shared" ca="1" si="77"/>
        <v>0</v>
      </c>
      <c r="J1094" s="21" t="str">
        <f ca="1">IF(I1094=0,"",COUNTIF($I$2:I1094,"&gt;0"))</f>
        <v/>
      </c>
      <c r="K1094" s="21" t="str">
        <f t="shared" ca="1" si="86"/>
        <v/>
      </c>
    </row>
    <row r="1095" spans="1:11" s="18" customFormat="1" ht="14.25" x14ac:dyDescent="0.2">
      <c r="A1095" s="18" t="str">
        <f t="shared" si="84"/>
        <v>Eintrag 1094</v>
      </c>
      <c r="B1095" s="18">
        <v>100</v>
      </c>
      <c r="C1095" s="19">
        <v>100</v>
      </c>
      <c r="D1095" s="20">
        <v>10</v>
      </c>
      <c r="E1095" s="20">
        <v>10</v>
      </c>
      <c r="F1095" s="20">
        <v>10</v>
      </c>
      <c r="G1095" s="19">
        <f t="shared" si="87"/>
        <v>172</v>
      </c>
      <c r="H1095" s="22">
        <f t="shared" si="85"/>
        <v>1094</v>
      </c>
      <c r="I1095" s="21">
        <f t="shared" ca="1" si="77"/>
        <v>0</v>
      </c>
      <c r="J1095" s="21" t="str">
        <f ca="1">IF(I1095=0,"",COUNTIF($I$2:I1095,"&gt;0"))</f>
        <v/>
      </c>
      <c r="K1095" s="21" t="str">
        <f t="shared" ca="1" si="86"/>
        <v/>
      </c>
    </row>
    <row r="1096" spans="1:11" s="18" customFormat="1" ht="14.25" x14ac:dyDescent="0.2">
      <c r="A1096" s="18" t="str">
        <f t="shared" si="84"/>
        <v>Eintrag 1095</v>
      </c>
      <c r="B1096" s="18">
        <v>100</v>
      </c>
      <c r="C1096" s="19">
        <v>100</v>
      </c>
      <c r="D1096" s="20">
        <v>10</v>
      </c>
      <c r="E1096" s="20">
        <v>10</v>
      </c>
      <c r="F1096" s="20">
        <v>10</v>
      </c>
      <c r="G1096" s="19">
        <f t="shared" si="87"/>
        <v>172</v>
      </c>
      <c r="H1096" s="22">
        <f t="shared" si="85"/>
        <v>1095</v>
      </c>
      <c r="I1096" s="21">
        <f t="shared" ca="1" si="77"/>
        <v>0</v>
      </c>
      <c r="J1096" s="21" t="str">
        <f ca="1">IF(I1096=0,"",COUNTIF($I$2:I1096,"&gt;0"))</f>
        <v/>
      </c>
      <c r="K1096" s="21" t="str">
        <f t="shared" ca="1" si="86"/>
        <v/>
      </c>
    </row>
    <row r="1097" spans="1:11" s="18" customFormat="1" ht="14.25" x14ac:dyDescent="0.2">
      <c r="A1097" s="18" t="str">
        <f t="shared" si="84"/>
        <v>Eintrag 1096</v>
      </c>
      <c r="B1097" s="18">
        <v>100</v>
      </c>
      <c r="C1097" s="19">
        <v>100</v>
      </c>
      <c r="D1097" s="20">
        <v>10</v>
      </c>
      <c r="E1097" s="20">
        <v>10</v>
      </c>
      <c r="F1097" s="20">
        <v>10</v>
      </c>
      <c r="G1097" s="19">
        <f t="shared" si="87"/>
        <v>172</v>
      </c>
      <c r="H1097" s="22">
        <f t="shared" si="85"/>
        <v>1096</v>
      </c>
      <c r="I1097" s="21">
        <f t="shared" ca="1" si="77"/>
        <v>0</v>
      </c>
      <c r="J1097" s="21" t="str">
        <f ca="1">IF(I1097=0,"",COUNTIF($I$2:I1097,"&gt;0"))</f>
        <v/>
      </c>
      <c r="K1097" s="21" t="str">
        <f t="shared" ca="1" si="86"/>
        <v/>
      </c>
    </row>
    <row r="1098" spans="1:11" s="18" customFormat="1" ht="14.25" x14ac:dyDescent="0.2">
      <c r="A1098" s="18" t="str">
        <f t="shared" si="84"/>
        <v>Eintrag 1097</v>
      </c>
      <c r="B1098" s="18">
        <v>100</v>
      </c>
      <c r="C1098" s="19">
        <v>100</v>
      </c>
      <c r="D1098" s="20">
        <v>10</v>
      </c>
      <c r="E1098" s="20">
        <v>10</v>
      </c>
      <c r="F1098" s="20">
        <v>10</v>
      </c>
      <c r="G1098" s="19">
        <f t="shared" si="87"/>
        <v>172</v>
      </c>
      <c r="H1098" s="22">
        <f t="shared" si="85"/>
        <v>1097</v>
      </c>
      <c r="I1098" s="21">
        <f t="shared" ca="1" si="77"/>
        <v>0</v>
      </c>
      <c r="J1098" s="21" t="str">
        <f ca="1">IF(I1098=0,"",COUNTIF($I$2:I1098,"&gt;0"))</f>
        <v/>
      </c>
      <c r="K1098" s="21" t="str">
        <f t="shared" ca="1" si="86"/>
        <v/>
      </c>
    </row>
    <row r="1099" spans="1:11" s="18" customFormat="1" ht="14.25" x14ac:dyDescent="0.2">
      <c r="A1099" s="18" t="str">
        <f t="shared" si="84"/>
        <v>Eintrag 1098</v>
      </c>
      <c r="B1099" s="18">
        <v>100</v>
      </c>
      <c r="C1099" s="19">
        <v>100</v>
      </c>
      <c r="D1099" s="20">
        <v>10</v>
      </c>
      <c r="E1099" s="20">
        <v>10</v>
      </c>
      <c r="F1099" s="20">
        <v>10</v>
      </c>
      <c r="G1099" s="19">
        <f t="shared" si="87"/>
        <v>172</v>
      </c>
      <c r="H1099" s="22">
        <f t="shared" si="85"/>
        <v>1098</v>
      </c>
      <c r="I1099" s="21">
        <f t="shared" ca="1" si="77"/>
        <v>0</v>
      </c>
      <c r="J1099" s="21" t="str">
        <f ca="1">IF(I1099=0,"",COUNTIF($I$2:I1099,"&gt;0"))</f>
        <v/>
      </c>
      <c r="K1099" s="21" t="str">
        <f t="shared" ca="1" si="86"/>
        <v/>
      </c>
    </row>
    <row r="1100" spans="1:11" s="18" customFormat="1" ht="14.25" x14ac:dyDescent="0.2">
      <c r="A1100" s="18" t="str">
        <f t="shared" si="84"/>
        <v>Eintrag 1099</v>
      </c>
      <c r="B1100" s="18">
        <v>100</v>
      </c>
      <c r="C1100" s="19">
        <v>100</v>
      </c>
      <c r="D1100" s="20">
        <v>10</v>
      </c>
      <c r="E1100" s="20">
        <v>10</v>
      </c>
      <c r="F1100" s="20">
        <v>10</v>
      </c>
      <c r="G1100" s="19">
        <f t="shared" si="87"/>
        <v>172</v>
      </c>
      <c r="H1100" s="22">
        <f t="shared" si="85"/>
        <v>1099</v>
      </c>
      <c r="I1100" s="21">
        <f t="shared" ca="1" si="77"/>
        <v>0</v>
      </c>
      <c r="J1100" s="21" t="str">
        <f ca="1">IF(I1100=0,"",COUNTIF($I$2:I1100,"&gt;0"))</f>
        <v/>
      </c>
      <c r="K1100" s="21" t="str">
        <f t="shared" ca="1" si="86"/>
        <v/>
      </c>
    </row>
    <row r="1101" spans="1:11" s="18" customFormat="1" ht="14.25" x14ac:dyDescent="0.2">
      <c r="A1101" s="18" t="str">
        <f t="shared" si="84"/>
        <v>Eintrag 1100</v>
      </c>
      <c r="B1101" s="18">
        <v>100</v>
      </c>
      <c r="C1101" s="19">
        <v>100</v>
      </c>
      <c r="D1101" s="20">
        <v>10</v>
      </c>
      <c r="E1101" s="20">
        <v>10</v>
      </c>
      <c r="F1101" s="20">
        <v>10</v>
      </c>
      <c r="G1101" s="19">
        <f t="shared" si="87"/>
        <v>172</v>
      </c>
      <c r="H1101" s="22">
        <f t="shared" si="85"/>
        <v>1100</v>
      </c>
      <c r="I1101" s="21">
        <f t="shared" ca="1" si="77"/>
        <v>0</v>
      </c>
      <c r="J1101" s="21" t="str">
        <f ca="1">IF(I1101=0,"",COUNTIF($I$2:I1101,"&gt;0"))</f>
        <v/>
      </c>
      <c r="K1101" s="21" t="str">
        <f t="shared" ca="1" si="86"/>
        <v/>
      </c>
    </row>
    <row r="1102" spans="1:11" s="18" customFormat="1" ht="14.25" x14ac:dyDescent="0.2">
      <c r="A1102" s="18" t="str">
        <f t="shared" si="84"/>
        <v>Eintrag 1101</v>
      </c>
      <c r="B1102" s="18">
        <v>100</v>
      </c>
      <c r="C1102" s="19">
        <v>100</v>
      </c>
      <c r="D1102" s="20">
        <v>10</v>
      </c>
      <c r="E1102" s="20">
        <v>10</v>
      </c>
      <c r="F1102" s="20">
        <v>10</v>
      </c>
      <c r="G1102" s="19">
        <f t="shared" si="87"/>
        <v>172</v>
      </c>
      <c r="H1102" s="22">
        <f t="shared" si="85"/>
        <v>1101</v>
      </c>
      <c r="I1102" s="21">
        <f t="shared" ca="1" si="77"/>
        <v>0</v>
      </c>
      <c r="J1102" s="21" t="str">
        <f ca="1">IF(I1102=0,"",COUNTIF($I$2:I1102,"&gt;0"))</f>
        <v/>
      </c>
      <c r="K1102" s="21" t="str">
        <f t="shared" ca="1" si="86"/>
        <v/>
      </c>
    </row>
    <row r="1103" spans="1:11" s="18" customFormat="1" ht="14.25" x14ac:dyDescent="0.2">
      <c r="A1103" s="18" t="str">
        <f t="shared" si="84"/>
        <v>Eintrag 1102</v>
      </c>
      <c r="B1103" s="18">
        <v>100</v>
      </c>
      <c r="C1103" s="19">
        <v>100</v>
      </c>
      <c r="D1103" s="20">
        <v>10</v>
      </c>
      <c r="E1103" s="20">
        <v>10</v>
      </c>
      <c r="F1103" s="20">
        <v>10</v>
      </c>
      <c r="G1103" s="19">
        <f t="shared" si="87"/>
        <v>172</v>
      </c>
      <c r="H1103" s="22">
        <f t="shared" si="85"/>
        <v>1102</v>
      </c>
      <c r="I1103" s="21">
        <f t="shared" ca="1" si="77"/>
        <v>0</v>
      </c>
      <c r="J1103" s="21" t="str">
        <f ca="1">IF(I1103=0,"",COUNTIF($I$2:I1103,"&gt;0"))</f>
        <v/>
      </c>
      <c r="K1103" s="21" t="str">
        <f t="shared" ca="1" si="86"/>
        <v/>
      </c>
    </row>
    <row r="1104" spans="1:11" s="18" customFormat="1" ht="14.25" x14ac:dyDescent="0.2">
      <c r="A1104" s="18" t="str">
        <f t="shared" si="84"/>
        <v>Eintrag 1103</v>
      </c>
      <c r="B1104" s="18">
        <v>100</v>
      </c>
      <c r="C1104" s="19">
        <v>100</v>
      </c>
      <c r="D1104" s="20">
        <v>10</v>
      </c>
      <c r="E1104" s="20">
        <v>10</v>
      </c>
      <c r="F1104" s="20">
        <v>10</v>
      </c>
      <c r="G1104" s="19">
        <f t="shared" si="87"/>
        <v>172</v>
      </c>
      <c r="H1104" s="22">
        <f t="shared" si="85"/>
        <v>1103</v>
      </c>
      <c r="I1104" s="21">
        <f t="shared" ca="1" si="77"/>
        <v>0</v>
      </c>
      <c r="J1104" s="21" t="str">
        <f ca="1">IF(I1104=0,"",COUNTIF($I$2:I1104,"&gt;0"))</f>
        <v/>
      </c>
      <c r="K1104" s="21" t="str">
        <f t="shared" ca="1" si="86"/>
        <v/>
      </c>
    </row>
    <row r="1105" spans="1:11" s="18" customFormat="1" ht="14.25" x14ac:dyDescent="0.2">
      <c r="A1105" s="18" t="str">
        <f t="shared" si="84"/>
        <v>Eintrag 1104</v>
      </c>
      <c r="B1105" s="18">
        <v>100</v>
      </c>
      <c r="C1105" s="19">
        <v>100</v>
      </c>
      <c r="D1105" s="20">
        <v>10</v>
      </c>
      <c r="E1105" s="20">
        <v>10</v>
      </c>
      <c r="F1105" s="20">
        <v>10</v>
      </c>
      <c r="G1105" s="19">
        <f t="shared" si="87"/>
        <v>172</v>
      </c>
      <c r="H1105" s="22">
        <f t="shared" si="85"/>
        <v>1104</v>
      </c>
      <c r="I1105" s="21">
        <f t="shared" ca="1" si="77"/>
        <v>0</v>
      </c>
      <c r="J1105" s="21" t="str">
        <f ca="1">IF(I1105=0,"",COUNTIF($I$2:I1105,"&gt;0"))</f>
        <v/>
      </c>
      <c r="K1105" s="21" t="str">
        <f t="shared" ca="1" si="86"/>
        <v/>
      </c>
    </row>
    <row r="1106" spans="1:11" s="18" customFormat="1" ht="14.25" x14ac:dyDescent="0.2">
      <c r="A1106" s="18" t="str">
        <f t="shared" si="84"/>
        <v>Eintrag 1105</v>
      </c>
      <c r="B1106" s="18">
        <v>100</v>
      </c>
      <c r="C1106" s="19">
        <v>100</v>
      </c>
      <c r="D1106" s="20">
        <v>10</v>
      </c>
      <c r="E1106" s="20">
        <v>10</v>
      </c>
      <c r="F1106" s="20">
        <v>10</v>
      </c>
      <c r="G1106" s="19">
        <f t="shared" si="87"/>
        <v>172</v>
      </c>
      <c r="H1106" s="22">
        <f t="shared" si="85"/>
        <v>1105</v>
      </c>
      <c r="I1106" s="21">
        <f t="shared" ca="1" si="77"/>
        <v>0</v>
      </c>
      <c r="J1106" s="21" t="str">
        <f ca="1">IF(I1106=0,"",COUNTIF($I$2:I1106,"&gt;0"))</f>
        <v/>
      </c>
      <c r="K1106" s="21" t="str">
        <f t="shared" ca="1" si="86"/>
        <v/>
      </c>
    </row>
    <row r="1107" spans="1:11" s="18" customFormat="1" ht="14.25" x14ac:dyDescent="0.2">
      <c r="A1107" s="18" t="str">
        <f t="shared" si="84"/>
        <v>Eintrag 1106</v>
      </c>
      <c r="B1107" s="18">
        <v>100</v>
      </c>
      <c r="C1107" s="19">
        <v>100</v>
      </c>
      <c r="D1107" s="20">
        <v>10</v>
      </c>
      <c r="E1107" s="20">
        <v>10</v>
      </c>
      <c r="F1107" s="20">
        <v>10</v>
      </c>
      <c r="G1107" s="19">
        <f t="shared" si="87"/>
        <v>172</v>
      </c>
      <c r="H1107" s="22">
        <f t="shared" si="85"/>
        <v>1106</v>
      </c>
      <c r="I1107" s="21">
        <f t="shared" ca="1" si="77"/>
        <v>0</v>
      </c>
      <c r="J1107" s="21" t="str">
        <f ca="1">IF(I1107=0,"",COUNTIF($I$2:I1107,"&gt;0"))</f>
        <v/>
      </c>
      <c r="K1107" s="21" t="str">
        <f t="shared" ca="1" si="86"/>
        <v/>
      </c>
    </row>
    <row r="1108" spans="1:11" s="18" customFormat="1" ht="14.25" x14ac:dyDescent="0.2">
      <c r="A1108" s="18" t="str">
        <f t="shared" si="84"/>
        <v>Eintrag 1107</v>
      </c>
      <c r="B1108" s="18">
        <v>100</v>
      </c>
      <c r="C1108" s="19">
        <v>100</v>
      </c>
      <c r="D1108" s="20">
        <v>10</v>
      </c>
      <c r="E1108" s="20">
        <v>10</v>
      </c>
      <c r="F1108" s="20">
        <v>10</v>
      </c>
      <c r="G1108" s="19">
        <f t="shared" si="87"/>
        <v>172</v>
      </c>
      <c r="H1108" s="22">
        <f t="shared" si="85"/>
        <v>1107</v>
      </c>
      <c r="I1108" s="21">
        <f t="shared" ca="1" si="77"/>
        <v>0</v>
      </c>
      <c r="J1108" s="21" t="str">
        <f ca="1">IF(I1108=0,"",COUNTIF($I$2:I1108,"&gt;0"))</f>
        <v/>
      </c>
      <c r="K1108" s="21" t="str">
        <f t="shared" ca="1" si="86"/>
        <v/>
      </c>
    </row>
    <row r="1109" spans="1:11" s="18" customFormat="1" ht="14.25" x14ac:dyDescent="0.2">
      <c r="A1109" s="18" t="str">
        <f t="shared" si="84"/>
        <v>Eintrag 1108</v>
      </c>
      <c r="B1109" s="18">
        <v>100</v>
      </c>
      <c r="C1109" s="19">
        <v>100</v>
      </c>
      <c r="D1109" s="20">
        <v>10</v>
      </c>
      <c r="E1109" s="20">
        <v>10</v>
      </c>
      <c r="F1109" s="20">
        <v>10</v>
      </c>
      <c r="G1109" s="19">
        <f t="shared" si="87"/>
        <v>172</v>
      </c>
      <c r="H1109" s="22">
        <f t="shared" si="85"/>
        <v>1108</v>
      </c>
      <c r="I1109" s="21">
        <f t="shared" ca="1" si="77"/>
        <v>0</v>
      </c>
      <c r="J1109" s="21" t="str">
        <f ca="1">IF(I1109=0,"",COUNTIF($I$2:I1109,"&gt;0"))</f>
        <v/>
      </c>
      <c r="K1109" s="21" t="str">
        <f t="shared" ca="1" si="86"/>
        <v/>
      </c>
    </row>
    <row r="1110" spans="1:11" s="18" customFormat="1" ht="14.25" x14ac:dyDescent="0.2">
      <c r="A1110" s="18" t="str">
        <f t="shared" si="84"/>
        <v>Eintrag 1109</v>
      </c>
      <c r="B1110" s="18">
        <v>100</v>
      </c>
      <c r="C1110" s="19">
        <v>100</v>
      </c>
      <c r="D1110" s="20">
        <v>10</v>
      </c>
      <c r="E1110" s="20">
        <v>10</v>
      </c>
      <c r="F1110" s="20">
        <v>10</v>
      </c>
      <c r="G1110" s="19">
        <f t="shared" si="87"/>
        <v>172</v>
      </c>
      <c r="H1110" s="22">
        <f t="shared" si="85"/>
        <v>1109</v>
      </c>
      <c r="I1110" s="21">
        <f t="shared" ca="1" si="77"/>
        <v>0</v>
      </c>
      <c r="J1110" s="21" t="str">
        <f ca="1">IF(I1110=0,"",COUNTIF($I$2:I1110,"&gt;0"))</f>
        <v/>
      </c>
      <c r="K1110" s="21" t="str">
        <f t="shared" ca="1" si="86"/>
        <v/>
      </c>
    </row>
    <row r="1111" spans="1:11" s="18" customFormat="1" ht="14.25" x14ac:dyDescent="0.2">
      <c r="A1111" s="18" t="str">
        <f t="shared" si="84"/>
        <v>Eintrag 1110</v>
      </c>
      <c r="B1111" s="18">
        <v>100</v>
      </c>
      <c r="C1111" s="19">
        <v>100</v>
      </c>
      <c r="D1111" s="20">
        <v>10</v>
      </c>
      <c r="E1111" s="20">
        <v>10</v>
      </c>
      <c r="F1111" s="20">
        <v>10</v>
      </c>
      <c r="G1111" s="19">
        <f t="shared" si="87"/>
        <v>172</v>
      </c>
      <c r="H1111" s="22">
        <f t="shared" si="85"/>
        <v>1110</v>
      </c>
      <c r="I1111" s="21">
        <f t="shared" ca="1" si="77"/>
        <v>0</v>
      </c>
      <c r="J1111" s="21" t="str">
        <f ca="1">IF(I1111=0,"",COUNTIF($I$2:I1111,"&gt;0"))</f>
        <v/>
      </c>
      <c r="K1111" s="21" t="str">
        <f t="shared" ca="1" si="86"/>
        <v/>
      </c>
    </row>
    <row r="1112" spans="1:11" s="18" customFormat="1" ht="14.25" x14ac:dyDescent="0.2">
      <c r="A1112" s="18" t="str">
        <f t="shared" si="84"/>
        <v>Eintrag 1111</v>
      </c>
      <c r="B1112" s="18">
        <v>100</v>
      </c>
      <c r="C1112" s="19">
        <v>100</v>
      </c>
      <c r="D1112" s="20">
        <v>10</v>
      </c>
      <c r="E1112" s="20">
        <v>10</v>
      </c>
      <c r="F1112" s="20">
        <v>10</v>
      </c>
      <c r="G1112" s="19">
        <f t="shared" si="87"/>
        <v>172</v>
      </c>
      <c r="H1112" s="22">
        <f t="shared" si="85"/>
        <v>1111</v>
      </c>
      <c r="I1112" s="21">
        <f t="shared" ca="1" si="77"/>
        <v>0</v>
      </c>
      <c r="J1112" s="21" t="str">
        <f ca="1">IF(I1112=0,"",COUNTIF($I$2:I1112,"&gt;0"))</f>
        <v/>
      </c>
      <c r="K1112" s="21" t="str">
        <f t="shared" ca="1" si="86"/>
        <v/>
      </c>
    </row>
    <row r="1113" spans="1:11" s="18" customFormat="1" ht="14.25" x14ac:dyDescent="0.2">
      <c r="A1113" s="18" t="str">
        <f t="shared" ref="A1113:A1176" si="88">CONCATENATE("Eintrag ",H1113)</f>
        <v>Eintrag 1112</v>
      </c>
      <c r="B1113" s="18">
        <v>100</v>
      </c>
      <c r="C1113" s="19">
        <v>100</v>
      </c>
      <c r="D1113" s="20">
        <v>10</v>
      </c>
      <c r="E1113" s="20">
        <v>10</v>
      </c>
      <c r="F1113" s="20">
        <v>10</v>
      </c>
      <c r="G1113" s="19">
        <f t="shared" si="87"/>
        <v>172</v>
      </c>
      <c r="H1113" s="22">
        <f t="shared" si="85"/>
        <v>1112</v>
      </c>
      <c r="I1113" s="21">
        <f t="shared" ca="1" si="77"/>
        <v>0</v>
      </c>
      <c r="J1113" s="21" t="str">
        <f ca="1">IF(I1113=0,"",COUNTIF($I$2:I1113,"&gt;0"))</f>
        <v/>
      </c>
      <c r="K1113" s="21" t="str">
        <f t="shared" ca="1" si="86"/>
        <v/>
      </c>
    </row>
    <row r="1114" spans="1:11" s="18" customFormat="1" ht="14.25" x14ac:dyDescent="0.2">
      <c r="A1114" s="18" t="str">
        <f t="shared" si="88"/>
        <v>Eintrag 1113</v>
      </c>
      <c r="B1114" s="18">
        <v>100</v>
      </c>
      <c r="C1114" s="19">
        <v>100</v>
      </c>
      <c r="D1114" s="20">
        <v>10</v>
      </c>
      <c r="E1114" s="20">
        <v>10</v>
      </c>
      <c r="F1114" s="20">
        <v>10</v>
      </c>
      <c r="G1114" s="19">
        <f t="shared" si="87"/>
        <v>172</v>
      </c>
      <c r="H1114" s="22">
        <f t="shared" si="85"/>
        <v>1113</v>
      </c>
      <c r="I1114" s="21">
        <f t="shared" ca="1" si="77"/>
        <v>0</v>
      </c>
      <c r="J1114" s="21" t="str">
        <f ca="1">IF(I1114=0,"",COUNTIF($I$2:I1114,"&gt;0"))</f>
        <v/>
      </c>
      <c r="K1114" s="21" t="str">
        <f t="shared" ca="1" si="86"/>
        <v/>
      </c>
    </row>
    <row r="1115" spans="1:11" s="18" customFormat="1" ht="14.25" x14ac:dyDescent="0.2">
      <c r="A1115" s="18" t="str">
        <f t="shared" si="88"/>
        <v>Eintrag 1114</v>
      </c>
      <c r="B1115" s="18">
        <v>100</v>
      </c>
      <c r="C1115" s="19">
        <v>100</v>
      </c>
      <c r="D1115" s="20">
        <v>10</v>
      </c>
      <c r="E1115" s="20">
        <v>10</v>
      </c>
      <c r="F1115" s="20">
        <v>10</v>
      </c>
      <c r="G1115" s="19">
        <f t="shared" si="87"/>
        <v>172</v>
      </c>
      <c r="H1115" s="22">
        <f t="shared" si="85"/>
        <v>1114</v>
      </c>
      <c r="I1115" s="21">
        <f t="shared" ca="1" si="77"/>
        <v>0</v>
      </c>
      <c r="J1115" s="21" t="str">
        <f ca="1">IF(I1115=0,"",COUNTIF($I$2:I1115,"&gt;0"))</f>
        <v/>
      </c>
      <c r="K1115" s="21" t="str">
        <f t="shared" ca="1" si="86"/>
        <v/>
      </c>
    </row>
    <row r="1116" spans="1:11" s="18" customFormat="1" ht="14.25" x14ac:dyDescent="0.2">
      <c r="A1116" s="18" t="str">
        <f t="shared" si="88"/>
        <v>Eintrag 1115</v>
      </c>
      <c r="B1116" s="18">
        <v>100</v>
      </c>
      <c r="C1116" s="19">
        <v>100</v>
      </c>
      <c r="D1116" s="20">
        <v>10</v>
      </c>
      <c r="E1116" s="20">
        <v>10</v>
      </c>
      <c r="F1116" s="20">
        <v>10</v>
      </c>
      <c r="G1116" s="19">
        <f t="shared" si="87"/>
        <v>172</v>
      </c>
      <c r="H1116" s="22">
        <f t="shared" si="85"/>
        <v>1115</v>
      </c>
      <c r="I1116" s="21">
        <f t="shared" ca="1" si="77"/>
        <v>0</v>
      </c>
      <c r="J1116" s="21" t="str">
        <f ca="1">IF(I1116=0,"",COUNTIF($I$2:I1116,"&gt;0"))</f>
        <v/>
      </c>
      <c r="K1116" s="21" t="str">
        <f t="shared" ca="1" si="86"/>
        <v/>
      </c>
    </row>
    <row r="1117" spans="1:11" s="18" customFormat="1" ht="14.25" x14ac:dyDescent="0.2">
      <c r="A1117" s="18" t="str">
        <f t="shared" si="88"/>
        <v>Eintrag 1116</v>
      </c>
      <c r="B1117" s="18">
        <v>100</v>
      </c>
      <c r="C1117" s="19">
        <v>100</v>
      </c>
      <c r="D1117" s="20">
        <v>10</v>
      </c>
      <c r="E1117" s="20">
        <v>10</v>
      </c>
      <c r="F1117" s="20">
        <v>10</v>
      </c>
      <c r="G1117" s="19">
        <f t="shared" si="87"/>
        <v>172</v>
      </c>
      <c r="H1117" s="22">
        <f t="shared" si="85"/>
        <v>1116</v>
      </c>
      <c r="I1117" s="21">
        <f t="shared" ca="1" si="77"/>
        <v>0</v>
      </c>
      <c r="J1117" s="21" t="str">
        <f ca="1">IF(I1117=0,"",COUNTIF($I$2:I1117,"&gt;0"))</f>
        <v/>
      </c>
      <c r="K1117" s="21" t="str">
        <f t="shared" ca="1" si="86"/>
        <v/>
      </c>
    </row>
    <row r="1118" spans="1:11" s="18" customFormat="1" ht="14.25" x14ac:dyDescent="0.2">
      <c r="A1118" s="18" t="str">
        <f t="shared" si="88"/>
        <v>Eintrag 1117</v>
      </c>
      <c r="B1118" s="18">
        <v>100</v>
      </c>
      <c r="C1118" s="19">
        <v>100</v>
      </c>
      <c r="D1118" s="20">
        <v>10</v>
      </c>
      <c r="E1118" s="20">
        <v>10</v>
      </c>
      <c r="F1118" s="20">
        <v>10</v>
      </c>
      <c r="G1118" s="19">
        <f t="shared" si="87"/>
        <v>172</v>
      </c>
      <c r="H1118" s="22">
        <f t="shared" si="85"/>
        <v>1117</v>
      </c>
      <c r="I1118" s="21">
        <f t="shared" ca="1" si="77"/>
        <v>0</v>
      </c>
      <c r="J1118" s="21" t="str">
        <f ca="1">IF(I1118=0,"",COUNTIF($I$2:I1118,"&gt;0"))</f>
        <v/>
      </c>
      <c r="K1118" s="21" t="str">
        <f t="shared" ca="1" si="86"/>
        <v/>
      </c>
    </row>
    <row r="1119" spans="1:11" s="18" customFormat="1" ht="14.25" x14ac:dyDescent="0.2">
      <c r="A1119" s="18" t="str">
        <f t="shared" si="88"/>
        <v>Eintrag 1118</v>
      </c>
      <c r="B1119" s="18">
        <v>100</v>
      </c>
      <c r="C1119" s="19">
        <v>100</v>
      </c>
      <c r="D1119" s="20">
        <v>10</v>
      </c>
      <c r="E1119" s="20">
        <v>10</v>
      </c>
      <c r="F1119" s="20">
        <v>10</v>
      </c>
      <c r="G1119" s="19">
        <f t="shared" si="87"/>
        <v>172</v>
      </c>
      <c r="H1119" s="22">
        <f t="shared" si="85"/>
        <v>1118</v>
      </c>
      <c r="I1119" s="21">
        <f t="shared" ca="1" si="77"/>
        <v>0</v>
      </c>
      <c r="J1119" s="21" t="str">
        <f ca="1">IF(I1119=0,"",COUNTIF($I$2:I1119,"&gt;0"))</f>
        <v/>
      </c>
      <c r="K1119" s="21" t="str">
        <f t="shared" ca="1" si="86"/>
        <v/>
      </c>
    </row>
    <row r="1120" spans="1:11" s="18" customFormat="1" ht="14.25" x14ac:dyDescent="0.2">
      <c r="A1120" s="18" t="str">
        <f t="shared" si="88"/>
        <v>Eintrag 1119</v>
      </c>
      <c r="B1120" s="18">
        <v>100</v>
      </c>
      <c r="C1120" s="19">
        <v>100</v>
      </c>
      <c r="D1120" s="20">
        <v>10</v>
      </c>
      <c r="E1120" s="20">
        <v>10</v>
      </c>
      <c r="F1120" s="20">
        <v>10</v>
      </c>
      <c r="G1120" s="19">
        <f t="shared" si="87"/>
        <v>172</v>
      </c>
      <c r="H1120" s="22">
        <f t="shared" si="85"/>
        <v>1119</v>
      </c>
      <c r="I1120" s="21">
        <f t="shared" ca="1" si="77"/>
        <v>0</v>
      </c>
      <c r="J1120" s="21" t="str">
        <f ca="1">IF(I1120=0,"",COUNTIF($I$2:I1120,"&gt;0"))</f>
        <v/>
      </c>
      <c r="K1120" s="21" t="str">
        <f t="shared" ca="1" si="86"/>
        <v/>
      </c>
    </row>
    <row r="1121" spans="1:11" s="18" customFormat="1" ht="14.25" x14ac:dyDescent="0.2">
      <c r="A1121" s="18" t="str">
        <f t="shared" si="88"/>
        <v>Eintrag 1120</v>
      </c>
      <c r="B1121" s="18">
        <v>100</v>
      </c>
      <c r="C1121" s="19">
        <v>100</v>
      </c>
      <c r="D1121" s="20">
        <v>10</v>
      </c>
      <c r="E1121" s="20">
        <v>10</v>
      </c>
      <c r="F1121" s="20">
        <v>10</v>
      </c>
      <c r="G1121" s="19">
        <f t="shared" si="87"/>
        <v>172</v>
      </c>
      <c r="H1121" s="22">
        <f t="shared" si="85"/>
        <v>1120</v>
      </c>
      <c r="I1121" s="21">
        <f t="shared" ca="1" si="77"/>
        <v>0</v>
      </c>
      <c r="J1121" s="21" t="str">
        <f ca="1">IF(I1121=0,"",COUNTIF($I$2:I1121,"&gt;0"))</f>
        <v/>
      </c>
      <c r="K1121" s="21" t="str">
        <f t="shared" ca="1" si="86"/>
        <v/>
      </c>
    </row>
    <row r="1122" spans="1:11" s="18" customFormat="1" ht="14.25" x14ac:dyDescent="0.2">
      <c r="A1122" s="18" t="str">
        <f t="shared" si="88"/>
        <v>Eintrag 1121</v>
      </c>
      <c r="B1122" s="18">
        <v>100</v>
      </c>
      <c r="C1122" s="19">
        <v>100</v>
      </c>
      <c r="D1122" s="20">
        <v>10</v>
      </c>
      <c r="E1122" s="20">
        <v>10</v>
      </c>
      <c r="F1122" s="20">
        <v>10</v>
      </c>
      <c r="G1122" s="19">
        <f t="shared" si="87"/>
        <v>172</v>
      </c>
      <c r="H1122" s="22">
        <f t="shared" si="85"/>
        <v>1121</v>
      </c>
      <c r="I1122" s="21">
        <f t="shared" ca="1" si="77"/>
        <v>0</v>
      </c>
      <c r="J1122" s="21" t="str">
        <f ca="1">IF(I1122=0,"",COUNTIF($I$2:I1122,"&gt;0"))</f>
        <v/>
      </c>
      <c r="K1122" s="21" t="str">
        <f t="shared" ca="1" si="86"/>
        <v/>
      </c>
    </row>
    <row r="1123" spans="1:11" s="18" customFormat="1" ht="14.25" x14ac:dyDescent="0.2">
      <c r="A1123" s="18" t="str">
        <f t="shared" si="88"/>
        <v>Eintrag 1122</v>
      </c>
      <c r="B1123" s="18">
        <v>100</v>
      </c>
      <c r="C1123" s="19">
        <v>100</v>
      </c>
      <c r="D1123" s="20">
        <v>10</v>
      </c>
      <c r="E1123" s="20">
        <v>10</v>
      </c>
      <c r="F1123" s="20">
        <v>10</v>
      </c>
      <c r="G1123" s="19">
        <f t="shared" si="87"/>
        <v>172</v>
      </c>
      <c r="H1123" s="22">
        <f t="shared" si="85"/>
        <v>1122</v>
      </c>
      <c r="I1123" s="21">
        <f t="shared" ca="1" si="77"/>
        <v>0</v>
      </c>
      <c r="J1123" s="21" t="str">
        <f ca="1">IF(I1123=0,"",COUNTIF($I$2:I1123,"&gt;0"))</f>
        <v/>
      </c>
      <c r="K1123" s="21" t="str">
        <f t="shared" ca="1" si="86"/>
        <v/>
      </c>
    </row>
    <row r="1124" spans="1:11" s="18" customFormat="1" ht="14.25" x14ac:dyDescent="0.2">
      <c r="A1124" s="18" t="str">
        <f t="shared" si="88"/>
        <v>Eintrag 1123</v>
      </c>
      <c r="B1124" s="18">
        <v>100</v>
      </c>
      <c r="C1124" s="19">
        <v>100</v>
      </c>
      <c r="D1124" s="20">
        <v>10</v>
      </c>
      <c r="E1124" s="20">
        <v>10</v>
      </c>
      <c r="F1124" s="20">
        <v>10</v>
      </c>
      <c r="G1124" s="19">
        <f t="shared" si="87"/>
        <v>172</v>
      </c>
      <c r="H1124" s="22">
        <f t="shared" si="85"/>
        <v>1123</v>
      </c>
      <c r="I1124" s="21">
        <f t="shared" ca="1" si="77"/>
        <v>0</v>
      </c>
      <c r="J1124" s="21" t="str">
        <f ca="1">IF(I1124=0,"",COUNTIF($I$2:I1124,"&gt;0"))</f>
        <v/>
      </c>
      <c r="K1124" s="21" t="str">
        <f t="shared" ca="1" si="86"/>
        <v/>
      </c>
    </row>
    <row r="1125" spans="1:11" s="18" customFormat="1" ht="14.25" x14ac:dyDescent="0.2">
      <c r="A1125" s="18" t="str">
        <f t="shared" si="88"/>
        <v>Eintrag 1124</v>
      </c>
      <c r="B1125" s="18">
        <v>100</v>
      </c>
      <c r="C1125" s="19">
        <v>100</v>
      </c>
      <c r="D1125" s="20">
        <v>10</v>
      </c>
      <c r="E1125" s="20">
        <v>10</v>
      </c>
      <c r="F1125" s="20">
        <v>10</v>
      </c>
      <c r="G1125" s="19">
        <f t="shared" si="87"/>
        <v>172</v>
      </c>
      <c r="H1125" s="22">
        <f t="shared" ref="H1125:H1188" si="89">H1124+1</f>
        <v>1124</v>
      </c>
      <c r="I1125" s="21">
        <f t="shared" ca="1" si="77"/>
        <v>0</v>
      </c>
      <c r="J1125" s="21" t="str">
        <f ca="1">IF(I1125=0,"",COUNTIF($I$2:I1125,"&gt;0"))</f>
        <v/>
      </c>
      <c r="K1125" s="21" t="str">
        <f t="shared" ca="1" si="86"/>
        <v/>
      </c>
    </row>
    <row r="1126" spans="1:11" s="18" customFormat="1" ht="14.25" x14ac:dyDescent="0.2">
      <c r="A1126" s="18" t="str">
        <f t="shared" si="88"/>
        <v>Eintrag 1125</v>
      </c>
      <c r="B1126" s="18">
        <v>100</v>
      </c>
      <c r="C1126" s="19">
        <v>100</v>
      </c>
      <c r="D1126" s="20">
        <v>10</v>
      </c>
      <c r="E1126" s="20">
        <v>10</v>
      </c>
      <c r="F1126" s="20">
        <v>10</v>
      </c>
      <c r="G1126" s="19">
        <f t="shared" si="87"/>
        <v>172</v>
      </c>
      <c r="H1126" s="22">
        <f t="shared" si="89"/>
        <v>1125</v>
      </c>
      <c r="I1126" s="21">
        <f t="shared" ca="1" si="77"/>
        <v>0</v>
      </c>
      <c r="J1126" s="21" t="str">
        <f ca="1">IF(I1126=0,"",COUNTIF($I$2:I1126,"&gt;0"))</f>
        <v/>
      </c>
      <c r="K1126" s="21" t="str">
        <f t="shared" ca="1" si="86"/>
        <v/>
      </c>
    </row>
    <row r="1127" spans="1:11" s="18" customFormat="1" ht="14.25" x14ac:dyDescent="0.2">
      <c r="A1127" s="18" t="str">
        <f t="shared" si="88"/>
        <v>Eintrag 1126</v>
      </c>
      <c r="B1127" s="18">
        <v>100</v>
      </c>
      <c r="C1127" s="19">
        <v>100</v>
      </c>
      <c r="D1127" s="20">
        <v>10</v>
      </c>
      <c r="E1127" s="20">
        <v>10</v>
      </c>
      <c r="F1127" s="20">
        <v>10</v>
      </c>
      <c r="G1127" s="19">
        <f t="shared" si="87"/>
        <v>172</v>
      </c>
      <c r="H1127" s="22">
        <f t="shared" si="89"/>
        <v>1126</v>
      </c>
      <c r="I1127" s="21">
        <f t="shared" ca="1" si="77"/>
        <v>0</v>
      </c>
      <c r="J1127" s="21" t="str">
        <f ca="1">IF(I1127=0,"",COUNTIF($I$2:I1127,"&gt;0"))</f>
        <v/>
      </c>
      <c r="K1127" s="21" t="str">
        <f t="shared" ca="1" si="86"/>
        <v/>
      </c>
    </row>
    <row r="1128" spans="1:11" s="18" customFormat="1" ht="14.25" x14ac:dyDescent="0.2">
      <c r="A1128" s="18" t="str">
        <f t="shared" si="88"/>
        <v>Eintrag 1127</v>
      </c>
      <c r="B1128" s="18">
        <v>100</v>
      </c>
      <c r="C1128" s="19">
        <v>100</v>
      </c>
      <c r="D1128" s="20">
        <v>10</v>
      </c>
      <c r="E1128" s="20">
        <v>10</v>
      </c>
      <c r="F1128" s="20">
        <v>10</v>
      </c>
      <c r="G1128" s="19">
        <f t="shared" si="87"/>
        <v>172</v>
      </c>
      <c r="H1128" s="22">
        <f t="shared" si="89"/>
        <v>1127</v>
      </c>
      <c r="I1128" s="21">
        <f t="shared" ca="1" si="77"/>
        <v>0</v>
      </c>
      <c r="J1128" s="21" t="str">
        <f ca="1">IF(I1128=0,"",COUNTIF($I$2:I1128,"&gt;0"))</f>
        <v/>
      </c>
      <c r="K1128" s="21" t="str">
        <f t="shared" ca="1" si="86"/>
        <v/>
      </c>
    </row>
    <row r="1129" spans="1:11" s="18" customFormat="1" ht="14.25" x14ac:dyDescent="0.2">
      <c r="A1129" s="18" t="str">
        <f t="shared" si="88"/>
        <v>Eintrag 1128</v>
      </c>
      <c r="B1129" s="18">
        <v>100</v>
      </c>
      <c r="C1129" s="19">
        <v>100</v>
      </c>
      <c r="D1129" s="20">
        <v>10</v>
      </c>
      <c r="E1129" s="20">
        <v>10</v>
      </c>
      <c r="F1129" s="20">
        <v>10</v>
      </c>
      <c r="G1129" s="19">
        <f t="shared" si="87"/>
        <v>172</v>
      </c>
      <c r="H1129" s="22">
        <f t="shared" si="89"/>
        <v>1128</v>
      </c>
      <c r="I1129" s="21">
        <f t="shared" ca="1" si="77"/>
        <v>0</v>
      </c>
      <c r="J1129" s="21" t="str">
        <f ca="1">IF(I1129=0,"",COUNTIF($I$2:I1129,"&gt;0"))</f>
        <v/>
      </c>
      <c r="K1129" s="21" t="str">
        <f t="shared" ca="1" si="86"/>
        <v/>
      </c>
    </row>
    <row r="1130" spans="1:11" s="18" customFormat="1" ht="14.25" x14ac:dyDescent="0.2">
      <c r="A1130" s="18" t="str">
        <f t="shared" si="88"/>
        <v>Eintrag 1129</v>
      </c>
      <c r="B1130" s="18">
        <v>100</v>
      </c>
      <c r="C1130" s="19">
        <v>100</v>
      </c>
      <c r="D1130" s="20">
        <v>10</v>
      </c>
      <c r="E1130" s="20">
        <v>10</v>
      </c>
      <c r="F1130" s="20">
        <v>10</v>
      </c>
      <c r="G1130" s="19">
        <f t="shared" si="87"/>
        <v>172</v>
      </c>
      <c r="H1130" s="22">
        <f t="shared" si="89"/>
        <v>1129</v>
      </c>
      <c r="I1130" s="21">
        <f t="shared" ca="1" si="77"/>
        <v>0</v>
      </c>
      <c r="J1130" s="21" t="str">
        <f ca="1">IF(I1130=0,"",COUNTIF($I$2:I1130,"&gt;0"))</f>
        <v/>
      </c>
      <c r="K1130" s="21" t="str">
        <f t="shared" ca="1" si="86"/>
        <v/>
      </c>
    </row>
    <row r="1131" spans="1:11" s="18" customFormat="1" ht="14.25" x14ac:dyDescent="0.2">
      <c r="A1131" s="18" t="str">
        <f t="shared" si="88"/>
        <v>Eintrag 1130</v>
      </c>
      <c r="B1131" s="18">
        <v>100</v>
      </c>
      <c r="C1131" s="19">
        <v>100</v>
      </c>
      <c r="D1131" s="20">
        <v>10</v>
      </c>
      <c r="E1131" s="20">
        <v>10</v>
      </c>
      <c r="F1131" s="20">
        <v>10</v>
      </c>
      <c r="G1131" s="19">
        <f t="shared" si="87"/>
        <v>172</v>
      </c>
      <c r="H1131" s="22">
        <f t="shared" si="89"/>
        <v>1130</v>
      </c>
      <c r="I1131" s="21">
        <f t="shared" ca="1" si="77"/>
        <v>0</v>
      </c>
      <c r="J1131" s="21" t="str">
        <f ca="1">IF(I1131=0,"",COUNTIF($I$2:I1131,"&gt;0"))</f>
        <v/>
      </c>
      <c r="K1131" s="21" t="str">
        <f t="shared" ca="1" si="86"/>
        <v/>
      </c>
    </row>
    <row r="1132" spans="1:11" s="18" customFormat="1" ht="14.25" x14ac:dyDescent="0.2">
      <c r="A1132" s="18" t="str">
        <f t="shared" si="88"/>
        <v>Eintrag 1131</v>
      </c>
      <c r="B1132" s="18">
        <v>100</v>
      </c>
      <c r="C1132" s="19">
        <v>100</v>
      </c>
      <c r="D1132" s="20">
        <v>10</v>
      </c>
      <c r="E1132" s="20">
        <v>10</v>
      </c>
      <c r="F1132" s="20">
        <v>10</v>
      </c>
      <c r="G1132" s="19">
        <f t="shared" si="87"/>
        <v>172</v>
      </c>
      <c r="H1132" s="22">
        <f t="shared" si="89"/>
        <v>1131</v>
      </c>
      <c r="I1132" s="21">
        <f t="shared" ca="1" si="77"/>
        <v>0</v>
      </c>
      <c r="J1132" s="21" t="str">
        <f ca="1">IF(I1132=0,"",COUNTIF($I$2:I1132,"&gt;0"))</f>
        <v/>
      </c>
      <c r="K1132" s="21" t="str">
        <f t="shared" ca="1" si="86"/>
        <v/>
      </c>
    </row>
    <row r="1133" spans="1:11" s="18" customFormat="1" ht="14.25" x14ac:dyDescent="0.2">
      <c r="A1133" s="18" t="str">
        <f t="shared" si="88"/>
        <v>Eintrag 1132</v>
      </c>
      <c r="B1133" s="18">
        <v>100</v>
      </c>
      <c r="C1133" s="19">
        <v>100</v>
      </c>
      <c r="D1133" s="20">
        <v>10</v>
      </c>
      <c r="E1133" s="20">
        <v>10</v>
      </c>
      <c r="F1133" s="20">
        <v>10</v>
      </c>
      <c r="G1133" s="19">
        <f t="shared" si="87"/>
        <v>172</v>
      </c>
      <c r="H1133" s="22">
        <f t="shared" si="89"/>
        <v>1132</v>
      </c>
      <c r="I1133" s="21">
        <f t="shared" ca="1" si="77"/>
        <v>0</v>
      </c>
      <c r="J1133" s="21" t="str">
        <f ca="1">IF(I1133=0,"",COUNTIF($I$2:I1133,"&gt;0"))</f>
        <v/>
      </c>
      <c r="K1133" s="21" t="str">
        <f t="shared" ca="1" si="86"/>
        <v/>
      </c>
    </row>
    <row r="1134" spans="1:11" s="18" customFormat="1" ht="14.25" x14ac:dyDescent="0.2">
      <c r="A1134" s="18" t="str">
        <f t="shared" si="88"/>
        <v>Eintrag 1133</v>
      </c>
      <c r="B1134" s="18">
        <v>100</v>
      </c>
      <c r="C1134" s="19">
        <v>100</v>
      </c>
      <c r="D1134" s="20">
        <v>10</v>
      </c>
      <c r="E1134" s="20">
        <v>10</v>
      </c>
      <c r="F1134" s="20">
        <v>10</v>
      </c>
      <c r="G1134" s="19">
        <f t="shared" si="87"/>
        <v>172</v>
      </c>
      <c r="H1134" s="22">
        <f t="shared" si="89"/>
        <v>1133</v>
      </c>
      <c r="I1134" s="21">
        <f t="shared" ca="1" si="77"/>
        <v>0</v>
      </c>
      <c r="J1134" s="21" t="str">
        <f ca="1">IF(I1134=0,"",COUNTIF($I$2:I1134,"&gt;0"))</f>
        <v/>
      </c>
      <c r="K1134" s="21" t="str">
        <f t="shared" ca="1" si="86"/>
        <v/>
      </c>
    </row>
    <row r="1135" spans="1:11" s="18" customFormat="1" ht="14.25" x14ac:dyDescent="0.2">
      <c r="A1135" s="18" t="str">
        <f t="shared" si="88"/>
        <v>Eintrag 1134</v>
      </c>
      <c r="B1135" s="18">
        <v>100</v>
      </c>
      <c r="C1135" s="19">
        <v>100</v>
      </c>
      <c r="D1135" s="20">
        <v>10</v>
      </c>
      <c r="E1135" s="20">
        <v>10</v>
      </c>
      <c r="F1135" s="20">
        <v>10</v>
      </c>
      <c r="G1135" s="19">
        <f t="shared" si="87"/>
        <v>172</v>
      </c>
      <c r="H1135" s="22">
        <f t="shared" si="89"/>
        <v>1134</v>
      </c>
      <c r="I1135" s="21">
        <f t="shared" ca="1" si="77"/>
        <v>0</v>
      </c>
      <c r="J1135" s="21" t="str">
        <f ca="1">IF(I1135=0,"",COUNTIF($I$2:I1135,"&gt;0"))</f>
        <v/>
      </c>
      <c r="K1135" s="21" t="str">
        <f t="shared" ca="1" si="86"/>
        <v/>
      </c>
    </row>
    <row r="1136" spans="1:11" s="18" customFormat="1" ht="14.25" x14ac:dyDescent="0.2">
      <c r="A1136" s="18" t="str">
        <f t="shared" si="88"/>
        <v>Eintrag 1135</v>
      </c>
      <c r="B1136" s="18">
        <v>100</v>
      </c>
      <c r="C1136" s="19">
        <v>100</v>
      </c>
      <c r="D1136" s="20">
        <v>10</v>
      </c>
      <c r="E1136" s="20">
        <v>10</v>
      </c>
      <c r="F1136" s="20">
        <v>10</v>
      </c>
      <c r="G1136" s="19">
        <f t="shared" si="87"/>
        <v>172</v>
      </c>
      <c r="H1136" s="22">
        <f t="shared" si="89"/>
        <v>1135</v>
      </c>
      <c r="I1136" s="21">
        <f t="shared" ca="1" si="77"/>
        <v>0</v>
      </c>
      <c r="J1136" s="21" t="str">
        <f ca="1">IF(I1136=0,"",COUNTIF($I$2:I1136,"&gt;0"))</f>
        <v/>
      </c>
      <c r="K1136" s="21" t="str">
        <f t="shared" ca="1" si="86"/>
        <v/>
      </c>
    </row>
    <row r="1137" spans="1:11" s="18" customFormat="1" ht="14.25" x14ac:dyDescent="0.2">
      <c r="A1137" s="18" t="str">
        <f t="shared" si="88"/>
        <v>Eintrag 1136</v>
      </c>
      <c r="B1137" s="18">
        <v>100</v>
      </c>
      <c r="C1137" s="19">
        <v>100</v>
      </c>
      <c r="D1137" s="20">
        <v>10</v>
      </c>
      <c r="E1137" s="20">
        <v>10</v>
      </c>
      <c r="F1137" s="20">
        <v>10</v>
      </c>
      <c r="G1137" s="19">
        <f t="shared" si="87"/>
        <v>172</v>
      </c>
      <c r="H1137" s="22">
        <f t="shared" si="89"/>
        <v>1136</v>
      </c>
      <c r="I1137" s="21">
        <f t="shared" ca="1" si="77"/>
        <v>0</v>
      </c>
      <c r="J1137" s="21" t="str">
        <f ca="1">IF(I1137=0,"",COUNTIF($I$2:I1137,"&gt;0"))</f>
        <v/>
      </c>
      <c r="K1137" s="21" t="str">
        <f t="shared" ca="1" si="86"/>
        <v/>
      </c>
    </row>
    <row r="1138" spans="1:11" s="18" customFormat="1" ht="14.25" x14ac:dyDescent="0.2">
      <c r="A1138" s="18" t="str">
        <f t="shared" si="88"/>
        <v>Eintrag 1137</v>
      </c>
      <c r="B1138" s="18">
        <v>100</v>
      </c>
      <c r="C1138" s="19">
        <v>100</v>
      </c>
      <c r="D1138" s="20">
        <v>10</v>
      </c>
      <c r="E1138" s="20">
        <v>10</v>
      </c>
      <c r="F1138" s="20">
        <v>10</v>
      </c>
      <c r="G1138" s="19">
        <f t="shared" si="87"/>
        <v>172</v>
      </c>
      <c r="H1138" s="22">
        <f t="shared" si="89"/>
        <v>1137</v>
      </c>
      <c r="I1138" s="21">
        <f t="shared" ca="1" si="77"/>
        <v>0</v>
      </c>
      <c r="J1138" s="21" t="str">
        <f ca="1">IF(I1138=0,"",COUNTIF($I$2:I1138,"&gt;0"))</f>
        <v/>
      </c>
      <c r="K1138" s="21" t="str">
        <f t="shared" ca="1" si="86"/>
        <v/>
      </c>
    </row>
    <row r="1139" spans="1:11" s="18" customFormat="1" ht="14.25" x14ac:dyDescent="0.2">
      <c r="A1139" s="18" t="str">
        <f t="shared" si="88"/>
        <v>Eintrag 1138</v>
      </c>
      <c r="B1139" s="18">
        <v>100</v>
      </c>
      <c r="C1139" s="19">
        <v>100</v>
      </c>
      <c r="D1139" s="20">
        <v>10</v>
      </c>
      <c r="E1139" s="20">
        <v>10</v>
      </c>
      <c r="F1139" s="20">
        <v>10</v>
      </c>
      <c r="G1139" s="19">
        <f t="shared" si="87"/>
        <v>172</v>
      </c>
      <c r="H1139" s="22">
        <f t="shared" si="89"/>
        <v>1138</v>
      </c>
      <c r="I1139" s="21">
        <f t="shared" ca="1" si="77"/>
        <v>0</v>
      </c>
      <c r="J1139" s="21" t="str">
        <f ca="1">IF(I1139=0,"",COUNTIF($I$2:I1139,"&gt;0"))</f>
        <v/>
      </c>
      <c r="K1139" s="21" t="str">
        <f t="shared" ca="1" si="86"/>
        <v/>
      </c>
    </row>
    <row r="1140" spans="1:11" s="18" customFormat="1" ht="14.25" x14ac:dyDescent="0.2">
      <c r="A1140" s="18" t="str">
        <f t="shared" si="88"/>
        <v>Eintrag 1139</v>
      </c>
      <c r="B1140" s="18">
        <v>100</v>
      </c>
      <c r="C1140" s="19">
        <v>100</v>
      </c>
      <c r="D1140" s="20">
        <v>10</v>
      </c>
      <c r="E1140" s="20">
        <v>10</v>
      </c>
      <c r="F1140" s="20">
        <v>10</v>
      </c>
      <c r="G1140" s="19">
        <f t="shared" si="87"/>
        <v>172</v>
      </c>
      <c r="H1140" s="22">
        <f t="shared" si="89"/>
        <v>1139</v>
      </c>
      <c r="I1140" s="21">
        <f t="shared" ca="1" si="77"/>
        <v>0</v>
      </c>
      <c r="J1140" s="21" t="str">
        <f ca="1">IF(I1140=0,"",COUNTIF($I$2:I1140,"&gt;0"))</f>
        <v/>
      </c>
      <c r="K1140" s="21" t="str">
        <f t="shared" ca="1" si="86"/>
        <v/>
      </c>
    </row>
    <row r="1141" spans="1:11" s="18" customFormat="1" ht="14.25" x14ac:dyDescent="0.2">
      <c r="A1141" s="18" t="str">
        <f t="shared" si="88"/>
        <v>Eintrag 1140</v>
      </c>
      <c r="B1141" s="18">
        <v>100</v>
      </c>
      <c r="C1141" s="19">
        <v>100</v>
      </c>
      <c r="D1141" s="20">
        <v>10</v>
      </c>
      <c r="E1141" s="20">
        <v>10</v>
      </c>
      <c r="F1141" s="20">
        <v>10</v>
      </c>
      <c r="G1141" s="19">
        <f t="shared" si="87"/>
        <v>172</v>
      </c>
      <c r="H1141" s="22">
        <f t="shared" si="89"/>
        <v>1140</v>
      </c>
      <c r="I1141" s="21">
        <f t="shared" ca="1" si="77"/>
        <v>0</v>
      </c>
      <c r="J1141" s="21" t="str">
        <f ca="1">IF(I1141=0,"",COUNTIF($I$2:I1141,"&gt;0"))</f>
        <v/>
      </c>
      <c r="K1141" s="21" t="str">
        <f t="shared" ca="1" si="86"/>
        <v/>
      </c>
    </row>
    <row r="1142" spans="1:11" s="18" customFormat="1" ht="14.25" x14ac:dyDescent="0.2">
      <c r="A1142" s="18" t="str">
        <f t="shared" si="88"/>
        <v>Eintrag 1141</v>
      </c>
      <c r="B1142" s="18">
        <v>100</v>
      </c>
      <c r="C1142" s="19">
        <v>100</v>
      </c>
      <c r="D1142" s="20">
        <v>10</v>
      </c>
      <c r="E1142" s="20">
        <v>10</v>
      </c>
      <c r="F1142" s="20">
        <v>10</v>
      </c>
      <c r="G1142" s="19">
        <f t="shared" si="87"/>
        <v>172</v>
      </c>
      <c r="H1142" s="22">
        <f t="shared" si="89"/>
        <v>1141</v>
      </c>
      <c r="I1142" s="21">
        <f t="shared" ca="1" si="77"/>
        <v>0</v>
      </c>
      <c r="J1142" s="21" t="str">
        <f ca="1">IF(I1142=0,"",COUNTIF($I$2:I1142,"&gt;0"))</f>
        <v/>
      </c>
      <c r="K1142" s="21" t="str">
        <f t="shared" ca="1" si="86"/>
        <v/>
      </c>
    </row>
    <row r="1143" spans="1:11" s="18" customFormat="1" ht="14.25" x14ac:dyDescent="0.2">
      <c r="A1143" s="18" t="str">
        <f t="shared" si="88"/>
        <v>Eintrag 1142</v>
      </c>
      <c r="B1143" s="18">
        <v>100</v>
      </c>
      <c r="C1143" s="19">
        <v>100</v>
      </c>
      <c r="D1143" s="20">
        <v>10</v>
      </c>
      <c r="E1143" s="20">
        <v>10</v>
      </c>
      <c r="F1143" s="20">
        <v>10</v>
      </c>
      <c r="G1143" s="19">
        <f t="shared" si="87"/>
        <v>172</v>
      </c>
      <c r="H1143" s="22">
        <f t="shared" si="89"/>
        <v>1142</v>
      </c>
      <c r="I1143" s="21">
        <f t="shared" ca="1" si="77"/>
        <v>0</v>
      </c>
      <c r="J1143" s="21" t="str">
        <f ca="1">IF(I1143=0,"",COUNTIF($I$2:I1143,"&gt;0"))</f>
        <v/>
      </c>
      <c r="K1143" s="21" t="str">
        <f t="shared" ca="1" si="86"/>
        <v/>
      </c>
    </row>
    <row r="1144" spans="1:11" s="18" customFormat="1" ht="14.25" x14ac:dyDescent="0.2">
      <c r="A1144" s="18" t="str">
        <f t="shared" si="88"/>
        <v>Eintrag 1143</v>
      </c>
      <c r="B1144" s="18">
        <v>100</v>
      </c>
      <c r="C1144" s="19">
        <v>100</v>
      </c>
      <c r="D1144" s="20">
        <v>10</v>
      </c>
      <c r="E1144" s="20">
        <v>10</v>
      </c>
      <c r="F1144" s="20">
        <v>10</v>
      </c>
      <c r="G1144" s="19">
        <f t="shared" si="87"/>
        <v>172</v>
      </c>
      <c r="H1144" s="22">
        <f t="shared" si="89"/>
        <v>1143</v>
      </c>
      <c r="I1144" s="21">
        <f t="shared" ca="1" si="77"/>
        <v>0</v>
      </c>
      <c r="J1144" s="21" t="str">
        <f ca="1">IF(I1144=0,"",COUNTIF($I$2:I1144,"&gt;0"))</f>
        <v/>
      </c>
      <c r="K1144" s="21" t="str">
        <f t="shared" ca="1" si="86"/>
        <v/>
      </c>
    </row>
    <row r="1145" spans="1:11" s="18" customFormat="1" ht="14.25" x14ac:dyDescent="0.2">
      <c r="A1145" s="18" t="str">
        <f t="shared" si="88"/>
        <v>Eintrag 1144</v>
      </c>
      <c r="B1145" s="18">
        <v>100</v>
      </c>
      <c r="C1145" s="19">
        <v>100</v>
      </c>
      <c r="D1145" s="20">
        <v>10</v>
      </c>
      <c r="E1145" s="20">
        <v>10</v>
      </c>
      <c r="F1145" s="20">
        <v>10</v>
      </c>
      <c r="G1145" s="19">
        <f t="shared" si="87"/>
        <v>172</v>
      </c>
      <c r="H1145" s="22">
        <f t="shared" si="89"/>
        <v>1144</v>
      </c>
      <c r="I1145" s="21">
        <f t="shared" ca="1" si="77"/>
        <v>0</v>
      </c>
      <c r="J1145" s="21" t="str">
        <f ca="1">IF(I1145=0,"",COUNTIF($I$2:I1145,"&gt;0"))</f>
        <v/>
      </c>
      <c r="K1145" s="21" t="str">
        <f t="shared" ca="1" si="86"/>
        <v/>
      </c>
    </row>
    <row r="1146" spans="1:11" s="18" customFormat="1" ht="14.25" x14ac:dyDescent="0.2">
      <c r="A1146" s="18" t="str">
        <f t="shared" si="88"/>
        <v>Eintrag 1145</v>
      </c>
      <c r="B1146" s="18">
        <v>100</v>
      </c>
      <c r="C1146" s="19">
        <v>100</v>
      </c>
      <c r="D1146" s="20">
        <v>10</v>
      </c>
      <c r="E1146" s="20">
        <v>10</v>
      </c>
      <c r="F1146" s="20">
        <v>10</v>
      </c>
      <c r="G1146" s="19">
        <f t="shared" si="87"/>
        <v>172</v>
      </c>
      <c r="H1146" s="22">
        <f t="shared" si="89"/>
        <v>1145</v>
      </c>
      <c r="I1146" s="21">
        <f t="shared" ca="1" si="77"/>
        <v>0</v>
      </c>
      <c r="J1146" s="21" t="str">
        <f ca="1">IF(I1146=0,"",COUNTIF($I$2:I1146,"&gt;0"))</f>
        <v/>
      </c>
      <c r="K1146" s="21" t="str">
        <f t="shared" ca="1" si="86"/>
        <v/>
      </c>
    </row>
    <row r="1147" spans="1:11" s="18" customFormat="1" ht="14.25" x14ac:dyDescent="0.2">
      <c r="A1147" s="18" t="str">
        <f t="shared" si="88"/>
        <v>Eintrag 1146</v>
      </c>
      <c r="B1147" s="18">
        <v>100</v>
      </c>
      <c r="C1147" s="19">
        <v>100</v>
      </c>
      <c r="D1147" s="20">
        <v>10</v>
      </c>
      <c r="E1147" s="20">
        <v>10</v>
      </c>
      <c r="F1147" s="20">
        <v>10</v>
      </c>
      <c r="G1147" s="19">
        <f t="shared" si="87"/>
        <v>172</v>
      </c>
      <c r="H1147" s="22">
        <f t="shared" si="89"/>
        <v>1146</v>
      </c>
      <c r="I1147" s="21">
        <f t="shared" ca="1" si="77"/>
        <v>0</v>
      </c>
      <c r="J1147" s="21" t="str">
        <f ca="1">IF(I1147=0,"",COUNTIF($I$2:I1147,"&gt;0"))</f>
        <v/>
      </c>
      <c r="K1147" s="21" t="str">
        <f t="shared" ca="1" si="86"/>
        <v/>
      </c>
    </row>
    <row r="1148" spans="1:11" s="18" customFormat="1" ht="14.25" x14ac:dyDescent="0.2">
      <c r="A1148" s="18" t="str">
        <f t="shared" si="88"/>
        <v>Eintrag 1147</v>
      </c>
      <c r="B1148" s="18">
        <v>100</v>
      </c>
      <c r="C1148" s="19">
        <v>100</v>
      </c>
      <c r="D1148" s="20">
        <v>10</v>
      </c>
      <c r="E1148" s="20">
        <v>10</v>
      </c>
      <c r="F1148" s="20">
        <v>10</v>
      </c>
      <c r="G1148" s="19">
        <f t="shared" si="87"/>
        <v>172</v>
      </c>
      <c r="H1148" s="22">
        <f t="shared" si="89"/>
        <v>1147</v>
      </c>
      <c r="I1148" s="21">
        <f t="shared" ca="1" si="77"/>
        <v>0</v>
      </c>
      <c r="J1148" s="21" t="str">
        <f ca="1">IF(I1148=0,"",COUNTIF($I$2:I1148,"&gt;0"))</f>
        <v/>
      </c>
      <c r="K1148" s="21" t="str">
        <f t="shared" ca="1" si="86"/>
        <v/>
      </c>
    </row>
    <row r="1149" spans="1:11" s="18" customFormat="1" ht="14.25" x14ac:dyDescent="0.2">
      <c r="A1149" s="18" t="str">
        <f t="shared" si="88"/>
        <v>Eintrag 1148</v>
      </c>
      <c r="B1149" s="18">
        <v>100</v>
      </c>
      <c r="C1149" s="19">
        <v>100</v>
      </c>
      <c r="D1149" s="20">
        <v>10</v>
      </c>
      <c r="E1149" s="20">
        <v>10</v>
      </c>
      <c r="F1149" s="20">
        <v>10</v>
      </c>
      <c r="G1149" s="19">
        <f t="shared" si="87"/>
        <v>172</v>
      </c>
      <c r="H1149" s="22">
        <f t="shared" si="89"/>
        <v>1148</v>
      </c>
      <c r="I1149" s="21">
        <f t="shared" ca="1" si="77"/>
        <v>0</v>
      </c>
      <c r="J1149" s="21" t="str">
        <f ca="1">IF(I1149=0,"",COUNTIF($I$2:I1149,"&gt;0"))</f>
        <v/>
      </c>
      <c r="K1149" s="21" t="str">
        <f t="shared" ca="1" si="86"/>
        <v/>
      </c>
    </row>
    <row r="1150" spans="1:11" s="18" customFormat="1" ht="14.25" x14ac:dyDescent="0.2">
      <c r="A1150" s="18" t="str">
        <f t="shared" si="88"/>
        <v>Eintrag 1149</v>
      </c>
      <c r="B1150" s="18">
        <v>100</v>
      </c>
      <c r="C1150" s="19">
        <v>100</v>
      </c>
      <c r="D1150" s="20">
        <v>10</v>
      </c>
      <c r="E1150" s="20">
        <v>10</v>
      </c>
      <c r="F1150" s="20">
        <v>10</v>
      </c>
      <c r="G1150" s="19">
        <f t="shared" si="87"/>
        <v>172</v>
      </c>
      <c r="H1150" s="22">
        <f t="shared" si="89"/>
        <v>1149</v>
      </c>
      <c r="I1150" s="21">
        <f t="shared" ca="1" si="77"/>
        <v>0</v>
      </c>
      <c r="J1150" s="21" t="str">
        <f ca="1">IF(I1150=0,"",COUNTIF($I$2:I1150,"&gt;0"))</f>
        <v/>
      </c>
      <c r="K1150" s="21" t="str">
        <f t="shared" ca="1" si="86"/>
        <v/>
      </c>
    </row>
    <row r="1151" spans="1:11" s="18" customFormat="1" ht="14.25" x14ac:dyDescent="0.2">
      <c r="A1151" s="18" t="str">
        <f t="shared" si="88"/>
        <v>Eintrag 1150</v>
      </c>
      <c r="B1151" s="18">
        <v>100</v>
      </c>
      <c r="C1151" s="19">
        <v>100</v>
      </c>
      <c r="D1151" s="20">
        <v>10</v>
      </c>
      <c r="E1151" s="20">
        <v>10</v>
      </c>
      <c r="F1151" s="20">
        <v>10</v>
      </c>
      <c r="G1151" s="19">
        <f t="shared" si="87"/>
        <v>172</v>
      </c>
      <c r="H1151" s="22">
        <f t="shared" si="89"/>
        <v>1150</v>
      </c>
      <c r="I1151" s="21">
        <f t="shared" ca="1" si="77"/>
        <v>0</v>
      </c>
      <c r="J1151" s="21" t="str">
        <f ca="1">IF(I1151=0,"",COUNTIF($I$2:I1151,"&gt;0"))</f>
        <v/>
      </c>
      <c r="K1151" s="21" t="str">
        <f t="shared" ca="1" si="86"/>
        <v/>
      </c>
    </row>
    <row r="1152" spans="1:11" s="18" customFormat="1" ht="14.25" x14ac:dyDescent="0.2">
      <c r="A1152" s="18" t="str">
        <f t="shared" si="88"/>
        <v>Eintrag 1151</v>
      </c>
      <c r="B1152" s="18">
        <v>100</v>
      </c>
      <c r="C1152" s="19">
        <v>100</v>
      </c>
      <c r="D1152" s="20">
        <v>10</v>
      </c>
      <c r="E1152" s="20">
        <v>10</v>
      </c>
      <c r="F1152" s="20">
        <v>10</v>
      </c>
      <c r="G1152" s="19">
        <f t="shared" si="87"/>
        <v>172</v>
      </c>
      <c r="H1152" s="22">
        <f t="shared" si="89"/>
        <v>1151</v>
      </c>
      <c r="I1152" s="21">
        <f t="shared" ca="1" si="77"/>
        <v>0</v>
      </c>
      <c r="J1152" s="21" t="str">
        <f ca="1">IF(I1152=0,"",COUNTIF($I$2:I1152,"&gt;0"))</f>
        <v/>
      </c>
      <c r="K1152" s="21" t="str">
        <f t="shared" ca="1" si="86"/>
        <v/>
      </c>
    </row>
    <row r="1153" spans="1:11" s="18" customFormat="1" ht="14.25" x14ac:dyDescent="0.2">
      <c r="A1153" s="18" t="str">
        <f t="shared" si="88"/>
        <v>Eintrag 1152</v>
      </c>
      <c r="B1153" s="18">
        <v>100</v>
      </c>
      <c r="C1153" s="19">
        <v>100</v>
      </c>
      <c r="D1153" s="20">
        <v>10</v>
      </c>
      <c r="E1153" s="20">
        <v>10</v>
      </c>
      <c r="F1153" s="20">
        <v>10</v>
      </c>
      <c r="G1153" s="19">
        <f t="shared" si="87"/>
        <v>172</v>
      </c>
      <c r="H1153" s="22">
        <f t="shared" si="89"/>
        <v>1152</v>
      </c>
      <c r="I1153" s="21">
        <f t="shared" ca="1" si="77"/>
        <v>0</v>
      </c>
      <c r="J1153" s="21" t="str">
        <f ca="1">IF(I1153=0,"",COUNTIF($I$2:I1153,"&gt;0"))</f>
        <v/>
      </c>
      <c r="K1153" s="21" t="str">
        <f t="shared" ca="1" si="86"/>
        <v/>
      </c>
    </row>
    <row r="1154" spans="1:11" s="18" customFormat="1" ht="14.25" x14ac:dyDescent="0.2">
      <c r="A1154" s="18" t="str">
        <f t="shared" si="88"/>
        <v>Eintrag 1153</v>
      </c>
      <c r="B1154" s="18">
        <v>100</v>
      </c>
      <c r="C1154" s="19">
        <v>100</v>
      </c>
      <c r="D1154" s="20">
        <v>10</v>
      </c>
      <c r="E1154" s="20">
        <v>10</v>
      </c>
      <c r="F1154" s="20">
        <v>10</v>
      </c>
      <c r="G1154" s="19">
        <f t="shared" si="87"/>
        <v>172</v>
      </c>
      <c r="H1154" s="22">
        <f t="shared" si="89"/>
        <v>1153</v>
      </c>
      <c r="I1154" s="21">
        <f t="shared" ca="1" si="77"/>
        <v>0</v>
      </c>
      <c r="J1154" s="21" t="str">
        <f ca="1">IF(I1154=0,"",COUNTIF($I$2:I1154,"&gt;0"))</f>
        <v/>
      </c>
      <c r="K1154" s="21" t="str">
        <f t="shared" ref="K1154:K1217" ca="1" si="90">IFERROR(INDEX(A:A,MATCH(ROW(I1153),J:J,0)),"")</f>
        <v/>
      </c>
    </row>
    <row r="1155" spans="1:11" s="18" customFormat="1" ht="14.25" x14ac:dyDescent="0.2">
      <c r="A1155" s="18" t="str">
        <f t="shared" si="88"/>
        <v>Eintrag 1154</v>
      </c>
      <c r="B1155" s="18">
        <v>100</v>
      </c>
      <c r="C1155" s="19">
        <v>100</v>
      </c>
      <c r="D1155" s="20">
        <v>10</v>
      </c>
      <c r="E1155" s="20">
        <v>10</v>
      </c>
      <c r="F1155" s="20">
        <v>10</v>
      </c>
      <c r="G1155" s="19">
        <f t="shared" ref="G1155:G1218" si="91">D1155*9+E1155*4.1+F1155*4.1</f>
        <v>172</v>
      </c>
      <c r="H1155" s="22">
        <f t="shared" si="89"/>
        <v>1154</v>
      </c>
      <c r="I1155" s="21">
        <f t="shared" ca="1" si="77"/>
        <v>0</v>
      </c>
      <c r="J1155" s="21" t="str">
        <f ca="1">IF(I1155=0,"",COUNTIF($I$2:I1155,"&gt;0"))</f>
        <v/>
      </c>
      <c r="K1155" s="21" t="str">
        <f t="shared" ca="1" si="90"/>
        <v/>
      </c>
    </row>
    <row r="1156" spans="1:11" s="18" customFormat="1" ht="14.25" x14ac:dyDescent="0.2">
      <c r="A1156" s="18" t="str">
        <f t="shared" si="88"/>
        <v>Eintrag 1155</v>
      </c>
      <c r="B1156" s="18">
        <v>100</v>
      </c>
      <c r="C1156" s="19">
        <v>100</v>
      </c>
      <c r="D1156" s="20">
        <v>10</v>
      </c>
      <c r="E1156" s="20">
        <v>10</v>
      </c>
      <c r="F1156" s="20">
        <v>10</v>
      </c>
      <c r="G1156" s="19">
        <f t="shared" si="91"/>
        <v>172</v>
      </c>
      <c r="H1156" s="22">
        <f t="shared" si="89"/>
        <v>1155</v>
      </c>
      <c r="I1156" s="21">
        <f t="shared" ca="1" si="77"/>
        <v>0</v>
      </c>
      <c r="J1156" s="21" t="str">
        <f ca="1">IF(I1156=0,"",COUNTIF($I$2:I1156,"&gt;0"))</f>
        <v/>
      </c>
      <c r="K1156" s="21" t="str">
        <f t="shared" ca="1" si="90"/>
        <v/>
      </c>
    </row>
    <row r="1157" spans="1:11" s="18" customFormat="1" ht="14.25" x14ac:dyDescent="0.2">
      <c r="A1157" s="18" t="str">
        <f t="shared" si="88"/>
        <v>Eintrag 1156</v>
      </c>
      <c r="B1157" s="18">
        <v>100</v>
      </c>
      <c r="C1157" s="19">
        <v>100</v>
      </c>
      <c r="D1157" s="20">
        <v>10</v>
      </c>
      <c r="E1157" s="20">
        <v>10</v>
      </c>
      <c r="F1157" s="20">
        <v>10</v>
      </c>
      <c r="G1157" s="19">
        <f t="shared" si="91"/>
        <v>172</v>
      </c>
      <c r="H1157" s="22">
        <f t="shared" si="89"/>
        <v>1156</v>
      </c>
      <c r="I1157" s="21">
        <f t="shared" ca="1" si="77"/>
        <v>0</v>
      </c>
      <c r="J1157" s="21" t="str">
        <f ca="1">IF(I1157=0,"",COUNTIF($I$2:I1157,"&gt;0"))</f>
        <v/>
      </c>
      <c r="K1157" s="21" t="str">
        <f t="shared" ca="1" si="90"/>
        <v/>
      </c>
    </row>
    <row r="1158" spans="1:11" s="18" customFormat="1" ht="14.25" x14ac:dyDescent="0.2">
      <c r="A1158" s="18" t="str">
        <f t="shared" si="88"/>
        <v>Eintrag 1157</v>
      </c>
      <c r="B1158" s="18">
        <v>100</v>
      </c>
      <c r="C1158" s="19">
        <v>100</v>
      </c>
      <c r="D1158" s="20">
        <v>10</v>
      </c>
      <c r="E1158" s="20">
        <v>10</v>
      </c>
      <c r="F1158" s="20">
        <v>10</v>
      </c>
      <c r="G1158" s="19">
        <f t="shared" si="91"/>
        <v>172</v>
      </c>
      <c r="H1158" s="22">
        <f t="shared" si="89"/>
        <v>1157</v>
      </c>
      <c r="I1158" s="21">
        <f t="shared" ca="1" si="77"/>
        <v>0</v>
      </c>
      <c r="J1158" s="21" t="str">
        <f ca="1">IF(I1158=0,"",COUNTIF($I$2:I1158,"&gt;0"))</f>
        <v/>
      </c>
      <c r="K1158" s="21" t="str">
        <f t="shared" ca="1" si="90"/>
        <v/>
      </c>
    </row>
    <row r="1159" spans="1:11" s="18" customFormat="1" ht="14.25" x14ac:dyDescent="0.2">
      <c r="A1159" s="18" t="str">
        <f t="shared" si="88"/>
        <v>Eintrag 1158</v>
      </c>
      <c r="B1159" s="18">
        <v>100</v>
      </c>
      <c r="C1159" s="19">
        <v>100</v>
      </c>
      <c r="D1159" s="20">
        <v>10</v>
      </c>
      <c r="E1159" s="20">
        <v>10</v>
      </c>
      <c r="F1159" s="20">
        <v>10</v>
      </c>
      <c r="G1159" s="19">
        <f t="shared" si="91"/>
        <v>172</v>
      </c>
      <c r="H1159" s="22">
        <f t="shared" si="89"/>
        <v>1158</v>
      </c>
      <c r="I1159" s="21">
        <f t="shared" ca="1" si="77"/>
        <v>0</v>
      </c>
      <c r="J1159" s="21" t="str">
        <f ca="1">IF(I1159=0,"",COUNTIF($I$2:I1159,"&gt;0"))</f>
        <v/>
      </c>
      <c r="K1159" s="21" t="str">
        <f t="shared" ca="1" si="90"/>
        <v/>
      </c>
    </row>
    <row r="1160" spans="1:11" s="18" customFormat="1" ht="14.25" x14ac:dyDescent="0.2">
      <c r="A1160" s="18" t="str">
        <f t="shared" si="88"/>
        <v>Eintrag 1159</v>
      </c>
      <c r="B1160" s="18">
        <v>100</v>
      </c>
      <c r="C1160" s="19">
        <v>100</v>
      </c>
      <c r="D1160" s="20">
        <v>10</v>
      </c>
      <c r="E1160" s="20">
        <v>10</v>
      </c>
      <c r="F1160" s="20">
        <v>10</v>
      </c>
      <c r="G1160" s="19">
        <f t="shared" si="91"/>
        <v>172</v>
      </c>
      <c r="H1160" s="22">
        <f t="shared" si="89"/>
        <v>1159</v>
      </c>
      <c r="I1160" s="21">
        <f t="shared" ca="1" si="77"/>
        <v>0</v>
      </c>
      <c r="J1160" s="21" t="str">
        <f ca="1">IF(I1160=0,"",COUNTIF($I$2:I1160,"&gt;0"))</f>
        <v/>
      </c>
      <c r="K1160" s="21" t="str">
        <f t="shared" ca="1" si="90"/>
        <v/>
      </c>
    </row>
    <row r="1161" spans="1:11" s="18" customFormat="1" ht="14.25" x14ac:dyDescent="0.2">
      <c r="A1161" s="18" t="str">
        <f t="shared" si="88"/>
        <v>Eintrag 1160</v>
      </c>
      <c r="B1161" s="18">
        <v>100</v>
      </c>
      <c r="C1161" s="19">
        <v>100</v>
      </c>
      <c r="D1161" s="20">
        <v>10</v>
      </c>
      <c r="E1161" s="20">
        <v>10</v>
      </c>
      <c r="F1161" s="20">
        <v>10</v>
      </c>
      <c r="G1161" s="19">
        <f t="shared" si="91"/>
        <v>172</v>
      </c>
      <c r="H1161" s="22">
        <f t="shared" si="89"/>
        <v>1160</v>
      </c>
      <c r="I1161" s="21">
        <f t="shared" ca="1" si="77"/>
        <v>0</v>
      </c>
      <c r="J1161" s="21" t="str">
        <f ca="1">IF(I1161=0,"",COUNTIF($I$2:I1161,"&gt;0"))</f>
        <v/>
      </c>
      <c r="K1161" s="21" t="str">
        <f t="shared" ca="1" si="90"/>
        <v/>
      </c>
    </row>
    <row r="1162" spans="1:11" s="18" customFormat="1" ht="14.25" x14ac:dyDescent="0.2">
      <c r="A1162" s="18" t="str">
        <f t="shared" si="88"/>
        <v>Eintrag 1161</v>
      </c>
      <c r="B1162" s="18">
        <v>100</v>
      </c>
      <c r="C1162" s="19">
        <v>100</v>
      </c>
      <c r="D1162" s="20">
        <v>10</v>
      </c>
      <c r="E1162" s="20">
        <v>10</v>
      </c>
      <c r="F1162" s="20">
        <v>10</v>
      </c>
      <c r="G1162" s="19">
        <f t="shared" si="91"/>
        <v>172</v>
      </c>
      <c r="H1162" s="22">
        <f t="shared" si="89"/>
        <v>1161</v>
      </c>
      <c r="I1162" s="21">
        <f t="shared" ca="1" si="77"/>
        <v>0</v>
      </c>
      <c r="J1162" s="21" t="str">
        <f ca="1">IF(I1162=0,"",COUNTIF($I$2:I1162,"&gt;0"))</f>
        <v/>
      </c>
      <c r="K1162" s="21" t="str">
        <f t="shared" ca="1" si="90"/>
        <v/>
      </c>
    </row>
    <row r="1163" spans="1:11" s="18" customFormat="1" ht="14.25" x14ac:dyDescent="0.2">
      <c r="A1163" s="18" t="str">
        <f t="shared" si="88"/>
        <v>Eintrag 1162</v>
      </c>
      <c r="B1163" s="18">
        <v>100</v>
      </c>
      <c r="C1163" s="19">
        <v>100</v>
      </c>
      <c r="D1163" s="20">
        <v>10</v>
      </c>
      <c r="E1163" s="20">
        <v>10</v>
      </c>
      <c r="F1163" s="20">
        <v>10</v>
      </c>
      <c r="G1163" s="19">
        <f t="shared" si="91"/>
        <v>172</v>
      </c>
      <c r="H1163" s="22">
        <f t="shared" si="89"/>
        <v>1162</v>
      </c>
      <c r="I1163" s="21">
        <f t="shared" ca="1" si="77"/>
        <v>0</v>
      </c>
      <c r="J1163" s="21" t="str">
        <f ca="1">IF(I1163=0,"",COUNTIF($I$2:I1163,"&gt;0"))</f>
        <v/>
      </c>
      <c r="K1163" s="21" t="str">
        <f t="shared" ca="1" si="90"/>
        <v/>
      </c>
    </row>
    <row r="1164" spans="1:11" s="18" customFormat="1" ht="14.25" x14ac:dyDescent="0.2">
      <c r="A1164" s="18" t="str">
        <f t="shared" si="88"/>
        <v>Eintrag 1163</v>
      </c>
      <c r="B1164" s="18">
        <v>100</v>
      </c>
      <c r="C1164" s="19">
        <v>100</v>
      </c>
      <c r="D1164" s="20">
        <v>10</v>
      </c>
      <c r="E1164" s="20">
        <v>10</v>
      </c>
      <c r="F1164" s="20">
        <v>10</v>
      </c>
      <c r="G1164" s="19">
        <f t="shared" si="91"/>
        <v>172</v>
      </c>
      <c r="H1164" s="22">
        <f t="shared" si="89"/>
        <v>1163</v>
      </c>
      <c r="I1164" s="21">
        <f t="shared" ca="1" si="77"/>
        <v>0</v>
      </c>
      <c r="J1164" s="21" t="str">
        <f ca="1">IF(I1164=0,"",COUNTIF($I$2:I1164,"&gt;0"))</f>
        <v/>
      </c>
      <c r="K1164" s="21" t="str">
        <f t="shared" ca="1" si="90"/>
        <v/>
      </c>
    </row>
    <row r="1165" spans="1:11" s="18" customFormat="1" ht="14.25" x14ac:dyDescent="0.2">
      <c r="A1165" s="18" t="str">
        <f t="shared" si="88"/>
        <v>Eintrag 1164</v>
      </c>
      <c r="B1165" s="18">
        <v>100</v>
      </c>
      <c r="C1165" s="19">
        <v>100</v>
      </c>
      <c r="D1165" s="20">
        <v>10</v>
      </c>
      <c r="E1165" s="20">
        <v>10</v>
      </c>
      <c r="F1165" s="20">
        <v>10</v>
      </c>
      <c r="G1165" s="19">
        <f t="shared" si="91"/>
        <v>172</v>
      </c>
      <c r="H1165" s="22">
        <f t="shared" si="89"/>
        <v>1164</v>
      </c>
      <c r="I1165" s="21">
        <f t="shared" ca="1" si="77"/>
        <v>0</v>
      </c>
      <c r="J1165" s="21" t="str">
        <f ca="1">IF(I1165=0,"",COUNTIF($I$2:I1165,"&gt;0"))</f>
        <v/>
      </c>
      <c r="K1165" s="21" t="str">
        <f t="shared" ca="1" si="90"/>
        <v/>
      </c>
    </row>
    <row r="1166" spans="1:11" s="18" customFormat="1" ht="14.25" x14ac:dyDescent="0.2">
      <c r="A1166" s="18" t="str">
        <f t="shared" si="88"/>
        <v>Eintrag 1165</v>
      </c>
      <c r="B1166" s="18">
        <v>100</v>
      </c>
      <c r="C1166" s="19">
        <v>100</v>
      </c>
      <c r="D1166" s="20">
        <v>10</v>
      </c>
      <c r="E1166" s="20">
        <v>10</v>
      </c>
      <c r="F1166" s="20">
        <v>10</v>
      </c>
      <c r="G1166" s="19">
        <f t="shared" si="91"/>
        <v>172</v>
      </c>
      <c r="H1166" s="22">
        <f t="shared" si="89"/>
        <v>1165</v>
      </c>
      <c r="I1166" s="21">
        <f t="shared" ca="1" si="77"/>
        <v>0</v>
      </c>
      <c r="J1166" s="21" t="str">
        <f ca="1">IF(I1166=0,"",COUNTIF($I$2:I1166,"&gt;0"))</f>
        <v/>
      </c>
      <c r="K1166" s="21" t="str">
        <f t="shared" ca="1" si="90"/>
        <v/>
      </c>
    </row>
    <row r="1167" spans="1:11" s="18" customFormat="1" ht="14.25" x14ac:dyDescent="0.2">
      <c r="A1167" s="18" t="str">
        <f t="shared" si="88"/>
        <v>Eintrag 1166</v>
      </c>
      <c r="B1167" s="18">
        <v>100</v>
      </c>
      <c r="C1167" s="19">
        <v>100</v>
      </c>
      <c r="D1167" s="20">
        <v>10</v>
      </c>
      <c r="E1167" s="20">
        <v>10</v>
      </c>
      <c r="F1167" s="20">
        <v>10</v>
      </c>
      <c r="G1167" s="19">
        <f t="shared" si="91"/>
        <v>172</v>
      </c>
      <c r="H1167" s="22">
        <f t="shared" si="89"/>
        <v>1166</v>
      </c>
      <c r="I1167" s="21">
        <f t="shared" ca="1" si="77"/>
        <v>0</v>
      </c>
      <c r="J1167" s="21" t="str">
        <f ca="1">IF(I1167=0,"",COUNTIF($I$2:I1167,"&gt;0"))</f>
        <v/>
      </c>
      <c r="K1167" s="21" t="str">
        <f t="shared" ca="1" si="90"/>
        <v/>
      </c>
    </row>
    <row r="1168" spans="1:11" s="18" customFormat="1" ht="14.25" x14ac:dyDescent="0.2">
      <c r="A1168" s="18" t="str">
        <f t="shared" si="88"/>
        <v>Eintrag 1167</v>
      </c>
      <c r="B1168" s="18">
        <v>100</v>
      </c>
      <c r="C1168" s="19">
        <v>100</v>
      </c>
      <c r="D1168" s="20">
        <v>10</v>
      </c>
      <c r="E1168" s="20">
        <v>10</v>
      </c>
      <c r="F1168" s="20">
        <v>10</v>
      </c>
      <c r="G1168" s="19">
        <f t="shared" si="91"/>
        <v>172</v>
      </c>
      <c r="H1168" s="22">
        <f t="shared" si="89"/>
        <v>1167</v>
      </c>
      <c r="I1168" s="21">
        <f t="shared" ca="1" si="77"/>
        <v>0</v>
      </c>
      <c r="J1168" s="21" t="str">
        <f ca="1">IF(I1168=0,"",COUNTIF($I$2:I1168,"&gt;0"))</f>
        <v/>
      </c>
      <c r="K1168" s="21" t="str">
        <f t="shared" ca="1" si="90"/>
        <v/>
      </c>
    </row>
    <row r="1169" spans="1:11" s="18" customFormat="1" ht="14.25" x14ac:dyDescent="0.2">
      <c r="A1169" s="18" t="str">
        <f t="shared" si="88"/>
        <v>Eintrag 1168</v>
      </c>
      <c r="B1169" s="18">
        <v>100</v>
      </c>
      <c r="C1169" s="19">
        <v>100</v>
      </c>
      <c r="D1169" s="20">
        <v>10</v>
      </c>
      <c r="E1169" s="20">
        <v>10</v>
      </c>
      <c r="F1169" s="20">
        <v>10</v>
      </c>
      <c r="G1169" s="19">
        <f t="shared" si="91"/>
        <v>172</v>
      </c>
      <c r="H1169" s="22">
        <f t="shared" si="89"/>
        <v>1168</v>
      </c>
      <c r="I1169" s="21">
        <f t="shared" ca="1" si="77"/>
        <v>0</v>
      </c>
      <c r="J1169" s="21" t="str">
        <f ca="1">IF(I1169=0,"",COUNTIF($I$2:I1169,"&gt;0"))</f>
        <v/>
      </c>
      <c r="K1169" s="21" t="str">
        <f t="shared" ca="1" si="90"/>
        <v/>
      </c>
    </row>
    <row r="1170" spans="1:11" s="18" customFormat="1" ht="14.25" x14ac:dyDescent="0.2">
      <c r="A1170" s="18" t="str">
        <f t="shared" si="88"/>
        <v>Eintrag 1169</v>
      </c>
      <c r="B1170" s="18">
        <v>100</v>
      </c>
      <c r="C1170" s="19">
        <v>100</v>
      </c>
      <c r="D1170" s="20">
        <v>10</v>
      </c>
      <c r="E1170" s="20">
        <v>10</v>
      </c>
      <c r="F1170" s="20">
        <v>10</v>
      </c>
      <c r="G1170" s="19">
        <f t="shared" si="91"/>
        <v>172</v>
      </c>
      <c r="H1170" s="22">
        <f t="shared" si="89"/>
        <v>1169</v>
      </c>
      <c r="I1170" s="21">
        <f t="shared" ca="1" si="77"/>
        <v>0</v>
      </c>
      <c r="J1170" s="21" t="str">
        <f ca="1">IF(I1170=0,"",COUNTIF($I$2:I1170,"&gt;0"))</f>
        <v/>
      </c>
      <c r="K1170" s="21" t="str">
        <f t="shared" ca="1" si="90"/>
        <v/>
      </c>
    </row>
    <row r="1171" spans="1:11" s="18" customFormat="1" ht="14.25" x14ac:dyDescent="0.2">
      <c r="A1171" s="18" t="str">
        <f t="shared" si="88"/>
        <v>Eintrag 1170</v>
      </c>
      <c r="B1171" s="18">
        <v>100</v>
      </c>
      <c r="C1171" s="19">
        <v>100</v>
      </c>
      <c r="D1171" s="20">
        <v>10</v>
      </c>
      <c r="E1171" s="20">
        <v>10</v>
      </c>
      <c r="F1171" s="20">
        <v>10</v>
      </c>
      <c r="G1171" s="19">
        <f t="shared" si="91"/>
        <v>172</v>
      </c>
      <c r="H1171" s="22">
        <f t="shared" si="89"/>
        <v>1170</v>
      </c>
      <c r="I1171" s="21">
        <f t="shared" ca="1" si="77"/>
        <v>0</v>
      </c>
      <c r="J1171" s="21" t="str">
        <f ca="1">IF(I1171=0,"",COUNTIF($I$2:I1171,"&gt;0"))</f>
        <v/>
      </c>
      <c r="K1171" s="21" t="str">
        <f t="shared" ca="1" si="90"/>
        <v/>
      </c>
    </row>
    <row r="1172" spans="1:11" s="18" customFormat="1" ht="14.25" x14ac:dyDescent="0.2">
      <c r="A1172" s="18" t="str">
        <f t="shared" si="88"/>
        <v>Eintrag 1171</v>
      </c>
      <c r="B1172" s="18">
        <v>100</v>
      </c>
      <c r="C1172" s="19">
        <v>100</v>
      </c>
      <c r="D1172" s="20">
        <v>10</v>
      </c>
      <c r="E1172" s="20">
        <v>10</v>
      </c>
      <c r="F1172" s="20">
        <v>10</v>
      </c>
      <c r="G1172" s="19">
        <f t="shared" si="91"/>
        <v>172</v>
      </c>
      <c r="H1172" s="22">
        <f t="shared" si="89"/>
        <v>1171</v>
      </c>
      <c r="I1172" s="21">
        <f t="shared" ca="1" si="77"/>
        <v>0</v>
      </c>
      <c r="J1172" s="21" t="str">
        <f ca="1">IF(I1172=0,"",COUNTIF($I$2:I1172,"&gt;0"))</f>
        <v/>
      </c>
      <c r="K1172" s="21" t="str">
        <f t="shared" ca="1" si="90"/>
        <v/>
      </c>
    </row>
    <row r="1173" spans="1:11" s="18" customFormat="1" ht="14.25" x14ac:dyDescent="0.2">
      <c r="A1173" s="18" t="str">
        <f t="shared" si="88"/>
        <v>Eintrag 1172</v>
      </c>
      <c r="B1173" s="18">
        <v>100</v>
      </c>
      <c r="C1173" s="19">
        <v>100</v>
      </c>
      <c r="D1173" s="20">
        <v>10</v>
      </c>
      <c r="E1173" s="20">
        <v>10</v>
      </c>
      <c r="F1173" s="20">
        <v>10</v>
      </c>
      <c r="G1173" s="19">
        <f t="shared" si="91"/>
        <v>172</v>
      </c>
      <c r="H1173" s="22">
        <f t="shared" si="89"/>
        <v>1172</v>
      </c>
      <c r="I1173" s="21">
        <f t="shared" ca="1" si="77"/>
        <v>0</v>
      </c>
      <c r="J1173" s="21" t="str">
        <f ca="1">IF(I1173=0,"",COUNTIF($I$2:I1173,"&gt;0"))</f>
        <v/>
      </c>
      <c r="K1173" s="21" t="str">
        <f t="shared" ca="1" si="90"/>
        <v/>
      </c>
    </row>
    <row r="1174" spans="1:11" s="18" customFormat="1" ht="14.25" x14ac:dyDescent="0.2">
      <c r="A1174" s="18" t="str">
        <f t="shared" si="88"/>
        <v>Eintrag 1173</v>
      </c>
      <c r="B1174" s="18">
        <v>100</v>
      </c>
      <c r="C1174" s="19">
        <v>100</v>
      </c>
      <c r="D1174" s="20">
        <v>10</v>
      </c>
      <c r="E1174" s="20">
        <v>10</v>
      </c>
      <c r="F1174" s="20">
        <v>10</v>
      </c>
      <c r="G1174" s="19">
        <f t="shared" si="91"/>
        <v>172</v>
      </c>
      <c r="H1174" s="22">
        <f t="shared" si="89"/>
        <v>1173</v>
      </c>
      <c r="I1174" s="21">
        <f t="shared" ca="1" si="77"/>
        <v>0</v>
      </c>
      <c r="J1174" s="21" t="str">
        <f ca="1">IF(I1174=0,"",COUNTIF($I$2:I1174,"&gt;0"))</f>
        <v/>
      </c>
      <c r="K1174" s="21" t="str">
        <f t="shared" ca="1" si="90"/>
        <v/>
      </c>
    </row>
    <row r="1175" spans="1:11" s="18" customFormat="1" ht="14.25" x14ac:dyDescent="0.2">
      <c r="A1175" s="18" t="str">
        <f t="shared" si="88"/>
        <v>Eintrag 1174</v>
      </c>
      <c r="B1175" s="18">
        <v>100</v>
      </c>
      <c r="C1175" s="19">
        <v>100</v>
      </c>
      <c r="D1175" s="20">
        <v>10</v>
      </c>
      <c r="E1175" s="20">
        <v>10</v>
      </c>
      <c r="F1175" s="20">
        <v>10</v>
      </c>
      <c r="G1175" s="19">
        <f t="shared" si="91"/>
        <v>172</v>
      </c>
      <c r="H1175" s="22">
        <f t="shared" si="89"/>
        <v>1174</v>
      </c>
      <c r="I1175" s="21">
        <f t="shared" ca="1" si="77"/>
        <v>0</v>
      </c>
      <c r="J1175" s="21" t="str">
        <f ca="1">IF(I1175=0,"",COUNTIF($I$2:I1175,"&gt;0"))</f>
        <v/>
      </c>
      <c r="K1175" s="21" t="str">
        <f t="shared" ca="1" si="90"/>
        <v/>
      </c>
    </row>
    <row r="1176" spans="1:11" s="18" customFormat="1" ht="14.25" x14ac:dyDescent="0.2">
      <c r="A1176" s="18" t="str">
        <f t="shared" si="88"/>
        <v>Eintrag 1175</v>
      </c>
      <c r="B1176" s="18">
        <v>100</v>
      </c>
      <c r="C1176" s="19">
        <v>100</v>
      </c>
      <c r="D1176" s="20">
        <v>10</v>
      </c>
      <c r="E1176" s="20">
        <v>10</v>
      </c>
      <c r="F1176" s="20">
        <v>10</v>
      </c>
      <c r="G1176" s="19">
        <f t="shared" si="91"/>
        <v>172</v>
      </c>
      <c r="H1176" s="22">
        <f t="shared" si="89"/>
        <v>1175</v>
      </c>
      <c r="I1176" s="21">
        <f t="shared" ca="1" si="77"/>
        <v>0</v>
      </c>
      <c r="J1176" s="21" t="str">
        <f ca="1">IF(I1176=0,"",COUNTIF($I$2:I1176,"&gt;0"))</f>
        <v/>
      </c>
      <c r="K1176" s="21" t="str">
        <f t="shared" ca="1" si="90"/>
        <v/>
      </c>
    </row>
    <row r="1177" spans="1:11" s="18" customFormat="1" ht="14.25" x14ac:dyDescent="0.2">
      <c r="A1177" s="18" t="str">
        <f t="shared" ref="A1177:A1240" si="92">CONCATENATE("Eintrag ",H1177)</f>
        <v>Eintrag 1176</v>
      </c>
      <c r="B1177" s="18">
        <v>100</v>
      </c>
      <c r="C1177" s="19">
        <v>100</v>
      </c>
      <c r="D1177" s="20">
        <v>10</v>
      </c>
      <c r="E1177" s="20">
        <v>10</v>
      </c>
      <c r="F1177" s="20">
        <v>10</v>
      </c>
      <c r="G1177" s="19">
        <f t="shared" si="91"/>
        <v>172</v>
      </c>
      <c r="H1177" s="22">
        <f t="shared" si="89"/>
        <v>1176</v>
      </c>
      <c r="I1177" s="21">
        <f t="shared" ca="1" si="77"/>
        <v>0</v>
      </c>
      <c r="J1177" s="21" t="str">
        <f ca="1">IF(I1177=0,"",COUNTIF($I$2:I1177,"&gt;0"))</f>
        <v/>
      </c>
      <c r="K1177" s="21" t="str">
        <f t="shared" ca="1" si="90"/>
        <v/>
      </c>
    </row>
    <row r="1178" spans="1:11" s="18" customFormat="1" ht="14.25" x14ac:dyDescent="0.2">
      <c r="A1178" s="18" t="str">
        <f t="shared" si="92"/>
        <v>Eintrag 1177</v>
      </c>
      <c r="B1178" s="18">
        <v>100</v>
      </c>
      <c r="C1178" s="19">
        <v>100</v>
      </c>
      <c r="D1178" s="20">
        <v>10</v>
      </c>
      <c r="E1178" s="20">
        <v>10</v>
      </c>
      <c r="F1178" s="20">
        <v>10</v>
      </c>
      <c r="G1178" s="19">
        <f t="shared" si="91"/>
        <v>172</v>
      </c>
      <c r="H1178" s="22">
        <f t="shared" si="89"/>
        <v>1177</v>
      </c>
      <c r="I1178" s="21">
        <f t="shared" ca="1" si="77"/>
        <v>0</v>
      </c>
      <c r="J1178" s="21" t="str">
        <f ca="1">IF(I1178=0,"",COUNTIF($I$2:I1178,"&gt;0"))</f>
        <v/>
      </c>
      <c r="K1178" s="21" t="str">
        <f t="shared" ca="1" si="90"/>
        <v/>
      </c>
    </row>
    <row r="1179" spans="1:11" s="18" customFormat="1" ht="14.25" x14ac:dyDescent="0.2">
      <c r="A1179" s="18" t="str">
        <f t="shared" si="92"/>
        <v>Eintrag 1178</v>
      </c>
      <c r="B1179" s="18">
        <v>100</v>
      </c>
      <c r="C1179" s="19">
        <v>100</v>
      </c>
      <c r="D1179" s="20">
        <v>10</v>
      </c>
      <c r="E1179" s="20">
        <v>10</v>
      </c>
      <c r="F1179" s="20">
        <v>10</v>
      </c>
      <c r="G1179" s="19">
        <f t="shared" si="91"/>
        <v>172</v>
      </c>
      <c r="H1179" s="22">
        <f t="shared" si="89"/>
        <v>1178</v>
      </c>
      <c r="I1179" s="21">
        <f t="shared" ca="1" si="77"/>
        <v>0</v>
      </c>
      <c r="J1179" s="21" t="str">
        <f ca="1">IF(I1179=0,"",COUNTIF($I$2:I1179,"&gt;0"))</f>
        <v/>
      </c>
      <c r="K1179" s="21" t="str">
        <f t="shared" ca="1" si="90"/>
        <v/>
      </c>
    </row>
    <row r="1180" spans="1:11" s="18" customFormat="1" ht="14.25" x14ac:dyDescent="0.2">
      <c r="A1180" s="18" t="str">
        <f t="shared" si="92"/>
        <v>Eintrag 1179</v>
      </c>
      <c r="B1180" s="18">
        <v>100</v>
      </c>
      <c r="C1180" s="19">
        <v>100</v>
      </c>
      <c r="D1180" s="20">
        <v>10</v>
      </c>
      <c r="E1180" s="20">
        <v>10</v>
      </c>
      <c r="F1180" s="20">
        <v>10</v>
      </c>
      <c r="G1180" s="19">
        <f t="shared" si="91"/>
        <v>172</v>
      </c>
      <c r="H1180" s="22">
        <f t="shared" si="89"/>
        <v>1179</v>
      </c>
      <c r="I1180" s="21">
        <f t="shared" ca="1" si="77"/>
        <v>0</v>
      </c>
      <c r="J1180" s="21" t="str">
        <f ca="1">IF(I1180=0,"",COUNTIF($I$2:I1180,"&gt;0"))</f>
        <v/>
      </c>
      <c r="K1180" s="21" t="str">
        <f t="shared" ca="1" si="90"/>
        <v/>
      </c>
    </row>
    <row r="1181" spans="1:11" s="18" customFormat="1" ht="14.25" x14ac:dyDescent="0.2">
      <c r="A1181" s="18" t="str">
        <f t="shared" si="92"/>
        <v>Eintrag 1180</v>
      </c>
      <c r="B1181" s="18">
        <v>100</v>
      </c>
      <c r="C1181" s="19">
        <v>100</v>
      </c>
      <c r="D1181" s="20">
        <v>10</v>
      </c>
      <c r="E1181" s="20">
        <v>10</v>
      </c>
      <c r="F1181" s="20">
        <v>10</v>
      </c>
      <c r="G1181" s="19">
        <f t="shared" si="91"/>
        <v>172</v>
      </c>
      <c r="H1181" s="22">
        <f t="shared" si="89"/>
        <v>1180</v>
      </c>
      <c r="I1181" s="21">
        <f t="shared" ca="1" si="77"/>
        <v>0</v>
      </c>
      <c r="J1181" s="21" t="str">
        <f ca="1">IF(I1181=0,"",COUNTIF($I$2:I1181,"&gt;0"))</f>
        <v/>
      </c>
      <c r="K1181" s="21" t="str">
        <f t="shared" ca="1" si="90"/>
        <v/>
      </c>
    </row>
    <row r="1182" spans="1:11" s="18" customFormat="1" ht="14.25" x14ac:dyDescent="0.2">
      <c r="A1182" s="18" t="str">
        <f t="shared" si="92"/>
        <v>Eintrag 1181</v>
      </c>
      <c r="B1182" s="18">
        <v>100</v>
      </c>
      <c r="C1182" s="19">
        <v>100</v>
      </c>
      <c r="D1182" s="20">
        <v>10</v>
      </c>
      <c r="E1182" s="20">
        <v>10</v>
      </c>
      <c r="F1182" s="20">
        <v>10</v>
      </c>
      <c r="G1182" s="19">
        <f t="shared" si="91"/>
        <v>172</v>
      </c>
      <c r="H1182" s="22">
        <f t="shared" si="89"/>
        <v>1181</v>
      </c>
      <c r="I1182" s="21">
        <f t="shared" ca="1" si="77"/>
        <v>0</v>
      </c>
      <c r="J1182" s="21" t="str">
        <f ca="1">IF(I1182=0,"",COUNTIF($I$2:I1182,"&gt;0"))</f>
        <v/>
      </c>
      <c r="K1182" s="21" t="str">
        <f t="shared" ca="1" si="90"/>
        <v/>
      </c>
    </row>
    <row r="1183" spans="1:11" s="18" customFormat="1" ht="14.25" x14ac:dyDescent="0.2">
      <c r="A1183" s="18" t="str">
        <f t="shared" si="92"/>
        <v>Eintrag 1182</v>
      </c>
      <c r="B1183" s="18">
        <v>100</v>
      </c>
      <c r="C1183" s="19">
        <v>100</v>
      </c>
      <c r="D1183" s="20">
        <v>10</v>
      </c>
      <c r="E1183" s="20">
        <v>10</v>
      </c>
      <c r="F1183" s="20">
        <v>10</v>
      </c>
      <c r="G1183" s="19">
        <f t="shared" si="91"/>
        <v>172</v>
      </c>
      <c r="H1183" s="22">
        <f t="shared" si="89"/>
        <v>1182</v>
      </c>
      <c r="I1183" s="21">
        <f t="shared" ca="1" si="77"/>
        <v>0</v>
      </c>
      <c r="J1183" s="21" t="str">
        <f ca="1">IF(I1183=0,"",COUNTIF($I$2:I1183,"&gt;0"))</f>
        <v/>
      </c>
      <c r="K1183" s="21" t="str">
        <f t="shared" ca="1" si="90"/>
        <v/>
      </c>
    </row>
    <row r="1184" spans="1:11" s="18" customFormat="1" ht="14.25" x14ac:dyDescent="0.2">
      <c r="A1184" s="18" t="str">
        <f t="shared" si="92"/>
        <v>Eintrag 1183</v>
      </c>
      <c r="B1184" s="18">
        <v>100</v>
      </c>
      <c r="C1184" s="19">
        <v>100</v>
      </c>
      <c r="D1184" s="20">
        <v>10</v>
      </c>
      <c r="E1184" s="20">
        <v>10</v>
      </c>
      <c r="F1184" s="20">
        <v>10</v>
      </c>
      <c r="G1184" s="19">
        <f t="shared" si="91"/>
        <v>172</v>
      </c>
      <c r="H1184" s="22">
        <f t="shared" si="89"/>
        <v>1183</v>
      </c>
      <c r="I1184" s="21">
        <f t="shared" ca="1" si="77"/>
        <v>0</v>
      </c>
      <c r="J1184" s="21" t="str">
        <f ca="1">IF(I1184=0,"",COUNTIF($I$2:I1184,"&gt;0"))</f>
        <v/>
      </c>
      <c r="K1184" s="21" t="str">
        <f t="shared" ca="1" si="90"/>
        <v/>
      </c>
    </row>
    <row r="1185" spans="1:11" s="18" customFormat="1" ht="14.25" x14ac:dyDescent="0.2">
      <c r="A1185" s="18" t="str">
        <f t="shared" si="92"/>
        <v>Eintrag 1184</v>
      </c>
      <c r="B1185" s="18">
        <v>100</v>
      </c>
      <c r="C1185" s="19">
        <v>100</v>
      </c>
      <c r="D1185" s="20">
        <v>10</v>
      </c>
      <c r="E1185" s="20">
        <v>10</v>
      </c>
      <c r="F1185" s="20">
        <v>10</v>
      </c>
      <c r="G1185" s="19">
        <f t="shared" si="91"/>
        <v>172</v>
      </c>
      <c r="H1185" s="22">
        <f t="shared" si="89"/>
        <v>1184</v>
      </c>
      <c r="I1185" s="21">
        <f t="shared" ca="1" si="77"/>
        <v>0</v>
      </c>
      <c r="J1185" s="21" t="str">
        <f ca="1">IF(I1185=0,"",COUNTIF($I$2:I1185,"&gt;0"))</f>
        <v/>
      </c>
      <c r="K1185" s="21" t="str">
        <f t="shared" ca="1" si="90"/>
        <v/>
      </c>
    </row>
    <row r="1186" spans="1:11" s="18" customFormat="1" ht="14.25" x14ac:dyDescent="0.2">
      <c r="A1186" s="18" t="str">
        <f t="shared" si="92"/>
        <v>Eintrag 1185</v>
      </c>
      <c r="B1186" s="18">
        <v>100</v>
      </c>
      <c r="C1186" s="19">
        <v>100</v>
      </c>
      <c r="D1186" s="20">
        <v>10</v>
      </c>
      <c r="E1186" s="20">
        <v>10</v>
      </c>
      <c r="F1186" s="20">
        <v>10</v>
      </c>
      <c r="G1186" s="19">
        <f t="shared" si="91"/>
        <v>172</v>
      </c>
      <c r="H1186" s="22">
        <f t="shared" si="89"/>
        <v>1185</v>
      </c>
      <c r="I1186" s="21">
        <f t="shared" ca="1" si="77"/>
        <v>0</v>
      </c>
      <c r="J1186" s="21" t="str">
        <f ca="1">IF(I1186=0,"",COUNTIF($I$2:I1186,"&gt;0"))</f>
        <v/>
      </c>
      <c r="K1186" s="21" t="str">
        <f t="shared" ca="1" si="90"/>
        <v/>
      </c>
    </row>
    <row r="1187" spans="1:11" s="18" customFormat="1" ht="14.25" x14ac:dyDescent="0.2">
      <c r="A1187" s="18" t="str">
        <f t="shared" si="92"/>
        <v>Eintrag 1186</v>
      </c>
      <c r="B1187" s="18">
        <v>100</v>
      </c>
      <c r="C1187" s="19">
        <v>100</v>
      </c>
      <c r="D1187" s="20">
        <v>10</v>
      </c>
      <c r="E1187" s="20">
        <v>10</v>
      </c>
      <c r="F1187" s="20">
        <v>10</v>
      </c>
      <c r="G1187" s="19">
        <f t="shared" si="91"/>
        <v>172</v>
      </c>
      <c r="H1187" s="22">
        <f t="shared" si="89"/>
        <v>1186</v>
      </c>
      <c r="I1187" s="21">
        <f t="shared" ca="1" si="77"/>
        <v>0</v>
      </c>
      <c r="J1187" s="21" t="str">
        <f ca="1">IF(I1187=0,"",COUNTIF($I$2:I1187,"&gt;0"))</f>
        <v/>
      </c>
      <c r="K1187" s="21" t="str">
        <f t="shared" ca="1" si="90"/>
        <v/>
      </c>
    </row>
    <row r="1188" spans="1:11" s="18" customFormat="1" ht="14.25" x14ac:dyDescent="0.2">
      <c r="A1188" s="18" t="str">
        <f t="shared" si="92"/>
        <v>Eintrag 1187</v>
      </c>
      <c r="B1188" s="18">
        <v>100</v>
      </c>
      <c r="C1188" s="19">
        <v>100</v>
      </c>
      <c r="D1188" s="20">
        <v>10</v>
      </c>
      <c r="E1188" s="20">
        <v>10</v>
      </c>
      <c r="F1188" s="20">
        <v>10</v>
      </c>
      <c r="G1188" s="19">
        <f t="shared" si="91"/>
        <v>172</v>
      </c>
      <c r="H1188" s="22">
        <f t="shared" si="89"/>
        <v>1187</v>
      </c>
      <c r="I1188" s="21">
        <f t="shared" ca="1" si="77"/>
        <v>0</v>
      </c>
      <c r="J1188" s="21" t="str">
        <f ca="1">IF(I1188=0,"",COUNTIF($I$2:I1188,"&gt;0"))</f>
        <v/>
      </c>
      <c r="K1188" s="21" t="str">
        <f t="shared" ca="1" si="90"/>
        <v/>
      </c>
    </row>
    <row r="1189" spans="1:11" s="18" customFormat="1" ht="14.25" x14ac:dyDescent="0.2">
      <c r="A1189" s="18" t="str">
        <f t="shared" si="92"/>
        <v>Eintrag 1188</v>
      </c>
      <c r="B1189" s="18">
        <v>100</v>
      </c>
      <c r="C1189" s="19">
        <v>100</v>
      </c>
      <c r="D1189" s="20">
        <v>10</v>
      </c>
      <c r="E1189" s="20">
        <v>10</v>
      </c>
      <c r="F1189" s="20">
        <v>10</v>
      </c>
      <c r="G1189" s="19">
        <f t="shared" si="91"/>
        <v>172</v>
      </c>
      <c r="H1189" s="22">
        <f t="shared" ref="H1189:H1252" si="93">H1188+1</f>
        <v>1188</v>
      </c>
      <c r="I1189" s="21">
        <f t="shared" ca="1" si="77"/>
        <v>0</v>
      </c>
      <c r="J1189" s="21" t="str">
        <f ca="1">IF(I1189=0,"",COUNTIF($I$2:I1189,"&gt;0"))</f>
        <v/>
      </c>
      <c r="K1189" s="21" t="str">
        <f t="shared" ca="1" si="90"/>
        <v/>
      </c>
    </row>
    <row r="1190" spans="1:11" s="18" customFormat="1" ht="14.25" x14ac:dyDescent="0.2">
      <c r="A1190" s="18" t="str">
        <f t="shared" si="92"/>
        <v>Eintrag 1189</v>
      </c>
      <c r="B1190" s="18">
        <v>100</v>
      </c>
      <c r="C1190" s="19">
        <v>100</v>
      </c>
      <c r="D1190" s="20">
        <v>10</v>
      </c>
      <c r="E1190" s="20">
        <v>10</v>
      </c>
      <c r="F1190" s="20">
        <v>10</v>
      </c>
      <c r="G1190" s="19">
        <f t="shared" si="91"/>
        <v>172</v>
      </c>
      <c r="H1190" s="22">
        <f t="shared" si="93"/>
        <v>1189</v>
      </c>
      <c r="I1190" s="21">
        <f t="shared" ca="1" si="77"/>
        <v>0</v>
      </c>
      <c r="J1190" s="21" t="str">
        <f ca="1">IF(I1190=0,"",COUNTIF($I$2:I1190,"&gt;0"))</f>
        <v/>
      </c>
      <c r="K1190" s="21" t="str">
        <f t="shared" ca="1" si="90"/>
        <v/>
      </c>
    </row>
    <row r="1191" spans="1:11" s="18" customFormat="1" ht="14.25" x14ac:dyDescent="0.2">
      <c r="A1191" s="18" t="str">
        <f t="shared" si="92"/>
        <v>Eintrag 1190</v>
      </c>
      <c r="B1191" s="18">
        <v>100</v>
      </c>
      <c r="C1191" s="19">
        <v>100</v>
      </c>
      <c r="D1191" s="20">
        <v>10</v>
      </c>
      <c r="E1191" s="20">
        <v>10</v>
      </c>
      <c r="F1191" s="20">
        <v>10</v>
      </c>
      <c r="G1191" s="19">
        <f t="shared" si="91"/>
        <v>172</v>
      </c>
      <c r="H1191" s="22">
        <f t="shared" si="93"/>
        <v>1190</v>
      </c>
      <c r="I1191" s="21">
        <f t="shared" ca="1" si="77"/>
        <v>0</v>
      </c>
      <c r="J1191" s="21" t="str">
        <f ca="1">IF(I1191=0,"",COUNTIF($I$2:I1191,"&gt;0"))</f>
        <v/>
      </c>
      <c r="K1191" s="21" t="str">
        <f t="shared" ca="1" si="90"/>
        <v/>
      </c>
    </row>
    <row r="1192" spans="1:11" s="18" customFormat="1" ht="14.25" x14ac:dyDescent="0.2">
      <c r="A1192" s="18" t="str">
        <f t="shared" si="92"/>
        <v>Eintrag 1191</v>
      </c>
      <c r="B1192" s="18">
        <v>100</v>
      </c>
      <c r="C1192" s="19">
        <v>100</v>
      </c>
      <c r="D1192" s="20">
        <v>10</v>
      </c>
      <c r="E1192" s="20">
        <v>10</v>
      </c>
      <c r="F1192" s="20">
        <v>10</v>
      </c>
      <c r="G1192" s="19">
        <f t="shared" si="91"/>
        <v>172</v>
      </c>
      <c r="H1192" s="22">
        <f t="shared" si="93"/>
        <v>1191</v>
      </c>
      <c r="I1192" s="21">
        <f t="shared" ca="1" si="77"/>
        <v>0</v>
      </c>
      <c r="J1192" s="21" t="str">
        <f ca="1">IF(I1192=0,"",COUNTIF($I$2:I1192,"&gt;0"))</f>
        <v/>
      </c>
      <c r="K1192" s="21" t="str">
        <f t="shared" ca="1" si="90"/>
        <v/>
      </c>
    </row>
    <row r="1193" spans="1:11" s="18" customFormat="1" ht="14.25" x14ac:dyDescent="0.2">
      <c r="A1193" s="18" t="str">
        <f t="shared" si="92"/>
        <v>Eintrag 1192</v>
      </c>
      <c r="B1193" s="18">
        <v>100</v>
      </c>
      <c r="C1193" s="19">
        <v>100</v>
      </c>
      <c r="D1193" s="20">
        <v>10</v>
      </c>
      <c r="E1193" s="20">
        <v>10</v>
      </c>
      <c r="F1193" s="20">
        <v>10</v>
      </c>
      <c r="G1193" s="19">
        <f t="shared" si="91"/>
        <v>172</v>
      </c>
      <c r="H1193" s="22">
        <f t="shared" si="93"/>
        <v>1192</v>
      </c>
      <c r="I1193" s="21">
        <f t="shared" ca="1" si="77"/>
        <v>0</v>
      </c>
      <c r="J1193" s="21" t="str">
        <f ca="1">IF(I1193=0,"",COUNTIF($I$2:I1193,"&gt;0"))</f>
        <v/>
      </c>
      <c r="K1193" s="21" t="str">
        <f t="shared" ca="1" si="90"/>
        <v/>
      </c>
    </row>
    <row r="1194" spans="1:11" s="18" customFormat="1" ht="14.25" x14ac:dyDescent="0.2">
      <c r="A1194" s="18" t="str">
        <f t="shared" si="92"/>
        <v>Eintrag 1193</v>
      </c>
      <c r="B1194" s="18">
        <v>100</v>
      </c>
      <c r="C1194" s="19">
        <v>100</v>
      </c>
      <c r="D1194" s="20">
        <v>10</v>
      </c>
      <c r="E1194" s="20">
        <v>10</v>
      </c>
      <c r="F1194" s="20">
        <v>10</v>
      </c>
      <c r="G1194" s="19">
        <f t="shared" si="91"/>
        <v>172</v>
      </c>
      <c r="H1194" s="22">
        <f t="shared" si="93"/>
        <v>1193</v>
      </c>
      <c r="I1194" s="21">
        <f t="shared" ca="1" si="77"/>
        <v>0</v>
      </c>
      <c r="J1194" s="21" t="str">
        <f ca="1">IF(I1194=0,"",COUNTIF($I$2:I1194,"&gt;0"))</f>
        <v/>
      </c>
      <c r="K1194" s="21" t="str">
        <f t="shared" ca="1" si="90"/>
        <v/>
      </c>
    </row>
    <row r="1195" spans="1:11" s="18" customFormat="1" ht="14.25" x14ac:dyDescent="0.2">
      <c r="A1195" s="18" t="str">
        <f t="shared" si="92"/>
        <v>Eintrag 1194</v>
      </c>
      <c r="B1195" s="18">
        <v>100</v>
      </c>
      <c r="C1195" s="19">
        <v>100</v>
      </c>
      <c r="D1195" s="20">
        <v>10</v>
      </c>
      <c r="E1195" s="20">
        <v>10</v>
      </c>
      <c r="F1195" s="20">
        <v>10</v>
      </c>
      <c r="G1195" s="19">
        <f t="shared" si="91"/>
        <v>172</v>
      </c>
      <c r="H1195" s="22">
        <f t="shared" si="93"/>
        <v>1194</v>
      </c>
      <c r="I1195" s="21">
        <f t="shared" ca="1" si="77"/>
        <v>0</v>
      </c>
      <c r="J1195" s="21" t="str">
        <f ca="1">IF(I1195=0,"",COUNTIF($I$2:I1195,"&gt;0"))</f>
        <v/>
      </c>
      <c r="K1195" s="21" t="str">
        <f t="shared" ca="1" si="90"/>
        <v/>
      </c>
    </row>
    <row r="1196" spans="1:11" s="18" customFormat="1" ht="14.25" x14ac:dyDescent="0.2">
      <c r="A1196" s="18" t="str">
        <f t="shared" si="92"/>
        <v>Eintrag 1195</v>
      </c>
      <c r="B1196" s="18">
        <v>100</v>
      </c>
      <c r="C1196" s="19">
        <v>100</v>
      </c>
      <c r="D1196" s="20">
        <v>10</v>
      </c>
      <c r="E1196" s="20">
        <v>10</v>
      </c>
      <c r="F1196" s="20">
        <v>10</v>
      </c>
      <c r="G1196" s="19">
        <f t="shared" si="91"/>
        <v>172</v>
      </c>
      <c r="H1196" s="22">
        <f t="shared" si="93"/>
        <v>1195</v>
      </c>
      <c r="I1196" s="21">
        <f t="shared" ca="1" si="77"/>
        <v>0</v>
      </c>
      <c r="J1196" s="21" t="str">
        <f ca="1">IF(I1196=0,"",COUNTIF($I$2:I1196,"&gt;0"))</f>
        <v/>
      </c>
      <c r="K1196" s="21" t="str">
        <f t="shared" ca="1" si="90"/>
        <v/>
      </c>
    </row>
    <row r="1197" spans="1:11" s="18" customFormat="1" ht="14.25" x14ac:dyDescent="0.2">
      <c r="A1197" s="18" t="str">
        <f t="shared" si="92"/>
        <v>Eintrag 1196</v>
      </c>
      <c r="B1197" s="18">
        <v>100</v>
      </c>
      <c r="C1197" s="19">
        <v>100</v>
      </c>
      <c r="D1197" s="20">
        <v>10</v>
      </c>
      <c r="E1197" s="20">
        <v>10</v>
      </c>
      <c r="F1197" s="20">
        <v>10</v>
      </c>
      <c r="G1197" s="19">
        <f t="shared" si="91"/>
        <v>172</v>
      </c>
      <c r="H1197" s="22">
        <f t="shared" si="93"/>
        <v>1196</v>
      </c>
      <c r="I1197" s="21">
        <f t="shared" ca="1" si="77"/>
        <v>0</v>
      </c>
      <c r="J1197" s="21" t="str">
        <f ca="1">IF(I1197=0,"",COUNTIF($I$2:I1197,"&gt;0"))</f>
        <v/>
      </c>
      <c r="K1197" s="21" t="str">
        <f t="shared" ca="1" si="90"/>
        <v/>
      </c>
    </row>
    <row r="1198" spans="1:11" s="18" customFormat="1" ht="14.25" x14ac:dyDescent="0.2">
      <c r="A1198" s="18" t="str">
        <f t="shared" si="92"/>
        <v>Eintrag 1197</v>
      </c>
      <c r="B1198" s="18">
        <v>100</v>
      </c>
      <c r="C1198" s="19">
        <v>100</v>
      </c>
      <c r="D1198" s="20">
        <v>10</v>
      </c>
      <c r="E1198" s="20">
        <v>10</v>
      </c>
      <c r="F1198" s="20">
        <v>10</v>
      </c>
      <c r="G1198" s="19">
        <f t="shared" si="91"/>
        <v>172</v>
      </c>
      <c r="H1198" s="22">
        <f t="shared" si="93"/>
        <v>1197</v>
      </c>
      <c r="I1198" s="21">
        <f t="shared" ca="1" si="77"/>
        <v>0</v>
      </c>
      <c r="J1198" s="21" t="str">
        <f ca="1">IF(I1198=0,"",COUNTIF($I$2:I1198,"&gt;0"))</f>
        <v/>
      </c>
      <c r="K1198" s="21" t="str">
        <f t="shared" ca="1" si="90"/>
        <v/>
      </c>
    </row>
    <row r="1199" spans="1:11" s="18" customFormat="1" ht="14.25" x14ac:dyDescent="0.2">
      <c r="A1199" s="18" t="str">
        <f t="shared" si="92"/>
        <v>Eintrag 1198</v>
      </c>
      <c r="B1199" s="18">
        <v>100</v>
      </c>
      <c r="C1199" s="19">
        <v>100</v>
      </c>
      <c r="D1199" s="20">
        <v>10</v>
      </c>
      <c r="E1199" s="20">
        <v>10</v>
      </c>
      <c r="F1199" s="20">
        <v>10</v>
      </c>
      <c r="G1199" s="19">
        <f t="shared" si="91"/>
        <v>172</v>
      </c>
      <c r="H1199" s="22">
        <f t="shared" si="93"/>
        <v>1198</v>
      </c>
      <c r="I1199" s="21">
        <f t="shared" ca="1" si="77"/>
        <v>0</v>
      </c>
      <c r="J1199" s="21" t="str">
        <f ca="1">IF(I1199=0,"",COUNTIF($I$2:I1199,"&gt;0"))</f>
        <v/>
      </c>
      <c r="K1199" s="21" t="str">
        <f t="shared" ca="1" si="90"/>
        <v/>
      </c>
    </row>
    <row r="1200" spans="1:11" s="18" customFormat="1" ht="14.25" x14ac:dyDescent="0.2">
      <c r="A1200" s="18" t="str">
        <f t="shared" si="92"/>
        <v>Eintrag 1199</v>
      </c>
      <c r="B1200" s="18">
        <v>100</v>
      </c>
      <c r="C1200" s="19">
        <v>100</v>
      </c>
      <c r="D1200" s="20">
        <v>10</v>
      </c>
      <c r="E1200" s="20">
        <v>10</v>
      </c>
      <c r="F1200" s="20">
        <v>10</v>
      </c>
      <c r="G1200" s="19">
        <f t="shared" si="91"/>
        <v>172</v>
      </c>
      <c r="H1200" s="22">
        <f t="shared" si="93"/>
        <v>1199</v>
      </c>
      <c r="I1200" s="21">
        <f t="shared" ca="1" si="77"/>
        <v>0</v>
      </c>
      <c r="J1200" s="21" t="str">
        <f ca="1">IF(I1200=0,"",COUNTIF($I$2:I1200,"&gt;0"))</f>
        <v/>
      </c>
      <c r="K1200" s="21" t="str">
        <f t="shared" ca="1" si="90"/>
        <v/>
      </c>
    </row>
    <row r="1201" spans="1:11" s="18" customFormat="1" ht="14.25" x14ac:dyDescent="0.2">
      <c r="A1201" s="18" t="str">
        <f t="shared" si="92"/>
        <v>Eintrag 1200</v>
      </c>
      <c r="B1201" s="18">
        <v>100</v>
      </c>
      <c r="C1201" s="19">
        <v>100</v>
      </c>
      <c r="D1201" s="20">
        <v>10</v>
      </c>
      <c r="E1201" s="20">
        <v>10</v>
      </c>
      <c r="F1201" s="20">
        <v>10</v>
      </c>
      <c r="G1201" s="19">
        <f t="shared" si="91"/>
        <v>172</v>
      </c>
      <c r="H1201" s="22">
        <f t="shared" si="93"/>
        <v>1200</v>
      </c>
      <c r="I1201" s="21">
        <f t="shared" ca="1" si="77"/>
        <v>0</v>
      </c>
      <c r="J1201" s="21" t="str">
        <f ca="1">IF(I1201=0,"",COUNTIF($I$2:I1201,"&gt;0"))</f>
        <v/>
      </c>
      <c r="K1201" s="21" t="str">
        <f t="shared" ca="1" si="90"/>
        <v/>
      </c>
    </row>
    <row r="1202" spans="1:11" s="18" customFormat="1" ht="14.25" x14ac:dyDescent="0.2">
      <c r="A1202" s="18" t="str">
        <f t="shared" si="92"/>
        <v>Eintrag 1201</v>
      </c>
      <c r="B1202" s="18">
        <v>100</v>
      </c>
      <c r="C1202" s="19">
        <v>100</v>
      </c>
      <c r="D1202" s="20">
        <v>10</v>
      </c>
      <c r="E1202" s="20">
        <v>10</v>
      </c>
      <c r="F1202" s="20">
        <v>10</v>
      </c>
      <c r="G1202" s="19">
        <f t="shared" si="91"/>
        <v>172</v>
      </c>
      <c r="H1202" s="22">
        <f t="shared" si="93"/>
        <v>1201</v>
      </c>
      <c r="I1202" s="21">
        <f t="shared" ca="1" si="77"/>
        <v>0</v>
      </c>
      <c r="J1202" s="21" t="str">
        <f ca="1">IF(I1202=0,"",COUNTIF($I$2:I1202,"&gt;0"))</f>
        <v/>
      </c>
      <c r="K1202" s="21" t="str">
        <f t="shared" ca="1" si="90"/>
        <v/>
      </c>
    </row>
    <row r="1203" spans="1:11" s="18" customFormat="1" ht="14.25" x14ac:dyDescent="0.2">
      <c r="A1203" s="18" t="str">
        <f t="shared" si="92"/>
        <v>Eintrag 1202</v>
      </c>
      <c r="B1203" s="18">
        <v>100</v>
      </c>
      <c r="C1203" s="19">
        <v>100</v>
      </c>
      <c r="D1203" s="20">
        <v>10</v>
      </c>
      <c r="E1203" s="20">
        <v>10</v>
      </c>
      <c r="F1203" s="20">
        <v>10</v>
      </c>
      <c r="G1203" s="19">
        <f t="shared" si="91"/>
        <v>172</v>
      </c>
      <c r="H1203" s="22">
        <f t="shared" si="93"/>
        <v>1202</v>
      </c>
      <c r="I1203" s="21">
        <f t="shared" ref="I1203:I1366" ca="1" si="94">IFERROR(SEARCH(INDIRECT(CELL("address")),A1203),0)</f>
        <v>0</v>
      </c>
      <c r="J1203" s="21" t="str">
        <f ca="1">IF(I1203=0,"",COUNTIF($I$2:I1203,"&gt;0"))</f>
        <v/>
      </c>
      <c r="K1203" s="21" t="str">
        <f t="shared" ca="1" si="90"/>
        <v/>
      </c>
    </row>
    <row r="1204" spans="1:11" s="18" customFormat="1" ht="14.25" x14ac:dyDescent="0.2">
      <c r="A1204" s="18" t="str">
        <f t="shared" si="92"/>
        <v>Eintrag 1203</v>
      </c>
      <c r="B1204" s="18">
        <v>100</v>
      </c>
      <c r="C1204" s="19">
        <v>100</v>
      </c>
      <c r="D1204" s="20">
        <v>10</v>
      </c>
      <c r="E1204" s="20">
        <v>10</v>
      </c>
      <c r="F1204" s="20">
        <v>10</v>
      </c>
      <c r="G1204" s="19">
        <f t="shared" si="91"/>
        <v>172</v>
      </c>
      <c r="H1204" s="22">
        <f t="shared" si="93"/>
        <v>1203</v>
      </c>
      <c r="I1204" s="21">
        <f t="shared" ca="1" si="94"/>
        <v>0</v>
      </c>
      <c r="J1204" s="21" t="str">
        <f ca="1">IF(I1204=0,"",COUNTIF($I$2:I1204,"&gt;0"))</f>
        <v/>
      </c>
      <c r="K1204" s="21" t="str">
        <f t="shared" ca="1" si="90"/>
        <v/>
      </c>
    </row>
    <row r="1205" spans="1:11" s="18" customFormat="1" ht="14.25" x14ac:dyDescent="0.2">
      <c r="A1205" s="18" t="str">
        <f t="shared" si="92"/>
        <v>Eintrag 1204</v>
      </c>
      <c r="B1205" s="18">
        <v>100</v>
      </c>
      <c r="C1205" s="19">
        <v>100</v>
      </c>
      <c r="D1205" s="20">
        <v>10</v>
      </c>
      <c r="E1205" s="20">
        <v>10</v>
      </c>
      <c r="F1205" s="20">
        <v>10</v>
      </c>
      <c r="G1205" s="19">
        <f t="shared" si="91"/>
        <v>172</v>
      </c>
      <c r="H1205" s="22">
        <f t="shared" si="93"/>
        <v>1204</v>
      </c>
      <c r="I1205" s="21">
        <f t="shared" ca="1" si="94"/>
        <v>0</v>
      </c>
      <c r="J1205" s="21" t="str">
        <f ca="1">IF(I1205=0,"",COUNTIF($I$2:I1205,"&gt;0"))</f>
        <v/>
      </c>
      <c r="K1205" s="21" t="str">
        <f t="shared" ca="1" si="90"/>
        <v/>
      </c>
    </row>
    <row r="1206" spans="1:11" s="18" customFormat="1" ht="14.25" x14ac:dyDescent="0.2">
      <c r="A1206" s="18" t="str">
        <f t="shared" si="92"/>
        <v>Eintrag 1205</v>
      </c>
      <c r="B1206" s="18">
        <v>100</v>
      </c>
      <c r="C1206" s="19">
        <v>100</v>
      </c>
      <c r="D1206" s="20">
        <v>10</v>
      </c>
      <c r="E1206" s="20">
        <v>10</v>
      </c>
      <c r="F1206" s="20">
        <v>10</v>
      </c>
      <c r="G1206" s="19">
        <f t="shared" si="91"/>
        <v>172</v>
      </c>
      <c r="H1206" s="22">
        <f t="shared" si="93"/>
        <v>1205</v>
      </c>
      <c r="I1206" s="21">
        <f t="shared" ca="1" si="94"/>
        <v>0</v>
      </c>
      <c r="J1206" s="21" t="str">
        <f ca="1">IF(I1206=0,"",COUNTIF($I$2:I1206,"&gt;0"))</f>
        <v/>
      </c>
      <c r="K1206" s="21" t="str">
        <f t="shared" ca="1" si="90"/>
        <v/>
      </c>
    </row>
    <row r="1207" spans="1:11" s="18" customFormat="1" ht="14.25" x14ac:dyDescent="0.2">
      <c r="A1207" s="18" t="str">
        <f t="shared" si="92"/>
        <v>Eintrag 1206</v>
      </c>
      <c r="B1207" s="18">
        <v>100</v>
      </c>
      <c r="C1207" s="19">
        <v>100</v>
      </c>
      <c r="D1207" s="20">
        <v>10</v>
      </c>
      <c r="E1207" s="20">
        <v>10</v>
      </c>
      <c r="F1207" s="20">
        <v>10</v>
      </c>
      <c r="G1207" s="19">
        <f t="shared" si="91"/>
        <v>172</v>
      </c>
      <c r="H1207" s="22">
        <f t="shared" si="93"/>
        <v>1206</v>
      </c>
      <c r="I1207" s="21">
        <f t="shared" ca="1" si="94"/>
        <v>0</v>
      </c>
      <c r="J1207" s="21" t="str">
        <f ca="1">IF(I1207=0,"",COUNTIF($I$2:I1207,"&gt;0"))</f>
        <v/>
      </c>
      <c r="K1207" s="21" t="str">
        <f t="shared" ca="1" si="90"/>
        <v/>
      </c>
    </row>
    <row r="1208" spans="1:11" s="18" customFormat="1" ht="14.25" x14ac:dyDescent="0.2">
      <c r="A1208" s="18" t="str">
        <f t="shared" si="92"/>
        <v>Eintrag 1207</v>
      </c>
      <c r="B1208" s="18">
        <v>100</v>
      </c>
      <c r="C1208" s="19">
        <v>100</v>
      </c>
      <c r="D1208" s="20">
        <v>10</v>
      </c>
      <c r="E1208" s="20">
        <v>10</v>
      </c>
      <c r="F1208" s="20">
        <v>10</v>
      </c>
      <c r="G1208" s="19">
        <f t="shared" si="91"/>
        <v>172</v>
      </c>
      <c r="H1208" s="22">
        <f t="shared" si="93"/>
        <v>1207</v>
      </c>
      <c r="I1208" s="21">
        <f t="shared" ca="1" si="94"/>
        <v>0</v>
      </c>
      <c r="J1208" s="21" t="str">
        <f ca="1">IF(I1208=0,"",COUNTIF($I$2:I1208,"&gt;0"))</f>
        <v/>
      </c>
      <c r="K1208" s="21" t="str">
        <f t="shared" ca="1" si="90"/>
        <v/>
      </c>
    </row>
    <row r="1209" spans="1:11" s="18" customFormat="1" ht="14.25" x14ac:dyDescent="0.2">
      <c r="A1209" s="18" t="str">
        <f t="shared" si="92"/>
        <v>Eintrag 1208</v>
      </c>
      <c r="B1209" s="18">
        <v>100</v>
      </c>
      <c r="C1209" s="19">
        <v>100</v>
      </c>
      <c r="D1209" s="20">
        <v>10</v>
      </c>
      <c r="E1209" s="20">
        <v>10</v>
      </c>
      <c r="F1209" s="20">
        <v>10</v>
      </c>
      <c r="G1209" s="19">
        <f t="shared" si="91"/>
        <v>172</v>
      </c>
      <c r="H1209" s="22">
        <f t="shared" si="93"/>
        <v>1208</v>
      </c>
      <c r="I1209" s="21">
        <f t="shared" ca="1" si="94"/>
        <v>0</v>
      </c>
      <c r="J1209" s="21" t="str">
        <f ca="1">IF(I1209=0,"",COUNTIF($I$2:I1209,"&gt;0"))</f>
        <v/>
      </c>
      <c r="K1209" s="21" t="str">
        <f t="shared" ca="1" si="90"/>
        <v/>
      </c>
    </row>
    <row r="1210" spans="1:11" s="18" customFormat="1" ht="14.25" x14ac:dyDescent="0.2">
      <c r="A1210" s="18" t="str">
        <f t="shared" si="92"/>
        <v>Eintrag 1209</v>
      </c>
      <c r="B1210" s="18">
        <v>100</v>
      </c>
      <c r="C1210" s="19">
        <v>100</v>
      </c>
      <c r="D1210" s="20">
        <v>10</v>
      </c>
      <c r="E1210" s="20">
        <v>10</v>
      </c>
      <c r="F1210" s="20">
        <v>10</v>
      </c>
      <c r="G1210" s="19">
        <f t="shared" si="91"/>
        <v>172</v>
      </c>
      <c r="H1210" s="22">
        <f t="shared" si="93"/>
        <v>1209</v>
      </c>
      <c r="I1210" s="21">
        <f t="shared" ca="1" si="94"/>
        <v>0</v>
      </c>
      <c r="J1210" s="21" t="str">
        <f ca="1">IF(I1210=0,"",COUNTIF($I$2:I1210,"&gt;0"))</f>
        <v/>
      </c>
      <c r="K1210" s="21" t="str">
        <f t="shared" ca="1" si="90"/>
        <v/>
      </c>
    </row>
    <row r="1211" spans="1:11" s="18" customFormat="1" ht="14.25" x14ac:dyDescent="0.2">
      <c r="A1211" s="18" t="str">
        <f t="shared" si="92"/>
        <v>Eintrag 1210</v>
      </c>
      <c r="B1211" s="18">
        <v>100</v>
      </c>
      <c r="C1211" s="19">
        <v>100</v>
      </c>
      <c r="D1211" s="20">
        <v>10</v>
      </c>
      <c r="E1211" s="20">
        <v>10</v>
      </c>
      <c r="F1211" s="20">
        <v>10</v>
      </c>
      <c r="G1211" s="19">
        <f t="shared" si="91"/>
        <v>172</v>
      </c>
      <c r="H1211" s="22">
        <f t="shared" si="93"/>
        <v>1210</v>
      </c>
      <c r="I1211" s="21">
        <f t="shared" ca="1" si="94"/>
        <v>0</v>
      </c>
      <c r="J1211" s="21" t="str">
        <f ca="1">IF(I1211=0,"",COUNTIF($I$2:I1211,"&gt;0"))</f>
        <v/>
      </c>
      <c r="K1211" s="21" t="str">
        <f t="shared" ca="1" si="90"/>
        <v/>
      </c>
    </row>
    <row r="1212" spans="1:11" s="18" customFormat="1" ht="14.25" x14ac:dyDescent="0.2">
      <c r="A1212" s="18" t="str">
        <f t="shared" si="92"/>
        <v>Eintrag 1211</v>
      </c>
      <c r="B1212" s="18">
        <v>100</v>
      </c>
      <c r="C1212" s="19">
        <v>100</v>
      </c>
      <c r="D1212" s="20">
        <v>10</v>
      </c>
      <c r="E1212" s="20">
        <v>10</v>
      </c>
      <c r="F1212" s="20">
        <v>10</v>
      </c>
      <c r="G1212" s="19">
        <f t="shared" si="91"/>
        <v>172</v>
      </c>
      <c r="H1212" s="22">
        <f t="shared" si="93"/>
        <v>1211</v>
      </c>
      <c r="I1212" s="21">
        <f t="shared" ca="1" si="94"/>
        <v>0</v>
      </c>
      <c r="J1212" s="21" t="str">
        <f ca="1">IF(I1212=0,"",COUNTIF($I$2:I1212,"&gt;0"))</f>
        <v/>
      </c>
      <c r="K1212" s="21" t="str">
        <f t="shared" ca="1" si="90"/>
        <v/>
      </c>
    </row>
    <row r="1213" spans="1:11" s="18" customFormat="1" ht="14.25" x14ac:dyDescent="0.2">
      <c r="A1213" s="18" t="str">
        <f t="shared" si="92"/>
        <v>Eintrag 1212</v>
      </c>
      <c r="B1213" s="18">
        <v>100</v>
      </c>
      <c r="C1213" s="19">
        <v>100</v>
      </c>
      <c r="D1213" s="20">
        <v>10</v>
      </c>
      <c r="E1213" s="20">
        <v>10</v>
      </c>
      <c r="F1213" s="20">
        <v>10</v>
      </c>
      <c r="G1213" s="19">
        <f t="shared" si="91"/>
        <v>172</v>
      </c>
      <c r="H1213" s="22">
        <f t="shared" si="93"/>
        <v>1212</v>
      </c>
      <c r="I1213" s="21">
        <f t="shared" ca="1" si="94"/>
        <v>0</v>
      </c>
      <c r="J1213" s="21" t="str">
        <f ca="1">IF(I1213=0,"",COUNTIF($I$2:I1213,"&gt;0"))</f>
        <v/>
      </c>
      <c r="K1213" s="21" t="str">
        <f t="shared" ca="1" si="90"/>
        <v/>
      </c>
    </row>
    <row r="1214" spans="1:11" s="18" customFormat="1" ht="14.25" x14ac:dyDescent="0.2">
      <c r="A1214" s="18" t="str">
        <f t="shared" si="92"/>
        <v>Eintrag 1213</v>
      </c>
      <c r="B1214" s="18">
        <v>100</v>
      </c>
      <c r="C1214" s="19">
        <v>100</v>
      </c>
      <c r="D1214" s="20">
        <v>10</v>
      </c>
      <c r="E1214" s="20">
        <v>10</v>
      </c>
      <c r="F1214" s="20">
        <v>10</v>
      </c>
      <c r="G1214" s="19">
        <f t="shared" si="91"/>
        <v>172</v>
      </c>
      <c r="H1214" s="22">
        <f t="shared" si="93"/>
        <v>1213</v>
      </c>
      <c r="I1214" s="21">
        <f t="shared" ca="1" si="94"/>
        <v>0</v>
      </c>
      <c r="J1214" s="21" t="str">
        <f ca="1">IF(I1214=0,"",COUNTIF($I$2:I1214,"&gt;0"))</f>
        <v/>
      </c>
      <c r="K1214" s="21" t="str">
        <f t="shared" ca="1" si="90"/>
        <v/>
      </c>
    </row>
    <row r="1215" spans="1:11" s="18" customFormat="1" ht="14.25" x14ac:dyDescent="0.2">
      <c r="A1215" s="18" t="str">
        <f t="shared" si="92"/>
        <v>Eintrag 1214</v>
      </c>
      <c r="B1215" s="18">
        <v>100</v>
      </c>
      <c r="C1215" s="19">
        <v>100</v>
      </c>
      <c r="D1215" s="20">
        <v>10</v>
      </c>
      <c r="E1215" s="20">
        <v>10</v>
      </c>
      <c r="F1215" s="20">
        <v>10</v>
      </c>
      <c r="G1215" s="19">
        <f t="shared" si="91"/>
        <v>172</v>
      </c>
      <c r="H1215" s="22">
        <f t="shared" si="93"/>
        <v>1214</v>
      </c>
      <c r="I1215" s="21">
        <f t="shared" ca="1" si="94"/>
        <v>0</v>
      </c>
      <c r="J1215" s="21" t="str">
        <f ca="1">IF(I1215=0,"",COUNTIF($I$2:I1215,"&gt;0"))</f>
        <v/>
      </c>
      <c r="K1215" s="21" t="str">
        <f t="shared" ca="1" si="90"/>
        <v/>
      </c>
    </row>
    <row r="1216" spans="1:11" s="18" customFormat="1" ht="14.25" x14ac:dyDescent="0.2">
      <c r="A1216" s="18" t="str">
        <f t="shared" si="92"/>
        <v>Eintrag 1215</v>
      </c>
      <c r="B1216" s="18">
        <v>100</v>
      </c>
      <c r="C1216" s="19">
        <v>100</v>
      </c>
      <c r="D1216" s="20">
        <v>10</v>
      </c>
      <c r="E1216" s="20">
        <v>10</v>
      </c>
      <c r="F1216" s="20">
        <v>10</v>
      </c>
      <c r="G1216" s="19">
        <f t="shared" si="91"/>
        <v>172</v>
      </c>
      <c r="H1216" s="22">
        <f t="shared" si="93"/>
        <v>1215</v>
      </c>
      <c r="I1216" s="21">
        <f t="shared" ca="1" si="94"/>
        <v>0</v>
      </c>
      <c r="J1216" s="21" t="str">
        <f ca="1">IF(I1216=0,"",COUNTIF($I$2:I1216,"&gt;0"))</f>
        <v/>
      </c>
      <c r="K1216" s="21" t="str">
        <f t="shared" ca="1" si="90"/>
        <v/>
      </c>
    </row>
    <row r="1217" spans="1:11" s="18" customFormat="1" ht="14.25" x14ac:dyDescent="0.2">
      <c r="A1217" s="18" t="str">
        <f t="shared" si="92"/>
        <v>Eintrag 1216</v>
      </c>
      <c r="B1217" s="18">
        <v>100</v>
      </c>
      <c r="C1217" s="19">
        <v>100</v>
      </c>
      <c r="D1217" s="20">
        <v>10</v>
      </c>
      <c r="E1217" s="20">
        <v>10</v>
      </c>
      <c r="F1217" s="20">
        <v>10</v>
      </c>
      <c r="G1217" s="19">
        <f t="shared" si="91"/>
        <v>172</v>
      </c>
      <c r="H1217" s="22">
        <f t="shared" si="93"/>
        <v>1216</v>
      </c>
      <c r="I1217" s="21">
        <f t="shared" ca="1" si="94"/>
        <v>0</v>
      </c>
      <c r="J1217" s="21" t="str">
        <f ca="1">IF(I1217=0,"",COUNTIF($I$2:I1217,"&gt;0"))</f>
        <v/>
      </c>
      <c r="K1217" s="21" t="str">
        <f t="shared" ca="1" si="90"/>
        <v/>
      </c>
    </row>
    <row r="1218" spans="1:11" s="18" customFormat="1" ht="14.25" x14ac:dyDescent="0.2">
      <c r="A1218" s="18" t="str">
        <f t="shared" si="92"/>
        <v>Eintrag 1217</v>
      </c>
      <c r="B1218" s="18">
        <v>100</v>
      </c>
      <c r="C1218" s="19">
        <v>100</v>
      </c>
      <c r="D1218" s="20">
        <v>10</v>
      </c>
      <c r="E1218" s="20">
        <v>10</v>
      </c>
      <c r="F1218" s="20">
        <v>10</v>
      </c>
      <c r="G1218" s="19">
        <f t="shared" si="91"/>
        <v>172</v>
      </c>
      <c r="H1218" s="22">
        <f t="shared" si="93"/>
        <v>1217</v>
      </c>
      <c r="I1218" s="21">
        <f t="shared" ca="1" si="94"/>
        <v>0</v>
      </c>
      <c r="J1218" s="21" t="str">
        <f ca="1">IF(I1218=0,"",COUNTIF($I$2:I1218,"&gt;0"))</f>
        <v/>
      </c>
      <c r="K1218" s="21" t="str">
        <f t="shared" ref="K1218:K1281" ca="1" si="95">IFERROR(INDEX(A:A,MATCH(ROW(I1217),J:J,0)),"")</f>
        <v/>
      </c>
    </row>
    <row r="1219" spans="1:11" s="18" customFormat="1" ht="14.25" x14ac:dyDescent="0.2">
      <c r="A1219" s="18" t="str">
        <f t="shared" si="92"/>
        <v>Eintrag 1218</v>
      </c>
      <c r="B1219" s="18">
        <v>100</v>
      </c>
      <c r="C1219" s="19">
        <v>100</v>
      </c>
      <c r="D1219" s="20">
        <v>10</v>
      </c>
      <c r="E1219" s="20">
        <v>10</v>
      </c>
      <c r="F1219" s="20">
        <v>10</v>
      </c>
      <c r="G1219" s="19">
        <f t="shared" ref="G1219:G1282" si="96">D1219*9+E1219*4.1+F1219*4.1</f>
        <v>172</v>
      </c>
      <c r="H1219" s="22">
        <f t="shared" si="93"/>
        <v>1218</v>
      </c>
      <c r="I1219" s="21">
        <f t="shared" ca="1" si="94"/>
        <v>0</v>
      </c>
      <c r="J1219" s="21" t="str">
        <f ca="1">IF(I1219=0,"",COUNTIF($I$2:I1219,"&gt;0"))</f>
        <v/>
      </c>
      <c r="K1219" s="21" t="str">
        <f t="shared" ca="1" si="95"/>
        <v/>
      </c>
    </row>
    <row r="1220" spans="1:11" s="18" customFormat="1" ht="14.25" x14ac:dyDescent="0.2">
      <c r="A1220" s="18" t="str">
        <f t="shared" si="92"/>
        <v>Eintrag 1219</v>
      </c>
      <c r="B1220" s="18">
        <v>100</v>
      </c>
      <c r="C1220" s="19">
        <v>100</v>
      </c>
      <c r="D1220" s="20">
        <v>10</v>
      </c>
      <c r="E1220" s="20">
        <v>10</v>
      </c>
      <c r="F1220" s="20">
        <v>10</v>
      </c>
      <c r="G1220" s="19">
        <f t="shared" si="96"/>
        <v>172</v>
      </c>
      <c r="H1220" s="22">
        <f t="shared" si="93"/>
        <v>1219</v>
      </c>
      <c r="I1220" s="21">
        <f t="shared" ca="1" si="94"/>
        <v>0</v>
      </c>
      <c r="J1220" s="21" t="str">
        <f ca="1">IF(I1220=0,"",COUNTIF($I$2:I1220,"&gt;0"))</f>
        <v/>
      </c>
      <c r="K1220" s="21" t="str">
        <f t="shared" ca="1" si="95"/>
        <v/>
      </c>
    </row>
    <row r="1221" spans="1:11" s="18" customFormat="1" ht="14.25" x14ac:dyDescent="0.2">
      <c r="A1221" s="18" t="str">
        <f t="shared" si="92"/>
        <v>Eintrag 1220</v>
      </c>
      <c r="B1221" s="18">
        <v>100</v>
      </c>
      <c r="C1221" s="19">
        <v>100</v>
      </c>
      <c r="D1221" s="20">
        <v>10</v>
      </c>
      <c r="E1221" s="20">
        <v>10</v>
      </c>
      <c r="F1221" s="20">
        <v>10</v>
      </c>
      <c r="G1221" s="19">
        <f t="shared" si="96"/>
        <v>172</v>
      </c>
      <c r="H1221" s="22">
        <f t="shared" si="93"/>
        <v>1220</v>
      </c>
      <c r="I1221" s="21">
        <f t="shared" ca="1" si="94"/>
        <v>0</v>
      </c>
      <c r="J1221" s="21" t="str">
        <f ca="1">IF(I1221=0,"",COUNTIF($I$2:I1221,"&gt;0"))</f>
        <v/>
      </c>
      <c r="K1221" s="21" t="str">
        <f t="shared" ca="1" si="95"/>
        <v/>
      </c>
    </row>
    <row r="1222" spans="1:11" s="18" customFormat="1" ht="14.25" x14ac:dyDescent="0.2">
      <c r="A1222" s="18" t="str">
        <f t="shared" si="92"/>
        <v>Eintrag 1221</v>
      </c>
      <c r="B1222" s="18">
        <v>100</v>
      </c>
      <c r="C1222" s="19">
        <v>100</v>
      </c>
      <c r="D1222" s="20">
        <v>10</v>
      </c>
      <c r="E1222" s="20">
        <v>10</v>
      </c>
      <c r="F1222" s="20">
        <v>10</v>
      </c>
      <c r="G1222" s="19">
        <f t="shared" si="96"/>
        <v>172</v>
      </c>
      <c r="H1222" s="22">
        <f t="shared" si="93"/>
        <v>1221</v>
      </c>
      <c r="I1222" s="21">
        <f t="shared" ca="1" si="94"/>
        <v>0</v>
      </c>
      <c r="J1222" s="21" t="str">
        <f ca="1">IF(I1222=0,"",COUNTIF($I$2:I1222,"&gt;0"))</f>
        <v/>
      </c>
      <c r="K1222" s="21" t="str">
        <f t="shared" ca="1" si="95"/>
        <v/>
      </c>
    </row>
    <row r="1223" spans="1:11" s="18" customFormat="1" ht="14.25" x14ac:dyDescent="0.2">
      <c r="A1223" s="18" t="str">
        <f t="shared" si="92"/>
        <v>Eintrag 1222</v>
      </c>
      <c r="B1223" s="18">
        <v>100</v>
      </c>
      <c r="C1223" s="19">
        <v>100</v>
      </c>
      <c r="D1223" s="20">
        <v>10</v>
      </c>
      <c r="E1223" s="20">
        <v>10</v>
      </c>
      <c r="F1223" s="20">
        <v>10</v>
      </c>
      <c r="G1223" s="19">
        <f t="shared" si="96"/>
        <v>172</v>
      </c>
      <c r="H1223" s="22">
        <f t="shared" si="93"/>
        <v>1222</v>
      </c>
      <c r="I1223" s="21">
        <f t="shared" ca="1" si="94"/>
        <v>0</v>
      </c>
      <c r="J1223" s="21" t="str">
        <f ca="1">IF(I1223=0,"",COUNTIF($I$2:I1223,"&gt;0"))</f>
        <v/>
      </c>
      <c r="K1223" s="21" t="str">
        <f t="shared" ca="1" si="95"/>
        <v/>
      </c>
    </row>
    <row r="1224" spans="1:11" s="18" customFormat="1" ht="14.25" x14ac:dyDescent="0.2">
      <c r="A1224" s="18" t="str">
        <f t="shared" si="92"/>
        <v>Eintrag 1223</v>
      </c>
      <c r="B1224" s="18">
        <v>100</v>
      </c>
      <c r="C1224" s="19">
        <v>100</v>
      </c>
      <c r="D1224" s="20">
        <v>10</v>
      </c>
      <c r="E1224" s="20">
        <v>10</v>
      </c>
      <c r="F1224" s="20">
        <v>10</v>
      </c>
      <c r="G1224" s="19">
        <f t="shared" si="96"/>
        <v>172</v>
      </c>
      <c r="H1224" s="22">
        <f t="shared" si="93"/>
        <v>1223</v>
      </c>
      <c r="I1224" s="21">
        <f t="shared" ca="1" si="94"/>
        <v>0</v>
      </c>
      <c r="J1224" s="21" t="str">
        <f ca="1">IF(I1224=0,"",COUNTIF($I$2:I1224,"&gt;0"))</f>
        <v/>
      </c>
      <c r="K1224" s="21" t="str">
        <f t="shared" ca="1" si="95"/>
        <v/>
      </c>
    </row>
    <row r="1225" spans="1:11" s="18" customFormat="1" ht="14.25" x14ac:dyDescent="0.2">
      <c r="A1225" s="18" t="str">
        <f t="shared" si="92"/>
        <v>Eintrag 1224</v>
      </c>
      <c r="B1225" s="18">
        <v>100</v>
      </c>
      <c r="C1225" s="19">
        <v>100</v>
      </c>
      <c r="D1225" s="20">
        <v>10</v>
      </c>
      <c r="E1225" s="20">
        <v>10</v>
      </c>
      <c r="F1225" s="20">
        <v>10</v>
      </c>
      <c r="G1225" s="19">
        <f t="shared" si="96"/>
        <v>172</v>
      </c>
      <c r="H1225" s="22">
        <f t="shared" si="93"/>
        <v>1224</v>
      </c>
      <c r="I1225" s="21">
        <f t="shared" ca="1" si="94"/>
        <v>0</v>
      </c>
      <c r="J1225" s="21" t="str">
        <f ca="1">IF(I1225=0,"",COUNTIF($I$2:I1225,"&gt;0"))</f>
        <v/>
      </c>
      <c r="K1225" s="21" t="str">
        <f t="shared" ca="1" si="95"/>
        <v/>
      </c>
    </row>
    <row r="1226" spans="1:11" s="18" customFormat="1" ht="14.25" x14ac:dyDescent="0.2">
      <c r="A1226" s="18" t="str">
        <f t="shared" si="92"/>
        <v>Eintrag 1225</v>
      </c>
      <c r="B1226" s="18">
        <v>100</v>
      </c>
      <c r="C1226" s="19">
        <v>100</v>
      </c>
      <c r="D1226" s="20">
        <v>10</v>
      </c>
      <c r="E1226" s="20">
        <v>10</v>
      </c>
      <c r="F1226" s="20">
        <v>10</v>
      </c>
      <c r="G1226" s="19">
        <f t="shared" si="96"/>
        <v>172</v>
      </c>
      <c r="H1226" s="22">
        <f t="shared" si="93"/>
        <v>1225</v>
      </c>
      <c r="I1226" s="21">
        <f t="shared" ca="1" si="94"/>
        <v>0</v>
      </c>
      <c r="J1226" s="21" t="str">
        <f ca="1">IF(I1226=0,"",COUNTIF($I$2:I1226,"&gt;0"))</f>
        <v/>
      </c>
      <c r="K1226" s="21" t="str">
        <f t="shared" ca="1" si="95"/>
        <v/>
      </c>
    </row>
    <row r="1227" spans="1:11" s="18" customFormat="1" ht="14.25" x14ac:dyDescent="0.2">
      <c r="A1227" s="18" t="str">
        <f t="shared" si="92"/>
        <v>Eintrag 1226</v>
      </c>
      <c r="B1227" s="18">
        <v>100</v>
      </c>
      <c r="C1227" s="19">
        <v>100</v>
      </c>
      <c r="D1227" s="20">
        <v>10</v>
      </c>
      <c r="E1227" s="20">
        <v>10</v>
      </c>
      <c r="F1227" s="20">
        <v>10</v>
      </c>
      <c r="G1227" s="19">
        <f t="shared" si="96"/>
        <v>172</v>
      </c>
      <c r="H1227" s="22">
        <f t="shared" si="93"/>
        <v>1226</v>
      </c>
      <c r="I1227" s="21">
        <f t="shared" ca="1" si="94"/>
        <v>0</v>
      </c>
      <c r="J1227" s="21" t="str">
        <f ca="1">IF(I1227=0,"",COUNTIF($I$2:I1227,"&gt;0"))</f>
        <v/>
      </c>
      <c r="K1227" s="21" t="str">
        <f t="shared" ca="1" si="95"/>
        <v/>
      </c>
    </row>
    <row r="1228" spans="1:11" s="18" customFormat="1" ht="14.25" x14ac:dyDescent="0.2">
      <c r="A1228" s="18" t="str">
        <f t="shared" si="92"/>
        <v>Eintrag 1227</v>
      </c>
      <c r="B1228" s="18">
        <v>100</v>
      </c>
      <c r="C1228" s="19">
        <v>100</v>
      </c>
      <c r="D1228" s="20">
        <v>10</v>
      </c>
      <c r="E1228" s="20">
        <v>10</v>
      </c>
      <c r="F1228" s="20">
        <v>10</v>
      </c>
      <c r="G1228" s="19">
        <f t="shared" si="96"/>
        <v>172</v>
      </c>
      <c r="H1228" s="22">
        <f t="shared" si="93"/>
        <v>1227</v>
      </c>
      <c r="I1228" s="21">
        <f t="shared" ca="1" si="94"/>
        <v>0</v>
      </c>
      <c r="J1228" s="21" t="str">
        <f ca="1">IF(I1228=0,"",COUNTIF($I$2:I1228,"&gt;0"))</f>
        <v/>
      </c>
      <c r="K1228" s="21" t="str">
        <f t="shared" ca="1" si="95"/>
        <v/>
      </c>
    </row>
    <row r="1229" spans="1:11" s="18" customFormat="1" ht="14.25" x14ac:dyDescent="0.2">
      <c r="A1229" s="18" t="str">
        <f t="shared" si="92"/>
        <v>Eintrag 1228</v>
      </c>
      <c r="B1229" s="18">
        <v>100</v>
      </c>
      <c r="C1229" s="19">
        <v>100</v>
      </c>
      <c r="D1229" s="20">
        <v>10</v>
      </c>
      <c r="E1229" s="20">
        <v>10</v>
      </c>
      <c r="F1229" s="20">
        <v>10</v>
      </c>
      <c r="G1229" s="19">
        <f t="shared" si="96"/>
        <v>172</v>
      </c>
      <c r="H1229" s="22">
        <f t="shared" si="93"/>
        <v>1228</v>
      </c>
      <c r="I1229" s="21">
        <f t="shared" ca="1" si="94"/>
        <v>0</v>
      </c>
      <c r="J1229" s="21" t="str">
        <f ca="1">IF(I1229=0,"",COUNTIF($I$2:I1229,"&gt;0"))</f>
        <v/>
      </c>
      <c r="K1229" s="21" t="str">
        <f t="shared" ca="1" si="95"/>
        <v/>
      </c>
    </row>
    <row r="1230" spans="1:11" s="18" customFormat="1" ht="14.25" x14ac:dyDescent="0.2">
      <c r="A1230" s="18" t="str">
        <f t="shared" si="92"/>
        <v>Eintrag 1229</v>
      </c>
      <c r="B1230" s="18">
        <v>100</v>
      </c>
      <c r="C1230" s="19">
        <v>100</v>
      </c>
      <c r="D1230" s="20">
        <v>10</v>
      </c>
      <c r="E1230" s="20">
        <v>10</v>
      </c>
      <c r="F1230" s="20">
        <v>10</v>
      </c>
      <c r="G1230" s="19">
        <f t="shared" si="96"/>
        <v>172</v>
      </c>
      <c r="H1230" s="22">
        <f t="shared" si="93"/>
        <v>1229</v>
      </c>
      <c r="I1230" s="21">
        <f t="shared" ca="1" si="94"/>
        <v>0</v>
      </c>
      <c r="J1230" s="21" t="str">
        <f ca="1">IF(I1230=0,"",COUNTIF($I$2:I1230,"&gt;0"))</f>
        <v/>
      </c>
      <c r="K1230" s="21" t="str">
        <f t="shared" ca="1" si="95"/>
        <v/>
      </c>
    </row>
    <row r="1231" spans="1:11" s="18" customFormat="1" ht="14.25" x14ac:dyDescent="0.2">
      <c r="A1231" s="18" t="str">
        <f t="shared" si="92"/>
        <v>Eintrag 1230</v>
      </c>
      <c r="B1231" s="18">
        <v>100</v>
      </c>
      <c r="C1231" s="19">
        <v>100</v>
      </c>
      <c r="D1231" s="20">
        <v>10</v>
      </c>
      <c r="E1231" s="20">
        <v>10</v>
      </c>
      <c r="F1231" s="20">
        <v>10</v>
      </c>
      <c r="G1231" s="19">
        <f t="shared" si="96"/>
        <v>172</v>
      </c>
      <c r="H1231" s="22">
        <f t="shared" si="93"/>
        <v>1230</v>
      </c>
      <c r="I1231" s="21">
        <f t="shared" ca="1" si="94"/>
        <v>0</v>
      </c>
      <c r="J1231" s="21" t="str">
        <f ca="1">IF(I1231=0,"",COUNTIF($I$2:I1231,"&gt;0"))</f>
        <v/>
      </c>
      <c r="K1231" s="21" t="str">
        <f t="shared" ca="1" si="95"/>
        <v/>
      </c>
    </row>
    <row r="1232" spans="1:11" s="18" customFormat="1" ht="14.25" x14ac:dyDescent="0.2">
      <c r="A1232" s="18" t="str">
        <f t="shared" si="92"/>
        <v>Eintrag 1231</v>
      </c>
      <c r="B1232" s="18">
        <v>100</v>
      </c>
      <c r="C1232" s="19">
        <v>100</v>
      </c>
      <c r="D1232" s="20">
        <v>10</v>
      </c>
      <c r="E1232" s="20">
        <v>10</v>
      </c>
      <c r="F1232" s="20">
        <v>10</v>
      </c>
      <c r="G1232" s="19">
        <f t="shared" si="96"/>
        <v>172</v>
      </c>
      <c r="H1232" s="22">
        <f t="shared" si="93"/>
        <v>1231</v>
      </c>
      <c r="I1232" s="21">
        <f t="shared" ca="1" si="94"/>
        <v>0</v>
      </c>
      <c r="J1232" s="21" t="str">
        <f ca="1">IF(I1232=0,"",COUNTIF($I$2:I1232,"&gt;0"))</f>
        <v/>
      </c>
      <c r="K1232" s="21" t="str">
        <f t="shared" ca="1" si="95"/>
        <v/>
      </c>
    </row>
    <row r="1233" spans="1:11" s="18" customFormat="1" ht="14.25" x14ac:dyDescent="0.2">
      <c r="A1233" s="18" t="str">
        <f t="shared" si="92"/>
        <v>Eintrag 1232</v>
      </c>
      <c r="B1233" s="18">
        <v>100</v>
      </c>
      <c r="C1233" s="19">
        <v>100</v>
      </c>
      <c r="D1233" s="20">
        <v>10</v>
      </c>
      <c r="E1233" s="20">
        <v>10</v>
      </c>
      <c r="F1233" s="20">
        <v>10</v>
      </c>
      <c r="G1233" s="19">
        <f t="shared" si="96"/>
        <v>172</v>
      </c>
      <c r="H1233" s="22">
        <f t="shared" si="93"/>
        <v>1232</v>
      </c>
      <c r="I1233" s="21">
        <f t="shared" ca="1" si="94"/>
        <v>0</v>
      </c>
      <c r="J1233" s="21" t="str">
        <f ca="1">IF(I1233=0,"",COUNTIF($I$2:I1233,"&gt;0"))</f>
        <v/>
      </c>
      <c r="K1233" s="21" t="str">
        <f t="shared" ca="1" si="95"/>
        <v/>
      </c>
    </row>
    <row r="1234" spans="1:11" s="18" customFormat="1" ht="14.25" x14ac:dyDescent="0.2">
      <c r="A1234" s="18" t="str">
        <f t="shared" si="92"/>
        <v>Eintrag 1233</v>
      </c>
      <c r="B1234" s="18">
        <v>100</v>
      </c>
      <c r="C1234" s="19">
        <v>100</v>
      </c>
      <c r="D1234" s="20">
        <v>10</v>
      </c>
      <c r="E1234" s="20">
        <v>10</v>
      </c>
      <c r="F1234" s="20">
        <v>10</v>
      </c>
      <c r="G1234" s="19">
        <f t="shared" si="96"/>
        <v>172</v>
      </c>
      <c r="H1234" s="22">
        <f t="shared" si="93"/>
        <v>1233</v>
      </c>
      <c r="I1234" s="21">
        <f t="shared" ca="1" si="94"/>
        <v>0</v>
      </c>
      <c r="J1234" s="21" t="str">
        <f ca="1">IF(I1234=0,"",COUNTIF($I$2:I1234,"&gt;0"))</f>
        <v/>
      </c>
      <c r="K1234" s="21" t="str">
        <f t="shared" ca="1" si="95"/>
        <v/>
      </c>
    </row>
    <row r="1235" spans="1:11" s="18" customFormat="1" ht="14.25" x14ac:dyDescent="0.2">
      <c r="A1235" s="18" t="str">
        <f t="shared" si="92"/>
        <v>Eintrag 1234</v>
      </c>
      <c r="B1235" s="18">
        <v>100</v>
      </c>
      <c r="C1235" s="19">
        <v>100</v>
      </c>
      <c r="D1235" s="20">
        <v>10</v>
      </c>
      <c r="E1235" s="20">
        <v>10</v>
      </c>
      <c r="F1235" s="20">
        <v>10</v>
      </c>
      <c r="G1235" s="19">
        <f t="shared" si="96"/>
        <v>172</v>
      </c>
      <c r="H1235" s="22">
        <f t="shared" si="93"/>
        <v>1234</v>
      </c>
      <c r="I1235" s="21">
        <f t="shared" ca="1" si="94"/>
        <v>0</v>
      </c>
      <c r="J1235" s="21" t="str">
        <f ca="1">IF(I1235=0,"",COUNTIF($I$2:I1235,"&gt;0"))</f>
        <v/>
      </c>
      <c r="K1235" s="21" t="str">
        <f t="shared" ca="1" si="95"/>
        <v/>
      </c>
    </row>
    <row r="1236" spans="1:11" s="18" customFormat="1" ht="14.25" x14ac:dyDescent="0.2">
      <c r="A1236" s="18" t="str">
        <f t="shared" si="92"/>
        <v>Eintrag 1235</v>
      </c>
      <c r="B1236" s="18">
        <v>100</v>
      </c>
      <c r="C1236" s="19">
        <v>100</v>
      </c>
      <c r="D1236" s="20">
        <v>10</v>
      </c>
      <c r="E1236" s="20">
        <v>10</v>
      </c>
      <c r="F1236" s="20">
        <v>10</v>
      </c>
      <c r="G1236" s="19">
        <f t="shared" si="96"/>
        <v>172</v>
      </c>
      <c r="H1236" s="22">
        <f t="shared" si="93"/>
        <v>1235</v>
      </c>
      <c r="I1236" s="21">
        <f t="shared" ca="1" si="94"/>
        <v>0</v>
      </c>
      <c r="J1236" s="21" t="str">
        <f ca="1">IF(I1236=0,"",COUNTIF($I$2:I1236,"&gt;0"))</f>
        <v/>
      </c>
      <c r="K1236" s="21" t="str">
        <f t="shared" ca="1" si="95"/>
        <v/>
      </c>
    </row>
    <row r="1237" spans="1:11" s="18" customFormat="1" ht="14.25" x14ac:dyDescent="0.2">
      <c r="A1237" s="18" t="str">
        <f t="shared" si="92"/>
        <v>Eintrag 1236</v>
      </c>
      <c r="B1237" s="18">
        <v>100</v>
      </c>
      <c r="C1237" s="19">
        <v>100</v>
      </c>
      <c r="D1237" s="20">
        <v>10</v>
      </c>
      <c r="E1237" s="20">
        <v>10</v>
      </c>
      <c r="F1237" s="20">
        <v>10</v>
      </c>
      <c r="G1237" s="19">
        <f t="shared" si="96"/>
        <v>172</v>
      </c>
      <c r="H1237" s="22">
        <f t="shared" si="93"/>
        <v>1236</v>
      </c>
      <c r="I1237" s="21">
        <f t="shared" ca="1" si="94"/>
        <v>0</v>
      </c>
      <c r="J1237" s="21" t="str">
        <f ca="1">IF(I1237=0,"",COUNTIF($I$2:I1237,"&gt;0"))</f>
        <v/>
      </c>
      <c r="K1237" s="21" t="str">
        <f t="shared" ca="1" si="95"/>
        <v/>
      </c>
    </row>
    <row r="1238" spans="1:11" s="18" customFormat="1" ht="14.25" x14ac:dyDescent="0.2">
      <c r="A1238" s="18" t="str">
        <f t="shared" si="92"/>
        <v>Eintrag 1237</v>
      </c>
      <c r="B1238" s="18">
        <v>100</v>
      </c>
      <c r="C1238" s="19">
        <v>100</v>
      </c>
      <c r="D1238" s="20">
        <v>10</v>
      </c>
      <c r="E1238" s="20">
        <v>10</v>
      </c>
      <c r="F1238" s="20">
        <v>10</v>
      </c>
      <c r="G1238" s="19">
        <f t="shared" si="96"/>
        <v>172</v>
      </c>
      <c r="H1238" s="22">
        <f t="shared" si="93"/>
        <v>1237</v>
      </c>
      <c r="I1238" s="21">
        <f t="shared" ca="1" si="94"/>
        <v>0</v>
      </c>
      <c r="J1238" s="21" t="str">
        <f ca="1">IF(I1238=0,"",COUNTIF($I$2:I1238,"&gt;0"))</f>
        <v/>
      </c>
      <c r="K1238" s="21" t="str">
        <f t="shared" ca="1" si="95"/>
        <v/>
      </c>
    </row>
    <row r="1239" spans="1:11" s="18" customFormat="1" ht="14.25" x14ac:dyDescent="0.2">
      <c r="A1239" s="18" t="str">
        <f t="shared" si="92"/>
        <v>Eintrag 1238</v>
      </c>
      <c r="B1239" s="18">
        <v>100</v>
      </c>
      <c r="C1239" s="19">
        <v>100</v>
      </c>
      <c r="D1239" s="20">
        <v>10</v>
      </c>
      <c r="E1239" s="20">
        <v>10</v>
      </c>
      <c r="F1239" s="20">
        <v>10</v>
      </c>
      <c r="G1239" s="19">
        <f t="shared" si="96"/>
        <v>172</v>
      </c>
      <c r="H1239" s="22">
        <f t="shared" si="93"/>
        <v>1238</v>
      </c>
      <c r="I1239" s="21">
        <f t="shared" ca="1" si="94"/>
        <v>0</v>
      </c>
      <c r="J1239" s="21" t="str">
        <f ca="1">IF(I1239=0,"",COUNTIF($I$2:I1239,"&gt;0"))</f>
        <v/>
      </c>
      <c r="K1239" s="21" t="str">
        <f t="shared" ca="1" si="95"/>
        <v/>
      </c>
    </row>
    <row r="1240" spans="1:11" s="18" customFormat="1" ht="14.25" x14ac:dyDescent="0.2">
      <c r="A1240" s="18" t="str">
        <f t="shared" si="92"/>
        <v>Eintrag 1239</v>
      </c>
      <c r="B1240" s="18">
        <v>100</v>
      </c>
      <c r="C1240" s="19">
        <v>100</v>
      </c>
      <c r="D1240" s="20">
        <v>10</v>
      </c>
      <c r="E1240" s="20">
        <v>10</v>
      </c>
      <c r="F1240" s="20">
        <v>10</v>
      </c>
      <c r="G1240" s="19">
        <f t="shared" si="96"/>
        <v>172</v>
      </c>
      <c r="H1240" s="22">
        <f t="shared" si="93"/>
        <v>1239</v>
      </c>
      <c r="I1240" s="21">
        <f t="shared" ca="1" si="94"/>
        <v>0</v>
      </c>
      <c r="J1240" s="21" t="str">
        <f ca="1">IF(I1240=0,"",COUNTIF($I$2:I1240,"&gt;0"))</f>
        <v/>
      </c>
      <c r="K1240" s="21" t="str">
        <f t="shared" ca="1" si="95"/>
        <v/>
      </c>
    </row>
    <row r="1241" spans="1:11" s="18" customFormat="1" ht="14.25" x14ac:dyDescent="0.2">
      <c r="A1241" s="18" t="str">
        <f t="shared" ref="A1241:A1404" si="97">CONCATENATE("Eintrag ",H1241)</f>
        <v>Eintrag 1240</v>
      </c>
      <c r="B1241" s="18">
        <v>100</v>
      </c>
      <c r="C1241" s="19">
        <v>100</v>
      </c>
      <c r="D1241" s="20">
        <v>10</v>
      </c>
      <c r="E1241" s="20">
        <v>10</v>
      </c>
      <c r="F1241" s="20">
        <v>10</v>
      </c>
      <c r="G1241" s="19">
        <f t="shared" si="96"/>
        <v>172</v>
      </c>
      <c r="H1241" s="22">
        <f t="shared" si="93"/>
        <v>1240</v>
      </c>
      <c r="I1241" s="21">
        <f t="shared" ca="1" si="94"/>
        <v>0</v>
      </c>
      <c r="J1241" s="21" t="str">
        <f ca="1">IF(I1241=0,"",COUNTIF($I$2:I1241,"&gt;0"))</f>
        <v/>
      </c>
      <c r="K1241" s="21" t="str">
        <f t="shared" ca="1" si="95"/>
        <v/>
      </c>
    </row>
    <row r="1242" spans="1:11" s="18" customFormat="1" ht="14.25" x14ac:dyDescent="0.2">
      <c r="A1242" s="18" t="str">
        <f t="shared" si="97"/>
        <v>Eintrag 1241</v>
      </c>
      <c r="B1242" s="18">
        <v>100</v>
      </c>
      <c r="C1242" s="19">
        <v>100</v>
      </c>
      <c r="D1242" s="20">
        <v>10</v>
      </c>
      <c r="E1242" s="20">
        <v>10</v>
      </c>
      <c r="F1242" s="20">
        <v>10</v>
      </c>
      <c r="G1242" s="19">
        <f t="shared" si="96"/>
        <v>172</v>
      </c>
      <c r="H1242" s="22">
        <f t="shared" si="93"/>
        <v>1241</v>
      </c>
      <c r="I1242" s="21">
        <f t="shared" ca="1" si="94"/>
        <v>0</v>
      </c>
      <c r="J1242" s="21" t="str">
        <f ca="1">IF(I1242=0,"",COUNTIF($I$2:I1242,"&gt;0"))</f>
        <v/>
      </c>
      <c r="K1242" s="21" t="str">
        <f t="shared" ca="1" si="95"/>
        <v/>
      </c>
    </row>
    <row r="1243" spans="1:11" s="18" customFormat="1" ht="14.25" x14ac:dyDescent="0.2">
      <c r="A1243" s="18" t="str">
        <f t="shared" si="97"/>
        <v>Eintrag 1242</v>
      </c>
      <c r="B1243" s="18">
        <v>100</v>
      </c>
      <c r="C1243" s="19">
        <v>100</v>
      </c>
      <c r="D1243" s="20">
        <v>10</v>
      </c>
      <c r="E1243" s="20">
        <v>10</v>
      </c>
      <c r="F1243" s="20">
        <v>10</v>
      </c>
      <c r="G1243" s="19">
        <f t="shared" si="96"/>
        <v>172</v>
      </c>
      <c r="H1243" s="22">
        <f t="shared" si="93"/>
        <v>1242</v>
      </c>
      <c r="I1243" s="21">
        <f t="shared" ca="1" si="94"/>
        <v>0</v>
      </c>
      <c r="J1243" s="21" t="str">
        <f ca="1">IF(I1243=0,"",COUNTIF($I$2:I1243,"&gt;0"))</f>
        <v/>
      </c>
      <c r="K1243" s="21" t="str">
        <f t="shared" ca="1" si="95"/>
        <v/>
      </c>
    </row>
    <row r="1244" spans="1:11" s="18" customFormat="1" ht="14.25" x14ac:dyDescent="0.2">
      <c r="A1244" s="18" t="str">
        <f t="shared" si="97"/>
        <v>Eintrag 1243</v>
      </c>
      <c r="B1244" s="18">
        <v>100</v>
      </c>
      <c r="C1244" s="19">
        <v>100</v>
      </c>
      <c r="D1244" s="20">
        <v>10</v>
      </c>
      <c r="E1244" s="20">
        <v>10</v>
      </c>
      <c r="F1244" s="20">
        <v>10</v>
      </c>
      <c r="G1244" s="19">
        <f t="shared" si="96"/>
        <v>172</v>
      </c>
      <c r="H1244" s="22">
        <f t="shared" si="93"/>
        <v>1243</v>
      </c>
      <c r="I1244" s="21">
        <f t="shared" ca="1" si="94"/>
        <v>0</v>
      </c>
      <c r="J1244" s="21" t="str">
        <f ca="1">IF(I1244=0,"",COUNTIF($I$2:I1244,"&gt;0"))</f>
        <v/>
      </c>
      <c r="K1244" s="21" t="str">
        <f t="shared" ca="1" si="95"/>
        <v/>
      </c>
    </row>
    <row r="1245" spans="1:11" s="18" customFormat="1" ht="14.25" x14ac:dyDescent="0.2">
      <c r="A1245" s="18" t="str">
        <f t="shared" si="97"/>
        <v>Eintrag 1244</v>
      </c>
      <c r="B1245" s="18">
        <v>100</v>
      </c>
      <c r="C1245" s="19">
        <v>100</v>
      </c>
      <c r="D1245" s="20">
        <v>10</v>
      </c>
      <c r="E1245" s="20">
        <v>10</v>
      </c>
      <c r="F1245" s="20">
        <v>10</v>
      </c>
      <c r="G1245" s="19">
        <f t="shared" si="96"/>
        <v>172</v>
      </c>
      <c r="H1245" s="22">
        <f t="shared" si="93"/>
        <v>1244</v>
      </c>
      <c r="I1245" s="21">
        <f t="shared" ca="1" si="94"/>
        <v>0</v>
      </c>
      <c r="J1245" s="21" t="str">
        <f ca="1">IF(I1245=0,"",COUNTIF($I$2:I1245,"&gt;0"))</f>
        <v/>
      </c>
      <c r="K1245" s="21" t="str">
        <f t="shared" ca="1" si="95"/>
        <v/>
      </c>
    </row>
    <row r="1246" spans="1:11" s="18" customFormat="1" ht="14.25" x14ac:dyDescent="0.2">
      <c r="A1246" s="18" t="str">
        <f t="shared" si="97"/>
        <v>Eintrag 1245</v>
      </c>
      <c r="B1246" s="18">
        <v>100</v>
      </c>
      <c r="C1246" s="19">
        <v>100</v>
      </c>
      <c r="D1246" s="20">
        <v>10</v>
      </c>
      <c r="E1246" s="20">
        <v>10</v>
      </c>
      <c r="F1246" s="20">
        <v>10</v>
      </c>
      <c r="G1246" s="19">
        <f t="shared" si="96"/>
        <v>172</v>
      </c>
      <c r="H1246" s="22">
        <f t="shared" si="93"/>
        <v>1245</v>
      </c>
      <c r="I1246" s="21">
        <f t="shared" ca="1" si="94"/>
        <v>0</v>
      </c>
      <c r="J1246" s="21" t="str">
        <f ca="1">IF(I1246=0,"",COUNTIF($I$2:I1246,"&gt;0"))</f>
        <v/>
      </c>
      <c r="K1246" s="21" t="str">
        <f t="shared" ca="1" si="95"/>
        <v/>
      </c>
    </row>
    <row r="1247" spans="1:11" s="18" customFormat="1" ht="14.25" x14ac:dyDescent="0.2">
      <c r="A1247" s="18" t="str">
        <f t="shared" si="97"/>
        <v>Eintrag 1246</v>
      </c>
      <c r="B1247" s="18">
        <v>100</v>
      </c>
      <c r="C1247" s="19">
        <v>100</v>
      </c>
      <c r="D1247" s="20">
        <v>10</v>
      </c>
      <c r="E1247" s="20">
        <v>10</v>
      </c>
      <c r="F1247" s="20">
        <v>10</v>
      </c>
      <c r="G1247" s="19">
        <f t="shared" si="96"/>
        <v>172</v>
      </c>
      <c r="H1247" s="22">
        <f t="shared" si="93"/>
        <v>1246</v>
      </c>
      <c r="I1247" s="21">
        <f t="shared" ca="1" si="94"/>
        <v>0</v>
      </c>
      <c r="J1247" s="21" t="str">
        <f ca="1">IF(I1247=0,"",COUNTIF($I$2:I1247,"&gt;0"))</f>
        <v/>
      </c>
      <c r="K1247" s="21" t="str">
        <f t="shared" ca="1" si="95"/>
        <v/>
      </c>
    </row>
    <row r="1248" spans="1:11" s="18" customFormat="1" ht="14.25" x14ac:dyDescent="0.2">
      <c r="A1248" s="18" t="str">
        <f t="shared" si="97"/>
        <v>Eintrag 1247</v>
      </c>
      <c r="B1248" s="18">
        <v>100</v>
      </c>
      <c r="C1248" s="19">
        <v>100</v>
      </c>
      <c r="D1248" s="20">
        <v>10</v>
      </c>
      <c r="E1248" s="20">
        <v>10</v>
      </c>
      <c r="F1248" s="20">
        <v>10</v>
      </c>
      <c r="G1248" s="19">
        <f t="shared" si="96"/>
        <v>172</v>
      </c>
      <c r="H1248" s="22">
        <f t="shared" si="93"/>
        <v>1247</v>
      </c>
      <c r="I1248" s="21">
        <f t="shared" ca="1" si="94"/>
        <v>0</v>
      </c>
      <c r="J1248" s="21" t="str">
        <f ca="1">IF(I1248=0,"",COUNTIF($I$2:I1248,"&gt;0"))</f>
        <v/>
      </c>
      <c r="K1248" s="21" t="str">
        <f t="shared" ca="1" si="95"/>
        <v/>
      </c>
    </row>
    <row r="1249" spans="1:11" s="18" customFormat="1" ht="14.25" x14ac:dyDescent="0.2">
      <c r="A1249" s="18" t="str">
        <f t="shared" si="97"/>
        <v>Eintrag 1248</v>
      </c>
      <c r="B1249" s="18">
        <v>100</v>
      </c>
      <c r="C1249" s="19">
        <v>100</v>
      </c>
      <c r="D1249" s="20">
        <v>10</v>
      </c>
      <c r="E1249" s="20">
        <v>10</v>
      </c>
      <c r="F1249" s="20">
        <v>10</v>
      </c>
      <c r="G1249" s="19">
        <f t="shared" si="96"/>
        <v>172</v>
      </c>
      <c r="H1249" s="22">
        <f t="shared" si="93"/>
        <v>1248</v>
      </c>
      <c r="I1249" s="21">
        <f t="shared" ca="1" si="94"/>
        <v>0</v>
      </c>
      <c r="J1249" s="21" t="str">
        <f ca="1">IF(I1249=0,"",COUNTIF($I$2:I1249,"&gt;0"))</f>
        <v/>
      </c>
      <c r="K1249" s="21" t="str">
        <f t="shared" ca="1" si="95"/>
        <v/>
      </c>
    </row>
    <row r="1250" spans="1:11" s="18" customFormat="1" ht="14.25" x14ac:dyDescent="0.2">
      <c r="A1250" s="18" t="str">
        <f t="shared" si="97"/>
        <v>Eintrag 1249</v>
      </c>
      <c r="B1250" s="18">
        <v>100</v>
      </c>
      <c r="C1250" s="19">
        <v>100</v>
      </c>
      <c r="D1250" s="20">
        <v>10</v>
      </c>
      <c r="E1250" s="20">
        <v>10</v>
      </c>
      <c r="F1250" s="20">
        <v>10</v>
      </c>
      <c r="G1250" s="19">
        <f t="shared" si="96"/>
        <v>172</v>
      </c>
      <c r="H1250" s="22">
        <f t="shared" si="93"/>
        <v>1249</v>
      </c>
      <c r="I1250" s="21">
        <f t="shared" ca="1" si="94"/>
        <v>0</v>
      </c>
      <c r="J1250" s="21" t="str">
        <f ca="1">IF(I1250=0,"",COUNTIF($I$2:I1250,"&gt;0"))</f>
        <v/>
      </c>
      <c r="K1250" s="21" t="str">
        <f t="shared" ca="1" si="95"/>
        <v/>
      </c>
    </row>
    <row r="1251" spans="1:11" s="18" customFormat="1" ht="14.25" x14ac:dyDescent="0.2">
      <c r="A1251" s="18" t="str">
        <f t="shared" si="97"/>
        <v>Eintrag 1250</v>
      </c>
      <c r="B1251" s="18">
        <v>100</v>
      </c>
      <c r="C1251" s="19">
        <v>100</v>
      </c>
      <c r="D1251" s="20">
        <v>10</v>
      </c>
      <c r="E1251" s="20">
        <v>10</v>
      </c>
      <c r="F1251" s="20">
        <v>10</v>
      </c>
      <c r="G1251" s="19">
        <f t="shared" si="96"/>
        <v>172</v>
      </c>
      <c r="H1251" s="22">
        <f t="shared" si="93"/>
        <v>1250</v>
      </c>
      <c r="I1251" s="21">
        <f t="shared" ca="1" si="94"/>
        <v>0</v>
      </c>
      <c r="J1251" s="21" t="str">
        <f ca="1">IF(I1251=0,"",COUNTIF($I$2:I1251,"&gt;0"))</f>
        <v/>
      </c>
      <c r="K1251" s="21" t="str">
        <f t="shared" ca="1" si="95"/>
        <v/>
      </c>
    </row>
    <row r="1252" spans="1:11" s="18" customFormat="1" ht="14.25" x14ac:dyDescent="0.2">
      <c r="A1252" s="18" t="str">
        <f t="shared" si="97"/>
        <v>Eintrag 1251</v>
      </c>
      <c r="B1252" s="18">
        <v>100</v>
      </c>
      <c r="C1252" s="19">
        <v>100</v>
      </c>
      <c r="D1252" s="20">
        <v>10</v>
      </c>
      <c r="E1252" s="20">
        <v>10</v>
      </c>
      <c r="F1252" s="20">
        <v>10</v>
      </c>
      <c r="G1252" s="19">
        <f t="shared" si="96"/>
        <v>172</v>
      </c>
      <c r="H1252" s="22">
        <f t="shared" si="93"/>
        <v>1251</v>
      </c>
      <c r="I1252" s="21">
        <f t="shared" ca="1" si="94"/>
        <v>0</v>
      </c>
      <c r="J1252" s="21" t="str">
        <f ca="1">IF(I1252=0,"",COUNTIF($I$2:I1252,"&gt;0"))</f>
        <v/>
      </c>
      <c r="K1252" s="21" t="str">
        <f t="shared" ca="1" si="95"/>
        <v/>
      </c>
    </row>
    <row r="1253" spans="1:11" s="18" customFormat="1" ht="14.25" x14ac:dyDescent="0.2">
      <c r="A1253" s="18" t="str">
        <f t="shared" si="97"/>
        <v>Eintrag 1252</v>
      </c>
      <c r="B1253" s="18">
        <v>100</v>
      </c>
      <c r="C1253" s="19">
        <v>100</v>
      </c>
      <c r="D1253" s="20">
        <v>10</v>
      </c>
      <c r="E1253" s="20">
        <v>10</v>
      </c>
      <c r="F1253" s="20">
        <v>10</v>
      </c>
      <c r="G1253" s="19">
        <f t="shared" si="96"/>
        <v>172</v>
      </c>
      <c r="H1253" s="22">
        <f t="shared" ref="H1253:H1316" si="98">H1252+1</f>
        <v>1252</v>
      </c>
      <c r="I1253" s="21">
        <f t="shared" ca="1" si="94"/>
        <v>0</v>
      </c>
      <c r="J1253" s="21" t="str">
        <f ca="1">IF(I1253=0,"",COUNTIF($I$2:I1253,"&gt;0"))</f>
        <v/>
      </c>
      <c r="K1253" s="21" t="str">
        <f t="shared" ca="1" si="95"/>
        <v/>
      </c>
    </row>
    <row r="1254" spans="1:11" s="18" customFormat="1" ht="14.25" x14ac:dyDescent="0.2">
      <c r="A1254" s="18" t="str">
        <f t="shared" si="97"/>
        <v>Eintrag 1253</v>
      </c>
      <c r="B1254" s="18">
        <v>100</v>
      </c>
      <c r="C1254" s="19">
        <v>100</v>
      </c>
      <c r="D1254" s="20">
        <v>10</v>
      </c>
      <c r="E1254" s="20">
        <v>10</v>
      </c>
      <c r="F1254" s="20">
        <v>10</v>
      </c>
      <c r="G1254" s="19">
        <f t="shared" si="96"/>
        <v>172</v>
      </c>
      <c r="H1254" s="22">
        <f t="shared" si="98"/>
        <v>1253</v>
      </c>
      <c r="I1254" s="21">
        <f t="shared" ca="1" si="94"/>
        <v>0</v>
      </c>
      <c r="J1254" s="21" t="str">
        <f ca="1">IF(I1254=0,"",COUNTIF($I$2:I1254,"&gt;0"))</f>
        <v/>
      </c>
      <c r="K1254" s="21" t="str">
        <f t="shared" ca="1" si="95"/>
        <v/>
      </c>
    </row>
    <row r="1255" spans="1:11" s="18" customFormat="1" ht="14.25" x14ac:dyDescent="0.2">
      <c r="A1255" s="18" t="str">
        <f t="shared" si="97"/>
        <v>Eintrag 1254</v>
      </c>
      <c r="B1255" s="18">
        <v>100</v>
      </c>
      <c r="C1255" s="19">
        <v>100</v>
      </c>
      <c r="D1255" s="20">
        <v>10</v>
      </c>
      <c r="E1255" s="20">
        <v>10</v>
      </c>
      <c r="F1255" s="20">
        <v>10</v>
      </c>
      <c r="G1255" s="19">
        <f t="shared" si="96"/>
        <v>172</v>
      </c>
      <c r="H1255" s="22">
        <f t="shared" si="98"/>
        <v>1254</v>
      </c>
      <c r="I1255" s="21">
        <f t="shared" ca="1" si="94"/>
        <v>0</v>
      </c>
      <c r="J1255" s="21" t="str">
        <f ca="1">IF(I1255=0,"",COUNTIF($I$2:I1255,"&gt;0"))</f>
        <v/>
      </c>
      <c r="K1255" s="21" t="str">
        <f t="shared" ca="1" si="95"/>
        <v/>
      </c>
    </row>
    <row r="1256" spans="1:11" s="18" customFormat="1" ht="14.25" x14ac:dyDescent="0.2">
      <c r="A1256" s="18" t="str">
        <f t="shared" si="97"/>
        <v>Eintrag 1255</v>
      </c>
      <c r="B1256" s="18">
        <v>100</v>
      </c>
      <c r="C1256" s="19">
        <v>100</v>
      </c>
      <c r="D1256" s="20">
        <v>10</v>
      </c>
      <c r="E1256" s="20">
        <v>10</v>
      </c>
      <c r="F1256" s="20">
        <v>10</v>
      </c>
      <c r="G1256" s="19">
        <f t="shared" si="96"/>
        <v>172</v>
      </c>
      <c r="H1256" s="22">
        <f t="shared" si="98"/>
        <v>1255</v>
      </c>
      <c r="I1256" s="21">
        <f t="shared" ca="1" si="94"/>
        <v>0</v>
      </c>
      <c r="J1256" s="21" t="str">
        <f ca="1">IF(I1256=0,"",COUNTIF($I$2:I1256,"&gt;0"))</f>
        <v/>
      </c>
      <c r="K1256" s="21" t="str">
        <f t="shared" ca="1" si="95"/>
        <v/>
      </c>
    </row>
    <row r="1257" spans="1:11" s="18" customFormat="1" ht="14.25" x14ac:dyDescent="0.2">
      <c r="A1257" s="18" t="str">
        <f t="shared" si="97"/>
        <v>Eintrag 1256</v>
      </c>
      <c r="B1257" s="18">
        <v>100</v>
      </c>
      <c r="C1257" s="19">
        <v>100</v>
      </c>
      <c r="D1257" s="20">
        <v>10</v>
      </c>
      <c r="E1257" s="20">
        <v>10</v>
      </c>
      <c r="F1257" s="20">
        <v>10</v>
      </c>
      <c r="G1257" s="19">
        <f t="shared" si="96"/>
        <v>172</v>
      </c>
      <c r="H1257" s="22">
        <f t="shared" si="98"/>
        <v>1256</v>
      </c>
      <c r="I1257" s="21">
        <f t="shared" ca="1" si="94"/>
        <v>0</v>
      </c>
      <c r="J1257" s="21" t="str">
        <f ca="1">IF(I1257=0,"",COUNTIF($I$2:I1257,"&gt;0"))</f>
        <v/>
      </c>
      <c r="K1257" s="21" t="str">
        <f t="shared" ca="1" si="95"/>
        <v/>
      </c>
    </row>
    <row r="1258" spans="1:11" s="18" customFormat="1" ht="14.25" x14ac:dyDescent="0.2">
      <c r="A1258" s="18" t="str">
        <f t="shared" si="97"/>
        <v>Eintrag 1257</v>
      </c>
      <c r="B1258" s="18">
        <v>100</v>
      </c>
      <c r="C1258" s="19">
        <v>100</v>
      </c>
      <c r="D1258" s="20">
        <v>10</v>
      </c>
      <c r="E1258" s="20">
        <v>10</v>
      </c>
      <c r="F1258" s="20">
        <v>10</v>
      </c>
      <c r="G1258" s="19">
        <f t="shared" si="96"/>
        <v>172</v>
      </c>
      <c r="H1258" s="22">
        <f t="shared" si="98"/>
        <v>1257</v>
      </c>
      <c r="I1258" s="21">
        <f t="shared" ca="1" si="94"/>
        <v>0</v>
      </c>
      <c r="J1258" s="21" t="str">
        <f ca="1">IF(I1258=0,"",COUNTIF($I$2:I1258,"&gt;0"))</f>
        <v/>
      </c>
      <c r="K1258" s="21" t="str">
        <f t="shared" ca="1" si="95"/>
        <v/>
      </c>
    </row>
    <row r="1259" spans="1:11" s="18" customFormat="1" ht="14.25" x14ac:dyDescent="0.2">
      <c r="A1259" s="18" t="str">
        <f t="shared" si="97"/>
        <v>Eintrag 1258</v>
      </c>
      <c r="B1259" s="18">
        <v>100</v>
      </c>
      <c r="C1259" s="19">
        <v>100</v>
      </c>
      <c r="D1259" s="20">
        <v>10</v>
      </c>
      <c r="E1259" s="20">
        <v>10</v>
      </c>
      <c r="F1259" s="20">
        <v>10</v>
      </c>
      <c r="G1259" s="19">
        <f t="shared" si="96"/>
        <v>172</v>
      </c>
      <c r="H1259" s="22">
        <f t="shared" si="98"/>
        <v>1258</v>
      </c>
      <c r="I1259" s="21">
        <f t="shared" ca="1" si="94"/>
        <v>0</v>
      </c>
      <c r="J1259" s="21" t="str">
        <f ca="1">IF(I1259=0,"",COUNTIF($I$2:I1259,"&gt;0"))</f>
        <v/>
      </c>
      <c r="K1259" s="21" t="str">
        <f t="shared" ca="1" si="95"/>
        <v/>
      </c>
    </row>
    <row r="1260" spans="1:11" s="18" customFormat="1" ht="14.25" x14ac:dyDescent="0.2">
      <c r="A1260" s="18" t="str">
        <f t="shared" si="97"/>
        <v>Eintrag 1259</v>
      </c>
      <c r="B1260" s="18">
        <v>100</v>
      </c>
      <c r="C1260" s="19">
        <v>100</v>
      </c>
      <c r="D1260" s="20">
        <v>10</v>
      </c>
      <c r="E1260" s="20">
        <v>10</v>
      </c>
      <c r="F1260" s="20">
        <v>10</v>
      </c>
      <c r="G1260" s="19">
        <f t="shared" si="96"/>
        <v>172</v>
      </c>
      <c r="H1260" s="22">
        <f t="shared" si="98"/>
        <v>1259</v>
      </c>
      <c r="I1260" s="21">
        <f t="shared" ca="1" si="94"/>
        <v>0</v>
      </c>
      <c r="J1260" s="21" t="str">
        <f ca="1">IF(I1260=0,"",COUNTIF($I$2:I1260,"&gt;0"))</f>
        <v/>
      </c>
      <c r="K1260" s="21" t="str">
        <f t="shared" ca="1" si="95"/>
        <v/>
      </c>
    </row>
    <row r="1261" spans="1:11" s="18" customFormat="1" ht="14.25" x14ac:dyDescent="0.2">
      <c r="A1261" s="18" t="str">
        <f t="shared" si="97"/>
        <v>Eintrag 1260</v>
      </c>
      <c r="B1261" s="18">
        <v>100</v>
      </c>
      <c r="C1261" s="19">
        <v>100</v>
      </c>
      <c r="D1261" s="20">
        <v>10</v>
      </c>
      <c r="E1261" s="20">
        <v>10</v>
      </c>
      <c r="F1261" s="20">
        <v>10</v>
      </c>
      <c r="G1261" s="19">
        <f t="shared" si="96"/>
        <v>172</v>
      </c>
      <c r="H1261" s="22">
        <f t="shared" si="98"/>
        <v>1260</v>
      </c>
      <c r="I1261" s="21">
        <f t="shared" ca="1" si="94"/>
        <v>0</v>
      </c>
      <c r="J1261" s="21" t="str">
        <f ca="1">IF(I1261=0,"",COUNTIF($I$2:I1261,"&gt;0"))</f>
        <v/>
      </c>
      <c r="K1261" s="21" t="str">
        <f t="shared" ca="1" si="95"/>
        <v/>
      </c>
    </row>
    <row r="1262" spans="1:11" s="18" customFormat="1" ht="14.25" x14ac:dyDescent="0.2">
      <c r="A1262" s="18" t="str">
        <f t="shared" si="97"/>
        <v>Eintrag 1261</v>
      </c>
      <c r="B1262" s="18">
        <v>100</v>
      </c>
      <c r="C1262" s="19">
        <v>100</v>
      </c>
      <c r="D1262" s="20">
        <v>10</v>
      </c>
      <c r="E1262" s="20">
        <v>10</v>
      </c>
      <c r="F1262" s="20">
        <v>10</v>
      </c>
      <c r="G1262" s="19">
        <f t="shared" si="96"/>
        <v>172</v>
      </c>
      <c r="H1262" s="22">
        <f t="shared" si="98"/>
        <v>1261</v>
      </c>
      <c r="I1262" s="21">
        <f t="shared" ca="1" si="94"/>
        <v>0</v>
      </c>
      <c r="J1262" s="21" t="str">
        <f ca="1">IF(I1262=0,"",COUNTIF($I$2:I1262,"&gt;0"))</f>
        <v/>
      </c>
      <c r="K1262" s="21" t="str">
        <f t="shared" ca="1" si="95"/>
        <v/>
      </c>
    </row>
    <row r="1263" spans="1:11" s="18" customFormat="1" ht="14.25" x14ac:dyDescent="0.2">
      <c r="A1263" s="18" t="str">
        <f t="shared" si="97"/>
        <v>Eintrag 1262</v>
      </c>
      <c r="B1263" s="18">
        <v>100</v>
      </c>
      <c r="C1263" s="19">
        <v>100</v>
      </c>
      <c r="D1263" s="20">
        <v>10</v>
      </c>
      <c r="E1263" s="20">
        <v>10</v>
      </c>
      <c r="F1263" s="20">
        <v>10</v>
      </c>
      <c r="G1263" s="19">
        <f t="shared" si="96"/>
        <v>172</v>
      </c>
      <c r="H1263" s="22">
        <f t="shared" si="98"/>
        <v>1262</v>
      </c>
      <c r="I1263" s="21">
        <f t="shared" ca="1" si="94"/>
        <v>0</v>
      </c>
      <c r="J1263" s="21" t="str">
        <f ca="1">IF(I1263=0,"",COUNTIF($I$2:I1263,"&gt;0"))</f>
        <v/>
      </c>
      <c r="K1263" s="21" t="str">
        <f t="shared" ca="1" si="95"/>
        <v/>
      </c>
    </row>
    <row r="1264" spans="1:11" s="18" customFormat="1" ht="14.25" x14ac:dyDescent="0.2">
      <c r="A1264" s="18" t="str">
        <f t="shared" si="97"/>
        <v>Eintrag 1263</v>
      </c>
      <c r="B1264" s="18">
        <v>100</v>
      </c>
      <c r="C1264" s="19">
        <v>100</v>
      </c>
      <c r="D1264" s="20">
        <v>10</v>
      </c>
      <c r="E1264" s="20">
        <v>10</v>
      </c>
      <c r="F1264" s="20">
        <v>10</v>
      </c>
      <c r="G1264" s="19">
        <f t="shared" si="96"/>
        <v>172</v>
      </c>
      <c r="H1264" s="22">
        <f t="shared" si="98"/>
        <v>1263</v>
      </c>
      <c r="I1264" s="21">
        <f t="shared" ca="1" si="94"/>
        <v>0</v>
      </c>
      <c r="J1264" s="21" t="str">
        <f ca="1">IF(I1264=0,"",COUNTIF($I$2:I1264,"&gt;0"))</f>
        <v/>
      </c>
      <c r="K1264" s="21" t="str">
        <f t="shared" ca="1" si="95"/>
        <v/>
      </c>
    </row>
    <row r="1265" spans="1:11" s="18" customFormat="1" ht="14.25" x14ac:dyDescent="0.2">
      <c r="A1265" s="18" t="str">
        <f t="shared" si="97"/>
        <v>Eintrag 1264</v>
      </c>
      <c r="B1265" s="18">
        <v>100</v>
      </c>
      <c r="C1265" s="19">
        <v>100</v>
      </c>
      <c r="D1265" s="20">
        <v>10</v>
      </c>
      <c r="E1265" s="20">
        <v>10</v>
      </c>
      <c r="F1265" s="20">
        <v>10</v>
      </c>
      <c r="G1265" s="19">
        <f t="shared" si="96"/>
        <v>172</v>
      </c>
      <c r="H1265" s="22">
        <f t="shared" si="98"/>
        <v>1264</v>
      </c>
      <c r="I1265" s="21">
        <f t="shared" ca="1" si="94"/>
        <v>0</v>
      </c>
      <c r="J1265" s="21" t="str">
        <f ca="1">IF(I1265=0,"",COUNTIF($I$2:I1265,"&gt;0"))</f>
        <v/>
      </c>
      <c r="K1265" s="21" t="str">
        <f t="shared" ca="1" si="95"/>
        <v/>
      </c>
    </row>
    <row r="1266" spans="1:11" s="18" customFormat="1" ht="14.25" x14ac:dyDescent="0.2">
      <c r="A1266" s="18" t="str">
        <f t="shared" si="97"/>
        <v>Eintrag 1265</v>
      </c>
      <c r="B1266" s="18">
        <v>100</v>
      </c>
      <c r="C1266" s="19">
        <v>100</v>
      </c>
      <c r="D1266" s="20">
        <v>10</v>
      </c>
      <c r="E1266" s="20">
        <v>10</v>
      </c>
      <c r="F1266" s="20">
        <v>10</v>
      </c>
      <c r="G1266" s="19">
        <f t="shared" si="96"/>
        <v>172</v>
      </c>
      <c r="H1266" s="22">
        <f t="shared" si="98"/>
        <v>1265</v>
      </c>
      <c r="I1266" s="21">
        <f t="shared" ca="1" si="94"/>
        <v>0</v>
      </c>
      <c r="J1266" s="21" t="str">
        <f ca="1">IF(I1266=0,"",COUNTIF($I$2:I1266,"&gt;0"))</f>
        <v/>
      </c>
      <c r="K1266" s="21" t="str">
        <f t="shared" ca="1" si="95"/>
        <v/>
      </c>
    </row>
    <row r="1267" spans="1:11" s="18" customFormat="1" ht="14.25" x14ac:dyDescent="0.2">
      <c r="A1267" s="18" t="str">
        <f t="shared" si="97"/>
        <v>Eintrag 1266</v>
      </c>
      <c r="B1267" s="18">
        <v>100</v>
      </c>
      <c r="C1267" s="19">
        <v>100</v>
      </c>
      <c r="D1267" s="20">
        <v>10</v>
      </c>
      <c r="E1267" s="20">
        <v>10</v>
      </c>
      <c r="F1267" s="20">
        <v>10</v>
      </c>
      <c r="G1267" s="19">
        <f t="shared" si="96"/>
        <v>172</v>
      </c>
      <c r="H1267" s="22">
        <f t="shared" si="98"/>
        <v>1266</v>
      </c>
      <c r="I1267" s="21">
        <f t="shared" ca="1" si="94"/>
        <v>0</v>
      </c>
      <c r="J1267" s="21" t="str">
        <f ca="1">IF(I1267=0,"",COUNTIF($I$2:I1267,"&gt;0"))</f>
        <v/>
      </c>
      <c r="K1267" s="21" t="str">
        <f t="shared" ca="1" si="95"/>
        <v/>
      </c>
    </row>
    <row r="1268" spans="1:11" s="18" customFormat="1" ht="14.25" x14ac:dyDescent="0.2">
      <c r="A1268" s="18" t="str">
        <f t="shared" si="97"/>
        <v>Eintrag 1267</v>
      </c>
      <c r="B1268" s="18">
        <v>100</v>
      </c>
      <c r="C1268" s="19">
        <v>100</v>
      </c>
      <c r="D1268" s="20">
        <v>10</v>
      </c>
      <c r="E1268" s="20">
        <v>10</v>
      </c>
      <c r="F1268" s="20">
        <v>10</v>
      </c>
      <c r="G1268" s="19">
        <f t="shared" si="96"/>
        <v>172</v>
      </c>
      <c r="H1268" s="22">
        <f t="shared" si="98"/>
        <v>1267</v>
      </c>
      <c r="I1268" s="21">
        <f t="shared" ca="1" si="94"/>
        <v>0</v>
      </c>
      <c r="J1268" s="21" t="str">
        <f ca="1">IF(I1268=0,"",COUNTIF($I$2:I1268,"&gt;0"))</f>
        <v/>
      </c>
      <c r="K1268" s="21" t="str">
        <f t="shared" ca="1" si="95"/>
        <v/>
      </c>
    </row>
    <row r="1269" spans="1:11" s="18" customFormat="1" ht="14.25" x14ac:dyDescent="0.2">
      <c r="A1269" s="18" t="str">
        <f t="shared" si="97"/>
        <v>Eintrag 1268</v>
      </c>
      <c r="B1269" s="18">
        <v>100</v>
      </c>
      <c r="C1269" s="19">
        <v>100</v>
      </c>
      <c r="D1269" s="20">
        <v>10</v>
      </c>
      <c r="E1269" s="20">
        <v>10</v>
      </c>
      <c r="F1269" s="20">
        <v>10</v>
      </c>
      <c r="G1269" s="19">
        <f t="shared" si="96"/>
        <v>172</v>
      </c>
      <c r="H1269" s="22">
        <f t="shared" si="98"/>
        <v>1268</v>
      </c>
      <c r="I1269" s="21">
        <f t="shared" ca="1" si="94"/>
        <v>0</v>
      </c>
      <c r="J1269" s="21" t="str">
        <f ca="1">IF(I1269=0,"",COUNTIF($I$2:I1269,"&gt;0"))</f>
        <v/>
      </c>
      <c r="K1269" s="21" t="str">
        <f t="shared" ca="1" si="95"/>
        <v/>
      </c>
    </row>
    <row r="1270" spans="1:11" s="18" customFormat="1" ht="14.25" x14ac:dyDescent="0.2">
      <c r="A1270" s="18" t="str">
        <f t="shared" si="97"/>
        <v>Eintrag 1269</v>
      </c>
      <c r="B1270" s="18">
        <v>100</v>
      </c>
      <c r="C1270" s="19">
        <v>100</v>
      </c>
      <c r="D1270" s="20">
        <v>10</v>
      </c>
      <c r="E1270" s="20">
        <v>10</v>
      </c>
      <c r="F1270" s="20">
        <v>10</v>
      </c>
      <c r="G1270" s="19">
        <f t="shared" si="96"/>
        <v>172</v>
      </c>
      <c r="H1270" s="22">
        <f t="shared" si="98"/>
        <v>1269</v>
      </c>
      <c r="I1270" s="21">
        <f t="shared" ca="1" si="94"/>
        <v>0</v>
      </c>
      <c r="J1270" s="21" t="str">
        <f ca="1">IF(I1270=0,"",COUNTIF($I$2:I1270,"&gt;0"))</f>
        <v/>
      </c>
      <c r="K1270" s="21" t="str">
        <f t="shared" ca="1" si="95"/>
        <v/>
      </c>
    </row>
    <row r="1271" spans="1:11" s="18" customFormat="1" ht="14.25" x14ac:dyDescent="0.2">
      <c r="A1271" s="18" t="str">
        <f t="shared" si="97"/>
        <v>Eintrag 1270</v>
      </c>
      <c r="B1271" s="18">
        <v>100</v>
      </c>
      <c r="C1271" s="19">
        <v>100</v>
      </c>
      <c r="D1271" s="20">
        <v>10</v>
      </c>
      <c r="E1271" s="20">
        <v>10</v>
      </c>
      <c r="F1271" s="20">
        <v>10</v>
      </c>
      <c r="G1271" s="19">
        <f t="shared" si="96"/>
        <v>172</v>
      </c>
      <c r="H1271" s="22">
        <f t="shared" si="98"/>
        <v>1270</v>
      </c>
      <c r="I1271" s="21">
        <f t="shared" ca="1" si="94"/>
        <v>0</v>
      </c>
      <c r="J1271" s="21" t="str">
        <f ca="1">IF(I1271=0,"",COUNTIF($I$2:I1271,"&gt;0"))</f>
        <v/>
      </c>
      <c r="K1271" s="21" t="str">
        <f t="shared" ca="1" si="95"/>
        <v/>
      </c>
    </row>
    <row r="1272" spans="1:11" s="18" customFormat="1" ht="14.25" x14ac:dyDescent="0.2">
      <c r="A1272" s="18" t="str">
        <f t="shared" si="97"/>
        <v>Eintrag 1271</v>
      </c>
      <c r="B1272" s="18">
        <v>100</v>
      </c>
      <c r="C1272" s="19">
        <v>100</v>
      </c>
      <c r="D1272" s="20">
        <v>10</v>
      </c>
      <c r="E1272" s="20">
        <v>10</v>
      </c>
      <c r="F1272" s="20">
        <v>10</v>
      </c>
      <c r="G1272" s="19">
        <f t="shared" si="96"/>
        <v>172</v>
      </c>
      <c r="H1272" s="22">
        <f t="shared" si="98"/>
        <v>1271</v>
      </c>
      <c r="I1272" s="21">
        <f t="shared" ca="1" si="94"/>
        <v>0</v>
      </c>
      <c r="J1272" s="21" t="str">
        <f ca="1">IF(I1272=0,"",COUNTIF($I$2:I1272,"&gt;0"))</f>
        <v/>
      </c>
      <c r="K1272" s="21" t="str">
        <f t="shared" ca="1" si="95"/>
        <v/>
      </c>
    </row>
    <row r="1273" spans="1:11" s="18" customFormat="1" ht="14.25" x14ac:dyDescent="0.2">
      <c r="A1273" s="18" t="str">
        <f t="shared" si="97"/>
        <v>Eintrag 1272</v>
      </c>
      <c r="B1273" s="18">
        <v>100</v>
      </c>
      <c r="C1273" s="19">
        <v>100</v>
      </c>
      <c r="D1273" s="20">
        <v>10</v>
      </c>
      <c r="E1273" s="20">
        <v>10</v>
      </c>
      <c r="F1273" s="20">
        <v>10</v>
      </c>
      <c r="G1273" s="19">
        <f t="shared" si="96"/>
        <v>172</v>
      </c>
      <c r="H1273" s="22">
        <f t="shared" si="98"/>
        <v>1272</v>
      </c>
      <c r="I1273" s="21">
        <f t="shared" ca="1" si="94"/>
        <v>0</v>
      </c>
      <c r="J1273" s="21" t="str">
        <f ca="1">IF(I1273=0,"",COUNTIF($I$2:I1273,"&gt;0"))</f>
        <v/>
      </c>
      <c r="K1273" s="21" t="str">
        <f t="shared" ca="1" si="95"/>
        <v/>
      </c>
    </row>
    <row r="1274" spans="1:11" s="18" customFormat="1" ht="14.25" x14ac:dyDescent="0.2">
      <c r="A1274" s="18" t="str">
        <f t="shared" si="97"/>
        <v>Eintrag 1273</v>
      </c>
      <c r="B1274" s="18">
        <v>100</v>
      </c>
      <c r="C1274" s="19">
        <v>100</v>
      </c>
      <c r="D1274" s="20">
        <v>10</v>
      </c>
      <c r="E1274" s="20">
        <v>10</v>
      </c>
      <c r="F1274" s="20">
        <v>10</v>
      </c>
      <c r="G1274" s="19">
        <f t="shared" si="96"/>
        <v>172</v>
      </c>
      <c r="H1274" s="22">
        <f t="shared" si="98"/>
        <v>1273</v>
      </c>
      <c r="I1274" s="21">
        <f t="shared" ca="1" si="94"/>
        <v>0</v>
      </c>
      <c r="J1274" s="21" t="str">
        <f ca="1">IF(I1274=0,"",COUNTIF($I$2:I1274,"&gt;0"))</f>
        <v/>
      </c>
      <c r="K1274" s="21" t="str">
        <f t="shared" ca="1" si="95"/>
        <v/>
      </c>
    </row>
    <row r="1275" spans="1:11" s="18" customFormat="1" ht="14.25" x14ac:dyDescent="0.2">
      <c r="A1275" s="18" t="str">
        <f t="shared" si="97"/>
        <v>Eintrag 1274</v>
      </c>
      <c r="B1275" s="18">
        <v>100</v>
      </c>
      <c r="C1275" s="19">
        <v>100</v>
      </c>
      <c r="D1275" s="20">
        <v>10</v>
      </c>
      <c r="E1275" s="20">
        <v>10</v>
      </c>
      <c r="F1275" s="20">
        <v>10</v>
      </c>
      <c r="G1275" s="19">
        <f t="shared" si="96"/>
        <v>172</v>
      </c>
      <c r="H1275" s="22">
        <f t="shared" si="98"/>
        <v>1274</v>
      </c>
      <c r="I1275" s="21">
        <f t="shared" ca="1" si="94"/>
        <v>0</v>
      </c>
      <c r="J1275" s="21" t="str">
        <f ca="1">IF(I1275=0,"",COUNTIF($I$2:I1275,"&gt;0"))</f>
        <v/>
      </c>
      <c r="K1275" s="21" t="str">
        <f t="shared" ca="1" si="95"/>
        <v/>
      </c>
    </row>
    <row r="1276" spans="1:11" s="18" customFormat="1" ht="14.25" x14ac:dyDescent="0.2">
      <c r="A1276" s="18" t="str">
        <f t="shared" si="97"/>
        <v>Eintrag 1275</v>
      </c>
      <c r="B1276" s="18">
        <v>100</v>
      </c>
      <c r="C1276" s="19">
        <v>100</v>
      </c>
      <c r="D1276" s="20">
        <v>10</v>
      </c>
      <c r="E1276" s="20">
        <v>10</v>
      </c>
      <c r="F1276" s="20">
        <v>10</v>
      </c>
      <c r="G1276" s="19">
        <f t="shared" si="96"/>
        <v>172</v>
      </c>
      <c r="H1276" s="22">
        <f t="shared" si="98"/>
        <v>1275</v>
      </c>
      <c r="I1276" s="21">
        <f t="shared" ca="1" si="94"/>
        <v>0</v>
      </c>
      <c r="J1276" s="21" t="str">
        <f ca="1">IF(I1276=0,"",COUNTIF($I$2:I1276,"&gt;0"))</f>
        <v/>
      </c>
      <c r="K1276" s="21" t="str">
        <f t="shared" ca="1" si="95"/>
        <v/>
      </c>
    </row>
    <row r="1277" spans="1:11" s="18" customFormat="1" ht="14.25" x14ac:dyDescent="0.2">
      <c r="A1277" s="18" t="str">
        <f t="shared" si="97"/>
        <v>Eintrag 1276</v>
      </c>
      <c r="B1277" s="18">
        <v>100</v>
      </c>
      <c r="C1277" s="19">
        <v>100</v>
      </c>
      <c r="D1277" s="20">
        <v>10</v>
      </c>
      <c r="E1277" s="20">
        <v>10</v>
      </c>
      <c r="F1277" s="20">
        <v>10</v>
      </c>
      <c r="G1277" s="19">
        <f t="shared" si="96"/>
        <v>172</v>
      </c>
      <c r="H1277" s="22">
        <f t="shared" si="98"/>
        <v>1276</v>
      </c>
      <c r="I1277" s="21">
        <f t="shared" ca="1" si="94"/>
        <v>0</v>
      </c>
      <c r="J1277" s="21" t="str">
        <f ca="1">IF(I1277=0,"",COUNTIF($I$2:I1277,"&gt;0"))</f>
        <v/>
      </c>
      <c r="K1277" s="21" t="str">
        <f t="shared" ca="1" si="95"/>
        <v/>
      </c>
    </row>
    <row r="1278" spans="1:11" s="18" customFormat="1" ht="14.25" x14ac:dyDescent="0.2">
      <c r="A1278" s="18" t="str">
        <f t="shared" si="97"/>
        <v>Eintrag 1277</v>
      </c>
      <c r="B1278" s="18">
        <v>100</v>
      </c>
      <c r="C1278" s="19">
        <v>100</v>
      </c>
      <c r="D1278" s="20">
        <v>10</v>
      </c>
      <c r="E1278" s="20">
        <v>10</v>
      </c>
      <c r="F1278" s="20">
        <v>10</v>
      </c>
      <c r="G1278" s="19">
        <f t="shared" si="96"/>
        <v>172</v>
      </c>
      <c r="H1278" s="22">
        <f t="shared" si="98"/>
        <v>1277</v>
      </c>
      <c r="I1278" s="21">
        <f t="shared" ca="1" si="94"/>
        <v>0</v>
      </c>
      <c r="J1278" s="21" t="str">
        <f ca="1">IF(I1278=0,"",COUNTIF($I$2:I1278,"&gt;0"))</f>
        <v/>
      </c>
      <c r="K1278" s="21" t="str">
        <f t="shared" ca="1" si="95"/>
        <v/>
      </c>
    </row>
    <row r="1279" spans="1:11" s="18" customFormat="1" ht="14.25" x14ac:dyDescent="0.2">
      <c r="A1279" s="18" t="str">
        <f t="shared" si="97"/>
        <v>Eintrag 1278</v>
      </c>
      <c r="B1279" s="18">
        <v>100</v>
      </c>
      <c r="C1279" s="19">
        <v>100</v>
      </c>
      <c r="D1279" s="20">
        <v>10</v>
      </c>
      <c r="E1279" s="20">
        <v>10</v>
      </c>
      <c r="F1279" s="20">
        <v>10</v>
      </c>
      <c r="G1279" s="19">
        <f t="shared" si="96"/>
        <v>172</v>
      </c>
      <c r="H1279" s="22">
        <f t="shared" si="98"/>
        <v>1278</v>
      </c>
      <c r="I1279" s="21">
        <f t="shared" ca="1" si="94"/>
        <v>0</v>
      </c>
      <c r="J1279" s="21" t="str">
        <f ca="1">IF(I1279=0,"",COUNTIF($I$2:I1279,"&gt;0"))</f>
        <v/>
      </c>
      <c r="K1279" s="21" t="str">
        <f t="shared" ca="1" si="95"/>
        <v/>
      </c>
    </row>
    <row r="1280" spans="1:11" s="18" customFormat="1" ht="14.25" x14ac:dyDescent="0.2">
      <c r="A1280" s="18" t="str">
        <f t="shared" si="97"/>
        <v>Eintrag 1279</v>
      </c>
      <c r="B1280" s="18">
        <v>100</v>
      </c>
      <c r="C1280" s="19">
        <v>100</v>
      </c>
      <c r="D1280" s="20">
        <v>10</v>
      </c>
      <c r="E1280" s="20">
        <v>10</v>
      </c>
      <c r="F1280" s="20">
        <v>10</v>
      </c>
      <c r="G1280" s="19">
        <f t="shared" si="96"/>
        <v>172</v>
      </c>
      <c r="H1280" s="22">
        <f t="shared" si="98"/>
        <v>1279</v>
      </c>
      <c r="I1280" s="21">
        <f t="shared" ca="1" si="94"/>
        <v>0</v>
      </c>
      <c r="J1280" s="21" t="str">
        <f ca="1">IF(I1280=0,"",COUNTIF($I$2:I1280,"&gt;0"))</f>
        <v/>
      </c>
      <c r="K1280" s="21" t="str">
        <f t="shared" ca="1" si="95"/>
        <v/>
      </c>
    </row>
    <row r="1281" spans="1:11" s="18" customFormat="1" ht="14.25" x14ac:dyDescent="0.2">
      <c r="A1281" s="18" t="str">
        <f t="shared" si="97"/>
        <v>Eintrag 1280</v>
      </c>
      <c r="B1281" s="18">
        <v>100</v>
      </c>
      <c r="C1281" s="19">
        <v>100</v>
      </c>
      <c r="D1281" s="20">
        <v>10</v>
      </c>
      <c r="E1281" s="20">
        <v>10</v>
      </c>
      <c r="F1281" s="20">
        <v>10</v>
      </c>
      <c r="G1281" s="19">
        <f t="shared" si="96"/>
        <v>172</v>
      </c>
      <c r="H1281" s="22">
        <f t="shared" si="98"/>
        <v>1280</v>
      </c>
      <c r="I1281" s="21">
        <f t="shared" ca="1" si="94"/>
        <v>0</v>
      </c>
      <c r="J1281" s="21" t="str">
        <f ca="1">IF(I1281=0,"",COUNTIF($I$2:I1281,"&gt;0"))</f>
        <v/>
      </c>
      <c r="K1281" s="21" t="str">
        <f t="shared" ca="1" si="95"/>
        <v/>
      </c>
    </row>
    <row r="1282" spans="1:11" s="18" customFormat="1" ht="14.25" x14ac:dyDescent="0.2">
      <c r="A1282" s="18" t="str">
        <f t="shared" si="97"/>
        <v>Eintrag 1281</v>
      </c>
      <c r="B1282" s="18">
        <v>100</v>
      </c>
      <c r="C1282" s="19">
        <v>100</v>
      </c>
      <c r="D1282" s="20">
        <v>10</v>
      </c>
      <c r="E1282" s="20">
        <v>10</v>
      </c>
      <c r="F1282" s="20">
        <v>10</v>
      </c>
      <c r="G1282" s="19">
        <f t="shared" si="96"/>
        <v>172</v>
      </c>
      <c r="H1282" s="22">
        <f t="shared" si="98"/>
        <v>1281</v>
      </c>
      <c r="I1282" s="21">
        <f t="shared" ca="1" si="94"/>
        <v>0</v>
      </c>
      <c r="J1282" s="21" t="str">
        <f ca="1">IF(I1282=0,"",COUNTIF($I$2:I1282,"&gt;0"))</f>
        <v/>
      </c>
      <c r="K1282" s="21" t="str">
        <f t="shared" ref="K1282:K1345" ca="1" si="99">IFERROR(INDEX(A:A,MATCH(ROW(I1281),J:J,0)),"")</f>
        <v/>
      </c>
    </row>
    <row r="1283" spans="1:11" s="18" customFormat="1" ht="14.25" x14ac:dyDescent="0.2">
      <c r="A1283" s="18" t="str">
        <f t="shared" si="97"/>
        <v>Eintrag 1282</v>
      </c>
      <c r="B1283" s="18">
        <v>100</v>
      </c>
      <c r="C1283" s="19">
        <v>100</v>
      </c>
      <c r="D1283" s="20">
        <v>10</v>
      </c>
      <c r="E1283" s="20">
        <v>10</v>
      </c>
      <c r="F1283" s="20">
        <v>10</v>
      </c>
      <c r="G1283" s="19">
        <f t="shared" ref="G1283:G1346" si="100">D1283*9+E1283*4.1+F1283*4.1</f>
        <v>172</v>
      </c>
      <c r="H1283" s="22">
        <f t="shared" si="98"/>
        <v>1282</v>
      </c>
      <c r="I1283" s="21">
        <f t="shared" ca="1" si="94"/>
        <v>0</v>
      </c>
      <c r="J1283" s="21" t="str">
        <f ca="1">IF(I1283=0,"",COUNTIF($I$2:I1283,"&gt;0"))</f>
        <v/>
      </c>
      <c r="K1283" s="21" t="str">
        <f t="shared" ca="1" si="99"/>
        <v/>
      </c>
    </row>
    <row r="1284" spans="1:11" s="18" customFormat="1" ht="14.25" x14ac:dyDescent="0.2">
      <c r="A1284" s="18" t="str">
        <f t="shared" si="97"/>
        <v>Eintrag 1283</v>
      </c>
      <c r="B1284" s="18">
        <v>100</v>
      </c>
      <c r="C1284" s="19">
        <v>100</v>
      </c>
      <c r="D1284" s="20">
        <v>10</v>
      </c>
      <c r="E1284" s="20">
        <v>10</v>
      </c>
      <c r="F1284" s="20">
        <v>10</v>
      </c>
      <c r="G1284" s="19">
        <f t="shared" si="100"/>
        <v>172</v>
      </c>
      <c r="H1284" s="22">
        <f t="shared" si="98"/>
        <v>1283</v>
      </c>
      <c r="I1284" s="21">
        <f t="shared" ca="1" si="94"/>
        <v>0</v>
      </c>
      <c r="J1284" s="21" t="str">
        <f ca="1">IF(I1284=0,"",COUNTIF($I$2:I1284,"&gt;0"))</f>
        <v/>
      </c>
      <c r="K1284" s="21" t="str">
        <f t="shared" ca="1" si="99"/>
        <v/>
      </c>
    </row>
    <row r="1285" spans="1:11" s="18" customFormat="1" ht="14.25" x14ac:dyDescent="0.2">
      <c r="A1285" s="18" t="str">
        <f t="shared" si="97"/>
        <v>Eintrag 1284</v>
      </c>
      <c r="B1285" s="18">
        <v>100</v>
      </c>
      <c r="C1285" s="19">
        <v>100</v>
      </c>
      <c r="D1285" s="20">
        <v>10</v>
      </c>
      <c r="E1285" s="20">
        <v>10</v>
      </c>
      <c r="F1285" s="20">
        <v>10</v>
      </c>
      <c r="G1285" s="19">
        <f t="shared" si="100"/>
        <v>172</v>
      </c>
      <c r="H1285" s="22">
        <f t="shared" si="98"/>
        <v>1284</v>
      </c>
      <c r="I1285" s="21">
        <f t="shared" ca="1" si="94"/>
        <v>0</v>
      </c>
      <c r="J1285" s="21" t="str">
        <f ca="1">IF(I1285=0,"",COUNTIF($I$2:I1285,"&gt;0"))</f>
        <v/>
      </c>
      <c r="K1285" s="21" t="str">
        <f t="shared" ca="1" si="99"/>
        <v/>
      </c>
    </row>
    <row r="1286" spans="1:11" s="18" customFormat="1" ht="14.25" x14ac:dyDescent="0.2">
      <c r="A1286" s="18" t="str">
        <f t="shared" si="97"/>
        <v>Eintrag 1285</v>
      </c>
      <c r="B1286" s="18">
        <v>100</v>
      </c>
      <c r="C1286" s="19">
        <v>100</v>
      </c>
      <c r="D1286" s="20">
        <v>10</v>
      </c>
      <c r="E1286" s="20">
        <v>10</v>
      </c>
      <c r="F1286" s="20">
        <v>10</v>
      </c>
      <c r="G1286" s="19">
        <f t="shared" si="100"/>
        <v>172</v>
      </c>
      <c r="H1286" s="22">
        <f t="shared" si="98"/>
        <v>1285</v>
      </c>
      <c r="I1286" s="21">
        <f t="shared" ca="1" si="94"/>
        <v>0</v>
      </c>
      <c r="J1286" s="21" t="str">
        <f ca="1">IF(I1286=0,"",COUNTIF($I$2:I1286,"&gt;0"))</f>
        <v/>
      </c>
      <c r="K1286" s="21" t="str">
        <f t="shared" ca="1" si="99"/>
        <v/>
      </c>
    </row>
    <row r="1287" spans="1:11" s="18" customFormat="1" ht="14.25" x14ac:dyDescent="0.2">
      <c r="A1287" s="18" t="str">
        <f t="shared" si="97"/>
        <v>Eintrag 1286</v>
      </c>
      <c r="B1287" s="18">
        <v>100</v>
      </c>
      <c r="C1287" s="19">
        <v>100</v>
      </c>
      <c r="D1287" s="20">
        <v>10</v>
      </c>
      <c r="E1287" s="20">
        <v>10</v>
      </c>
      <c r="F1287" s="20">
        <v>10</v>
      </c>
      <c r="G1287" s="19">
        <f t="shared" si="100"/>
        <v>172</v>
      </c>
      <c r="H1287" s="22">
        <f t="shared" si="98"/>
        <v>1286</v>
      </c>
      <c r="I1287" s="21">
        <f t="shared" ca="1" si="94"/>
        <v>0</v>
      </c>
      <c r="J1287" s="21" t="str">
        <f ca="1">IF(I1287=0,"",COUNTIF($I$2:I1287,"&gt;0"))</f>
        <v/>
      </c>
      <c r="K1287" s="21" t="str">
        <f t="shared" ca="1" si="99"/>
        <v/>
      </c>
    </row>
    <row r="1288" spans="1:11" s="18" customFormat="1" ht="14.25" x14ac:dyDescent="0.2">
      <c r="A1288" s="18" t="str">
        <f t="shared" si="97"/>
        <v>Eintrag 1287</v>
      </c>
      <c r="B1288" s="18">
        <v>100</v>
      </c>
      <c r="C1288" s="19">
        <v>100</v>
      </c>
      <c r="D1288" s="20">
        <v>10</v>
      </c>
      <c r="E1288" s="20">
        <v>10</v>
      </c>
      <c r="F1288" s="20">
        <v>10</v>
      </c>
      <c r="G1288" s="19">
        <f t="shared" si="100"/>
        <v>172</v>
      </c>
      <c r="H1288" s="22">
        <f t="shared" si="98"/>
        <v>1287</v>
      </c>
      <c r="I1288" s="21">
        <f t="shared" ca="1" si="94"/>
        <v>0</v>
      </c>
      <c r="J1288" s="21" t="str">
        <f ca="1">IF(I1288=0,"",COUNTIF($I$2:I1288,"&gt;0"))</f>
        <v/>
      </c>
      <c r="K1288" s="21" t="str">
        <f t="shared" ca="1" si="99"/>
        <v/>
      </c>
    </row>
    <row r="1289" spans="1:11" s="18" customFormat="1" ht="14.25" x14ac:dyDescent="0.2">
      <c r="A1289" s="18" t="str">
        <f t="shared" si="97"/>
        <v>Eintrag 1288</v>
      </c>
      <c r="B1289" s="18">
        <v>100</v>
      </c>
      <c r="C1289" s="19">
        <v>100</v>
      </c>
      <c r="D1289" s="20">
        <v>10</v>
      </c>
      <c r="E1289" s="20">
        <v>10</v>
      </c>
      <c r="F1289" s="20">
        <v>10</v>
      </c>
      <c r="G1289" s="19">
        <f t="shared" si="100"/>
        <v>172</v>
      </c>
      <c r="H1289" s="22">
        <f t="shared" si="98"/>
        <v>1288</v>
      </c>
      <c r="I1289" s="21">
        <f t="shared" ca="1" si="94"/>
        <v>0</v>
      </c>
      <c r="J1289" s="21" t="str">
        <f ca="1">IF(I1289=0,"",COUNTIF($I$2:I1289,"&gt;0"))</f>
        <v/>
      </c>
      <c r="K1289" s="21" t="str">
        <f t="shared" ca="1" si="99"/>
        <v/>
      </c>
    </row>
    <row r="1290" spans="1:11" s="18" customFormat="1" ht="14.25" x14ac:dyDescent="0.2">
      <c r="A1290" s="18" t="str">
        <f t="shared" si="97"/>
        <v>Eintrag 1289</v>
      </c>
      <c r="B1290" s="18">
        <v>100</v>
      </c>
      <c r="C1290" s="19">
        <v>100</v>
      </c>
      <c r="D1290" s="20">
        <v>10</v>
      </c>
      <c r="E1290" s="20">
        <v>10</v>
      </c>
      <c r="F1290" s="20">
        <v>10</v>
      </c>
      <c r="G1290" s="19">
        <f t="shared" si="100"/>
        <v>172</v>
      </c>
      <c r="H1290" s="22">
        <f t="shared" si="98"/>
        <v>1289</v>
      </c>
      <c r="I1290" s="21">
        <f t="shared" ca="1" si="94"/>
        <v>0</v>
      </c>
      <c r="J1290" s="21" t="str">
        <f ca="1">IF(I1290=0,"",COUNTIF($I$2:I1290,"&gt;0"))</f>
        <v/>
      </c>
      <c r="K1290" s="21" t="str">
        <f t="shared" ca="1" si="99"/>
        <v/>
      </c>
    </row>
    <row r="1291" spans="1:11" s="18" customFormat="1" ht="14.25" x14ac:dyDescent="0.2">
      <c r="A1291" s="18" t="str">
        <f t="shared" si="97"/>
        <v>Eintrag 1290</v>
      </c>
      <c r="B1291" s="18">
        <v>100</v>
      </c>
      <c r="C1291" s="19">
        <v>100</v>
      </c>
      <c r="D1291" s="20">
        <v>10</v>
      </c>
      <c r="E1291" s="20">
        <v>10</v>
      </c>
      <c r="F1291" s="20">
        <v>10</v>
      </c>
      <c r="G1291" s="19">
        <f t="shared" si="100"/>
        <v>172</v>
      </c>
      <c r="H1291" s="22">
        <f t="shared" si="98"/>
        <v>1290</v>
      </c>
      <c r="I1291" s="21">
        <f t="shared" ca="1" si="94"/>
        <v>0</v>
      </c>
      <c r="J1291" s="21" t="str">
        <f ca="1">IF(I1291=0,"",COUNTIF($I$2:I1291,"&gt;0"))</f>
        <v/>
      </c>
      <c r="K1291" s="21" t="str">
        <f t="shared" ca="1" si="99"/>
        <v/>
      </c>
    </row>
    <row r="1292" spans="1:11" s="18" customFormat="1" ht="14.25" x14ac:dyDescent="0.2">
      <c r="A1292" s="18" t="str">
        <f t="shared" si="97"/>
        <v>Eintrag 1291</v>
      </c>
      <c r="B1292" s="18">
        <v>100</v>
      </c>
      <c r="C1292" s="19">
        <v>100</v>
      </c>
      <c r="D1292" s="20">
        <v>10</v>
      </c>
      <c r="E1292" s="20">
        <v>10</v>
      </c>
      <c r="F1292" s="20">
        <v>10</v>
      </c>
      <c r="G1292" s="19">
        <f t="shared" si="100"/>
        <v>172</v>
      </c>
      <c r="H1292" s="22">
        <f t="shared" si="98"/>
        <v>1291</v>
      </c>
      <c r="I1292" s="21">
        <f t="shared" ca="1" si="94"/>
        <v>0</v>
      </c>
      <c r="J1292" s="21" t="str">
        <f ca="1">IF(I1292=0,"",COUNTIF($I$2:I1292,"&gt;0"))</f>
        <v/>
      </c>
      <c r="K1292" s="21" t="str">
        <f t="shared" ca="1" si="99"/>
        <v/>
      </c>
    </row>
    <row r="1293" spans="1:11" s="18" customFormat="1" ht="14.25" x14ac:dyDescent="0.2">
      <c r="A1293" s="18" t="str">
        <f t="shared" si="97"/>
        <v>Eintrag 1292</v>
      </c>
      <c r="B1293" s="18">
        <v>100</v>
      </c>
      <c r="C1293" s="19">
        <v>100</v>
      </c>
      <c r="D1293" s="20">
        <v>10</v>
      </c>
      <c r="E1293" s="20">
        <v>10</v>
      </c>
      <c r="F1293" s="20">
        <v>10</v>
      </c>
      <c r="G1293" s="19">
        <f t="shared" si="100"/>
        <v>172</v>
      </c>
      <c r="H1293" s="22">
        <f t="shared" si="98"/>
        <v>1292</v>
      </c>
      <c r="I1293" s="21">
        <f t="shared" ca="1" si="94"/>
        <v>0</v>
      </c>
      <c r="J1293" s="21" t="str">
        <f ca="1">IF(I1293=0,"",COUNTIF($I$2:I1293,"&gt;0"))</f>
        <v/>
      </c>
      <c r="K1293" s="21" t="str">
        <f t="shared" ca="1" si="99"/>
        <v/>
      </c>
    </row>
    <row r="1294" spans="1:11" s="18" customFormat="1" ht="14.25" x14ac:dyDescent="0.2">
      <c r="A1294" s="18" t="str">
        <f t="shared" si="97"/>
        <v>Eintrag 1293</v>
      </c>
      <c r="B1294" s="18">
        <v>100</v>
      </c>
      <c r="C1294" s="19">
        <v>100</v>
      </c>
      <c r="D1294" s="20">
        <v>10</v>
      </c>
      <c r="E1294" s="20">
        <v>10</v>
      </c>
      <c r="F1294" s="20">
        <v>10</v>
      </c>
      <c r="G1294" s="19">
        <f t="shared" si="100"/>
        <v>172</v>
      </c>
      <c r="H1294" s="22">
        <f t="shared" si="98"/>
        <v>1293</v>
      </c>
      <c r="I1294" s="21">
        <f t="shared" ca="1" si="94"/>
        <v>0</v>
      </c>
      <c r="J1294" s="21" t="str">
        <f ca="1">IF(I1294=0,"",COUNTIF($I$2:I1294,"&gt;0"))</f>
        <v/>
      </c>
      <c r="K1294" s="21" t="str">
        <f t="shared" ca="1" si="99"/>
        <v/>
      </c>
    </row>
    <row r="1295" spans="1:11" s="18" customFormat="1" ht="14.25" x14ac:dyDescent="0.2">
      <c r="A1295" s="18" t="str">
        <f t="shared" si="97"/>
        <v>Eintrag 1294</v>
      </c>
      <c r="B1295" s="18">
        <v>100</v>
      </c>
      <c r="C1295" s="19">
        <v>100</v>
      </c>
      <c r="D1295" s="20">
        <v>10</v>
      </c>
      <c r="E1295" s="20">
        <v>10</v>
      </c>
      <c r="F1295" s="20">
        <v>10</v>
      </c>
      <c r="G1295" s="19">
        <f t="shared" si="100"/>
        <v>172</v>
      </c>
      <c r="H1295" s="22">
        <f t="shared" si="98"/>
        <v>1294</v>
      </c>
      <c r="I1295" s="21">
        <f t="shared" ca="1" si="94"/>
        <v>0</v>
      </c>
      <c r="J1295" s="21" t="str">
        <f ca="1">IF(I1295=0,"",COUNTIF($I$2:I1295,"&gt;0"))</f>
        <v/>
      </c>
      <c r="K1295" s="21" t="str">
        <f t="shared" ca="1" si="99"/>
        <v/>
      </c>
    </row>
    <row r="1296" spans="1:11" s="18" customFormat="1" ht="14.25" x14ac:dyDescent="0.2">
      <c r="A1296" s="18" t="str">
        <f t="shared" si="97"/>
        <v>Eintrag 1295</v>
      </c>
      <c r="B1296" s="18">
        <v>100</v>
      </c>
      <c r="C1296" s="19">
        <v>100</v>
      </c>
      <c r="D1296" s="20">
        <v>10</v>
      </c>
      <c r="E1296" s="20">
        <v>10</v>
      </c>
      <c r="F1296" s="20">
        <v>10</v>
      </c>
      <c r="G1296" s="19">
        <f t="shared" si="100"/>
        <v>172</v>
      </c>
      <c r="H1296" s="22">
        <f t="shared" si="98"/>
        <v>1295</v>
      </c>
      <c r="I1296" s="21">
        <f t="shared" ca="1" si="94"/>
        <v>0</v>
      </c>
      <c r="J1296" s="21" t="str">
        <f ca="1">IF(I1296=0,"",COUNTIF($I$2:I1296,"&gt;0"))</f>
        <v/>
      </c>
      <c r="K1296" s="21" t="str">
        <f t="shared" ca="1" si="99"/>
        <v/>
      </c>
    </row>
    <row r="1297" spans="1:11" s="18" customFormat="1" ht="14.25" x14ac:dyDescent="0.2">
      <c r="A1297" s="18" t="str">
        <f t="shared" si="97"/>
        <v>Eintrag 1296</v>
      </c>
      <c r="B1297" s="18">
        <v>100</v>
      </c>
      <c r="C1297" s="19">
        <v>100</v>
      </c>
      <c r="D1297" s="20">
        <v>10</v>
      </c>
      <c r="E1297" s="20">
        <v>10</v>
      </c>
      <c r="F1297" s="20">
        <v>10</v>
      </c>
      <c r="G1297" s="19">
        <f t="shared" si="100"/>
        <v>172</v>
      </c>
      <c r="H1297" s="22">
        <f t="shared" si="98"/>
        <v>1296</v>
      </c>
      <c r="I1297" s="21">
        <f t="shared" ca="1" si="94"/>
        <v>0</v>
      </c>
      <c r="J1297" s="21" t="str">
        <f ca="1">IF(I1297=0,"",COUNTIF($I$2:I1297,"&gt;0"))</f>
        <v/>
      </c>
      <c r="K1297" s="21" t="str">
        <f t="shared" ca="1" si="99"/>
        <v/>
      </c>
    </row>
    <row r="1298" spans="1:11" s="18" customFormat="1" ht="14.25" x14ac:dyDescent="0.2">
      <c r="A1298" s="18" t="str">
        <f t="shared" si="97"/>
        <v>Eintrag 1297</v>
      </c>
      <c r="B1298" s="18">
        <v>100</v>
      </c>
      <c r="C1298" s="19">
        <v>100</v>
      </c>
      <c r="D1298" s="20">
        <v>10</v>
      </c>
      <c r="E1298" s="20">
        <v>10</v>
      </c>
      <c r="F1298" s="20">
        <v>10</v>
      </c>
      <c r="G1298" s="19">
        <f t="shared" si="100"/>
        <v>172</v>
      </c>
      <c r="H1298" s="22">
        <f t="shared" si="98"/>
        <v>1297</v>
      </c>
      <c r="I1298" s="21">
        <f t="shared" ca="1" si="94"/>
        <v>0</v>
      </c>
      <c r="J1298" s="21" t="str">
        <f ca="1">IF(I1298=0,"",COUNTIF($I$2:I1298,"&gt;0"))</f>
        <v/>
      </c>
      <c r="K1298" s="21" t="str">
        <f t="shared" ca="1" si="99"/>
        <v/>
      </c>
    </row>
    <row r="1299" spans="1:11" s="18" customFormat="1" ht="14.25" x14ac:dyDescent="0.2">
      <c r="A1299" s="18" t="str">
        <f t="shared" si="97"/>
        <v>Eintrag 1298</v>
      </c>
      <c r="B1299" s="18">
        <v>100</v>
      </c>
      <c r="C1299" s="19">
        <v>100</v>
      </c>
      <c r="D1299" s="20">
        <v>10</v>
      </c>
      <c r="E1299" s="20">
        <v>10</v>
      </c>
      <c r="F1299" s="20">
        <v>10</v>
      </c>
      <c r="G1299" s="19">
        <f t="shared" si="100"/>
        <v>172</v>
      </c>
      <c r="H1299" s="22">
        <f t="shared" si="98"/>
        <v>1298</v>
      </c>
      <c r="I1299" s="21">
        <f t="shared" ca="1" si="94"/>
        <v>0</v>
      </c>
      <c r="J1299" s="21" t="str">
        <f ca="1">IF(I1299=0,"",COUNTIF($I$2:I1299,"&gt;0"))</f>
        <v/>
      </c>
      <c r="K1299" s="21" t="str">
        <f t="shared" ca="1" si="99"/>
        <v/>
      </c>
    </row>
    <row r="1300" spans="1:11" s="18" customFormat="1" ht="14.25" x14ac:dyDescent="0.2">
      <c r="A1300" s="18" t="str">
        <f t="shared" si="97"/>
        <v>Eintrag 1299</v>
      </c>
      <c r="B1300" s="18">
        <v>100</v>
      </c>
      <c r="C1300" s="19">
        <v>100</v>
      </c>
      <c r="D1300" s="20">
        <v>10</v>
      </c>
      <c r="E1300" s="20">
        <v>10</v>
      </c>
      <c r="F1300" s="20">
        <v>10</v>
      </c>
      <c r="G1300" s="19">
        <f t="shared" si="100"/>
        <v>172</v>
      </c>
      <c r="H1300" s="22">
        <f t="shared" si="98"/>
        <v>1299</v>
      </c>
      <c r="I1300" s="21">
        <f t="shared" ca="1" si="94"/>
        <v>0</v>
      </c>
      <c r="J1300" s="21" t="str">
        <f ca="1">IF(I1300=0,"",COUNTIF($I$2:I1300,"&gt;0"))</f>
        <v/>
      </c>
      <c r="K1300" s="21" t="str">
        <f t="shared" ca="1" si="99"/>
        <v/>
      </c>
    </row>
    <row r="1301" spans="1:11" s="18" customFormat="1" ht="14.25" x14ac:dyDescent="0.2">
      <c r="A1301" s="18" t="str">
        <f t="shared" si="97"/>
        <v>Eintrag 1300</v>
      </c>
      <c r="B1301" s="18">
        <v>100</v>
      </c>
      <c r="C1301" s="19">
        <v>100</v>
      </c>
      <c r="D1301" s="20">
        <v>10</v>
      </c>
      <c r="E1301" s="20">
        <v>10</v>
      </c>
      <c r="F1301" s="20">
        <v>10</v>
      </c>
      <c r="G1301" s="19">
        <f t="shared" si="100"/>
        <v>172</v>
      </c>
      <c r="H1301" s="22">
        <f t="shared" si="98"/>
        <v>1300</v>
      </c>
      <c r="I1301" s="21">
        <f t="shared" ca="1" si="94"/>
        <v>0</v>
      </c>
      <c r="J1301" s="21" t="str">
        <f ca="1">IF(I1301=0,"",COUNTIF($I$2:I1301,"&gt;0"))</f>
        <v/>
      </c>
      <c r="K1301" s="21" t="str">
        <f t="shared" ca="1" si="99"/>
        <v/>
      </c>
    </row>
    <row r="1302" spans="1:11" s="18" customFormat="1" ht="14.25" x14ac:dyDescent="0.2">
      <c r="A1302" s="18" t="str">
        <f t="shared" si="97"/>
        <v>Eintrag 1301</v>
      </c>
      <c r="B1302" s="18">
        <v>100</v>
      </c>
      <c r="C1302" s="19">
        <v>100</v>
      </c>
      <c r="D1302" s="20">
        <v>10</v>
      </c>
      <c r="E1302" s="20">
        <v>10</v>
      </c>
      <c r="F1302" s="20">
        <v>10</v>
      </c>
      <c r="G1302" s="19">
        <f t="shared" si="100"/>
        <v>172</v>
      </c>
      <c r="H1302" s="22">
        <f t="shared" si="98"/>
        <v>1301</v>
      </c>
      <c r="I1302" s="21">
        <f t="shared" ca="1" si="94"/>
        <v>0</v>
      </c>
      <c r="J1302" s="21" t="str">
        <f ca="1">IF(I1302=0,"",COUNTIF($I$2:I1302,"&gt;0"))</f>
        <v/>
      </c>
      <c r="K1302" s="21" t="str">
        <f t="shared" ca="1" si="99"/>
        <v/>
      </c>
    </row>
    <row r="1303" spans="1:11" s="18" customFormat="1" ht="14.25" x14ac:dyDescent="0.2">
      <c r="A1303" s="18" t="str">
        <f t="shared" si="97"/>
        <v>Eintrag 1302</v>
      </c>
      <c r="B1303" s="18">
        <v>100</v>
      </c>
      <c r="C1303" s="19">
        <v>100</v>
      </c>
      <c r="D1303" s="20">
        <v>10</v>
      </c>
      <c r="E1303" s="20">
        <v>10</v>
      </c>
      <c r="F1303" s="20">
        <v>10</v>
      </c>
      <c r="G1303" s="19">
        <f t="shared" si="100"/>
        <v>172</v>
      </c>
      <c r="H1303" s="22">
        <f t="shared" si="98"/>
        <v>1302</v>
      </c>
      <c r="I1303" s="21">
        <f t="shared" ca="1" si="94"/>
        <v>0</v>
      </c>
      <c r="J1303" s="21" t="str">
        <f ca="1">IF(I1303=0,"",COUNTIF($I$2:I1303,"&gt;0"))</f>
        <v/>
      </c>
      <c r="K1303" s="21" t="str">
        <f t="shared" ca="1" si="99"/>
        <v/>
      </c>
    </row>
    <row r="1304" spans="1:11" s="18" customFormat="1" ht="14.25" x14ac:dyDescent="0.2">
      <c r="A1304" s="18" t="str">
        <f t="shared" si="97"/>
        <v>Eintrag 1303</v>
      </c>
      <c r="B1304" s="18">
        <v>100</v>
      </c>
      <c r="C1304" s="19">
        <v>100</v>
      </c>
      <c r="D1304" s="20">
        <v>10</v>
      </c>
      <c r="E1304" s="20">
        <v>10</v>
      </c>
      <c r="F1304" s="20">
        <v>10</v>
      </c>
      <c r="G1304" s="19">
        <f t="shared" si="100"/>
        <v>172</v>
      </c>
      <c r="H1304" s="22">
        <f t="shared" si="98"/>
        <v>1303</v>
      </c>
      <c r="I1304" s="21">
        <f t="shared" ca="1" si="94"/>
        <v>0</v>
      </c>
      <c r="J1304" s="21" t="str">
        <f ca="1">IF(I1304=0,"",COUNTIF($I$2:I1304,"&gt;0"))</f>
        <v/>
      </c>
      <c r="K1304" s="21" t="str">
        <f t="shared" ca="1" si="99"/>
        <v/>
      </c>
    </row>
    <row r="1305" spans="1:11" s="18" customFormat="1" ht="14.25" x14ac:dyDescent="0.2">
      <c r="A1305" s="18" t="str">
        <f t="shared" si="97"/>
        <v>Eintrag 1304</v>
      </c>
      <c r="B1305" s="18">
        <v>100</v>
      </c>
      <c r="C1305" s="19">
        <v>100</v>
      </c>
      <c r="D1305" s="20">
        <v>10</v>
      </c>
      <c r="E1305" s="20">
        <v>10</v>
      </c>
      <c r="F1305" s="20">
        <v>10</v>
      </c>
      <c r="G1305" s="19">
        <f t="shared" si="100"/>
        <v>172</v>
      </c>
      <c r="H1305" s="22">
        <f t="shared" si="98"/>
        <v>1304</v>
      </c>
      <c r="I1305" s="21">
        <f t="shared" ca="1" si="94"/>
        <v>0</v>
      </c>
      <c r="J1305" s="21" t="str">
        <f ca="1">IF(I1305=0,"",COUNTIF($I$2:I1305,"&gt;0"))</f>
        <v/>
      </c>
      <c r="K1305" s="21" t="str">
        <f t="shared" ca="1" si="99"/>
        <v/>
      </c>
    </row>
    <row r="1306" spans="1:11" s="18" customFormat="1" ht="14.25" x14ac:dyDescent="0.2">
      <c r="A1306" s="18" t="str">
        <f t="shared" si="97"/>
        <v>Eintrag 1305</v>
      </c>
      <c r="B1306" s="18">
        <v>100</v>
      </c>
      <c r="C1306" s="19">
        <v>100</v>
      </c>
      <c r="D1306" s="20">
        <v>10</v>
      </c>
      <c r="E1306" s="20">
        <v>10</v>
      </c>
      <c r="F1306" s="20">
        <v>10</v>
      </c>
      <c r="G1306" s="19">
        <f t="shared" si="100"/>
        <v>172</v>
      </c>
      <c r="H1306" s="22">
        <f t="shared" si="98"/>
        <v>1305</v>
      </c>
      <c r="I1306" s="21">
        <f t="shared" ca="1" si="94"/>
        <v>0</v>
      </c>
      <c r="J1306" s="21" t="str">
        <f ca="1">IF(I1306=0,"",COUNTIF($I$2:I1306,"&gt;0"))</f>
        <v/>
      </c>
      <c r="K1306" s="21" t="str">
        <f t="shared" ca="1" si="99"/>
        <v/>
      </c>
    </row>
    <row r="1307" spans="1:11" s="18" customFormat="1" ht="14.25" x14ac:dyDescent="0.2">
      <c r="A1307" s="18" t="str">
        <f t="shared" si="97"/>
        <v>Eintrag 1306</v>
      </c>
      <c r="B1307" s="18">
        <v>100</v>
      </c>
      <c r="C1307" s="19">
        <v>100</v>
      </c>
      <c r="D1307" s="20">
        <v>10</v>
      </c>
      <c r="E1307" s="20">
        <v>10</v>
      </c>
      <c r="F1307" s="20">
        <v>10</v>
      </c>
      <c r="G1307" s="19">
        <f t="shared" si="100"/>
        <v>172</v>
      </c>
      <c r="H1307" s="22">
        <f t="shared" si="98"/>
        <v>1306</v>
      </c>
      <c r="I1307" s="21">
        <f t="shared" ca="1" si="94"/>
        <v>0</v>
      </c>
      <c r="J1307" s="21" t="str">
        <f ca="1">IF(I1307=0,"",COUNTIF($I$2:I1307,"&gt;0"))</f>
        <v/>
      </c>
      <c r="K1307" s="21" t="str">
        <f t="shared" ca="1" si="99"/>
        <v/>
      </c>
    </row>
    <row r="1308" spans="1:11" s="18" customFormat="1" ht="14.25" x14ac:dyDescent="0.2">
      <c r="A1308" s="18" t="str">
        <f t="shared" si="97"/>
        <v>Eintrag 1307</v>
      </c>
      <c r="B1308" s="18">
        <v>100</v>
      </c>
      <c r="C1308" s="19">
        <v>100</v>
      </c>
      <c r="D1308" s="20">
        <v>10</v>
      </c>
      <c r="E1308" s="20">
        <v>10</v>
      </c>
      <c r="F1308" s="20">
        <v>10</v>
      </c>
      <c r="G1308" s="19">
        <f t="shared" si="100"/>
        <v>172</v>
      </c>
      <c r="H1308" s="22">
        <f t="shared" si="98"/>
        <v>1307</v>
      </c>
      <c r="I1308" s="21">
        <f t="shared" ca="1" si="94"/>
        <v>0</v>
      </c>
      <c r="J1308" s="21" t="str">
        <f ca="1">IF(I1308=0,"",COUNTIF($I$2:I1308,"&gt;0"))</f>
        <v/>
      </c>
      <c r="K1308" s="21" t="str">
        <f t="shared" ca="1" si="99"/>
        <v/>
      </c>
    </row>
    <row r="1309" spans="1:11" s="18" customFormat="1" ht="14.25" x14ac:dyDescent="0.2">
      <c r="A1309" s="18" t="str">
        <f t="shared" si="97"/>
        <v>Eintrag 1308</v>
      </c>
      <c r="B1309" s="18">
        <v>100</v>
      </c>
      <c r="C1309" s="19">
        <v>100</v>
      </c>
      <c r="D1309" s="20">
        <v>10</v>
      </c>
      <c r="E1309" s="20">
        <v>10</v>
      </c>
      <c r="F1309" s="20">
        <v>10</v>
      </c>
      <c r="G1309" s="19">
        <f t="shared" si="100"/>
        <v>172</v>
      </c>
      <c r="H1309" s="22">
        <f t="shared" si="98"/>
        <v>1308</v>
      </c>
      <c r="I1309" s="21">
        <f t="shared" ca="1" si="94"/>
        <v>0</v>
      </c>
      <c r="J1309" s="21" t="str">
        <f ca="1">IF(I1309=0,"",COUNTIF($I$2:I1309,"&gt;0"))</f>
        <v/>
      </c>
      <c r="K1309" s="21" t="str">
        <f t="shared" ca="1" si="99"/>
        <v/>
      </c>
    </row>
    <row r="1310" spans="1:11" s="18" customFormat="1" ht="14.25" x14ac:dyDescent="0.2">
      <c r="A1310" s="18" t="str">
        <f t="shared" si="97"/>
        <v>Eintrag 1309</v>
      </c>
      <c r="B1310" s="18">
        <v>100</v>
      </c>
      <c r="C1310" s="19">
        <v>100</v>
      </c>
      <c r="D1310" s="20">
        <v>10</v>
      </c>
      <c r="E1310" s="20">
        <v>10</v>
      </c>
      <c r="F1310" s="20">
        <v>10</v>
      </c>
      <c r="G1310" s="19">
        <f t="shared" si="100"/>
        <v>172</v>
      </c>
      <c r="H1310" s="22">
        <f t="shared" si="98"/>
        <v>1309</v>
      </c>
      <c r="I1310" s="21">
        <f t="shared" ca="1" si="94"/>
        <v>0</v>
      </c>
      <c r="J1310" s="21" t="str">
        <f ca="1">IF(I1310=0,"",COUNTIF($I$2:I1310,"&gt;0"))</f>
        <v/>
      </c>
      <c r="K1310" s="21" t="str">
        <f t="shared" ca="1" si="99"/>
        <v/>
      </c>
    </row>
    <row r="1311" spans="1:11" s="18" customFormat="1" ht="14.25" x14ac:dyDescent="0.2">
      <c r="A1311" s="18" t="str">
        <f t="shared" si="97"/>
        <v>Eintrag 1310</v>
      </c>
      <c r="B1311" s="18">
        <v>100</v>
      </c>
      <c r="C1311" s="19">
        <v>100</v>
      </c>
      <c r="D1311" s="20">
        <v>10</v>
      </c>
      <c r="E1311" s="20">
        <v>10</v>
      </c>
      <c r="F1311" s="20">
        <v>10</v>
      </c>
      <c r="G1311" s="19">
        <f t="shared" si="100"/>
        <v>172</v>
      </c>
      <c r="H1311" s="22">
        <f t="shared" si="98"/>
        <v>1310</v>
      </c>
      <c r="I1311" s="21">
        <f t="shared" ca="1" si="94"/>
        <v>0</v>
      </c>
      <c r="J1311" s="21" t="str">
        <f ca="1">IF(I1311=0,"",COUNTIF($I$2:I1311,"&gt;0"))</f>
        <v/>
      </c>
      <c r="K1311" s="21" t="str">
        <f t="shared" ca="1" si="99"/>
        <v/>
      </c>
    </row>
    <row r="1312" spans="1:11" s="18" customFormat="1" ht="14.25" x14ac:dyDescent="0.2">
      <c r="A1312" s="18" t="str">
        <f t="shared" si="97"/>
        <v>Eintrag 1311</v>
      </c>
      <c r="B1312" s="18">
        <v>100</v>
      </c>
      <c r="C1312" s="19">
        <v>100</v>
      </c>
      <c r="D1312" s="20">
        <v>10</v>
      </c>
      <c r="E1312" s="20">
        <v>10</v>
      </c>
      <c r="F1312" s="20">
        <v>10</v>
      </c>
      <c r="G1312" s="19">
        <f t="shared" si="100"/>
        <v>172</v>
      </c>
      <c r="H1312" s="22">
        <f t="shared" si="98"/>
        <v>1311</v>
      </c>
      <c r="I1312" s="21">
        <f t="shared" ca="1" si="94"/>
        <v>0</v>
      </c>
      <c r="J1312" s="21" t="str">
        <f ca="1">IF(I1312=0,"",COUNTIF($I$2:I1312,"&gt;0"))</f>
        <v/>
      </c>
      <c r="K1312" s="21" t="str">
        <f t="shared" ca="1" si="99"/>
        <v/>
      </c>
    </row>
    <row r="1313" spans="1:11" s="18" customFormat="1" ht="14.25" x14ac:dyDescent="0.2">
      <c r="A1313" s="18" t="str">
        <f t="shared" si="97"/>
        <v>Eintrag 1312</v>
      </c>
      <c r="B1313" s="18">
        <v>100</v>
      </c>
      <c r="C1313" s="19">
        <v>100</v>
      </c>
      <c r="D1313" s="20">
        <v>10</v>
      </c>
      <c r="E1313" s="20">
        <v>10</v>
      </c>
      <c r="F1313" s="20">
        <v>10</v>
      </c>
      <c r="G1313" s="19">
        <f t="shared" si="100"/>
        <v>172</v>
      </c>
      <c r="H1313" s="22">
        <f t="shared" si="98"/>
        <v>1312</v>
      </c>
      <c r="I1313" s="21">
        <f t="shared" ca="1" si="94"/>
        <v>0</v>
      </c>
      <c r="J1313" s="21" t="str">
        <f ca="1">IF(I1313=0,"",COUNTIF($I$2:I1313,"&gt;0"))</f>
        <v/>
      </c>
      <c r="K1313" s="21" t="str">
        <f t="shared" ca="1" si="99"/>
        <v/>
      </c>
    </row>
    <row r="1314" spans="1:11" s="18" customFormat="1" ht="14.25" x14ac:dyDescent="0.2">
      <c r="A1314" s="18" t="str">
        <f t="shared" si="97"/>
        <v>Eintrag 1313</v>
      </c>
      <c r="B1314" s="18">
        <v>100</v>
      </c>
      <c r="C1314" s="19">
        <v>100</v>
      </c>
      <c r="D1314" s="20">
        <v>10</v>
      </c>
      <c r="E1314" s="20">
        <v>10</v>
      </c>
      <c r="F1314" s="20">
        <v>10</v>
      </c>
      <c r="G1314" s="19">
        <f t="shared" si="100"/>
        <v>172</v>
      </c>
      <c r="H1314" s="22">
        <f t="shared" si="98"/>
        <v>1313</v>
      </c>
      <c r="I1314" s="21">
        <f t="shared" ca="1" si="94"/>
        <v>0</v>
      </c>
      <c r="J1314" s="21" t="str">
        <f ca="1">IF(I1314=0,"",COUNTIF($I$2:I1314,"&gt;0"))</f>
        <v/>
      </c>
      <c r="K1314" s="21" t="str">
        <f t="shared" ca="1" si="99"/>
        <v/>
      </c>
    </row>
    <row r="1315" spans="1:11" s="18" customFormat="1" ht="14.25" x14ac:dyDescent="0.2">
      <c r="A1315" s="18" t="str">
        <f t="shared" si="97"/>
        <v>Eintrag 1314</v>
      </c>
      <c r="B1315" s="18">
        <v>100</v>
      </c>
      <c r="C1315" s="19">
        <v>100</v>
      </c>
      <c r="D1315" s="20">
        <v>10</v>
      </c>
      <c r="E1315" s="20">
        <v>10</v>
      </c>
      <c r="F1315" s="20">
        <v>10</v>
      </c>
      <c r="G1315" s="19">
        <f t="shared" si="100"/>
        <v>172</v>
      </c>
      <c r="H1315" s="22">
        <f t="shared" si="98"/>
        <v>1314</v>
      </c>
      <c r="I1315" s="21">
        <f t="shared" ca="1" si="94"/>
        <v>0</v>
      </c>
      <c r="J1315" s="21" t="str">
        <f ca="1">IF(I1315=0,"",COUNTIF($I$2:I1315,"&gt;0"))</f>
        <v/>
      </c>
      <c r="K1315" s="21" t="str">
        <f t="shared" ca="1" si="99"/>
        <v/>
      </c>
    </row>
    <row r="1316" spans="1:11" s="18" customFormat="1" ht="14.25" x14ac:dyDescent="0.2">
      <c r="A1316" s="18" t="str">
        <f t="shared" si="97"/>
        <v>Eintrag 1315</v>
      </c>
      <c r="B1316" s="18">
        <v>100</v>
      </c>
      <c r="C1316" s="19">
        <v>100</v>
      </c>
      <c r="D1316" s="20">
        <v>10</v>
      </c>
      <c r="E1316" s="20">
        <v>10</v>
      </c>
      <c r="F1316" s="20">
        <v>10</v>
      </c>
      <c r="G1316" s="19">
        <f t="shared" si="100"/>
        <v>172</v>
      </c>
      <c r="H1316" s="22">
        <f t="shared" si="98"/>
        <v>1315</v>
      </c>
      <c r="I1316" s="21">
        <f t="shared" ca="1" si="94"/>
        <v>0</v>
      </c>
      <c r="J1316" s="21" t="str">
        <f ca="1">IF(I1316=0,"",COUNTIF($I$2:I1316,"&gt;0"))</f>
        <v/>
      </c>
      <c r="K1316" s="21" t="str">
        <f t="shared" ca="1" si="99"/>
        <v/>
      </c>
    </row>
    <row r="1317" spans="1:11" s="18" customFormat="1" ht="14.25" x14ac:dyDescent="0.2">
      <c r="A1317" s="18" t="str">
        <f t="shared" si="97"/>
        <v>Eintrag 1316</v>
      </c>
      <c r="B1317" s="18">
        <v>100</v>
      </c>
      <c r="C1317" s="19">
        <v>100</v>
      </c>
      <c r="D1317" s="20">
        <v>10</v>
      </c>
      <c r="E1317" s="20">
        <v>10</v>
      </c>
      <c r="F1317" s="20">
        <v>10</v>
      </c>
      <c r="G1317" s="19">
        <f t="shared" si="100"/>
        <v>172</v>
      </c>
      <c r="H1317" s="22">
        <f t="shared" ref="H1317:H1380" si="101">H1316+1</f>
        <v>1316</v>
      </c>
      <c r="I1317" s="21">
        <f t="shared" ca="1" si="94"/>
        <v>0</v>
      </c>
      <c r="J1317" s="21" t="str">
        <f ca="1">IF(I1317=0,"",COUNTIF($I$2:I1317,"&gt;0"))</f>
        <v/>
      </c>
      <c r="K1317" s="21" t="str">
        <f t="shared" ca="1" si="99"/>
        <v/>
      </c>
    </row>
    <row r="1318" spans="1:11" s="18" customFormat="1" ht="14.25" x14ac:dyDescent="0.2">
      <c r="A1318" s="18" t="str">
        <f t="shared" si="97"/>
        <v>Eintrag 1317</v>
      </c>
      <c r="B1318" s="18">
        <v>100</v>
      </c>
      <c r="C1318" s="19">
        <v>100</v>
      </c>
      <c r="D1318" s="20">
        <v>10</v>
      </c>
      <c r="E1318" s="20">
        <v>10</v>
      </c>
      <c r="F1318" s="20">
        <v>10</v>
      </c>
      <c r="G1318" s="19">
        <f t="shared" si="100"/>
        <v>172</v>
      </c>
      <c r="H1318" s="22">
        <f t="shared" si="101"/>
        <v>1317</v>
      </c>
      <c r="I1318" s="21">
        <f t="shared" ca="1" si="94"/>
        <v>0</v>
      </c>
      <c r="J1318" s="21" t="str">
        <f ca="1">IF(I1318=0,"",COUNTIF($I$2:I1318,"&gt;0"))</f>
        <v/>
      </c>
      <c r="K1318" s="21" t="str">
        <f t="shared" ca="1" si="99"/>
        <v/>
      </c>
    </row>
    <row r="1319" spans="1:11" s="18" customFormat="1" ht="14.25" x14ac:dyDescent="0.2">
      <c r="A1319" s="18" t="str">
        <f t="shared" si="97"/>
        <v>Eintrag 1318</v>
      </c>
      <c r="B1319" s="18">
        <v>100</v>
      </c>
      <c r="C1319" s="19">
        <v>100</v>
      </c>
      <c r="D1319" s="20">
        <v>10</v>
      </c>
      <c r="E1319" s="20">
        <v>10</v>
      </c>
      <c r="F1319" s="20">
        <v>10</v>
      </c>
      <c r="G1319" s="19">
        <f t="shared" si="100"/>
        <v>172</v>
      </c>
      <c r="H1319" s="22">
        <f t="shared" si="101"/>
        <v>1318</v>
      </c>
      <c r="I1319" s="21">
        <f t="shared" ca="1" si="94"/>
        <v>0</v>
      </c>
      <c r="J1319" s="21" t="str">
        <f ca="1">IF(I1319=0,"",COUNTIF($I$2:I1319,"&gt;0"))</f>
        <v/>
      </c>
      <c r="K1319" s="21" t="str">
        <f t="shared" ca="1" si="99"/>
        <v/>
      </c>
    </row>
    <row r="1320" spans="1:11" s="18" customFormat="1" ht="14.25" x14ac:dyDescent="0.2">
      <c r="A1320" s="18" t="str">
        <f t="shared" si="97"/>
        <v>Eintrag 1319</v>
      </c>
      <c r="B1320" s="18">
        <v>100</v>
      </c>
      <c r="C1320" s="19">
        <v>100</v>
      </c>
      <c r="D1320" s="20">
        <v>10</v>
      </c>
      <c r="E1320" s="20">
        <v>10</v>
      </c>
      <c r="F1320" s="20">
        <v>10</v>
      </c>
      <c r="G1320" s="19">
        <f t="shared" si="100"/>
        <v>172</v>
      </c>
      <c r="H1320" s="22">
        <f t="shared" si="101"/>
        <v>1319</v>
      </c>
      <c r="I1320" s="21">
        <f t="shared" ca="1" si="94"/>
        <v>0</v>
      </c>
      <c r="J1320" s="21" t="str">
        <f ca="1">IF(I1320=0,"",COUNTIF($I$2:I1320,"&gt;0"))</f>
        <v/>
      </c>
      <c r="K1320" s="21" t="str">
        <f t="shared" ca="1" si="99"/>
        <v/>
      </c>
    </row>
    <row r="1321" spans="1:11" s="18" customFormat="1" ht="14.25" x14ac:dyDescent="0.2">
      <c r="A1321" s="18" t="str">
        <f t="shared" si="97"/>
        <v>Eintrag 1320</v>
      </c>
      <c r="B1321" s="18">
        <v>100</v>
      </c>
      <c r="C1321" s="19">
        <v>100</v>
      </c>
      <c r="D1321" s="20">
        <v>10</v>
      </c>
      <c r="E1321" s="20">
        <v>10</v>
      </c>
      <c r="F1321" s="20">
        <v>10</v>
      </c>
      <c r="G1321" s="19">
        <f t="shared" si="100"/>
        <v>172</v>
      </c>
      <c r="H1321" s="22">
        <f t="shared" si="101"/>
        <v>1320</v>
      </c>
      <c r="I1321" s="21">
        <f t="shared" ca="1" si="94"/>
        <v>0</v>
      </c>
      <c r="J1321" s="21" t="str">
        <f ca="1">IF(I1321=0,"",COUNTIF($I$2:I1321,"&gt;0"))</f>
        <v/>
      </c>
      <c r="K1321" s="21" t="str">
        <f t="shared" ca="1" si="99"/>
        <v/>
      </c>
    </row>
    <row r="1322" spans="1:11" s="18" customFormat="1" ht="14.25" x14ac:dyDescent="0.2">
      <c r="A1322" s="18" t="str">
        <f t="shared" si="97"/>
        <v>Eintrag 1321</v>
      </c>
      <c r="B1322" s="18">
        <v>100</v>
      </c>
      <c r="C1322" s="19">
        <v>100</v>
      </c>
      <c r="D1322" s="20">
        <v>10</v>
      </c>
      <c r="E1322" s="20">
        <v>10</v>
      </c>
      <c r="F1322" s="20">
        <v>10</v>
      </c>
      <c r="G1322" s="19">
        <f t="shared" si="100"/>
        <v>172</v>
      </c>
      <c r="H1322" s="22">
        <f t="shared" si="101"/>
        <v>1321</v>
      </c>
      <c r="I1322" s="21">
        <f t="shared" ca="1" si="94"/>
        <v>0</v>
      </c>
      <c r="J1322" s="21" t="str">
        <f ca="1">IF(I1322=0,"",COUNTIF($I$2:I1322,"&gt;0"))</f>
        <v/>
      </c>
      <c r="K1322" s="21" t="str">
        <f t="shared" ca="1" si="99"/>
        <v/>
      </c>
    </row>
    <row r="1323" spans="1:11" s="18" customFormat="1" ht="14.25" x14ac:dyDescent="0.2">
      <c r="A1323" s="18" t="str">
        <f t="shared" si="97"/>
        <v>Eintrag 1322</v>
      </c>
      <c r="B1323" s="18">
        <v>100</v>
      </c>
      <c r="C1323" s="19">
        <v>100</v>
      </c>
      <c r="D1323" s="20">
        <v>10</v>
      </c>
      <c r="E1323" s="20">
        <v>10</v>
      </c>
      <c r="F1323" s="20">
        <v>10</v>
      </c>
      <c r="G1323" s="19">
        <f t="shared" si="100"/>
        <v>172</v>
      </c>
      <c r="H1323" s="22">
        <f t="shared" si="101"/>
        <v>1322</v>
      </c>
      <c r="I1323" s="21">
        <f t="shared" ca="1" si="94"/>
        <v>0</v>
      </c>
      <c r="J1323" s="21" t="str">
        <f ca="1">IF(I1323=0,"",COUNTIF($I$2:I1323,"&gt;0"))</f>
        <v/>
      </c>
      <c r="K1323" s="21" t="str">
        <f t="shared" ca="1" si="99"/>
        <v/>
      </c>
    </row>
    <row r="1324" spans="1:11" s="18" customFormat="1" ht="14.25" x14ac:dyDescent="0.2">
      <c r="A1324" s="18" t="str">
        <f t="shared" si="97"/>
        <v>Eintrag 1323</v>
      </c>
      <c r="B1324" s="18">
        <v>100</v>
      </c>
      <c r="C1324" s="19">
        <v>100</v>
      </c>
      <c r="D1324" s="20">
        <v>10</v>
      </c>
      <c r="E1324" s="20">
        <v>10</v>
      </c>
      <c r="F1324" s="20">
        <v>10</v>
      </c>
      <c r="G1324" s="19">
        <f t="shared" si="100"/>
        <v>172</v>
      </c>
      <c r="H1324" s="22">
        <f t="shared" si="101"/>
        <v>1323</v>
      </c>
      <c r="I1324" s="21">
        <f t="shared" ca="1" si="94"/>
        <v>0</v>
      </c>
      <c r="J1324" s="21" t="str">
        <f ca="1">IF(I1324=0,"",COUNTIF($I$2:I1324,"&gt;0"))</f>
        <v/>
      </c>
      <c r="K1324" s="21" t="str">
        <f t="shared" ca="1" si="99"/>
        <v/>
      </c>
    </row>
    <row r="1325" spans="1:11" s="18" customFormat="1" ht="14.25" x14ac:dyDescent="0.2">
      <c r="A1325" s="18" t="str">
        <f t="shared" si="97"/>
        <v>Eintrag 1324</v>
      </c>
      <c r="B1325" s="18">
        <v>100</v>
      </c>
      <c r="C1325" s="19">
        <v>100</v>
      </c>
      <c r="D1325" s="20">
        <v>10</v>
      </c>
      <c r="E1325" s="20">
        <v>10</v>
      </c>
      <c r="F1325" s="20">
        <v>10</v>
      </c>
      <c r="G1325" s="19">
        <f t="shared" si="100"/>
        <v>172</v>
      </c>
      <c r="H1325" s="22">
        <f t="shared" si="101"/>
        <v>1324</v>
      </c>
      <c r="I1325" s="21">
        <f t="shared" ca="1" si="94"/>
        <v>0</v>
      </c>
      <c r="J1325" s="21" t="str">
        <f ca="1">IF(I1325=0,"",COUNTIF($I$2:I1325,"&gt;0"))</f>
        <v/>
      </c>
      <c r="K1325" s="21" t="str">
        <f t="shared" ca="1" si="99"/>
        <v/>
      </c>
    </row>
    <row r="1326" spans="1:11" s="18" customFormat="1" ht="14.25" x14ac:dyDescent="0.2">
      <c r="A1326" s="18" t="str">
        <f t="shared" si="97"/>
        <v>Eintrag 1325</v>
      </c>
      <c r="B1326" s="18">
        <v>100</v>
      </c>
      <c r="C1326" s="19">
        <v>100</v>
      </c>
      <c r="D1326" s="20">
        <v>10</v>
      </c>
      <c r="E1326" s="20">
        <v>10</v>
      </c>
      <c r="F1326" s="20">
        <v>10</v>
      </c>
      <c r="G1326" s="19">
        <f t="shared" si="100"/>
        <v>172</v>
      </c>
      <c r="H1326" s="22">
        <f t="shared" si="101"/>
        <v>1325</v>
      </c>
      <c r="I1326" s="21">
        <f t="shared" ca="1" si="94"/>
        <v>0</v>
      </c>
      <c r="J1326" s="21" t="str">
        <f ca="1">IF(I1326=0,"",COUNTIF($I$2:I1326,"&gt;0"))</f>
        <v/>
      </c>
      <c r="K1326" s="21" t="str">
        <f t="shared" ca="1" si="99"/>
        <v/>
      </c>
    </row>
    <row r="1327" spans="1:11" s="18" customFormat="1" ht="14.25" x14ac:dyDescent="0.2">
      <c r="A1327" s="18" t="str">
        <f t="shared" si="97"/>
        <v>Eintrag 1326</v>
      </c>
      <c r="B1327" s="18">
        <v>100</v>
      </c>
      <c r="C1327" s="19">
        <v>100</v>
      </c>
      <c r="D1327" s="20">
        <v>10</v>
      </c>
      <c r="E1327" s="20">
        <v>10</v>
      </c>
      <c r="F1327" s="20">
        <v>10</v>
      </c>
      <c r="G1327" s="19">
        <f t="shared" si="100"/>
        <v>172</v>
      </c>
      <c r="H1327" s="22">
        <f t="shared" si="101"/>
        <v>1326</v>
      </c>
      <c r="I1327" s="21">
        <f t="shared" ca="1" si="94"/>
        <v>0</v>
      </c>
      <c r="J1327" s="21" t="str">
        <f ca="1">IF(I1327=0,"",COUNTIF($I$2:I1327,"&gt;0"))</f>
        <v/>
      </c>
      <c r="K1327" s="21" t="str">
        <f t="shared" ca="1" si="99"/>
        <v/>
      </c>
    </row>
    <row r="1328" spans="1:11" s="18" customFormat="1" ht="14.25" x14ac:dyDescent="0.2">
      <c r="A1328" s="18" t="str">
        <f t="shared" si="97"/>
        <v>Eintrag 1327</v>
      </c>
      <c r="B1328" s="18">
        <v>100</v>
      </c>
      <c r="C1328" s="19">
        <v>100</v>
      </c>
      <c r="D1328" s="20">
        <v>10</v>
      </c>
      <c r="E1328" s="20">
        <v>10</v>
      </c>
      <c r="F1328" s="20">
        <v>10</v>
      </c>
      <c r="G1328" s="19">
        <f t="shared" si="100"/>
        <v>172</v>
      </c>
      <c r="H1328" s="22">
        <f t="shared" si="101"/>
        <v>1327</v>
      </c>
      <c r="I1328" s="21">
        <f t="shared" ca="1" si="94"/>
        <v>0</v>
      </c>
      <c r="J1328" s="21" t="str">
        <f ca="1">IF(I1328=0,"",COUNTIF($I$2:I1328,"&gt;0"))</f>
        <v/>
      </c>
      <c r="K1328" s="21" t="str">
        <f t="shared" ca="1" si="99"/>
        <v/>
      </c>
    </row>
    <row r="1329" spans="1:11" s="18" customFormat="1" ht="14.25" x14ac:dyDescent="0.2">
      <c r="A1329" s="18" t="str">
        <f t="shared" si="97"/>
        <v>Eintrag 1328</v>
      </c>
      <c r="B1329" s="18">
        <v>100</v>
      </c>
      <c r="C1329" s="19">
        <v>100</v>
      </c>
      <c r="D1329" s="20">
        <v>10</v>
      </c>
      <c r="E1329" s="20">
        <v>10</v>
      </c>
      <c r="F1329" s="20">
        <v>10</v>
      </c>
      <c r="G1329" s="19">
        <f t="shared" si="100"/>
        <v>172</v>
      </c>
      <c r="H1329" s="22">
        <f t="shared" si="101"/>
        <v>1328</v>
      </c>
      <c r="I1329" s="21">
        <f t="shared" ca="1" si="94"/>
        <v>0</v>
      </c>
      <c r="J1329" s="21" t="str">
        <f ca="1">IF(I1329=0,"",COUNTIF($I$2:I1329,"&gt;0"))</f>
        <v/>
      </c>
      <c r="K1329" s="21" t="str">
        <f t="shared" ca="1" si="99"/>
        <v/>
      </c>
    </row>
    <row r="1330" spans="1:11" s="18" customFormat="1" ht="14.25" x14ac:dyDescent="0.2">
      <c r="A1330" s="18" t="str">
        <f t="shared" si="97"/>
        <v>Eintrag 1329</v>
      </c>
      <c r="B1330" s="18">
        <v>100</v>
      </c>
      <c r="C1330" s="19">
        <v>100</v>
      </c>
      <c r="D1330" s="20">
        <v>10</v>
      </c>
      <c r="E1330" s="20">
        <v>10</v>
      </c>
      <c r="F1330" s="20">
        <v>10</v>
      </c>
      <c r="G1330" s="19">
        <f t="shared" si="100"/>
        <v>172</v>
      </c>
      <c r="H1330" s="22">
        <f t="shared" si="101"/>
        <v>1329</v>
      </c>
      <c r="I1330" s="21">
        <f t="shared" ca="1" si="94"/>
        <v>0</v>
      </c>
      <c r="J1330" s="21" t="str">
        <f ca="1">IF(I1330=0,"",COUNTIF($I$2:I1330,"&gt;0"))</f>
        <v/>
      </c>
      <c r="K1330" s="21" t="str">
        <f t="shared" ca="1" si="99"/>
        <v/>
      </c>
    </row>
    <row r="1331" spans="1:11" s="18" customFormat="1" ht="14.25" x14ac:dyDescent="0.2">
      <c r="A1331" s="18" t="str">
        <f t="shared" si="97"/>
        <v>Eintrag 1330</v>
      </c>
      <c r="B1331" s="18">
        <v>100</v>
      </c>
      <c r="C1331" s="19">
        <v>100</v>
      </c>
      <c r="D1331" s="20">
        <v>10</v>
      </c>
      <c r="E1331" s="20">
        <v>10</v>
      </c>
      <c r="F1331" s="20">
        <v>10</v>
      </c>
      <c r="G1331" s="19">
        <f t="shared" si="100"/>
        <v>172</v>
      </c>
      <c r="H1331" s="22">
        <f t="shared" si="101"/>
        <v>1330</v>
      </c>
      <c r="I1331" s="21">
        <f t="shared" ca="1" si="94"/>
        <v>0</v>
      </c>
      <c r="J1331" s="21" t="str">
        <f ca="1">IF(I1331=0,"",COUNTIF($I$2:I1331,"&gt;0"))</f>
        <v/>
      </c>
      <c r="K1331" s="21" t="str">
        <f t="shared" ca="1" si="99"/>
        <v/>
      </c>
    </row>
    <row r="1332" spans="1:11" s="18" customFormat="1" ht="14.25" x14ac:dyDescent="0.2">
      <c r="A1332" s="18" t="str">
        <f t="shared" si="97"/>
        <v>Eintrag 1331</v>
      </c>
      <c r="B1332" s="18">
        <v>100</v>
      </c>
      <c r="C1332" s="19">
        <v>100</v>
      </c>
      <c r="D1332" s="20">
        <v>10</v>
      </c>
      <c r="E1332" s="20">
        <v>10</v>
      </c>
      <c r="F1332" s="20">
        <v>10</v>
      </c>
      <c r="G1332" s="19">
        <f t="shared" si="100"/>
        <v>172</v>
      </c>
      <c r="H1332" s="22">
        <f t="shared" si="101"/>
        <v>1331</v>
      </c>
      <c r="I1332" s="21">
        <f t="shared" ca="1" si="94"/>
        <v>0</v>
      </c>
      <c r="J1332" s="21" t="str">
        <f ca="1">IF(I1332=0,"",COUNTIF($I$2:I1332,"&gt;0"))</f>
        <v/>
      </c>
      <c r="K1332" s="21" t="str">
        <f t="shared" ca="1" si="99"/>
        <v/>
      </c>
    </row>
    <row r="1333" spans="1:11" s="18" customFormat="1" ht="14.25" x14ac:dyDescent="0.2">
      <c r="A1333" s="18" t="str">
        <f t="shared" si="97"/>
        <v>Eintrag 1332</v>
      </c>
      <c r="B1333" s="18">
        <v>100</v>
      </c>
      <c r="C1333" s="19">
        <v>100</v>
      </c>
      <c r="D1333" s="20">
        <v>10</v>
      </c>
      <c r="E1333" s="20">
        <v>10</v>
      </c>
      <c r="F1333" s="20">
        <v>10</v>
      </c>
      <c r="G1333" s="19">
        <f t="shared" si="100"/>
        <v>172</v>
      </c>
      <c r="H1333" s="22">
        <f t="shared" si="101"/>
        <v>1332</v>
      </c>
      <c r="I1333" s="21">
        <f t="shared" ca="1" si="94"/>
        <v>0</v>
      </c>
      <c r="J1333" s="21" t="str">
        <f ca="1">IF(I1333=0,"",COUNTIF($I$2:I1333,"&gt;0"))</f>
        <v/>
      </c>
      <c r="K1333" s="21" t="str">
        <f t="shared" ca="1" si="99"/>
        <v/>
      </c>
    </row>
    <row r="1334" spans="1:11" s="18" customFormat="1" ht="14.25" x14ac:dyDescent="0.2">
      <c r="A1334" s="18" t="str">
        <f t="shared" si="97"/>
        <v>Eintrag 1333</v>
      </c>
      <c r="B1334" s="18">
        <v>100</v>
      </c>
      <c r="C1334" s="19">
        <v>100</v>
      </c>
      <c r="D1334" s="20">
        <v>10</v>
      </c>
      <c r="E1334" s="20">
        <v>10</v>
      </c>
      <c r="F1334" s="20">
        <v>10</v>
      </c>
      <c r="G1334" s="19">
        <f t="shared" si="100"/>
        <v>172</v>
      </c>
      <c r="H1334" s="22">
        <f t="shared" si="101"/>
        <v>1333</v>
      </c>
      <c r="I1334" s="21">
        <f t="shared" ca="1" si="94"/>
        <v>0</v>
      </c>
      <c r="J1334" s="21" t="str">
        <f ca="1">IF(I1334=0,"",COUNTIF($I$2:I1334,"&gt;0"))</f>
        <v/>
      </c>
      <c r="K1334" s="21" t="str">
        <f t="shared" ca="1" si="99"/>
        <v/>
      </c>
    </row>
    <row r="1335" spans="1:11" s="18" customFormat="1" ht="14.25" x14ac:dyDescent="0.2">
      <c r="A1335" s="18" t="str">
        <f t="shared" si="97"/>
        <v>Eintrag 1334</v>
      </c>
      <c r="B1335" s="18">
        <v>100</v>
      </c>
      <c r="C1335" s="19">
        <v>100</v>
      </c>
      <c r="D1335" s="20">
        <v>10</v>
      </c>
      <c r="E1335" s="20">
        <v>10</v>
      </c>
      <c r="F1335" s="20">
        <v>10</v>
      </c>
      <c r="G1335" s="19">
        <f t="shared" si="100"/>
        <v>172</v>
      </c>
      <c r="H1335" s="22">
        <f t="shared" si="101"/>
        <v>1334</v>
      </c>
      <c r="I1335" s="21">
        <f t="shared" ca="1" si="94"/>
        <v>0</v>
      </c>
      <c r="J1335" s="21" t="str">
        <f ca="1">IF(I1335=0,"",COUNTIF($I$2:I1335,"&gt;0"))</f>
        <v/>
      </c>
      <c r="K1335" s="21" t="str">
        <f t="shared" ca="1" si="99"/>
        <v/>
      </c>
    </row>
    <row r="1336" spans="1:11" s="18" customFormat="1" ht="14.25" x14ac:dyDescent="0.2">
      <c r="A1336" s="18" t="str">
        <f t="shared" si="97"/>
        <v>Eintrag 1335</v>
      </c>
      <c r="B1336" s="18">
        <v>100</v>
      </c>
      <c r="C1336" s="19">
        <v>100</v>
      </c>
      <c r="D1336" s="20">
        <v>10</v>
      </c>
      <c r="E1336" s="20">
        <v>10</v>
      </c>
      <c r="F1336" s="20">
        <v>10</v>
      </c>
      <c r="G1336" s="19">
        <f t="shared" si="100"/>
        <v>172</v>
      </c>
      <c r="H1336" s="22">
        <f t="shared" si="101"/>
        <v>1335</v>
      </c>
      <c r="I1336" s="21">
        <f t="shared" ca="1" si="94"/>
        <v>0</v>
      </c>
      <c r="J1336" s="21" t="str">
        <f ca="1">IF(I1336=0,"",COUNTIF($I$2:I1336,"&gt;0"))</f>
        <v/>
      </c>
      <c r="K1336" s="21" t="str">
        <f t="shared" ca="1" si="99"/>
        <v/>
      </c>
    </row>
    <row r="1337" spans="1:11" s="18" customFormat="1" ht="14.25" x14ac:dyDescent="0.2">
      <c r="A1337" s="18" t="str">
        <f t="shared" si="97"/>
        <v>Eintrag 1336</v>
      </c>
      <c r="B1337" s="18">
        <v>100</v>
      </c>
      <c r="C1337" s="19">
        <v>100</v>
      </c>
      <c r="D1337" s="20">
        <v>10</v>
      </c>
      <c r="E1337" s="20">
        <v>10</v>
      </c>
      <c r="F1337" s="20">
        <v>10</v>
      </c>
      <c r="G1337" s="19">
        <f t="shared" si="100"/>
        <v>172</v>
      </c>
      <c r="H1337" s="22">
        <f t="shared" si="101"/>
        <v>1336</v>
      </c>
      <c r="I1337" s="21">
        <f t="shared" ca="1" si="94"/>
        <v>0</v>
      </c>
      <c r="J1337" s="21" t="str">
        <f ca="1">IF(I1337=0,"",COUNTIF($I$2:I1337,"&gt;0"))</f>
        <v/>
      </c>
      <c r="K1337" s="21" t="str">
        <f t="shared" ca="1" si="99"/>
        <v/>
      </c>
    </row>
    <row r="1338" spans="1:11" s="18" customFormat="1" ht="14.25" x14ac:dyDescent="0.2">
      <c r="A1338" s="18" t="str">
        <f t="shared" si="97"/>
        <v>Eintrag 1337</v>
      </c>
      <c r="B1338" s="18">
        <v>100</v>
      </c>
      <c r="C1338" s="19">
        <v>100</v>
      </c>
      <c r="D1338" s="20">
        <v>10</v>
      </c>
      <c r="E1338" s="20">
        <v>10</v>
      </c>
      <c r="F1338" s="20">
        <v>10</v>
      </c>
      <c r="G1338" s="19">
        <f t="shared" si="100"/>
        <v>172</v>
      </c>
      <c r="H1338" s="22">
        <f t="shared" si="101"/>
        <v>1337</v>
      </c>
      <c r="I1338" s="21">
        <f t="shared" ca="1" si="94"/>
        <v>0</v>
      </c>
      <c r="J1338" s="21" t="str">
        <f ca="1">IF(I1338=0,"",COUNTIF($I$2:I1338,"&gt;0"))</f>
        <v/>
      </c>
      <c r="K1338" s="21" t="str">
        <f t="shared" ca="1" si="99"/>
        <v/>
      </c>
    </row>
    <row r="1339" spans="1:11" s="18" customFormat="1" ht="14.25" x14ac:dyDescent="0.2">
      <c r="A1339" s="18" t="str">
        <f t="shared" si="97"/>
        <v>Eintrag 1338</v>
      </c>
      <c r="B1339" s="18">
        <v>100</v>
      </c>
      <c r="C1339" s="19">
        <v>100</v>
      </c>
      <c r="D1339" s="20">
        <v>10</v>
      </c>
      <c r="E1339" s="20">
        <v>10</v>
      </c>
      <c r="F1339" s="20">
        <v>10</v>
      </c>
      <c r="G1339" s="19">
        <f t="shared" si="100"/>
        <v>172</v>
      </c>
      <c r="H1339" s="22">
        <f t="shared" si="101"/>
        <v>1338</v>
      </c>
      <c r="I1339" s="21">
        <f t="shared" ca="1" si="94"/>
        <v>0</v>
      </c>
      <c r="J1339" s="21" t="str">
        <f ca="1">IF(I1339=0,"",COUNTIF($I$2:I1339,"&gt;0"))</f>
        <v/>
      </c>
      <c r="K1339" s="21" t="str">
        <f t="shared" ca="1" si="99"/>
        <v/>
      </c>
    </row>
    <row r="1340" spans="1:11" s="18" customFormat="1" ht="14.25" x14ac:dyDescent="0.2">
      <c r="A1340" s="18" t="str">
        <f t="shared" si="97"/>
        <v>Eintrag 1339</v>
      </c>
      <c r="B1340" s="18">
        <v>100</v>
      </c>
      <c r="C1340" s="19">
        <v>100</v>
      </c>
      <c r="D1340" s="20">
        <v>10</v>
      </c>
      <c r="E1340" s="20">
        <v>10</v>
      </c>
      <c r="F1340" s="20">
        <v>10</v>
      </c>
      <c r="G1340" s="19">
        <f t="shared" si="100"/>
        <v>172</v>
      </c>
      <c r="H1340" s="22">
        <f t="shared" si="101"/>
        <v>1339</v>
      </c>
      <c r="I1340" s="21">
        <f t="shared" ca="1" si="94"/>
        <v>0</v>
      </c>
      <c r="J1340" s="21" t="str">
        <f ca="1">IF(I1340=0,"",COUNTIF($I$2:I1340,"&gt;0"))</f>
        <v/>
      </c>
      <c r="K1340" s="21" t="str">
        <f t="shared" ca="1" si="99"/>
        <v/>
      </c>
    </row>
    <row r="1341" spans="1:11" s="18" customFormat="1" ht="14.25" x14ac:dyDescent="0.2">
      <c r="A1341" s="18" t="str">
        <f t="shared" si="97"/>
        <v>Eintrag 1340</v>
      </c>
      <c r="B1341" s="18">
        <v>100</v>
      </c>
      <c r="C1341" s="19">
        <v>100</v>
      </c>
      <c r="D1341" s="20">
        <v>10</v>
      </c>
      <c r="E1341" s="20">
        <v>10</v>
      </c>
      <c r="F1341" s="20">
        <v>10</v>
      </c>
      <c r="G1341" s="19">
        <f t="shared" si="100"/>
        <v>172</v>
      </c>
      <c r="H1341" s="22">
        <f t="shared" si="101"/>
        <v>1340</v>
      </c>
      <c r="I1341" s="21">
        <f t="shared" ca="1" si="94"/>
        <v>0</v>
      </c>
      <c r="J1341" s="21" t="str">
        <f ca="1">IF(I1341=0,"",COUNTIF($I$2:I1341,"&gt;0"))</f>
        <v/>
      </c>
      <c r="K1341" s="21" t="str">
        <f t="shared" ca="1" si="99"/>
        <v/>
      </c>
    </row>
    <row r="1342" spans="1:11" s="18" customFormat="1" ht="14.25" x14ac:dyDescent="0.2">
      <c r="A1342" s="18" t="str">
        <f t="shared" si="97"/>
        <v>Eintrag 1341</v>
      </c>
      <c r="B1342" s="18">
        <v>100</v>
      </c>
      <c r="C1342" s="19">
        <v>100</v>
      </c>
      <c r="D1342" s="20">
        <v>10</v>
      </c>
      <c r="E1342" s="20">
        <v>10</v>
      </c>
      <c r="F1342" s="20">
        <v>10</v>
      </c>
      <c r="G1342" s="19">
        <f t="shared" si="100"/>
        <v>172</v>
      </c>
      <c r="H1342" s="22">
        <f t="shared" si="101"/>
        <v>1341</v>
      </c>
      <c r="I1342" s="21">
        <f t="shared" ca="1" si="94"/>
        <v>0</v>
      </c>
      <c r="J1342" s="21" t="str">
        <f ca="1">IF(I1342=0,"",COUNTIF($I$2:I1342,"&gt;0"))</f>
        <v/>
      </c>
      <c r="K1342" s="21" t="str">
        <f t="shared" ca="1" si="99"/>
        <v/>
      </c>
    </row>
    <row r="1343" spans="1:11" s="18" customFormat="1" ht="14.25" x14ac:dyDescent="0.2">
      <c r="A1343" s="18" t="str">
        <f t="shared" si="97"/>
        <v>Eintrag 1342</v>
      </c>
      <c r="B1343" s="18">
        <v>100</v>
      </c>
      <c r="C1343" s="19">
        <v>100</v>
      </c>
      <c r="D1343" s="20">
        <v>10</v>
      </c>
      <c r="E1343" s="20">
        <v>10</v>
      </c>
      <c r="F1343" s="20">
        <v>10</v>
      </c>
      <c r="G1343" s="19">
        <f t="shared" si="100"/>
        <v>172</v>
      </c>
      <c r="H1343" s="22">
        <f t="shared" si="101"/>
        <v>1342</v>
      </c>
      <c r="I1343" s="21">
        <f t="shared" ca="1" si="94"/>
        <v>0</v>
      </c>
      <c r="J1343" s="21" t="str">
        <f ca="1">IF(I1343=0,"",COUNTIF($I$2:I1343,"&gt;0"))</f>
        <v/>
      </c>
      <c r="K1343" s="21" t="str">
        <f t="shared" ca="1" si="99"/>
        <v/>
      </c>
    </row>
    <row r="1344" spans="1:11" s="18" customFormat="1" ht="14.25" x14ac:dyDescent="0.2">
      <c r="A1344" s="18" t="str">
        <f t="shared" si="97"/>
        <v>Eintrag 1343</v>
      </c>
      <c r="B1344" s="18">
        <v>100</v>
      </c>
      <c r="C1344" s="19">
        <v>100</v>
      </c>
      <c r="D1344" s="20">
        <v>10</v>
      </c>
      <c r="E1344" s="20">
        <v>10</v>
      </c>
      <c r="F1344" s="20">
        <v>10</v>
      </c>
      <c r="G1344" s="19">
        <f t="shared" si="100"/>
        <v>172</v>
      </c>
      <c r="H1344" s="22">
        <f t="shared" si="101"/>
        <v>1343</v>
      </c>
      <c r="I1344" s="21">
        <f t="shared" ca="1" si="94"/>
        <v>0</v>
      </c>
      <c r="J1344" s="21" t="str">
        <f ca="1">IF(I1344=0,"",COUNTIF($I$2:I1344,"&gt;0"))</f>
        <v/>
      </c>
      <c r="K1344" s="21" t="str">
        <f t="shared" ca="1" si="99"/>
        <v/>
      </c>
    </row>
    <row r="1345" spans="1:11" s="18" customFormat="1" ht="14.25" x14ac:dyDescent="0.2">
      <c r="A1345" s="18" t="str">
        <f t="shared" si="97"/>
        <v>Eintrag 1344</v>
      </c>
      <c r="B1345" s="18">
        <v>100</v>
      </c>
      <c r="C1345" s="19">
        <v>100</v>
      </c>
      <c r="D1345" s="20">
        <v>10</v>
      </c>
      <c r="E1345" s="20">
        <v>10</v>
      </c>
      <c r="F1345" s="20">
        <v>10</v>
      </c>
      <c r="G1345" s="19">
        <f t="shared" si="100"/>
        <v>172</v>
      </c>
      <c r="H1345" s="22">
        <f t="shared" si="101"/>
        <v>1344</v>
      </c>
      <c r="I1345" s="21">
        <f t="shared" ca="1" si="94"/>
        <v>0</v>
      </c>
      <c r="J1345" s="21" t="str">
        <f ca="1">IF(I1345=0,"",COUNTIF($I$2:I1345,"&gt;0"))</f>
        <v/>
      </c>
      <c r="K1345" s="21" t="str">
        <f t="shared" ca="1" si="99"/>
        <v/>
      </c>
    </row>
    <row r="1346" spans="1:11" s="18" customFormat="1" ht="14.25" x14ac:dyDescent="0.2">
      <c r="A1346" s="18" t="str">
        <f t="shared" si="97"/>
        <v>Eintrag 1345</v>
      </c>
      <c r="B1346" s="18">
        <v>100</v>
      </c>
      <c r="C1346" s="19">
        <v>100</v>
      </c>
      <c r="D1346" s="20">
        <v>10</v>
      </c>
      <c r="E1346" s="20">
        <v>10</v>
      </c>
      <c r="F1346" s="20">
        <v>10</v>
      </c>
      <c r="G1346" s="19">
        <f t="shared" si="100"/>
        <v>172</v>
      </c>
      <c r="H1346" s="22">
        <f t="shared" si="101"/>
        <v>1345</v>
      </c>
      <c r="I1346" s="21">
        <f t="shared" ca="1" si="94"/>
        <v>0</v>
      </c>
      <c r="J1346" s="21" t="str">
        <f ca="1">IF(I1346=0,"",COUNTIF($I$2:I1346,"&gt;0"))</f>
        <v/>
      </c>
      <c r="K1346" s="21" t="str">
        <f t="shared" ref="K1346:K1409" ca="1" si="102">IFERROR(INDEX(A:A,MATCH(ROW(I1345),J:J,0)),"")</f>
        <v/>
      </c>
    </row>
    <row r="1347" spans="1:11" s="18" customFormat="1" ht="14.25" x14ac:dyDescent="0.2">
      <c r="A1347" s="18" t="str">
        <f t="shared" si="97"/>
        <v>Eintrag 1346</v>
      </c>
      <c r="B1347" s="18">
        <v>100</v>
      </c>
      <c r="C1347" s="19">
        <v>100</v>
      </c>
      <c r="D1347" s="20">
        <v>10</v>
      </c>
      <c r="E1347" s="20">
        <v>10</v>
      </c>
      <c r="F1347" s="20">
        <v>10</v>
      </c>
      <c r="G1347" s="19">
        <f t="shared" ref="G1347:G1410" si="103">D1347*9+E1347*4.1+F1347*4.1</f>
        <v>172</v>
      </c>
      <c r="H1347" s="22">
        <f t="shared" si="101"/>
        <v>1346</v>
      </c>
      <c r="I1347" s="21">
        <f t="shared" ca="1" si="94"/>
        <v>0</v>
      </c>
      <c r="J1347" s="21" t="str">
        <f ca="1">IF(I1347=0,"",COUNTIF($I$2:I1347,"&gt;0"))</f>
        <v/>
      </c>
      <c r="K1347" s="21" t="str">
        <f t="shared" ca="1" si="102"/>
        <v/>
      </c>
    </row>
    <row r="1348" spans="1:11" s="18" customFormat="1" ht="14.25" x14ac:dyDescent="0.2">
      <c r="A1348" s="18" t="str">
        <f t="shared" si="97"/>
        <v>Eintrag 1347</v>
      </c>
      <c r="B1348" s="18">
        <v>100</v>
      </c>
      <c r="C1348" s="19">
        <v>100</v>
      </c>
      <c r="D1348" s="20">
        <v>10</v>
      </c>
      <c r="E1348" s="20">
        <v>10</v>
      </c>
      <c r="F1348" s="20">
        <v>10</v>
      </c>
      <c r="G1348" s="19">
        <f t="shared" si="103"/>
        <v>172</v>
      </c>
      <c r="H1348" s="22">
        <f t="shared" si="101"/>
        <v>1347</v>
      </c>
      <c r="I1348" s="21">
        <f t="shared" ca="1" si="94"/>
        <v>0</v>
      </c>
      <c r="J1348" s="21" t="str">
        <f ca="1">IF(I1348=0,"",COUNTIF($I$2:I1348,"&gt;0"))</f>
        <v/>
      </c>
      <c r="K1348" s="21" t="str">
        <f t="shared" ca="1" si="102"/>
        <v/>
      </c>
    </row>
    <row r="1349" spans="1:11" s="18" customFormat="1" ht="14.25" x14ac:dyDescent="0.2">
      <c r="A1349" s="18" t="str">
        <f t="shared" si="97"/>
        <v>Eintrag 1348</v>
      </c>
      <c r="B1349" s="18">
        <v>100</v>
      </c>
      <c r="C1349" s="19">
        <v>100</v>
      </c>
      <c r="D1349" s="20">
        <v>10</v>
      </c>
      <c r="E1349" s="20">
        <v>10</v>
      </c>
      <c r="F1349" s="20">
        <v>10</v>
      </c>
      <c r="G1349" s="19">
        <f t="shared" si="103"/>
        <v>172</v>
      </c>
      <c r="H1349" s="22">
        <f t="shared" si="101"/>
        <v>1348</v>
      </c>
      <c r="I1349" s="21">
        <f t="shared" ca="1" si="94"/>
        <v>0</v>
      </c>
      <c r="J1349" s="21" t="str">
        <f ca="1">IF(I1349=0,"",COUNTIF($I$2:I1349,"&gt;0"))</f>
        <v/>
      </c>
      <c r="K1349" s="21" t="str">
        <f t="shared" ca="1" si="102"/>
        <v/>
      </c>
    </row>
    <row r="1350" spans="1:11" s="18" customFormat="1" ht="14.25" x14ac:dyDescent="0.2">
      <c r="A1350" s="18" t="str">
        <f t="shared" si="97"/>
        <v>Eintrag 1349</v>
      </c>
      <c r="B1350" s="18">
        <v>100</v>
      </c>
      <c r="C1350" s="19">
        <v>100</v>
      </c>
      <c r="D1350" s="20">
        <v>10</v>
      </c>
      <c r="E1350" s="20">
        <v>10</v>
      </c>
      <c r="F1350" s="20">
        <v>10</v>
      </c>
      <c r="G1350" s="19">
        <f t="shared" si="103"/>
        <v>172</v>
      </c>
      <c r="H1350" s="22">
        <f t="shared" si="101"/>
        <v>1349</v>
      </c>
      <c r="I1350" s="21">
        <f t="shared" ca="1" si="94"/>
        <v>0</v>
      </c>
      <c r="J1350" s="21" t="str">
        <f ca="1">IF(I1350=0,"",COUNTIF($I$2:I1350,"&gt;0"))</f>
        <v/>
      </c>
      <c r="K1350" s="21" t="str">
        <f t="shared" ca="1" si="102"/>
        <v/>
      </c>
    </row>
    <row r="1351" spans="1:11" s="18" customFormat="1" ht="14.25" x14ac:dyDescent="0.2">
      <c r="A1351" s="18" t="str">
        <f t="shared" si="97"/>
        <v>Eintrag 1350</v>
      </c>
      <c r="B1351" s="18">
        <v>100</v>
      </c>
      <c r="C1351" s="19">
        <v>100</v>
      </c>
      <c r="D1351" s="20">
        <v>10</v>
      </c>
      <c r="E1351" s="20">
        <v>10</v>
      </c>
      <c r="F1351" s="20">
        <v>10</v>
      </c>
      <c r="G1351" s="19">
        <f t="shared" si="103"/>
        <v>172</v>
      </c>
      <c r="H1351" s="22">
        <f t="shared" si="101"/>
        <v>1350</v>
      </c>
      <c r="I1351" s="21">
        <f t="shared" ca="1" si="94"/>
        <v>0</v>
      </c>
      <c r="J1351" s="21" t="str">
        <f ca="1">IF(I1351=0,"",COUNTIF($I$2:I1351,"&gt;0"))</f>
        <v/>
      </c>
      <c r="K1351" s="21" t="str">
        <f t="shared" ca="1" si="102"/>
        <v/>
      </c>
    </row>
    <row r="1352" spans="1:11" s="18" customFormat="1" ht="14.25" x14ac:dyDescent="0.2">
      <c r="A1352" s="18" t="str">
        <f t="shared" si="97"/>
        <v>Eintrag 1351</v>
      </c>
      <c r="B1352" s="18">
        <v>100</v>
      </c>
      <c r="C1352" s="19">
        <v>100</v>
      </c>
      <c r="D1352" s="20">
        <v>10</v>
      </c>
      <c r="E1352" s="20">
        <v>10</v>
      </c>
      <c r="F1352" s="20">
        <v>10</v>
      </c>
      <c r="G1352" s="19">
        <f t="shared" si="103"/>
        <v>172</v>
      </c>
      <c r="H1352" s="22">
        <f t="shared" si="101"/>
        <v>1351</v>
      </c>
      <c r="I1352" s="21">
        <f t="shared" ca="1" si="94"/>
        <v>0</v>
      </c>
      <c r="J1352" s="21" t="str">
        <f ca="1">IF(I1352=0,"",COUNTIF($I$2:I1352,"&gt;0"))</f>
        <v/>
      </c>
      <c r="K1352" s="21" t="str">
        <f t="shared" ca="1" si="102"/>
        <v/>
      </c>
    </row>
    <row r="1353" spans="1:11" s="18" customFormat="1" ht="14.25" x14ac:dyDescent="0.2">
      <c r="A1353" s="18" t="str">
        <f t="shared" si="97"/>
        <v>Eintrag 1352</v>
      </c>
      <c r="B1353" s="18">
        <v>100</v>
      </c>
      <c r="C1353" s="19">
        <v>100</v>
      </c>
      <c r="D1353" s="20">
        <v>10</v>
      </c>
      <c r="E1353" s="20">
        <v>10</v>
      </c>
      <c r="F1353" s="20">
        <v>10</v>
      </c>
      <c r="G1353" s="19">
        <f t="shared" si="103"/>
        <v>172</v>
      </c>
      <c r="H1353" s="22">
        <f t="shared" si="101"/>
        <v>1352</v>
      </c>
      <c r="I1353" s="21">
        <f t="shared" ca="1" si="94"/>
        <v>0</v>
      </c>
      <c r="J1353" s="21" t="str">
        <f ca="1">IF(I1353=0,"",COUNTIF($I$2:I1353,"&gt;0"))</f>
        <v/>
      </c>
      <c r="K1353" s="21" t="str">
        <f t="shared" ca="1" si="102"/>
        <v/>
      </c>
    </row>
    <row r="1354" spans="1:11" s="18" customFormat="1" ht="14.25" x14ac:dyDescent="0.2">
      <c r="A1354" s="18" t="str">
        <f t="shared" si="97"/>
        <v>Eintrag 1353</v>
      </c>
      <c r="B1354" s="18">
        <v>100</v>
      </c>
      <c r="C1354" s="19">
        <v>100</v>
      </c>
      <c r="D1354" s="20">
        <v>10</v>
      </c>
      <c r="E1354" s="20">
        <v>10</v>
      </c>
      <c r="F1354" s="20">
        <v>10</v>
      </c>
      <c r="G1354" s="19">
        <f t="shared" si="103"/>
        <v>172</v>
      </c>
      <c r="H1354" s="22">
        <f t="shared" si="101"/>
        <v>1353</v>
      </c>
      <c r="I1354" s="21">
        <f t="shared" ca="1" si="94"/>
        <v>0</v>
      </c>
      <c r="J1354" s="21" t="str">
        <f ca="1">IF(I1354=0,"",COUNTIF($I$2:I1354,"&gt;0"))</f>
        <v/>
      </c>
      <c r="K1354" s="21" t="str">
        <f t="shared" ca="1" si="102"/>
        <v/>
      </c>
    </row>
    <row r="1355" spans="1:11" s="18" customFormat="1" ht="14.25" x14ac:dyDescent="0.2">
      <c r="A1355" s="18" t="str">
        <f t="shared" si="97"/>
        <v>Eintrag 1354</v>
      </c>
      <c r="B1355" s="18">
        <v>100</v>
      </c>
      <c r="C1355" s="19">
        <v>100</v>
      </c>
      <c r="D1355" s="20">
        <v>10</v>
      </c>
      <c r="E1355" s="20">
        <v>10</v>
      </c>
      <c r="F1355" s="20">
        <v>10</v>
      </c>
      <c r="G1355" s="19">
        <f t="shared" si="103"/>
        <v>172</v>
      </c>
      <c r="H1355" s="22">
        <f t="shared" si="101"/>
        <v>1354</v>
      </c>
      <c r="I1355" s="21">
        <f t="shared" ca="1" si="94"/>
        <v>0</v>
      </c>
      <c r="J1355" s="21" t="str">
        <f ca="1">IF(I1355=0,"",COUNTIF($I$2:I1355,"&gt;0"))</f>
        <v/>
      </c>
      <c r="K1355" s="21" t="str">
        <f t="shared" ca="1" si="102"/>
        <v/>
      </c>
    </row>
    <row r="1356" spans="1:11" s="18" customFormat="1" ht="14.25" x14ac:dyDescent="0.2">
      <c r="A1356" s="18" t="str">
        <f t="shared" si="97"/>
        <v>Eintrag 1355</v>
      </c>
      <c r="B1356" s="18">
        <v>100</v>
      </c>
      <c r="C1356" s="19">
        <v>100</v>
      </c>
      <c r="D1356" s="20">
        <v>10</v>
      </c>
      <c r="E1356" s="20">
        <v>10</v>
      </c>
      <c r="F1356" s="20">
        <v>10</v>
      </c>
      <c r="G1356" s="19">
        <f t="shared" si="103"/>
        <v>172</v>
      </c>
      <c r="H1356" s="22">
        <f t="shared" si="101"/>
        <v>1355</v>
      </c>
      <c r="I1356" s="21">
        <f t="shared" ca="1" si="94"/>
        <v>0</v>
      </c>
      <c r="J1356" s="21" t="str">
        <f ca="1">IF(I1356=0,"",COUNTIF($I$2:I1356,"&gt;0"))</f>
        <v/>
      </c>
      <c r="K1356" s="21" t="str">
        <f t="shared" ca="1" si="102"/>
        <v/>
      </c>
    </row>
    <row r="1357" spans="1:11" s="18" customFormat="1" ht="14.25" x14ac:dyDescent="0.2">
      <c r="A1357" s="18" t="str">
        <f t="shared" si="97"/>
        <v>Eintrag 1356</v>
      </c>
      <c r="B1357" s="18">
        <v>100</v>
      </c>
      <c r="C1357" s="19">
        <v>100</v>
      </c>
      <c r="D1357" s="20">
        <v>10</v>
      </c>
      <c r="E1357" s="20">
        <v>10</v>
      </c>
      <c r="F1357" s="20">
        <v>10</v>
      </c>
      <c r="G1357" s="19">
        <f t="shared" si="103"/>
        <v>172</v>
      </c>
      <c r="H1357" s="22">
        <f t="shared" si="101"/>
        <v>1356</v>
      </c>
      <c r="I1357" s="21">
        <f t="shared" ca="1" si="94"/>
        <v>0</v>
      </c>
      <c r="J1357" s="21" t="str">
        <f ca="1">IF(I1357=0,"",COUNTIF($I$2:I1357,"&gt;0"))</f>
        <v/>
      </c>
      <c r="K1357" s="21" t="str">
        <f t="shared" ca="1" si="102"/>
        <v/>
      </c>
    </row>
    <row r="1358" spans="1:11" s="18" customFormat="1" ht="14.25" x14ac:dyDescent="0.2">
      <c r="A1358" s="18" t="str">
        <f t="shared" si="97"/>
        <v>Eintrag 1357</v>
      </c>
      <c r="B1358" s="18">
        <v>100</v>
      </c>
      <c r="C1358" s="19">
        <v>100</v>
      </c>
      <c r="D1358" s="20">
        <v>10</v>
      </c>
      <c r="E1358" s="20">
        <v>10</v>
      </c>
      <c r="F1358" s="20">
        <v>10</v>
      </c>
      <c r="G1358" s="19">
        <f t="shared" si="103"/>
        <v>172</v>
      </c>
      <c r="H1358" s="22">
        <f t="shared" si="101"/>
        <v>1357</v>
      </c>
      <c r="I1358" s="21">
        <f t="shared" ca="1" si="94"/>
        <v>0</v>
      </c>
      <c r="J1358" s="21" t="str">
        <f ca="1">IF(I1358=0,"",COUNTIF($I$2:I1358,"&gt;0"))</f>
        <v/>
      </c>
      <c r="K1358" s="21" t="str">
        <f t="shared" ca="1" si="102"/>
        <v/>
      </c>
    </row>
    <row r="1359" spans="1:11" s="18" customFormat="1" ht="14.25" x14ac:dyDescent="0.2">
      <c r="A1359" s="18" t="str">
        <f t="shared" si="97"/>
        <v>Eintrag 1358</v>
      </c>
      <c r="B1359" s="18">
        <v>100</v>
      </c>
      <c r="C1359" s="19">
        <v>100</v>
      </c>
      <c r="D1359" s="20">
        <v>10</v>
      </c>
      <c r="E1359" s="20">
        <v>10</v>
      </c>
      <c r="F1359" s="20">
        <v>10</v>
      </c>
      <c r="G1359" s="19">
        <f t="shared" si="103"/>
        <v>172</v>
      </c>
      <c r="H1359" s="22">
        <f t="shared" si="101"/>
        <v>1358</v>
      </c>
      <c r="I1359" s="21">
        <f t="shared" ca="1" si="94"/>
        <v>0</v>
      </c>
      <c r="J1359" s="21" t="str">
        <f ca="1">IF(I1359=0,"",COUNTIF($I$2:I1359,"&gt;0"))</f>
        <v/>
      </c>
      <c r="K1359" s="21" t="str">
        <f t="shared" ca="1" si="102"/>
        <v/>
      </c>
    </row>
    <row r="1360" spans="1:11" s="18" customFormat="1" ht="14.25" x14ac:dyDescent="0.2">
      <c r="A1360" s="18" t="str">
        <f t="shared" si="97"/>
        <v>Eintrag 1359</v>
      </c>
      <c r="B1360" s="18">
        <v>100</v>
      </c>
      <c r="C1360" s="19">
        <v>100</v>
      </c>
      <c r="D1360" s="20">
        <v>10</v>
      </c>
      <c r="E1360" s="20">
        <v>10</v>
      </c>
      <c r="F1360" s="20">
        <v>10</v>
      </c>
      <c r="G1360" s="19">
        <f t="shared" si="103"/>
        <v>172</v>
      </c>
      <c r="H1360" s="22">
        <f t="shared" si="101"/>
        <v>1359</v>
      </c>
      <c r="I1360" s="21">
        <f t="shared" ca="1" si="94"/>
        <v>0</v>
      </c>
      <c r="J1360" s="21" t="str">
        <f ca="1">IF(I1360=0,"",COUNTIF($I$2:I1360,"&gt;0"))</f>
        <v/>
      </c>
      <c r="K1360" s="21" t="str">
        <f t="shared" ca="1" si="102"/>
        <v/>
      </c>
    </row>
    <row r="1361" spans="1:11" s="18" customFormat="1" ht="14.25" x14ac:dyDescent="0.2">
      <c r="A1361" s="18" t="str">
        <f t="shared" si="97"/>
        <v>Eintrag 1360</v>
      </c>
      <c r="B1361" s="18">
        <v>100</v>
      </c>
      <c r="C1361" s="19">
        <v>100</v>
      </c>
      <c r="D1361" s="20">
        <v>10</v>
      </c>
      <c r="E1361" s="20">
        <v>10</v>
      </c>
      <c r="F1361" s="20">
        <v>10</v>
      </c>
      <c r="G1361" s="19">
        <f t="shared" si="103"/>
        <v>172</v>
      </c>
      <c r="H1361" s="22">
        <f t="shared" si="101"/>
        <v>1360</v>
      </c>
      <c r="I1361" s="21">
        <f t="shared" ca="1" si="94"/>
        <v>0</v>
      </c>
      <c r="J1361" s="21" t="str">
        <f ca="1">IF(I1361=0,"",COUNTIF($I$2:I1361,"&gt;0"))</f>
        <v/>
      </c>
      <c r="K1361" s="21" t="str">
        <f t="shared" ca="1" si="102"/>
        <v/>
      </c>
    </row>
    <row r="1362" spans="1:11" s="18" customFormat="1" ht="14.25" x14ac:dyDescent="0.2">
      <c r="A1362" s="18" t="str">
        <f t="shared" si="97"/>
        <v>Eintrag 1361</v>
      </c>
      <c r="B1362" s="18">
        <v>100</v>
      </c>
      <c r="C1362" s="19">
        <v>100</v>
      </c>
      <c r="D1362" s="20">
        <v>10</v>
      </c>
      <c r="E1362" s="20">
        <v>10</v>
      </c>
      <c r="F1362" s="20">
        <v>10</v>
      </c>
      <c r="G1362" s="19">
        <f t="shared" si="103"/>
        <v>172</v>
      </c>
      <c r="H1362" s="22">
        <f t="shared" si="101"/>
        <v>1361</v>
      </c>
      <c r="I1362" s="21">
        <f t="shared" ca="1" si="94"/>
        <v>0</v>
      </c>
      <c r="J1362" s="21" t="str">
        <f ca="1">IF(I1362=0,"",COUNTIF($I$2:I1362,"&gt;0"))</f>
        <v/>
      </c>
      <c r="K1362" s="21" t="str">
        <f t="shared" ca="1" si="102"/>
        <v/>
      </c>
    </row>
    <row r="1363" spans="1:11" s="18" customFormat="1" ht="14.25" x14ac:dyDescent="0.2">
      <c r="A1363" s="18" t="str">
        <f t="shared" si="97"/>
        <v>Eintrag 1362</v>
      </c>
      <c r="B1363" s="18">
        <v>100</v>
      </c>
      <c r="C1363" s="19">
        <v>100</v>
      </c>
      <c r="D1363" s="20">
        <v>10</v>
      </c>
      <c r="E1363" s="20">
        <v>10</v>
      </c>
      <c r="F1363" s="20">
        <v>10</v>
      </c>
      <c r="G1363" s="19">
        <f t="shared" si="103"/>
        <v>172</v>
      </c>
      <c r="H1363" s="22">
        <f t="shared" si="101"/>
        <v>1362</v>
      </c>
      <c r="I1363" s="21">
        <f t="shared" ca="1" si="94"/>
        <v>0</v>
      </c>
      <c r="J1363" s="21" t="str">
        <f ca="1">IF(I1363=0,"",COUNTIF($I$2:I1363,"&gt;0"))</f>
        <v/>
      </c>
      <c r="K1363" s="21" t="str">
        <f t="shared" ca="1" si="102"/>
        <v/>
      </c>
    </row>
    <row r="1364" spans="1:11" s="18" customFormat="1" ht="14.25" x14ac:dyDescent="0.2">
      <c r="A1364" s="18" t="str">
        <f t="shared" si="97"/>
        <v>Eintrag 1363</v>
      </c>
      <c r="B1364" s="18">
        <v>100</v>
      </c>
      <c r="C1364" s="19">
        <v>100</v>
      </c>
      <c r="D1364" s="20">
        <v>10</v>
      </c>
      <c r="E1364" s="20">
        <v>10</v>
      </c>
      <c r="F1364" s="20">
        <v>10</v>
      </c>
      <c r="G1364" s="19">
        <f t="shared" si="103"/>
        <v>172</v>
      </c>
      <c r="H1364" s="22">
        <f t="shared" si="101"/>
        <v>1363</v>
      </c>
      <c r="I1364" s="21">
        <f t="shared" ca="1" si="94"/>
        <v>0</v>
      </c>
      <c r="J1364" s="21" t="str">
        <f ca="1">IF(I1364=0,"",COUNTIF($I$2:I1364,"&gt;0"))</f>
        <v/>
      </c>
      <c r="K1364" s="21" t="str">
        <f t="shared" ca="1" si="102"/>
        <v/>
      </c>
    </row>
    <row r="1365" spans="1:11" s="18" customFormat="1" ht="14.25" x14ac:dyDescent="0.2">
      <c r="A1365" s="18" t="str">
        <f t="shared" si="97"/>
        <v>Eintrag 1364</v>
      </c>
      <c r="B1365" s="18">
        <v>100</v>
      </c>
      <c r="C1365" s="19">
        <v>100</v>
      </c>
      <c r="D1365" s="20">
        <v>10</v>
      </c>
      <c r="E1365" s="20">
        <v>10</v>
      </c>
      <c r="F1365" s="20">
        <v>10</v>
      </c>
      <c r="G1365" s="19">
        <f t="shared" si="103"/>
        <v>172</v>
      </c>
      <c r="H1365" s="22">
        <f t="shared" si="101"/>
        <v>1364</v>
      </c>
      <c r="I1365" s="21">
        <f t="shared" ca="1" si="94"/>
        <v>0</v>
      </c>
      <c r="J1365" s="21" t="str">
        <f ca="1">IF(I1365=0,"",COUNTIF($I$2:I1365,"&gt;0"))</f>
        <v/>
      </c>
      <c r="K1365" s="21" t="str">
        <f t="shared" ca="1" si="102"/>
        <v/>
      </c>
    </row>
    <row r="1366" spans="1:11" s="18" customFormat="1" ht="14.25" x14ac:dyDescent="0.2">
      <c r="A1366" s="18" t="str">
        <f t="shared" si="97"/>
        <v>Eintrag 1365</v>
      </c>
      <c r="B1366" s="18">
        <v>100</v>
      </c>
      <c r="C1366" s="19">
        <v>100</v>
      </c>
      <c r="D1366" s="20">
        <v>10</v>
      </c>
      <c r="E1366" s="20">
        <v>10</v>
      </c>
      <c r="F1366" s="20">
        <v>10</v>
      </c>
      <c r="G1366" s="19">
        <f t="shared" si="103"/>
        <v>172</v>
      </c>
      <c r="H1366" s="22">
        <f t="shared" si="101"/>
        <v>1365</v>
      </c>
      <c r="I1366" s="21">
        <f t="shared" ca="1" si="94"/>
        <v>0</v>
      </c>
      <c r="J1366" s="21" t="str">
        <f ca="1">IF(I1366=0,"",COUNTIF($I$2:I1366,"&gt;0"))</f>
        <v/>
      </c>
      <c r="K1366" s="21" t="str">
        <f t="shared" ca="1" si="102"/>
        <v/>
      </c>
    </row>
    <row r="1367" spans="1:11" s="18" customFormat="1" ht="14.25" x14ac:dyDescent="0.2">
      <c r="A1367" s="18" t="str">
        <f t="shared" si="97"/>
        <v>Eintrag 1366</v>
      </c>
      <c r="B1367" s="18">
        <v>100</v>
      </c>
      <c r="C1367" s="19">
        <v>100</v>
      </c>
      <c r="D1367" s="20">
        <v>10</v>
      </c>
      <c r="E1367" s="20">
        <v>10</v>
      </c>
      <c r="F1367" s="20">
        <v>10</v>
      </c>
      <c r="G1367" s="19">
        <f t="shared" si="103"/>
        <v>172</v>
      </c>
      <c r="H1367" s="22">
        <f t="shared" si="101"/>
        <v>1366</v>
      </c>
      <c r="I1367" s="21">
        <f t="shared" ref="I1367:I1430" ca="1" si="104">IFERROR(SEARCH(INDIRECT(CELL("address")),A1367),0)</f>
        <v>0</v>
      </c>
      <c r="J1367" s="21" t="str">
        <f ca="1">IF(I1367=0,"",COUNTIF($I$2:I1367,"&gt;0"))</f>
        <v/>
      </c>
      <c r="K1367" s="21" t="str">
        <f t="shared" ca="1" si="102"/>
        <v/>
      </c>
    </row>
    <row r="1368" spans="1:11" s="18" customFormat="1" ht="14.25" x14ac:dyDescent="0.2">
      <c r="A1368" s="18" t="str">
        <f t="shared" si="97"/>
        <v>Eintrag 1367</v>
      </c>
      <c r="B1368" s="18">
        <v>100</v>
      </c>
      <c r="C1368" s="19">
        <v>100</v>
      </c>
      <c r="D1368" s="20">
        <v>10</v>
      </c>
      <c r="E1368" s="20">
        <v>10</v>
      </c>
      <c r="F1368" s="20">
        <v>10</v>
      </c>
      <c r="G1368" s="19">
        <f t="shared" si="103"/>
        <v>172</v>
      </c>
      <c r="H1368" s="22">
        <f t="shared" si="101"/>
        <v>1367</v>
      </c>
      <c r="I1368" s="21">
        <f t="shared" ca="1" si="104"/>
        <v>0</v>
      </c>
      <c r="J1368" s="21" t="str">
        <f ca="1">IF(I1368=0,"",COUNTIF($I$2:I1368,"&gt;0"))</f>
        <v/>
      </c>
      <c r="K1368" s="21" t="str">
        <f t="shared" ca="1" si="102"/>
        <v/>
      </c>
    </row>
    <row r="1369" spans="1:11" s="18" customFormat="1" ht="14.25" x14ac:dyDescent="0.2">
      <c r="A1369" s="18" t="str">
        <f t="shared" si="97"/>
        <v>Eintrag 1368</v>
      </c>
      <c r="B1369" s="18">
        <v>100</v>
      </c>
      <c r="C1369" s="19">
        <v>100</v>
      </c>
      <c r="D1369" s="20">
        <v>10</v>
      </c>
      <c r="E1369" s="20">
        <v>10</v>
      </c>
      <c r="F1369" s="20">
        <v>10</v>
      </c>
      <c r="G1369" s="19">
        <f t="shared" si="103"/>
        <v>172</v>
      </c>
      <c r="H1369" s="22">
        <f t="shared" si="101"/>
        <v>1368</v>
      </c>
      <c r="I1369" s="21">
        <f t="shared" ca="1" si="104"/>
        <v>0</v>
      </c>
      <c r="J1369" s="21" t="str">
        <f ca="1">IF(I1369=0,"",COUNTIF($I$2:I1369,"&gt;0"))</f>
        <v/>
      </c>
      <c r="K1369" s="21" t="str">
        <f t="shared" ca="1" si="102"/>
        <v/>
      </c>
    </row>
    <row r="1370" spans="1:11" s="18" customFormat="1" ht="14.25" x14ac:dyDescent="0.2">
      <c r="A1370" s="18" t="str">
        <f t="shared" si="97"/>
        <v>Eintrag 1369</v>
      </c>
      <c r="B1370" s="18">
        <v>100</v>
      </c>
      <c r="C1370" s="19">
        <v>100</v>
      </c>
      <c r="D1370" s="20">
        <v>10</v>
      </c>
      <c r="E1370" s="20">
        <v>10</v>
      </c>
      <c r="F1370" s="20">
        <v>10</v>
      </c>
      <c r="G1370" s="19">
        <f t="shared" si="103"/>
        <v>172</v>
      </c>
      <c r="H1370" s="22">
        <f t="shared" si="101"/>
        <v>1369</v>
      </c>
      <c r="I1370" s="21">
        <f t="shared" ca="1" si="104"/>
        <v>0</v>
      </c>
      <c r="J1370" s="21" t="str">
        <f ca="1">IF(I1370=0,"",COUNTIF($I$2:I1370,"&gt;0"))</f>
        <v/>
      </c>
      <c r="K1370" s="21" t="str">
        <f t="shared" ca="1" si="102"/>
        <v/>
      </c>
    </row>
    <row r="1371" spans="1:11" s="18" customFormat="1" ht="14.25" x14ac:dyDescent="0.2">
      <c r="A1371" s="18" t="str">
        <f t="shared" si="97"/>
        <v>Eintrag 1370</v>
      </c>
      <c r="B1371" s="18">
        <v>100</v>
      </c>
      <c r="C1371" s="19">
        <v>100</v>
      </c>
      <c r="D1371" s="20">
        <v>10</v>
      </c>
      <c r="E1371" s="20">
        <v>10</v>
      </c>
      <c r="F1371" s="20">
        <v>10</v>
      </c>
      <c r="G1371" s="19">
        <f t="shared" si="103"/>
        <v>172</v>
      </c>
      <c r="H1371" s="22">
        <f t="shared" si="101"/>
        <v>1370</v>
      </c>
      <c r="I1371" s="21">
        <f t="shared" ca="1" si="104"/>
        <v>0</v>
      </c>
      <c r="J1371" s="21" t="str">
        <f ca="1">IF(I1371=0,"",COUNTIF($I$2:I1371,"&gt;0"))</f>
        <v/>
      </c>
      <c r="K1371" s="21" t="str">
        <f t="shared" ca="1" si="102"/>
        <v/>
      </c>
    </row>
    <row r="1372" spans="1:11" s="18" customFormat="1" ht="14.25" x14ac:dyDescent="0.2">
      <c r="A1372" s="18" t="str">
        <f t="shared" si="97"/>
        <v>Eintrag 1371</v>
      </c>
      <c r="B1372" s="18">
        <v>100</v>
      </c>
      <c r="C1372" s="19">
        <v>100</v>
      </c>
      <c r="D1372" s="20">
        <v>10</v>
      </c>
      <c r="E1372" s="20">
        <v>10</v>
      </c>
      <c r="F1372" s="20">
        <v>10</v>
      </c>
      <c r="G1372" s="19">
        <f t="shared" si="103"/>
        <v>172</v>
      </c>
      <c r="H1372" s="22">
        <f t="shared" si="101"/>
        <v>1371</v>
      </c>
      <c r="I1372" s="21">
        <f t="shared" ca="1" si="104"/>
        <v>0</v>
      </c>
      <c r="J1372" s="21" t="str">
        <f ca="1">IF(I1372=0,"",COUNTIF($I$2:I1372,"&gt;0"))</f>
        <v/>
      </c>
      <c r="K1372" s="21" t="str">
        <f t="shared" ca="1" si="102"/>
        <v/>
      </c>
    </row>
    <row r="1373" spans="1:11" s="18" customFormat="1" ht="14.25" x14ac:dyDescent="0.2">
      <c r="A1373" s="18" t="str">
        <f t="shared" si="97"/>
        <v>Eintrag 1372</v>
      </c>
      <c r="B1373" s="18">
        <v>100</v>
      </c>
      <c r="C1373" s="19">
        <v>100</v>
      </c>
      <c r="D1373" s="20">
        <v>10</v>
      </c>
      <c r="E1373" s="20">
        <v>10</v>
      </c>
      <c r="F1373" s="20">
        <v>10</v>
      </c>
      <c r="G1373" s="19">
        <f t="shared" si="103"/>
        <v>172</v>
      </c>
      <c r="H1373" s="22">
        <f t="shared" si="101"/>
        <v>1372</v>
      </c>
      <c r="I1373" s="21">
        <f t="shared" ca="1" si="104"/>
        <v>0</v>
      </c>
      <c r="J1373" s="21" t="str">
        <f ca="1">IF(I1373=0,"",COUNTIF($I$2:I1373,"&gt;0"))</f>
        <v/>
      </c>
      <c r="K1373" s="21" t="str">
        <f t="shared" ca="1" si="102"/>
        <v/>
      </c>
    </row>
    <row r="1374" spans="1:11" s="18" customFormat="1" ht="14.25" x14ac:dyDescent="0.2">
      <c r="A1374" s="18" t="str">
        <f t="shared" si="97"/>
        <v>Eintrag 1373</v>
      </c>
      <c r="B1374" s="18">
        <v>100</v>
      </c>
      <c r="C1374" s="19">
        <v>100</v>
      </c>
      <c r="D1374" s="20">
        <v>10</v>
      </c>
      <c r="E1374" s="20">
        <v>10</v>
      </c>
      <c r="F1374" s="20">
        <v>10</v>
      </c>
      <c r="G1374" s="19">
        <f t="shared" si="103"/>
        <v>172</v>
      </c>
      <c r="H1374" s="22">
        <f t="shared" si="101"/>
        <v>1373</v>
      </c>
      <c r="I1374" s="21">
        <f t="shared" ca="1" si="104"/>
        <v>0</v>
      </c>
      <c r="J1374" s="21" t="str">
        <f ca="1">IF(I1374=0,"",COUNTIF($I$2:I1374,"&gt;0"))</f>
        <v/>
      </c>
      <c r="K1374" s="21" t="str">
        <f t="shared" ca="1" si="102"/>
        <v/>
      </c>
    </row>
    <row r="1375" spans="1:11" s="18" customFormat="1" ht="14.25" x14ac:dyDescent="0.2">
      <c r="A1375" s="18" t="str">
        <f t="shared" si="97"/>
        <v>Eintrag 1374</v>
      </c>
      <c r="B1375" s="18">
        <v>100</v>
      </c>
      <c r="C1375" s="19">
        <v>100</v>
      </c>
      <c r="D1375" s="20">
        <v>10</v>
      </c>
      <c r="E1375" s="20">
        <v>10</v>
      </c>
      <c r="F1375" s="20">
        <v>10</v>
      </c>
      <c r="G1375" s="19">
        <f t="shared" si="103"/>
        <v>172</v>
      </c>
      <c r="H1375" s="22">
        <f t="shared" si="101"/>
        <v>1374</v>
      </c>
      <c r="I1375" s="21">
        <f t="shared" ca="1" si="104"/>
        <v>0</v>
      </c>
      <c r="J1375" s="21" t="str">
        <f ca="1">IF(I1375=0,"",COUNTIF($I$2:I1375,"&gt;0"))</f>
        <v/>
      </c>
      <c r="K1375" s="21" t="str">
        <f t="shared" ca="1" si="102"/>
        <v/>
      </c>
    </row>
    <row r="1376" spans="1:11" s="18" customFormat="1" ht="14.25" x14ac:dyDescent="0.2">
      <c r="A1376" s="18" t="str">
        <f t="shared" si="97"/>
        <v>Eintrag 1375</v>
      </c>
      <c r="B1376" s="18">
        <v>100</v>
      </c>
      <c r="C1376" s="19">
        <v>100</v>
      </c>
      <c r="D1376" s="20">
        <v>10</v>
      </c>
      <c r="E1376" s="20">
        <v>10</v>
      </c>
      <c r="F1376" s="20">
        <v>10</v>
      </c>
      <c r="G1376" s="19">
        <f t="shared" si="103"/>
        <v>172</v>
      </c>
      <c r="H1376" s="22">
        <f t="shared" si="101"/>
        <v>1375</v>
      </c>
      <c r="I1376" s="21">
        <f t="shared" ca="1" si="104"/>
        <v>0</v>
      </c>
      <c r="J1376" s="21" t="str">
        <f ca="1">IF(I1376=0,"",COUNTIF($I$2:I1376,"&gt;0"))</f>
        <v/>
      </c>
      <c r="K1376" s="21" t="str">
        <f t="shared" ca="1" si="102"/>
        <v/>
      </c>
    </row>
    <row r="1377" spans="1:11" s="18" customFormat="1" ht="14.25" x14ac:dyDescent="0.2">
      <c r="A1377" s="18" t="str">
        <f t="shared" si="97"/>
        <v>Eintrag 1376</v>
      </c>
      <c r="B1377" s="18">
        <v>100</v>
      </c>
      <c r="C1377" s="19">
        <v>100</v>
      </c>
      <c r="D1377" s="20">
        <v>10</v>
      </c>
      <c r="E1377" s="20">
        <v>10</v>
      </c>
      <c r="F1377" s="20">
        <v>10</v>
      </c>
      <c r="G1377" s="19">
        <f t="shared" si="103"/>
        <v>172</v>
      </c>
      <c r="H1377" s="22">
        <f t="shared" si="101"/>
        <v>1376</v>
      </c>
      <c r="I1377" s="21">
        <f t="shared" ca="1" si="104"/>
        <v>0</v>
      </c>
      <c r="J1377" s="21" t="str">
        <f ca="1">IF(I1377=0,"",COUNTIF($I$2:I1377,"&gt;0"))</f>
        <v/>
      </c>
      <c r="K1377" s="21" t="str">
        <f t="shared" ca="1" si="102"/>
        <v/>
      </c>
    </row>
    <row r="1378" spans="1:11" s="18" customFormat="1" ht="14.25" x14ac:dyDescent="0.2">
      <c r="A1378" s="18" t="str">
        <f t="shared" si="97"/>
        <v>Eintrag 1377</v>
      </c>
      <c r="B1378" s="18">
        <v>100</v>
      </c>
      <c r="C1378" s="19">
        <v>100</v>
      </c>
      <c r="D1378" s="20">
        <v>10</v>
      </c>
      <c r="E1378" s="20">
        <v>10</v>
      </c>
      <c r="F1378" s="20">
        <v>10</v>
      </c>
      <c r="G1378" s="19">
        <f t="shared" si="103"/>
        <v>172</v>
      </c>
      <c r="H1378" s="22">
        <f t="shared" si="101"/>
        <v>1377</v>
      </c>
      <c r="I1378" s="21">
        <f t="shared" ca="1" si="104"/>
        <v>0</v>
      </c>
      <c r="J1378" s="21" t="str">
        <f ca="1">IF(I1378=0,"",COUNTIF($I$2:I1378,"&gt;0"))</f>
        <v/>
      </c>
      <c r="K1378" s="21" t="str">
        <f t="shared" ca="1" si="102"/>
        <v/>
      </c>
    </row>
    <row r="1379" spans="1:11" s="18" customFormat="1" ht="14.25" x14ac:dyDescent="0.2">
      <c r="A1379" s="18" t="str">
        <f t="shared" si="97"/>
        <v>Eintrag 1378</v>
      </c>
      <c r="B1379" s="18">
        <v>100</v>
      </c>
      <c r="C1379" s="19">
        <v>100</v>
      </c>
      <c r="D1379" s="20">
        <v>10</v>
      </c>
      <c r="E1379" s="20">
        <v>10</v>
      </c>
      <c r="F1379" s="20">
        <v>10</v>
      </c>
      <c r="G1379" s="19">
        <f t="shared" si="103"/>
        <v>172</v>
      </c>
      <c r="H1379" s="22">
        <f t="shared" si="101"/>
        <v>1378</v>
      </c>
      <c r="I1379" s="21">
        <f t="shared" ca="1" si="104"/>
        <v>0</v>
      </c>
      <c r="J1379" s="21" t="str">
        <f ca="1">IF(I1379=0,"",COUNTIF($I$2:I1379,"&gt;0"))</f>
        <v/>
      </c>
      <c r="K1379" s="21" t="str">
        <f t="shared" ca="1" si="102"/>
        <v/>
      </c>
    </row>
    <row r="1380" spans="1:11" s="18" customFormat="1" ht="14.25" x14ac:dyDescent="0.2">
      <c r="A1380" s="18" t="str">
        <f t="shared" si="97"/>
        <v>Eintrag 1379</v>
      </c>
      <c r="B1380" s="18">
        <v>100</v>
      </c>
      <c r="C1380" s="19">
        <v>100</v>
      </c>
      <c r="D1380" s="20">
        <v>10</v>
      </c>
      <c r="E1380" s="20">
        <v>10</v>
      </c>
      <c r="F1380" s="20">
        <v>10</v>
      </c>
      <c r="G1380" s="19">
        <f t="shared" si="103"/>
        <v>172</v>
      </c>
      <c r="H1380" s="22">
        <f t="shared" si="101"/>
        <v>1379</v>
      </c>
      <c r="I1380" s="21">
        <f t="shared" ca="1" si="104"/>
        <v>0</v>
      </c>
      <c r="J1380" s="21" t="str">
        <f ca="1">IF(I1380=0,"",COUNTIF($I$2:I1380,"&gt;0"))</f>
        <v/>
      </c>
      <c r="K1380" s="21" t="str">
        <f t="shared" ca="1" si="102"/>
        <v/>
      </c>
    </row>
    <row r="1381" spans="1:11" s="18" customFormat="1" ht="14.25" x14ac:dyDescent="0.2">
      <c r="A1381" s="18" t="str">
        <f t="shared" si="97"/>
        <v>Eintrag 1380</v>
      </c>
      <c r="B1381" s="18">
        <v>100</v>
      </c>
      <c r="C1381" s="19">
        <v>100</v>
      </c>
      <c r="D1381" s="20">
        <v>10</v>
      </c>
      <c r="E1381" s="20">
        <v>10</v>
      </c>
      <c r="F1381" s="20">
        <v>10</v>
      </c>
      <c r="G1381" s="19">
        <f t="shared" si="103"/>
        <v>172</v>
      </c>
      <c r="H1381" s="22">
        <f t="shared" ref="H1381:H1444" si="105">H1380+1</f>
        <v>1380</v>
      </c>
      <c r="I1381" s="21">
        <f t="shared" ca="1" si="104"/>
        <v>0</v>
      </c>
      <c r="J1381" s="21" t="str">
        <f ca="1">IF(I1381=0,"",COUNTIF($I$2:I1381,"&gt;0"))</f>
        <v/>
      </c>
      <c r="K1381" s="21" t="str">
        <f t="shared" ca="1" si="102"/>
        <v/>
      </c>
    </row>
    <row r="1382" spans="1:11" s="18" customFormat="1" ht="14.25" x14ac:dyDescent="0.2">
      <c r="A1382" s="18" t="str">
        <f t="shared" si="97"/>
        <v>Eintrag 1381</v>
      </c>
      <c r="B1382" s="18">
        <v>100</v>
      </c>
      <c r="C1382" s="19">
        <v>100</v>
      </c>
      <c r="D1382" s="20">
        <v>10</v>
      </c>
      <c r="E1382" s="20">
        <v>10</v>
      </c>
      <c r="F1382" s="20">
        <v>10</v>
      </c>
      <c r="G1382" s="19">
        <f t="shared" si="103"/>
        <v>172</v>
      </c>
      <c r="H1382" s="22">
        <f t="shared" si="105"/>
        <v>1381</v>
      </c>
      <c r="I1382" s="21">
        <f t="shared" ca="1" si="104"/>
        <v>0</v>
      </c>
      <c r="J1382" s="21" t="str">
        <f ca="1">IF(I1382=0,"",COUNTIF($I$2:I1382,"&gt;0"))</f>
        <v/>
      </c>
      <c r="K1382" s="21" t="str">
        <f t="shared" ca="1" si="102"/>
        <v/>
      </c>
    </row>
    <row r="1383" spans="1:11" s="18" customFormat="1" ht="14.25" x14ac:dyDescent="0.2">
      <c r="A1383" s="18" t="str">
        <f t="shared" si="97"/>
        <v>Eintrag 1382</v>
      </c>
      <c r="B1383" s="18">
        <v>100</v>
      </c>
      <c r="C1383" s="19">
        <v>100</v>
      </c>
      <c r="D1383" s="20">
        <v>10</v>
      </c>
      <c r="E1383" s="20">
        <v>10</v>
      </c>
      <c r="F1383" s="20">
        <v>10</v>
      </c>
      <c r="G1383" s="19">
        <f t="shared" si="103"/>
        <v>172</v>
      </c>
      <c r="H1383" s="22">
        <f t="shared" si="105"/>
        <v>1382</v>
      </c>
      <c r="I1383" s="21">
        <f t="shared" ca="1" si="104"/>
        <v>0</v>
      </c>
      <c r="J1383" s="21" t="str">
        <f ca="1">IF(I1383=0,"",COUNTIF($I$2:I1383,"&gt;0"))</f>
        <v/>
      </c>
      <c r="K1383" s="21" t="str">
        <f t="shared" ca="1" si="102"/>
        <v/>
      </c>
    </row>
    <row r="1384" spans="1:11" s="18" customFormat="1" ht="14.25" x14ac:dyDescent="0.2">
      <c r="A1384" s="18" t="str">
        <f t="shared" si="97"/>
        <v>Eintrag 1383</v>
      </c>
      <c r="B1384" s="18">
        <v>100</v>
      </c>
      <c r="C1384" s="19">
        <v>100</v>
      </c>
      <c r="D1384" s="20">
        <v>10</v>
      </c>
      <c r="E1384" s="20">
        <v>10</v>
      </c>
      <c r="F1384" s="20">
        <v>10</v>
      </c>
      <c r="G1384" s="19">
        <f t="shared" si="103"/>
        <v>172</v>
      </c>
      <c r="H1384" s="22">
        <f t="shared" si="105"/>
        <v>1383</v>
      </c>
      <c r="I1384" s="21">
        <f t="shared" ca="1" si="104"/>
        <v>0</v>
      </c>
      <c r="J1384" s="21" t="str">
        <f ca="1">IF(I1384=0,"",COUNTIF($I$2:I1384,"&gt;0"))</f>
        <v/>
      </c>
      <c r="K1384" s="21" t="str">
        <f t="shared" ca="1" si="102"/>
        <v/>
      </c>
    </row>
    <row r="1385" spans="1:11" s="18" customFormat="1" ht="14.25" x14ac:dyDescent="0.2">
      <c r="A1385" s="18" t="str">
        <f t="shared" si="97"/>
        <v>Eintrag 1384</v>
      </c>
      <c r="B1385" s="18">
        <v>100</v>
      </c>
      <c r="C1385" s="19">
        <v>100</v>
      </c>
      <c r="D1385" s="20">
        <v>10</v>
      </c>
      <c r="E1385" s="20">
        <v>10</v>
      </c>
      <c r="F1385" s="20">
        <v>10</v>
      </c>
      <c r="G1385" s="19">
        <f t="shared" si="103"/>
        <v>172</v>
      </c>
      <c r="H1385" s="22">
        <f t="shared" si="105"/>
        <v>1384</v>
      </c>
      <c r="I1385" s="21">
        <f t="shared" ca="1" si="104"/>
        <v>0</v>
      </c>
      <c r="J1385" s="21" t="str">
        <f ca="1">IF(I1385=0,"",COUNTIF($I$2:I1385,"&gt;0"))</f>
        <v/>
      </c>
      <c r="K1385" s="21" t="str">
        <f t="shared" ca="1" si="102"/>
        <v/>
      </c>
    </row>
    <row r="1386" spans="1:11" s="18" customFormat="1" ht="14.25" x14ac:dyDescent="0.2">
      <c r="A1386" s="18" t="str">
        <f t="shared" si="97"/>
        <v>Eintrag 1385</v>
      </c>
      <c r="B1386" s="18">
        <v>100</v>
      </c>
      <c r="C1386" s="19">
        <v>100</v>
      </c>
      <c r="D1386" s="20">
        <v>10</v>
      </c>
      <c r="E1386" s="20">
        <v>10</v>
      </c>
      <c r="F1386" s="20">
        <v>10</v>
      </c>
      <c r="G1386" s="19">
        <f t="shared" si="103"/>
        <v>172</v>
      </c>
      <c r="H1386" s="22">
        <f t="shared" si="105"/>
        <v>1385</v>
      </c>
      <c r="I1386" s="21">
        <f t="shared" ca="1" si="104"/>
        <v>0</v>
      </c>
      <c r="J1386" s="21" t="str">
        <f ca="1">IF(I1386=0,"",COUNTIF($I$2:I1386,"&gt;0"))</f>
        <v/>
      </c>
      <c r="K1386" s="21" t="str">
        <f t="shared" ca="1" si="102"/>
        <v/>
      </c>
    </row>
    <row r="1387" spans="1:11" s="18" customFormat="1" ht="14.25" x14ac:dyDescent="0.2">
      <c r="A1387" s="18" t="str">
        <f t="shared" si="97"/>
        <v>Eintrag 1386</v>
      </c>
      <c r="B1387" s="18">
        <v>100</v>
      </c>
      <c r="C1387" s="19">
        <v>100</v>
      </c>
      <c r="D1387" s="20">
        <v>10</v>
      </c>
      <c r="E1387" s="20">
        <v>10</v>
      </c>
      <c r="F1387" s="20">
        <v>10</v>
      </c>
      <c r="G1387" s="19">
        <f t="shared" si="103"/>
        <v>172</v>
      </c>
      <c r="H1387" s="22">
        <f t="shared" si="105"/>
        <v>1386</v>
      </c>
      <c r="I1387" s="21">
        <f t="shared" ca="1" si="104"/>
        <v>0</v>
      </c>
      <c r="J1387" s="21" t="str">
        <f ca="1">IF(I1387=0,"",COUNTIF($I$2:I1387,"&gt;0"))</f>
        <v/>
      </c>
      <c r="K1387" s="21" t="str">
        <f t="shared" ca="1" si="102"/>
        <v/>
      </c>
    </row>
    <row r="1388" spans="1:11" s="18" customFormat="1" ht="14.25" x14ac:dyDescent="0.2">
      <c r="A1388" s="18" t="str">
        <f t="shared" si="97"/>
        <v>Eintrag 1387</v>
      </c>
      <c r="B1388" s="18">
        <v>100</v>
      </c>
      <c r="C1388" s="19">
        <v>100</v>
      </c>
      <c r="D1388" s="20">
        <v>10</v>
      </c>
      <c r="E1388" s="20">
        <v>10</v>
      </c>
      <c r="F1388" s="20">
        <v>10</v>
      </c>
      <c r="G1388" s="19">
        <f t="shared" si="103"/>
        <v>172</v>
      </c>
      <c r="H1388" s="22">
        <f t="shared" si="105"/>
        <v>1387</v>
      </c>
      <c r="I1388" s="21">
        <f t="shared" ca="1" si="104"/>
        <v>0</v>
      </c>
      <c r="J1388" s="21" t="str">
        <f ca="1">IF(I1388=0,"",COUNTIF($I$2:I1388,"&gt;0"))</f>
        <v/>
      </c>
      <c r="K1388" s="21" t="str">
        <f t="shared" ca="1" si="102"/>
        <v/>
      </c>
    </row>
    <row r="1389" spans="1:11" s="18" customFormat="1" ht="14.25" x14ac:dyDescent="0.2">
      <c r="A1389" s="18" t="str">
        <f t="shared" si="97"/>
        <v>Eintrag 1388</v>
      </c>
      <c r="B1389" s="18">
        <v>100</v>
      </c>
      <c r="C1389" s="19">
        <v>100</v>
      </c>
      <c r="D1389" s="20">
        <v>10</v>
      </c>
      <c r="E1389" s="20">
        <v>10</v>
      </c>
      <c r="F1389" s="20">
        <v>10</v>
      </c>
      <c r="G1389" s="19">
        <f t="shared" si="103"/>
        <v>172</v>
      </c>
      <c r="H1389" s="22">
        <f t="shared" si="105"/>
        <v>1388</v>
      </c>
      <c r="I1389" s="21">
        <f t="shared" ca="1" si="104"/>
        <v>0</v>
      </c>
      <c r="J1389" s="21" t="str">
        <f ca="1">IF(I1389=0,"",COUNTIF($I$2:I1389,"&gt;0"))</f>
        <v/>
      </c>
      <c r="K1389" s="21" t="str">
        <f t="shared" ca="1" si="102"/>
        <v/>
      </c>
    </row>
    <row r="1390" spans="1:11" s="18" customFormat="1" ht="14.25" x14ac:dyDescent="0.2">
      <c r="A1390" s="18" t="str">
        <f t="shared" si="97"/>
        <v>Eintrag 1389</v>
      </c>
      <c r="B1390" s="18">
        <v>100</v>
      </c>
      <c r="C1390" s="19">
        <v>100</v>
      </c>
      <c r="D1390" s="20">
        <v>10</v>
      </c>
      <c r="E1390" s="20">
        <v>10</v>
      </c>
      <c r="F1390" s="20">
        <v>10</v>
      </c>
      <c r="G1390" s="19">
        <f t="shared" si="103"/>
        <v>172</v>
      </c>
      <c r="H1390" s="22">
        <f t="shared" si="105"/>
        <v>1389</v>
      </c>
      <c r="I1390" s="21">
        <f t="shared" ca="1" si="104"/>
        <v>0</v>
      </c>
      <c r="J1390" s="21" t="str">
        <f ca="1">IF(I1390=0,"",COUNTIF($I$2:I1390,"&gt;0"))</f>
        <v/>
      </c>
      <c r="K1390" s="21" t="str">
        <f t="shared" ca="1" si="102"/>
        <v/>
      </c>
    </row>
    <row r="1391" spans="1:11" s="18" customFormat="1" ht="14.25" x14ac:dyDescent="0.2">
      <c r="A1391" s="18" t="str">
        <f t="shared" si="97"/>
        <v>Eintrag 1390</v>
      </c>
      <c r="B1391" s="18">
        <v>100</v>
      </c>
      <c r="C1391" s="19">
        <v>100</v>
      </c>
      <c r="D1391" s="20">
        <v>10</v>
      </c>
      <c r="E1391" s="20">
        <v>10</v>
      </c>
      <c r="F1391" s="20">
        <v>10</v>
      </c>
      <c r="G1391" s="19">
        <f t="shared" si="103"/>
        <v>172</v>
      </c>
      <c r="H1391" s="22">
        <f t="shared" si="105"/>
        <v>1390</v>
      </c>
      <c r="I1391" s="21">
        <f t="shared" ca="1" si="104"/>
        <v>0</v>
      </c>
      <c r="J1391" s="21" t="str">
        <f ca="1">IF(I1391=0,"",COUNTIF($I$2:I1391,"&gt;0"))</f>
        <v/>
      </c>
      <c r="K1391" s="21" t="str">
        <f t="shared" ca="1" si="102"/>
        <v/>
      </c>
    </row>
    <row r="1392" spans="1:11" s="18" customFormat="1" ht="14.25" x14ac:dyDescent="0.2">
      <c r="A1392" s="18" t="str">
        <f t="shared" si="97"/>
        <v>Eintrag 1391</v>
      </c>
      <c r="B1392" s="18">
        <v>100</v>
      </c>
      <c r="C1392" s="19">
        <v>100</v>
      </c>
      <c r="D1392" s="20">
        <v>10</v>
      </c>
      <c r="E1392" s="20">
        <v>10</v>
      </c>
      <c r="F1392" s="20">
        <v>10</v>
      </c>
      <c r="G1392" s="19">
        <f t="shared" si="103"/>
        <v>172</v>
      </c>
      <c r="H1392" s="22">
        <f t="shared" si="105"/>
        <v>1391</v>
      </c>
      <c r="I1392" s="21">
        <f t="shared" ca="1" si="104"/>
        <v>0</v>
      </c>
      <c r="J1392" s="21" t="str">
        <f ca="1">IF(I1392=0,"",COUNTIF($I$2:I1392,"&gt;0"))</f>
        <v/>
      </c>
      <c r="K1392" s="21" t="str">
        <f t="shared" ca="1" si="102"/>
        <v/>
      </c>
    </row>
    <row r="1393" spans="1:11" s="18" customFormat="1" ht="14.25" x14ac:dyDescent="0.2">
      <c r="A1393" s="18" t="str">
        <f t="shared" si="97"/>
        <v>Eintrag 1392</v>
      </c>
      <c r="B1393" s="18">
        <v>100</v>
      </c>
      <c r="C1393" s="19">
        <v>100</v>
      </c>
      <c r="D1393" s="20">
        <v>10</v>
      </c>
      <c r="E1393" s="20">
        <v>10</v>
      </c>
      <c r="F1393" s="20">
        <v>10</v>
      </c>
      <c r="G1393" s="19">
        <f t="shared" si="103"/>
        <v>172</v>
      </c>
      <c r="H1393" s="22">
        <f t="shared" si="105"/>
        <v>1392</v>
      </c>
      <c r="I1393" s="21">
        <f t="shared" ca="1" si="104"/>
        <v>0</v>
      </c>
      <c r="J1393" s="21" t="str">
        <f ca="1">IF(I1393=0,"",COUNTIF($I$2:I1393,"&gt;0"))</f>
        <v/>
      </c>
      <c r="K1393" s="21" t="str">
        <f t="shared" ca="1" si="102"/>
        <v/>
      </c>
    </row>
    <row r="1394" spans="1:11" s="18" customFormat="1" ht="14.25" x14ac:dyDescent="0.2">
      <c r="A1394" s="18" t="str">
        <f t="shared" si="97"/>
        <v>Eintrag 1393</v>
      </c>
      <c r="B1394" s="18">
        <v>100</v>
      </c>
      <c r="C1394" s="19">
        <v>100</v>
      </c>
      <c r="D1394" s="20">
        <v>10</v>
      </c>
      <c r="E1394" s="20">
        <v>10</v>
      </c>
      <c r="F1394" s="20">
        <v>10</v>
      </c>
      <c r="G1394" s="19">
        <f t="shared" si="103"/>
        <v>172</v>
      </c>
      <c r="H1394" s="22">
        <f t="shared" si="105"/>
        <v>1393</v>
      </c>
      <c r="I1394" s="21">
        <f t="shared" ca="1" si="104"/>
        <v>0</v>
      </c>
      <c r="J1394" s="21" t="str">
        <f ca="1">IF(I1394=0,"",COUNTIF($I$2:I1394,"&gt;0"))</f>
        <v/>
      </c>
      <c r="K1394" s="21" t="str">
        <f t="shared" ca="1" si="102"/>
        <v/>
      </c>
    </row>
    <row r="1395" spans="1:11" s="18" customFormat="1" ht="14.25" x14ac:dyDescent="0.2">
      <c r="A1395" s="18" t="str">
        <f t="shared" si="97"/>
        <v>Eintrag 1394</v>
      </c>
      <c r="B1395" s="18">
        <v>100</v>
      </c>
      <c r="C1395" s="19">
        <v>100</v>
      </c>
      <c r="D1395" s="20">
        <v>10</v>
      </c>
      <c r="E1395" s="20">
        <v>10</v>
      </c>
      <c r="F1395" s="20">
        <v>10</v>
      </c>
      <c r="G1395" s="19">
        <f t="shared" si="103"/>
        <v>172</v>
      </c>
      <c r="H1395" s="22">
        <f t="shared" si="105"/>
        <v>1394</v>
      </c>
      <c r="I1395" s="21">
        <f t="shared" ca="1" si="104"/>
        <v>0</v>
      </c>
      <c r="J1395" s="21" t="str">
        <f ca="1">IF(I1395=0,"",COUNTIF($I$2:I1395,"&gt;0"))</f>
        <v/>
      </c>
      <c r="K1395" s="21" t="str">
        <f t="shared" ca="1" si="102"/>
        <v/>
      </c>
    </row>
    <row r="1396" spans="1:11" s="18" customFormat="1" ht="14.25" x14ac:dyDescent="0.2">
      <c r="A1396" s="18" t="str">
        <f t="shared" si="97"/>
        <v>Eintrag 1395</v>
      </c>
      <c r="B1396" s="18">
        <v>100</v>
      </c>
      <c r="C1396" s="19">
        <v>100</v>
      </c>
      <c r="D1396" s="20">
        <v>10</v>
      </c>
      <c r="E1396" s="20">
        <v>10</v>
      </c>
      <c r="F1396" s="20">
        <v>10</v>
      </c>
      <c r="G1396" s="19">
        <f t="shared" si="103"/>
        <v>172</v>
      </c>
      <c r="H1396" s="22">
        <f t="shared" si="105"/>
        <v>1395</v>
      </c>
      <c r="I1396" s="21">
        <f t="shared" ca="1" si="104"/>
        <v>0</v>
      </c>
      <c r="J1396" s="21" t="str">
        <f ca="1">IF(I1396=0,"",COUNTIF($I$2:I1396,"&gt;0"))</f>
        <v/>
      </c>
      <c r="K1396" s="21" t="str">
        <f t="shared" ca="1" si="102"/>
        <v/>
      </c>
    </row>
    <row r="1397" spans="1:11" s="18" customFormat="1" ht="14.25" x14ac:dyDescent="0.2">
      <c r="A1397" s="18" t="str">
        <f t="shared" si="97"/>
        <v>Eintrag 1396</v>
      </c>
      <c r="B1397" s="18">
        <v>100</v>
      </c>
      <c r="C1397" s="19">
        <v>100</v>
      </c>
      <c r="D1397" s="20">
        <v>10</v>
      </c>
      <c r="E1397" s="20">
        <v>10</v>
      </c>
      <c r="F1397" s="20">
        <v>10</v>
      </c>
      <c r="G1397" s="19">
        <f t="shared" si="103"/>
        <v>172</v>
      </c>
      <c r="H1397" s="22">
        <f t="shared" si="105"/>
        <v>1396</v>
      </c>
      <c r="I1397" s="21">
        <f t="shared" ca="1" si="104"/>
        <v>0</v>
      </c>
      <c r="J1397" s="21" t="str">
        <f ca="1">IF(I1397=0,"",COUNTIF($I$2:I1397,"&gt;0"))</f>
        <v/>
      </c>
      <c r="K1397" s="21" t="str">
        <f t="shared" ca="1" si="102"/>
        <v/>
      </c>
    </row>
    <row r="1398" spans="1:11" s="18" customFormat="1" ht="14.25" x14ac:dyDescent="0.2">
      <c r="A1398" s="18" t="str">
        <f t="shared" si="97"/>
        <v>Eintrag 1397</v>
      </c>
      <c r="B1398" s="18">
        <v>100</v>
      </c>
      <c r="C1398" s="19">
        <v>100</v>
      </c>
      <c r="D1398" s="20">
        <v>10</v>
      </c>
      <c r="E1398" s="20">
        <v>10</v>
      </c>
      <c r="F1398" s="20">
        <v>10</v>
      </c>
      <c r="G1398" s="19">
        <f t="shared" si="103"/>
        <v>172</v>
      </c>
      <c r="H1398" s="22">
        <f t="shared" si="105"/>
        <v>1397</v>
      </c>
      <c r="I1398" s="21">
        <f t="shared" ca="1" si="104"/>
        <v>0</v>
      </c>
      <c r="J1398" s="21" t="str">
        <f ca="1">IF(I1398=0,"",COUNTIF($I$2:I1398,"&gt;0"))</f>
        <v/>
      </c>
      <c r="K1398" s="21" t="str">
        <f t="shared" ca="1" si="102"/>
        <v/>
      </c>
    </row>
    <row r="1399" spans="1:11" s="18" customFormat="1" ht="14.25" x14ac:dyDescent="0.2">
      <c r="A1399" s="18" t="str">
        <f t="shared" si="97"/>
        <v>Eintrag 1398</v>
      </c>
      <c r="B1399" s="18">
        <v>100</v>
      </c>
      <c r="C1399" s="19">
        <v>100</v>
      </c>
      <c r="D1399" s="20">
        <v>10</v>
      </c>
      <c r="E1399" s="20">
        <v>10</v>
      </c>
      <c r="F1399" s="20">
        <v>10</v>
      </c>
      <c r="G1399" s="19">
        <f t="shared" si="103"/>
        <v>172</v>
      </c>
      <c r="H1399" s="22">
        <f t="shared" si="105"/>
        <v>1398</v>
      </c>
      <c r="I1399" s="21">
        <f t="shared" ca="1" si="104"/>
        <v>0</v>
      </c>
      <c r="J1399" s="21" t="str">
        <f ca="1">IF(I1399=0,"",COUNTIF($I$2:I1399,"&gt;0"))</f>
        <v/>
      </c>
      <c r="K1399" s="21" t="str">
        <f t="shared" ca="1" si="102"/>
        <v/>
      </c>
    </row>
    <row r="1400" spans="1:11" s="18" customFormat="1" ht="14.25" x14ac:dyDescent="0.2">
      <c r="A1400" s="18" t="str">
        <f t="shared" si="97"/>
        <v>Eintrag 1399</v>
      </c>
      <c r="B1400" s="18">
        <v>100</v>
      </c>
      <c r="C1400" s="19">
        <v>100</v>
      </c>
      <c r="D1400" s="20">
        <v>10</v>
      </c>
      <c r="E1400" s="20">
        <v>10</v>
      </c>
      <c r="F1400" s="20">
        <v>10</v>
      </c>
      <c r="G1400" s="19">
        <f t="shared" si="103"/>
        <v>172</v>
      </c>
      <c r="H1400" s="22">
        <f t="shared" si="105"/>
        <v>1399</v>
      </c>
      <c r="I1400" s="21">
        <f t="shared" ca="1" si="104"/>
        <v>0</v>
      </c>
      <c r="J1400" s="21" t="str">
        <f ca="1">IF(I1400=0,"",COUNTIF($I$2:I1400,"&gt;0"))</f>
        <v/>
      </c>
      <c r="K1400" s="21" t="str">
        <f t="shared" ca="1" si="102"/>
        <v/>
      </c>
    </row>
    <row r="1401" spans="1:11" s="18" customFormat="1" ht="14.25" x14ac:dyDescent="0.2">
      <c r="A1401" s="18" t="str">
        <f t="shared" si="97"/>
        <v>Eintrag 1400</v>
      </c>
      <c r="B1401" s="18">
        <v>100</v>
      </c>
      <c r="C1401" s="19">
        <v>100</v>
      </c>
      <c r="D1401" s="20">
        <v>10</v>
      </c>
      <c r="E1401" s="20">
        <v>10</v>
      </c>
      <c r="F1401" s="20">
        <v>10</v>
      </c>
      <c r="G1401" s="19">
        <f t="shared" si="103"/>
        <v>172</v>
      </c>
      <c r="H1401" s="22">
        <f t="shared" si="105"/>
        <v>1400</v>
      </c>
      <c r="I1401" s="21">
        <f t="shared" ca="1" si="104"/>
        <v>0</v>
      </c>
      <c r="J1401" s="21" t="str">
        <f ca="1">IF(I1401=0,"",COUNTIF($I$2:I1401,"&gt;0"))</f>
        <v/>
      </c>
      <c r="K1401" s="21" t="str">
        <f t="shared" ca="1" si="102"/>
        <v/>
      </c>
    </row>
    <row r="1402" spans="1:11" s="18" customFormat="1" ht="14.25" x14ac:dyDescent="0.2">
      <c r="A1402" s="18" t="str">
        <f t="shared" si="97"/>
        <v>Eintrag 1401</v>
      </c>
      <c r="B1402" s="18">
        <v>100</v>
      </c>
      <c r="C1402" s="19">
        <v>100</v>
      </c>
      <c r="D1402" s="20">
        <v>10</v>
      </c>
      <c r="E1402" s="20">
        <v>10</v>
      </c>
      <c r="F1402" s="20">
        <v>10</v>
      </c>
      <c r="G1402" s="19">
        <f t="shared" si="103"/>
        <v>172</v>
      </c>
      <c r="H1402" s="22">
        <f t="shared" si="105"/>
        <v>1401</v>
      </c>
      <c r="I1402" s="21">
        <f t="shared" ca="1" si="104"/>
        <v>0</v>
      </c>
      <c r="J1402" s="21" t="str">
        <f ca="1">IF(I1402=0,"",COUNTIF($I$2:I1402,"&gt;0"))</f>
        <v/>
      </c>
      <c r="K1402" s="21" t="str">
        <f t="shared" ca="1" si="102"/>
        <v/>
      </c>
    </row>
    <row r="1403" spans="1:11" s="18" customFormat="1" ht="14.25" x14ac:dyDescent="0.2">
      <c r="A1403" s="18" t="str">
        <f t="shared" si="97"/>
        <v>Eintrag 1402</v>
      </c>
      <c r="B1403" s="18">
        <v>100</v>
      </c>
      <c r="C1403" s="19">
        <v>100</v>
      </c>
      <c r="D1403" s="20">
        <v>10</v>
      </c>
      <c r="E1403" s="20">
        <v>10</v>
      </c>
      <c r="F1403" s="20">
        <v>10</v>
      </c>
      <c r="G1403" s="19">
        <f t="shared" si="103"/>
        <v>172</v>
      </c>
      <c r="H1403" s="22">
        <f t="shared" si="105"/>
        <v>1402</v>
      </c>
      <c r="I1403" s="21">
        <f t="shared" ca="1" si="104"/>
        <v>0</v>
      </c>
      <c r="J1403" s="21" t="str">
        <f ca="1">IF(I1403=0,"",COUNTIF($I$2:I1403,"&gt;0"))</f>
        <v/>
      </c>
      <c r="K1403" s="21" t="str">
        <f t="shared" ca="1" si="102"/>
        <v/>
      </c>
    </row>
    <row r="1404" spans="1:11" s="18" customFormat="1" ht="14.25" x14ac:dyDescent="0.2">
      <c r="A1404" s="18" t="str">
        <f t="shared" si="97"/>
        <v>Eintrag 1403</v>
      </c>
      <c r="B1404" s="18">
        <v>100</v>
      </c>
      <c r="C1404" s="19">
        <v>100</v>
      </c>
      <c r="D1404" s="20">
        <v>10</v>
      </c>
      <c r="E1404" s="20">
        <v>10</v>
      </c>
      <c r="F1404" s="20">
        <v>10</v>
      </c>
      <c r="G1404" s="19">
        <f t="shared" si="103"/>
        <v>172</v>
      </c>
      <c r="H1404" s="22">
        <f t="shared" si="105"/>
        <v>1403</v>
      </c>
      <c r="I1404" s="21">
        <f t="shared" ca="1" si="104"/>
        <v>0</v>
      </c>
      <c r="J1404" s="21" t="str">
        <f ca="1">IF(I1404=0,"",COUNTIF($I$2:I1404,"&gt;0"))</f>
        <v/>
      </c>
      <c r="K1404" s="21" t="str">
        <f t="shared" ca="1" si="102"/>
        <v/>
      </c>
    </row>
    <row r="1405" spans="1:11" s="18" customFormat="1" ht="14.25" x14ac:dyDescent="0.2">
      <c r="A1405" s="18" t="str">
        <f t="shared" ref="A1405:A1468" si="106">CONCATENATE("Eintrag ",H1405)</f>
        <v>Eintrag 1404</v>
      </c>
      <c r="B1405" s="18">
        <v>100</v>
      </c>
      <c r="C1405" s="19">
        <v>100</v>
      </c>
      <c r="D1405" s="20">
        <v>10</v>
      </c>
      <c r="E1405" s="20">
        <v>10</v>
      </c>
      <c r="F1405" s="20">
        <v>10</v>
      </c>
      <c r="G1405" s="19">
        <f t="shared" si="103"/>
        <v>172</v>
      </c>
      <c r="H1405" s="22">
        <f t="shared" si="105"/>
        <v>1404</v>
      </c>
      <c r="I1405" s="21">
        <f t="shared" ca="1" si="104"/>
        <v>0</v>
      </c>
      <c r="J1405" s="21" t="str">
        <f ca="1">IF(I1405=0,"",COUNTIF($I$2:I1405,"&gt;0"))</f>
        <v/>
      </c>
      <c r="K1405" s="21" t="str">
        <f t="shared" ca="1" si="102"/>
        <v/>
      </c>
    </row>
    <row r="1406" spans="1:11" s="18" customFormat="1" ht="14.25" x14ac:dyDescent="0.2">
      <c r="A1406" s="18" t="str">
        <f t="shared" si="106"/>
        <v>Eintrag 1405</v>
      </c>
      <c r="B1406" s="18">
        <v>100</v>
      </c>
      <c r="C1406" s="19">
        <v>100</v>
      </c>
      <c r="D1406" s="20">
        <v>10</v>
      </c>
      <c r="E1406" s="20">
        <v>10</v>
      </c>
      <c r="F1406" s="20">
        <v>10</v>
      </c>
      <c r="G1406" s="19">
        <f t="shared" si="103"/>
        <v>172</v>
      </c>
      <c r="H1406" s="22">
        <f t="shared" si="105"/>
        <v>1405</v>
      </c>
      <c r="I1406" s="21">
        <f t="shared" ca="1" si="104"/>
        <v>0</v>
      </c>
      <c r="J1406" s="21" t="str">
        <f ca="1">IF(I1406=0,"",COUNTIF($I$2:I1406,"&gt;0"))</f>
        <v/>
      </c>
      <c r="K1406" s="21" t="str">
        <f t="shared" ca="1" si="102"/>
        <v/>
      </c>
    </row>
    <row r="1407" spans="1:11" s="18" customFormat="1" ht="14.25" x14ac:dyDescent="0.2">
      <c r="A1407" s="18" t="str">
        <f t="shared" si="106"/>
        <v>Eintrag 1406</v>
      </c>
      <c r="B1407" s="18">
        <v>100</v>
      </c>
      <c r="C1407" s="19">
        <v>100</v>
      </c>
      <c r="D1407" s="20">
        <v>10</v>
      </c>
      <c r="E1407" s="20">
        <v>10</v>
      </c>
      <c r="F1407" s="20">
        <v>10</v>
      </c>
      <c r="G1407" s="19">
        <f t="shared" si="103"/>
        <v>172</v>
      </c>
      <c r="H1407" s="22">
        <f t="shared" si="105"/>
        <v>1406</v>
      </c>
      <c r="I1407" s="21">
        <f t="shared" ca="1" si="104"/>
        <v>0</v>
      </c>
      <c r="J1407" s="21" t="str">
        <f ca="1">IF(I1407=0,"",COUNTIF($I$2:I1407,"&gt;0"))</f>
        <v/>
      </c>
      <c r="K1407" s="21" t="str">
        <f t="shared" ca="1" si="102"/>
        <v/>
      </c>
    </row>
    <row r="1408" spans="1:11" s="18" customFormat="1" ht="14.25" x14ac:dyDescent="0.2">
      <c r="A1408" s="18" t="str">
        <f t="shared" si="106"/>
        <v>Eintrag 1407</v>
      </c>
      <c r="B1408" s="18">
        <v>100</v>
      </c>
      <c r="C1408" s="19">
        <v>100</v>
      </c>
      <c r="D1408" s="20">
        <v>10</v>
      </c>
      <c r="E1408" s="20">
        <v>10</v>
      </c>
      <c r="F1408" s="20">
        <v>10</v>
      </c>
      <c r="G1408" s="19">
        <f t="shared" si="103"/>
        <v>172</v>
      </c>
      <c r="H1408" s="22">
        <f t="shared" si="105"/>
        <v>1407</v>
      </c>
      <c r="I1408" s="21">
        <f t="shared" ca="1" si="104"/>
        <v>0</v>
      </c>
      <c r="J1408" s="21" t="str">
        <f ca="1">IF(I1408=0,"",COUNTIF($I$2:I1408,"&gt;0"))</f>
        <v/>
      </c>
      <c r="K1408" s="21" t="str">
        <f t="shared" ca="1" si="102"/>
        <v/>
      </c>
    </row>
    <row r="1409" spans="1:11" s="18" customFormat="1" ht="14.25" x14ac:dyDescent="0.2">
      <c r="A1409" s="18" t="str">
        <f t="shared" si="106"/>
        <v>Eintrag 1408</v>
      </c>
      <c r="B1409" s="18">
        <v>100</v>
      </c>
      <c r="C1409" s="19">
        <v>100</v>
      </c>
      <c r="D1409" s="20">
        <v>10</v>
      </c>
      <c r="E1409" s="20">
        <v>10</v>
      </c>
      <c r="F1409" s="20">
        <v>10</v>
      </c>
      <c r="G1409" s="19">
        <f t="shared" si="103"/>
        <v>172</v>
      </c>
      <c r="H1409" s="22">
        <f t="shared" si="105"/>
        <v>1408</v>
      </c>
      <c r="I1409" s="21">
        <f t="shared" ca="1" si="104"/>
        <v>0</v>
      </c>
      <c r="J1409" s="21" t="str">
        <f ca="1">IF(I1409=0,"",COUNTIF($I$2:I1409,"&gt;0"))</f>
        <v/>
      </c>
      <c r="K1409" s="21" t="str">
        <f t="shared" ca="1" si="102"/>
        <v/>
      </c>
    </row>
    <row r="1410" spans="1:11" s="18" customFormat="1" ht="14.25" x14ac:dyDescent="0.2">
      <c r="A1410" s="18" t="str">
        <f t="shared" si="106"/>
        <v>Eintrag 1409</v>
      </c>
      <c r="B1410" s="18">
        <v>100</v>
      </c>
      <c r="C1410" s="19">
        <v>100</v>
      </c>
      <c r="D1410" s="20">
        <v>10</v>
      </c>
      <c r="E1410" s="20">
        <v>10</v>
      </c>
      <c r="F1410" s="20">
        <v>10</v>
      </c>
      <c r="G1410" s="19">
        <f t="shared" si="103"/>
        <v>172</v>
      </c>
      <c r="H1410" s="22">
        <f t="shared" si="105"/>
        <v>1409</v>
      </c>
      <c r="I1410" s="21">
        <f t="shared" ca="1" si="104"/>
        <v>0</v>
      </c>
      <c r="J1410" s="21" t="str">
        <f ca="1">IF(I1410=0,"",COUNTIF($I$2:I1410,"&gt;0"))</f>
        <v/>
      </c>
      <c r="K1410" s="21" t="str">
        <f t="shared" ref="K1410:K1473" ca="1" si="107">IFERROR(INDEX(A:A,MATCH(ROW(I1409),J:J,0)),"")</f>
        <v/>
      </c>
    </row>
    <row r="1411" spans="1:11" s="18" customFormat="1" ht="14.25" x14ac:dyDescent="0.2">
      <c r="A1411" s="18" t="str">
        <f t="shared" si="106"/>
        <v>Eintrag 1410</v>
      </c>
      <c r="B1411" s="18">
        <v>100</v>
      </c>
      <c r="C1411" s="19">
        <v>100</v>
      </c>
      <c r="D1411" s="20">
        <v>10</v>
      </c>
      <c r="E1411" s="20">
        <v>10</v>
      </c>
      <c r="F1411" s="20">
        <v>10</v>
      </c>
      <c r="G1411" s="19">
        <f t="shared" ref="G1411:G1474" si="108">D1411*9+E1411*4.1+F1411*4.1</f>
        <v>172</v>
      </c>
      <c r="H1411" s="22">
        <f t="shared" si="105"/>
        <v>1410</v>
      </c>
      <c r="I1411" s="21">
        <f t="shared" ca="1" si="104"/>
        <v>0</v>
      </c>
      <c r="J1411" s="21" t="str">
        <f ca="1">IF(I1411=0,"",COUNTIF($I$2:I1411,"&gt;0"))</f>
        <v/>
      </c>
      <c r="K1411" s="21" t="str">
        <f t="shared" ca="1" si="107"/>
        <v/>
      </c>
    </row>
    <row r="1412" spans="1:11" s="18" customFormat="1" ht="14.25" x14ac:dyDescent="0.2">
      <c r="A1412" s="18" t="str">
        <f t="shared" si="106"/>
        <v>Eintrag 1411</v>
      </c>
      <c r="B1412" s="18">
        <v>100</v>
      </c>
      <c r="C1412" s="19">
        <v>100</v>
      </c>
      <c r="D1412" s="20">
        <v>10</v>
      </c>
      <c r="E1412" s="20">
        <v>10</v>
      </c>
      <c r="F1412" s="20">
        <v>10</v>
      </c>
      <c r="G1412" s="19">
        <f t="shared" si="108"/>
        <v>172</v>
      </c>
      <c r="H1412" s="22">
        <f t="shared" si="105"/>
        <v>1411</v>
      </c>
      <c r="I1412" s="21">
        <f t="shared" ca="1" si="104"/>
        <v>0</v>
      </c>
      <c r="J1412" s="21" t="str">
        <f ca="1">IF(I1412=0,"",COUNTIF($I$2:I1412,"&gt;0"))</f>
        <v/>
      </c>
      <c r="K1412" s="21" t="str">
        <f t="shared" ca="1" si="107"/>
        <v/>
      </c>
    </row>
    <row r="1413" spans="1:11" s="18" customFormat="1" ht="14.25" x14ac:dyDescent="0.2">
      <c r="A1413" s="18" t="str">
        <f t="shared" si="106"/>
        <v>Eintrag 1412</v>
      </c>
      <c r="B1413" s="18">
        <v>100</v>
      </c>
      <c r="C1413" s="19">
        <v>100</v>
      </c>
      <c r="D1413" s="20">
        <v>10</v>
      </c>
      <c r="E1413" s="20">
        <v>10</v>
      </c>
      <c r="F1413" s="20">
        <v>10</v>
      </c>
      <c r="G1413" s="19">
        <f t="shared" si="108"/>
        <v>172</v>
      </c>
      <c r="H1413" s="22">
        <f t="shared" si="105"/>
        <v>1412</v>
      </c>
      <c r="I1413" s="21">
        <f t="shared" ca="1" si="104"/>
        <v>0</v>
      </c>
      <c r="J1413" s="21" t="str">
        <f ca="1">IF(I1413=0,"",COUNTIF($I$2:I1413,"&gt;0"))</f>
        <v/>
      </c>
      <c r="K1413" s="21" t="str">
        <f t="shared" ca="1" si="107"/>
        <v/>
      </c>
    </row>
    <row r="1414" spans="1:11" s="18" customFormat="1" ht="14.25" x14ac:dyDescent="0.2">
      <c r="A1414" s="18" t="str">
        <f t="shared" si="106"/>
        <v>Eintrag 1413</v>
      </c>
      <c r="B1414" s="18">
        <v>100</v>
      </c>
      <c r="C1414" s="19">
        <v>100</v>
      </c>
      <c r="D1414" s="20">
        <v>10</v>
      </c>
      <c r="E1414" s="20">
        <v>10</v>
      </c>
      <c r="F1414" s="20">
        <v>10</v>
      </c>
      <c r="G1414" s="19">
        <f t="shared" si="108"/>
        <v>172</v>
      </c>
      <c r="H1414" s="22">
        <f t="shared" si="105"/>
        <v>1413</v>
      </c>
      <c r="I1414" s="21">
        <f t="shared" ca="1" si="104"/>
        <v>0</v>
      </c>
      <c r="J1414" s="21" t="str">
        <f ca="1">IF(I1414=0,"",COUNTIF($I$2:I1414,"&gt;0"))</f>
        <v/>
      </c>
      <c r="K1414" s="21" t="str">
        <f t="shared" ca="1" si="107"/>
        <v/>
      </c>
    </row>
    <row r="1415" spans="1:11" s="18" customFormat="1" ht="14.25" x14ac:dyDescent="0.2">
      <c r="A1415" s="18" t="str">
        <f t="shared" si="106"/>
        <v>Eintrag 1414</v>
      </c>
      <c r="B1415" s="18">
        <v>100</v>
      </c>
      <c r="C1415" s="19">
        <v>100</v>
      </c>
      <c r="D1415" s="20">
        <v>10</v>
      </c>
      <c r="E1415" s="20">
        <v>10</v>
      </c>
      <c r="F1415" s="20">
        <v>10</v>
      </c>
      <c r="G1415" s="19">
        <f t="shared" si="108"/>
        <v>172</v>
      </c>
      <c r="H1415" s="22">
        <f t="shared" si="105"/>
        <v>1414</v>
      </c>
      <c r="I1415" s="21">
        <f t="shared" ca="1" si="104"/>
        <v>0</v>
      </c>
      <c r="J1415" s="21" t="str">
        <f ca="1">IF(I1415=0,"",COUNTIF($I$2:I1415,"&gt;0"))</f>
        <v/>
      </c>
      <c r="K1415" s="21" t="str">
        <f t="shared" ca="1" si="107"/>
        <v/>
      </c>
    </row>
    <row r="1416" spans="1:11" s="18" customFormat="1" ht="14.25" x14ac:dyDescent="0.2">
      <c r="A1416" s="18" t="str">
        <f t="shared" si="106"/>
        <v>Eintrag 1415</v>
      </c>
      <c r="B1416" s="18">
        <v>100</v>
      </c>
      <c r="C1416" s="19">
        <v>100</v>
      </c>
      <c r="D1416" s="20">
        <v>10</v>
      </c>
      <c r="E1416" s="20">
        <v>10</v>
      </c>
      <c r="F1416" s="20">
        <v>10</v>
      </c>
      <c r="G1416" s="19">
        <f t="shared" si="108"/>
        <v>172</v>
      </c>
      <c r="H1416" s="22">
        <f t="shared" si="105"/>
        <v>1415</v>
      </c>
      <c r="I1416" s="21">
        <f t="shared" ca="1" si="104"/>
        <v>0</v>
      </c>
      <c r="J1416" s="21" t="str">
        <f ca="1">IF(I1416=0,"",COUNTIF($I$2:I1416,"&gt;0"))</f>
        <v/>
      </c>
      <c r="K1416" s="21" t="str">
        <f t="shared" ca="1" si="107"/>
        <v/>
      </c>
    </row>
    <row r="1417" spans="1:11" s="18" customFormat="1" ht="14.25" x14ac:dyDescent="0.2">
      <c r="A1417" s="18" t="str">
        <f t="shared" si="106"/>
        <v>Eintrag 1416</v>
      </c>
      <c r="B1417" s="18">
        <v>100</v>
      </c>
      <c r="C1417" s="19">
        <v>100</v>
      </c>
      <c r="D1417" s="20">
        <v>10</v>
      </c>
      <c r="E1417" s="20">
        <v>10</v>
      </c>
      <c r="F1417" s="20">
        <v>10</v>
      </c>
      <c r="G1417" s="19">
        <f t="shared" si="108"/>
        <v>172</v>
      </c>
      <c r="H1417" s="22">
        <f t="shared" si="105"/>
        <v>1416</v>
      </c>
      <c r="I1417" s="21">
        <f t="shared" ca="1" si="104"/>
        <v>0</v>
      </c>
      <c r="J1417" s="21" t="str">
        <f ca="1">IF(I1417=0,"",COUNTIF($I$2:I1417,"&gt;0"))</f>
        <v/>
      </c>
      <c r="K1417" s="21" t="str">
        <f t="shared" ca="1" si="107"/>
        <v/>
      </c>
    </row>
    <row r="1418" spans="1:11" s="18" customFormat="1" ht="14.25" x14ac:dyDescent="0.2">
      <c r="A1418" s="18" t="str">
        <f t="shared" si="106"/>
        <v>Eintrag 1417</v>
      </c>
      <c r="B1418" s="18">
        <v>100</v>
      </c>
      <c r="C1418" s="19">
        <v>100</v>
      </c>
      <c r="D1418" s="20">
        <v>10</v>
      </c>
      <c r="E1418" s="20">
        <v>10</v>
      </c>
      <c r="F1418" s="20">
        <v>10</v>
      </c>
      <c r="G1418" s="19">
        <f t="shared" si="108"/>
        <v>172</v>
      </c>
      <c r="H1418" s="22">
        <f t="shared" si="105"/>
        <v>1417</v>
      </c>
      <c r="I1418" s="21">
        <f t="shared" ca="1" si="104"/>
        <v>0</v>
      </c>
      <c r="J1418" s="21" t="str">
        <f ca="1">IF(I1418=0,"",COUNTIF($I$2:I1418,"&gt;0"))</f>
        <v/>
      </c>
      <c r="K1418" s="21" t="str">
        <f t="shared" ca="1" si="107"/>
        <v/>
      </c>
    </row>
    <row r="1419" spans="1:11" s="18" customFormat="1" ht="14.25" x14ac:dyDescent="0.2">
      <c r="A1419" s="18" t="str">
        <f t="shared" si="106"/>
        <v>Eintrag 1418</v>
      </c>
      <c r="B1419" s="18">
        <v>100</v>
      </c>
      <c r="C1419" s="19">
        <v>100</v>
      </c>
      <c r="D1419" s="20">
        <v>10</v>
      </c>
      <c r="E1419" s="20">
        <v>10</v>
      </c>
      <c r="F1419" s="20">
        <v>10</v>
      </c>
      <c r="G1419" s="19">
        <f t="shared" si="108"/>
        <v>172</v>
      </c>
      <c r="H1419" s="22">
        <f t="shared" si="105"/>
        <v>1418</v>
      </c>
      <c r="I1419" s="21">
        <f t="shared" ca="1" si="104"/>
        <v>0</v>
      </c>
      <c r="J1419" s="21" t="str">
        <f ca="1">IF(I1419=0,"",COUNTIF($I$2:I1419,"&gt;0"))</f>
        <v/>
      </c>
      <c r="K1419" s="21" t="str">
        <f t="shared" ca="1" si="107"/>
        <v/>
      </c>
    </row>
    <row r="1420" spans="1:11" s="18" customFormat="1" ht="14.25" x14ac:dyDescent="0.2">
      <c r="A1420" s="18" t="str">
        <f t="shared" si="106"/>
        <v>Eintrag 1419</v>
      </c>
      <c r="B1420" s="18">
        <v>100</v>
      </c>
      <c r="C1420" s="19">
        <v>100</v>
      </c>
      <c r="D1420" s="20">
        <v>10</v>
      </c>
      <c r="E1420" s="20">
        <v>10</v>
      </c>
      <c r="F1420" s="20">
        <v>10</v>
      </c>
      <c r="G1420" s="19">
        <f t="shared" si="108"/>
        <v>172</v>
      </c>
      <c r="H1420" s="22">
        <f t="shared" si="105"/>
        <v>1419</v>
      </c>
      <c r="I1420" s="21">
        <f t="shared" ca="1" si="104"/>
        <v>0</v>
      </c>
      <c r="J1420" s="21" t="str">
        <f ca="1">IF(I1420=0,"",COUNTIF($I$2:I1420,"&gt;0"))</f>
        <v/>
      </c>
      <c r="K1420" s="21" t="str">
        <f t="shared" ca="1" si="107"/>
        <v/>
      </c>
    </row>
    <row r="1421" spans="1:11" s="18" customFormat="1" ht="14.25" x14ac:dyDescent="0.2">
      <c r="A1421" s="18" t="str">
        <f t="shared" si="106"/>
        <v>Eintrag 1420</v>
      </c>
      <c r="B1421" s="18">
        <v>100</v>
      </c>
      <c r="C1421" s="19">
        <v>100</v>
      </c>
      <c r="D1421" s="20">
        <v>10</v>
      </c>
      <c r="E1421" s="20">
        <v>10</v>
      </c>
      <c r="F1421" s="20">
        <v>10</v>
      </c>
      <c r="G1421" s="19">
        <f t="shared" si="108"/>
        <v>172</v>
      </c>
      <c r="H1421" s="22">
        <f t="shared" si="105"/>
        <v>1420</v>
      </c>
      <c r="I1421" s="21">
        <f t="shared" ca="1" si="104"/>
        <v>0</v>
      </c>
      <c r="J1421" s="21" t="str">
        <f ca="1">IF(I1421=0,"",COUNTIF($I$2:I1421,"&gt;0"))</f>
        <v/>
      </c>
      <c r="K1421" s="21" t="str">
        <f t="shared" ca="1" si="107"/>
        <v/>
      </c>
    </row>
    <row r="1422" spans="1:11" s="18" customFormat="1" ht="14.25" x14ac:dyDescent="0.2">
      <c r="A1422" s="18" t="str">
        <f t="shared" si="106"/>
        <v>Eintrag 1421</v>
      </c>
      <c r="B1422" s="18">
        <v>100</v>
      </c>
      <c r="C1422" s="19">
        <v>100</v>
      </c>
      <c r="D1422" s="20">
        <v>10</v>
      </c>
      <c r="E1422" s="20">
        <v>10</v>
      </c>
      <c r="F1422" s="20">
        <v>10</v>
      </c>
      <c r="G1422" s="19">
        <f t="shared" si="108"/>
        <v>172</v>
      </c>
      <c r="H1422" s="22">
        <f t="shared" si="105"/>
        <v>1421</v>
      </c>
      <c r="I1422" s="21">
        <f t="shared" ca="1" si="104"/>
        <v>0</v>
      </c>
      <c r="J1422" s="21" t="str">
        <f ca="1">IF(I1422=0,"",COUNTIF($I$2:I1422,"&gt;0"))</f>
        <v/>
      </c>
      <c r="K1422" s="21" t="str">
        <f t="shared" ca="1" si="107"/>
        <v/>
      </c>
    </row>
    <row r="1423" spans="1:11" s="18" customFormat="1" ht="14.25" x14ac:dyDescent="0.2">
      <c r="A1423" s="18" t="str">
        <f t="shared" si="106"/>
        <v>Eintrag 1422</v>
      </c>
      <c r="B1423" s="18">
        <v>100</v>
      </c>
      <c r="C1423" s="19">
        <v>100</v>
      </c>
      <c r="D1423" s="20">
        <v>10</v>
      </c>
      <c r="E1423" s="20">
        <v>10</v>
      </c>
      <c r="F1423" s="20">
        <v>10</v>
      </c>
      <c r="G1423" s="19">
        <f t="shared" si="108"/>
        <v>172</v>
      </c>
      <c r="H1423" s="22">
        <f t="shared" si="105"/>
        <v>1422</v>
      </c>
      <c r="I1423" s="21">
        <f t="shared" ca="1" si="104"/>
        <v>0</v>
      </c>
      <c r="J1423" s="21" t="str">
        <f ca="1">IF(I1423=0,"",COUNTIF($I$2:I1423,"&gt;0"))</f>
        <v/>
      </c>
      <c r="K1423" s="21" t="str">
        <f t="shared" ca="1" si="107"/>
        <v/>
      </c>
    </row>
    <row r="1424" spans="1:11" s="18" customFormat="1" ht="14.25" x14ac:dyDescent="0.2">
      <c r="A1424" s="18" t="str">
        <f t="shared" si="106"/>
        <v>Eintrag 1423</v>
      </c>
      <c r="B1424" s="18">
        <v>100</v>
      </c>
      <c r="C1424" s="19">
        <v>100</v>
      </c>
      <c r="D1424" s="20">
        <v>10</v>
      </c>
      <c r="E1424" s="20">
        <v>10</v>
      </c>
      <c r="F1424" s="20">
        <v>10</v>
      </c>
      <c r="G1424" s="19">
        <f t="shared" si="108"/>
        <v>172</v>
      </c>
      <c r="H1424" s="22">
        <f t="shared" si="105"/>
        <v>1423</v>
      </c>
      <c r="I1424" s="21">
        <f t="shared" ca="1" si="104"/>
        <v>0</v>
      </c>
      <c r="J1424" s="21" t="str">
        <f ca="1">IF(I1424=0,"",COUNTIF($I$2:I1424,"&gt;0"))</f>
        <v/>
      </c>
      <c r="K1424" s="21" t="str">
        <f t="shared" ca="1" si="107"/>
        <v/>
      </c>
    </row>
    <row r="1425" spans="1:11" s="18" customFormat="1" ht="14.25" x14ac:dyDescent="0.2">
      <c r="A1425" s="18" t="str">
        <f t="shared" si="106"/>
        <v>Eintrag 1424</v>
      </c>
      <c r="B1425" s="18">
        <v>100</v>
      </c>
      <c r="C1425" s="19">
        <v>100</v>
      </c>
      <c r="D1425" s="20">
        <v>10</v>
      </c>
      <c r="E1425" s="20">
        <v>10</v>
      </c>
      <c r="F1425" s="20">
        <v>10</v>
      </c>
      <c r="G1425" s="19">
        <f t="shared" si="108"/>
        <v>172</v>
      </c>
      <c r="H1425" s="22">
        <f t="shared" si="105"/>
        <v>1424</v>
      </c>
      <c r="I1425" s="21">
        <f t="shared" ca="1" si="104"/>
        <v>0</v>
      </c>
      <c r="J1425" s="21" t="str">
        <f ca="1">IF(I1425=0,"",COUNTIF($I$2:I1425,"&gt;0"))</f>
        <v/>
      </c>
      <c r="K1425" s="21" t="str">
        <f t="shared" ca="1" si="107"/>
        <v/>
      </c>
    </row>
    <row r="1426" spans="1:11" s="18" customFormat="1" ht="14.25" x14ac:dyDescent="0.2">
      <c r="A1426" s="18" t="str">
        <f t="shared" si="106"/>
        <v>Eintrag 1425</v>
      </c>
      <c r="B1426" s="18">
        <v>100</v>
      </c>
      <c r="C1426" s="19">
        <v>100</v>
      </c>
      <c r="D1426" s="20">
        <v>10</v>
      </c>
      <c r="E1426" s="20">
        <v>10</v>
      </c>
      <c r="F1426" s="20">
        <v>10</v>
      </c>
      <c r="G1426" s="19">
        <f t="shared" si="108"/>
        <v>172</v>
      </c>
      <c r="H1426" s="22">
        <f t="shared" si="105"/>
        <v>1425</v>
      </c>
      <c r="I1426" s="21">
        <f t="shared" ca="1" si="104"/>
        <v>0</v>
      </c>
      <c r="J1426" s="21" t="str">
        <f ca="1">IF(I1426=0,"",COUNTIF($I$2:I1426,"&gt;0"))</f>
        <v/>
      </c>
      <c r="K1426" s="21" t="str">
        <f t="shared" ca="1" si="107"/>
        <v/>
      </c>
    </row>
    <row r="1427" spans="1:11" s="18" customFormat="1" ht="14.25" x14ac:dyDescent="0.2">
      <c r="A1427" s="18" t="str">
        <f t="shared" si="106"/>
        <v>Eintrag 1426</v>
      </c>
      <c r="B1427" s="18">
        <v>100</v>
      </c>
      <c r="C1427" s="19">
        <v>100</v>
      </c>
      <c r="D1427" s="20">
        <v>10</v>
      </c>
      <c r="E1427" s="20">
        <v>10</v>
      </c>
      <c r="F1427" s="20">
        <v>10</v>
      </c>
      <c r="G1427" s="19">
        <f t="shared" si="108"/>
        <v>172</v>
      </c>
      <c r="H1427" s="22">
        <f t="shared" si="105"/>
        <v>1426</v>
      </c>
      <c r="I1427" s="21">
        <f t="shared" ca="1" si="104"/>
        <v>0</v>
      </c>
      <c r="J1427" s="21" t="str">
        <f ca="1">IF(I1427=0,"",COUNTIF($I$2:I1427,"&gt;0"))</f>
        <v/>
      </c>
      <c r="K1427" s="21" t="str">
        <f t="shared" ca="1" si="107"/>
        <v/>
      </c>
    </row>
    <row r="1428" spans="1:11" s="18" customFormat="1" ht="14.25" x14ac:dyDescent="0.2">
      <c r="A1428" s="18" t="str">
        <f t="shared" si="106"/>
        <v>Eintrag 1427</v>
      </c>
      <c r="B1428" s="18">
        <v>100</v>
      </c>
      <c r="C1428" s="19">
        <v>100</v>
      </c>
      <c r="D1428" s="20">
        <v>10</v>
      </c>
      <c r="E1428" s="20">
        <v>10</v>
      </c>
      <c r="F1428" s="20">
        <v>10</v>
      </c>
      <c r="G1428" s="19">
        <f t="shared" si="108"/>
        <v>172</v>
      </c>
      <c r="H1428" s="22">
        <f t="shared" si="105"/>
        <v>1427</v>
      </c>
      <c r="I1428" s="21">
        <f t="shared" ca="1" si="104"/>
        <v>0</v>
      </c>
      <c r="J1428" s="21" t="str">
        <f ca="1">IF(I1428=0,"",COUNTIF($I$2:I1428,"&gt;0"))</f>
        <v/>
      </c>
      <c r="K1428" s="21" t="str">
        <f t="shared" ca="1" si="107"/>
        <v/>
      </c>
    </row>
    <row r="1429" spans="1:11" s="18" customFormat="1" ht="14.25" x14ac:dyDescent="0.2">
      <c r="A1429" s="18" t="str">
        <f t="shared" si="106"/>
        <v>Eintrag 1428</v>
      </c>
      <c r="B1429" s="18">
        <v>100</v>
      </c>
      <c r="C1429" s="19">
        <v>100</v>
      </c>
      <c r="D1429" s="20">
        <v>10</v>
      </c>
      <c r="E1429" s="20">
        <v>10</v>
      </c>
      <c r="F1429" s="20">
        <v>10</v>
      </c>
      <c r="G1429" s="19">
        <f t="shared" si="108"/>
        <v>172</v>
      </c>
      <c r="H1429" s="22">
        <f t="shared" si="105"/>
        <v>1428</v>
      </c>
      <c r="I1429" s="21">
        <f t="shared" ca="1" si="104"/>
        <v>0</v>
      </c>
      <c r="J1429" s="21" t="str">
        <f ca="1">IF(I1429=0,"",COUNTIF($I$2:I1429,"&gt;0"))</f>
        <v/>
      </c>
      <c r="K1429" s="21" t="str">
        <f t="shared" ca="1" si="107"/>
        <v/>
      </c>
    </row>
    <row r="1430" spans="1:11" s="18" customFormat="1" ht="14.25" x14ac:dyDescent="0.2">
      <c r="A1430" s="18" t="str">
        <f t="shared" si="106"/>
        <v>Eintrag 1429</v>
      </c>
      <c r="B1430" s="18">
        <v>100</v>
      </c>
      <c r="C1430" s="19">
        <v>100</v>
      </c>
      <c r="D1430" s="20">
        <v>10</v>
      </c>
      <c r="E1430" s="20">
        <v>10</v>
      </c>
      <c r="F1430" s="20">
        <v>10</v>
      </c>
      <c r="G1430" s="19">
        <f t="shared" si="108"/>
        <v>172</v>
      </c>
      <c r="H1430" s="22">
        <f t="shared" si="105"/>
        <v>1429</v>
      </c>
      <c r="I1430" s="21">
        <f t="shared" ca="1" si="104"/>
        <v>0</v>
      </c>
      <c r="J1430" s="21" t="str">
        <f ca="1">IF(I1430=0,"",COUNTIF($I$2:I1430,"&gt;0"))</f>
        <v/>
      </c>
      <c r="K1430" s="21" t="str">
        <f t="shared" ca="1" si="107"/>
        <v/>
      </c>
    </row>
    <row r="1431" spans="1:11" s="18" customFormat="1" ht="14.25" x14ac:dyDescent="0.2">
      <c r="A1431" s="18" t="str">
        <f t="shared" si="106"/>
        <v>Eintrag 1430</v>
      </c>
      <c r="B1431" s="18">
        <v>100</v>
      </c>
      <c r="C1431" s="19">
        <v>100</v>
      </c>
      <c r="D1431" s="20">
        <v>10</v>
      </c>
      <c r="E1431" s="20">
        <v>10</v>
      </c>
      <c r="F1431" s="20">
        <v>10</v>
      </c>
      <c r="G1431" s="19">
        <f t="shared" si="108"/>
        <v>172</v>
      </c>
      <c r="H1431" s="22">
        <f t="shared" si="105"/>
        <v>1430</v>
      </c>
      <c r="I1431" s="21">
        <f t="shared" ref="I1431:I1494" ca="1" si="109">IFERROR(SEARCH(INDIRECT(CELL("address")),A1431),0)</f>
        <v>0</v>
      </c>
      <c r="J1431" s="21" t="str">
        <f ca="1">IF(I1431=0,"",COUNTIF($I$2:I1431,"&gt;0"))</f>
        <v/>
      </c>
      <c r="K1431" s="21" t="str">
        <f t="shared" ca="1" si="107"/>
        <v/>
      </c>
    </row>
    <row r="1432" spans="1:11" s="18" customFormat="1" ht="14.25" x14ac:dyDescent="0.2">
      <c r="A1432" s="18" t="str">
        <f t="shared" si="106"/>
        <v>Eintrag 1431</v>
      </c>
      <c r="B1432" s="18">
        <v>100</v>
      </c>
      <c r="C1432" s="19">
        <v>100</v>
      </c>
      <c r="D1432" s="20">
        <v>10</v>
      </c>
      <c r="E1432" s="20">
        <v>10</v>
      </c>
      <c r="F1432" s="20">
        <v>10</v>
      </c>
      <c r="G1432" s="19">
        <f t="shared" si="108"/>
        <v>172</v>
      </c>
      <c r="H1432" s="22">
        <f t="shared" si="105"/>
        <v>1431</v>
      </c>
      <c r="I1432" s="21">
        <f t="shared" ca="1" si="109"/>
        <v>0</v>
      </c>
      <c r="J1432" s="21" t="str">
        <f ca="1">IF(I1432=0,"",COUNTIF($I$2:I1432,"&gt;0"))</f>
        <v/>
      </c>
      <c r="K1432" s="21" t="str">
        <f t="shared" ca="1" si="107"/>
        <v/>
      </c>
    </row>
    <row r="1433" spans="1:11" s="18" customFormat="1" ht="14.25" x14ac:dyDescent="0.2">
      <c r="A1433" s="18" t="str">
        <f t="shared" si="106"/>
        <v>Eintrag 1432</v>
      </c>
      <c r="B1433" s="18">
        <v>100</v>
      </c>
      <c r="C1433" s="19">
        <v>100</v>
      </c>
      <c r="D1433" s="20">
        <v>10</v>
      </c>
      <c r="E1433" s="20">
        <v>10</v>
      </c>
      <c r="F1433" s="20">
        <v>10</v>
      </c>
      <c r="G1433" s="19">
        <f t="shared" si="108"/>
        <v>172</v>
      </c>
      <c r="H1433" s="22">
        <f t="shared" si="105"/>
        <v>1432</v>
      </c>
      <c r="I1433" s="21">
        <f t="shared" ca="1" si="109"/>
        <v>0</v>
      </c>
      <c r="J1433" s="21" t="str">
        <f ca="1">IF(I1433=0,"",COUNTIF($I$2:I1433,"&gt;0"))</f>
        <v/>
      </c>
      <c r="K1433" s="21" t="str">
        <f t="shared" ca="1" si="107"/>
        <v/>
      </c>
    </row>
    <row r="1434" spans="1:11" s="18" customFormat="1" ht="14.25" x14ac:dyDescent="0.2">
      <c r="A1434" s="18" t="str">
        <f t="shared" si="106"/>
        <v>Eintrag 1433</v>
      </c>
      <c r="B1434" s="18">
        <v>100</v>
      </c>
      <c r="C1434" s="19">
        <v>100</v>
      </c>
      <c r="D1434" s="20">
        <v>10</v>
      </c>
      <c r="E1434" s="20">
        <v>10</v>
      </c>
      <c r="F1434" s="20">
        <v>10</v>
      </c>
      <c r="G1434" s="19">
        <f t="shared" si="108"/>
        <v>172</v>
      </c>
      <c r="H1434" s="22">
        <f t="shared" si="105"/>
        <v>1433</v>
      </c>
      <c r="I1434" s="21">
        <f t="shared" ca="1" si="109"/>
        <v>0</v>
      </c>
      <c r="J1434" s="21" t="str">
        <f ca="1">IF(I1434=0,"",COUNTIF($I$2:I1434,"&gt;0"))</f>
        <v/>
      </c>
      <c r="K1434" s="21" t="str">
        <f t="shared" ca="1" si="107"/>
        <v/>
      </c>
    </row>
    <row r="1435" spans="1:11" s="18" customFormat="1" ht="14.25" x14ac:dyDescent="0.2">
      <c r="A1435" s="18" t="str">
        <f t="shared" si="106"/>
        <v>Eintrag 1434</v>
      </c>
      <c r="B1435" s="18">
        <v>100</v>
      </c>
      <c r="C1435" s="19">
        <v>100</v>
      </c>
      <c r="D1435" s="20">
        <v>10</v>
      </c>
      <c r="E1435" s="20">
        <v>10</v>
      </c>
      <c r="F1435" s="20">
        <v>10</v>
      </c>
      <c r="G1435" s="19">
        <f t="shared" si="108"/>
        <v>172</v>
      </c>
      <c r="H1435" s="22">
        <f t="shared" si="105"/>
        <v>1434</v>
      </c>
      <c r="I1435" s="21">
        <f t="shared" ca="1" si="109"/>
        <v>0</v>
      </c>
      <c r="J1435" s="21" t="str">
        <f ca="1">IF(I1435=0,"",COUNTIF($I$2:I1435,"&gt;0"))</f>
        <v/>
      </c>
      <c r="K1435" s="21" t="str">
        <f t="shared" ca="1" si="107"/>
        <v/>
      </c>
    </row>
    <row r="1436" spans="1:11" s="18" customFormat="1" ht="14.25" x14ac:dyDescent="0.2">
      <c r="A1436" s="18" t="str">
        <f t="shared" si="106"/>
        <v>Eintrag 1435</v>
      </c>
      <c r="B1436" s="18">
        <v>100</v>
      </c>
      <c r="C1436" s="19">
        <v>100</v>
      </c>
      <c r="D1436" s="20">
        <v>10</v>
      </c>
      <c r="E1436" s="20">
        <v>10</v>
      </c>
      <c r="F1436" s="20">
        <v>10</v>
      </c>
      <c r="G1436" s="19">
        <f t="shared" si="108"/>
        <v>172</v>
      </c>
      <c r="H1436" s="22">
        <f t="shared" si="105"/>
        <v>1435</v>
      </c>
      <c r="I1436" s="21">
        <f t="shared" ca="1" si="109"/>
        <v>0</v>
      </c>
      <c r="J1436" s="21" t="str">
        <f ca="1">IF(I1436=0,"",COUNTIF($I$2:I1436,"&gt;0"))</f>
        <v/>
      </c>
      <c r="K1436" s="21" t="str">
        <f t="shared" ca="1" si="107"/>
        <v/>
      </c>
    </row>
    <row r="1437" spans="1:11" s="18" customFormat="1" ht="14.25" x14ac:dyDescent="0.2">
      <c r="A1437" s="18" t="str">
        <f t="shared" si="106"/>
        <v>Eintrag 1436</v>
      </c>
      <c r="B1437" s="18">
        <v>100</v>
      </c>
      <c r="C1437" s="19">
        <v>100</v>
      </c>
      <c r="D1437" s="20">
        <v>10</v>
      </c>
      <c r="E1437" s="20">
        <v>10</v>
      </c>
      <c r="F1437" s="20">
        <v>10</v>
      </c>
      <c r="G1437" s="19">
        <f t="shared" si="108"/>
        <v>172</v>
      </c>
      <c r="H1437" s="22">
        <f t="shared" si="105"/>
        <v>1436</v>
      </c>
      <c r="I1437" s="21">
        <f t="shared" ca="1" si="109"/>
        <v>0</v>
      </c>
      <c r="J1437" s="21" t="str">
        <f ca="1">IF(I1437=0,"",COUNTIF($I$2:I1437,"&gt;0"))</f>
        <v/>
      </c>
      <c r="K1437" s="21" t="str">
        <f t="shared" ca="1" si="107"/>
        <v/>
      </c>
    </row>
    <row r="1438" spans="1:11" s="18" customFormat="1" ht="14.25" x14ac:dyDescent="0.2">
      <c r="A1438" s="18" t="str">
        <f t="shared" si="106"/>
        <v>Eintrag 1437</v>
      </c>
      <c r="B1438" s="18">
        <v>100</v>
      </c>
      <c r="C1438" s="19">
        <v>100</v>
      </c>
      <c r="D1438" s="20">
        <v>10</v>
      </c>
      <c r="E1438" s="20">
        <v>10</v>
      </c>
      <c r="F1438" s="20">
        <v>10</v>
      </c>
      <c r="G1438" s="19">
        <f t="shared" si="108"/>
        <v>172</v>
      </c>
      <c r="H1438" s="22">
        <f t="shared" si="105"/>
        <v>1437</v>
      </c>
      <c r="I1438" s="21">
        <f t="shared" ca="1" si="109"/>
        <v>0</v>
      </c>
      <c r="J1438" s="21" t="str">
        <f ca="1">IF(I1438=0,"",COUNTIF($I$2:I1438,"&gt;0"))</f>
        <v/>
      </c>
      <c r="K1438" s="21" t="str">
        <f t="shared" ca="1" si="107"/>
        <v/>
      </c>
    </row>
    <row r="1439" spans="1:11" s="18" customFormat="1" ht="14.25" x14ac:dyDescent="0.2">
      <c r="A1439" s="18" t="str">
        <f t="shared" si="106"/>
        <v>Eintrag 1438</v>
      </c>
      <c r="B1439" s="18">
        <v>100</v>
      </c>
      <c r="C1439" s="19">
        <v>100</v>
      </c>
      <c r="D1439" s="20">
        <v>10</v>
      </c>
      <c r="E1439" s="20">
        <v>10</v>
      </c>
      <c r="F1439" s="20">
        <v>10</v>
      </c>
      <c r="G1439" s="19">
        <f t="shared" si="108"/>
        <v>172</v>
      </c>
      <c r="H1439" s="22">
        <f t="shared" si="105"/>
        <v>1438</v>
      </c>
      <c r="I1439" s="21">
        <f t="shared" ca="1" si="109"/>
        <v>0</v>
      </c>
      <c r="J1439" s="21" t="str">
        <f ca="1">IF(I1439=0,"",COUNTIF($I$2:I1439,"&gt;0"))</f>
        <v/>
      </c>
      <c r="K1439" s="21" t="str">
        <f t="shared" ca="1" si="107"/>
        <v/>
      </c>
    </row>
    <row r="1440" spans="1:11" s="18" customFormat="1" ht="14.25" x14ac:dyDescent="0.2">
      <c r="A1440" s="18" t="str">
        <f t="shared" si="106"/>
        <v>Eintrag 1439</v>
      </c>
      <c r="B1440" s="18">
        <v>100</v>
      </c>
      <c r="C1440" s="19">
        <v>100</v>
      </c>
      <c r="D1440" s="20">
        <v>10</v>
      </c>
      <c r="E1440" s="20">
        <v>10</v>
      </c>
      <c r="F1440" s="20">
        <v>10</v>
      </c>
      <c r="G1440" s="19">
        <f t="shared" si="108"/>
        <v>172</v>
      </c>
      <c r="H1440" s="22">
        <f t="shared" si="105"/>
        <v>1439</v>
      </c>
      <c r="I1440" s="21">
        <f t="shared" ca="1" si="109"/>
        <v>0</v>
      </c>
      <c r="J1440" s="21" t="str">
        <f ca="1">IF(I1440=0,"",COUNTIF($I$2:I1440,"&gt;0"))</f>
        <v/>
      </c>
      <c r="K1440" s="21" t="str">
        <f t="shared" ca="1" si="107"/>
        <v/>
      </c>
    </row>
    <row r="1441" spans="1:11" s="18" customFormat="1" ht="14.25" x14ac:dyDescent="0.2">
      <c r="A1441" s="18" t="str">
        <f t="shared" si="106"/>
        <v>Eintrag 1440</v>
      </c>
      <c r="B1441" s="18">
        <v>100</v>
      </c>
      <c r="C1441" s="19">
        <v>100</v>
      </c>
      <c r="D1441" s="20">
        <v>10</v>
      </c>
      <c r="E1441" s="20">
        <v>10</v>
      </c>
      <c r="F1441" s="20">
        <v>10</v>
      </c>
      <c r="G1441" s="19">
        <f t="shared" si="108"/>
        <v>172</v>
      </c>
      <c r="H1441" s="22">
        <f t="shared" si="105"/>
        <v>1440</v>
      </c>
      <c r="I1441" s="21">
        <f t="shared" ca="1" si="109"/>
        <v>0</v>
      </c>
      <c r="J1441" s="21" t="str">
        <f ca="1">IF(I1441=0,"",COUNTIF($I$2:I1441,"&gt;0"))</f>
        <v/>
      </c>
      <c r="K1441" s="21" t="str">
        <f t="shared" ca="1" si="107"/>
        <v/>
      </c>
    </row>
    <row r="1442" spans="1:11" s="18" customFormat="1" ht="14.25" x14ac:dyDescent="0.2">
      <c r="A1442" s="18" t="str">
        <f t="shared" si="106"/>
        <v>Eintrag 1441</v>
      </c>
      <c r="B1442" s="18">
        <v>100</v>
      </c>
      <c r="C1442" s="19">
        <v>100</v>
      </c>
      <c r="D1442" s="20">
        <v>10</v>
      </c>
      <c r="E1442" s="20">
        <v>10</v>
      </c>
      <c r="F1442" s="20">
        <v>10</v>
      </c>
      <c r="G1442" s="19">
        <f t="shared" si="108"/>
        <v>172</v>
      </c>
      <c r="H1442" s="22">
        <f t="shared" si="105"/>
        <v>1441</v>
      </c>
      <c r="I1442" s="21">
        <f t="shared" ca="1" si="109"/>
        <v>0</v>
      </c>
      <c r="J1442" s="21" t="str">
        <f ca="1">IF(I1442=0,"",COUNTIF($I$2:I1442,"&gt;0"))</f>
        <v/>
      </c>
      <c r="K1442" s="21" t="str">
        <f t="shared" ca="1" si="107"/>
        <v/>
      </c>
    </row>
    <row r="1443" spans="1:11" s="18" customFormat="1" ht="14.25" x14ac:dyDescent="0.2">
      <c r="A1443" s="18" t="str">
        <f t="shared" si="106"/>
        <v>Eintrag 1442</v>
      </c>
      <c r="B1443" s="18">
        <v>100</v>
      </c>
      <c r="C1443" s="19">
        <v>100</v>
      </c>
      <c r="D1443" s="20">
        <v>10</v>
      </c>
      <c r="E1443" s="20">
        <v>10</v>
      </c>
      <c r="F1443" s="20">
        <v>10</v>
      </c>
      <c r="G1443" s="19">
        <f t="shared" si="108"/>
        <v>172</v>
      </c>
      <c r="H1443" s="22">
        <f t="shared" si="105"/>
        <v>1442</v>
      </c>
      <c r="I1443" s="21">
        <f t="shared" ca="1" si="109"/>
        <v>0</v>
      </c>
      <c r="J1443" s="21" t="str">
        <f ca="1">IF(I1443=0,"",COUNTIF($I$2:I1443,"&gt;0"))</f>
        <v/>
      </c>
      <c r="K1443" s="21" t="str">
        <f t="shared" ca="1" si="107"/>
        <v/>
      </c>
    </row>
    <row r="1444" spans="1:11" s="18" customFormat="1" ht="14.25" x14ac:dyDescent="0.2">
      <c r="A1444" s="18" t="str">
        <f t="shared" si="106"/>
        <v>Eintrag 1443</v>
      </c>
      <c r="B1444" s="18">
        <v>100</v>
      </c>
      <c r="C1444" s="19">
        <v>100</v>
      </c>
      <c r="D1444" s="20">
        <v>10</v>
      </c>
      <c r="E1444" s="20">
        <v>10</v>
      </c>
      <c r="F1444" s="20">
        <v>10</v>
      </c>
      <c r="G1444" s="19">
        <f t="shared" si="108"/>
        <v>172</v>
      </c>
      <c r="H1444" s="22">
        <f t="shared" si="105"/>
        <v>1443</v>
      </c>
      <c r="I1444" s="21">
        <f t="shared" ca="1" si="109"/>
        <v>0</v>
      </c>
      <c r="J1444" s="21" t="str">
        <f ca="1">IF(I1444=0,"",COUNTIF($I$2:I1444,"&gt;0"))</f>
        <v/>
      </c>
      <c r="K1444" s="21" t="str">
        <f t="shared" ca="1" si="107"/>
        <v/>
      </c>
    </row>
    <row r="1445" spans="1:11" s="18" customFormat="1" ht="14.25" x14ac:dyDescent="0.2">
      <c r="A1445" s="18" t="str">
        <f t="shared" si="106"/>
        <v>Eintrag 1444</v>
      </c>
      <c r="B1445" s="18">
        <v>100</v>
      </c>
      <c r="C1445" s="19">
        <v>100</v>
      </c>
      <c r="D1445" s="20">
        <v>10</v>
      </c>
      <c r="E1445" s="20">
        <v>10</v>
      </c>
      <c r="F1445" s="20">
        <v>10</v>
      </c>
      <c r="G1445" s="19">
        <f t="shared" si="108"/>
        <v>172</v>
      </c>
      <c r="H1445" s="22">
        <f t="shared" ref="H1445:H1508" si="110">H1444+1</f>
        <v>1444</v>
      </c>
      <c r="I1445" s="21">
        <f t="shared" ca="1" si="109"/>
        <v>0</v>
      </c>
      <c r="J1445" s="21" t="str">
        <f ca="1">IF(I1445=0,"",COUNTIF($I$2:I1445,"&gt;0"))</f>
        <v/>
      </c>
      <c r="K1445" s="21" t="str">
        <f t="shared" ca="1" si="107"/>
        <v/>
      </c>
    </row>
    <row r="1446" spans="1:11" s="18" customFormat="1" ht="14.25" x14ac:dyDescent="0.2">
      <c r="A1446" s="18" t="str">
        <f t="shared" si="106"/>
        <v>Eintrag 1445</v>
      </c>
      <c r="B1446" s="18">
        <v>100</v>
      </c>
      <c r="C1446" s="19">
        <v>100</v>
      </c>
      <c r="D1446" s="20">
        <v>10</v>
      </c>
      <c r="E1446" s="20">
        <v>10</v>
      </c>
      <c r="F1446" s="20">
        <v>10</v>
      </c>
      <c r="G1446" s="19">
        <f t="shared" si="108"/>
        <v>172</v>
      </c>
      <c r="H1446" s="22">
        <f t="shared" si="110"/>
        <v>1445</v>
      </c>
      <c r="I1446" s="21">
        <f t="shared" ca="1" si="109"/>
        <v>0</v>
      </c>
      <c r="J1446" s="21" t="str">
        <f ca="1">IF(I1446=0,"",COUNTIF($I$2:I1446,"&gt;0"))</f>
        <v/>
      </c>
      <c r="K1446" s="21" t="str">
        <f t="shared" ca="1" si="107"/>
        <v/>
      </c>
    </row>
    <row r="1447" spans="1:11" s="18" customFormat="1" ht="14.25" x14ac:dyDescent="0.2">
      <c r="A1447" s="18" t="str">
        <f t="shared" si="106"/>
        <v>Eintrag 1446</v>
      </c>
      <c r="B1447" s="18">
        <v>100</v>
      </c>
      <c r="C1447" s="19">
        <v>100</v>
      </c>
      <c r="D1447" s="20">
        <v>10</v>
      </c>
      <c r="E1447" s="20">
        <v>10</v>
      </c>
      <c r="F1447" s="20">
        <v>10</v>
      </c>
      <c r="G1447" s="19">
        <f t="shared" si="108"/>
        <v>172</v>
      </c>
      <c r="H1447" s="22">
        <f t="shared" si="110"/>
        <v>1446</v>
      </c>
      <c r="I1447" s="21">
        <f t="shared" ca="1" si="109"/>
        <v>0</v>
      </c>
      <c r="J1447" s="21" t="str">
        <f ca="1">IF(I1447=0,"",COUNTIF($I$2:I1447,"&gt;0"))</f>
        <v/>
      </c>
      <c r="K1447" s="21" t="str">
        <f t="shared" ca="1" si="107"/>
        <v/>
      </c>
    </row>
    <row r="1448" spans="1:11" s="18" customFormat="1" ht="14.25" x14ac:dyDescent="0.2">
      <c r="A1448" s="18" t="str">
        <f t="shared" si="106"/>
        <v>Eintrag 1447</v>
      </c>
      <c r="B1448" s="18">
        <v>100</v>
      </c>
      <c r="C1448" s="19">
        <v>100</v>
      </c>
      <c r="D1448" s="20">
        <v>10</v>
      </c>
      <c r="E1448" s="20">
        <v>10</v>
      </c>
      <c r="F1448" s="20">
        <v>10</v>
      </c>
      <c r="G1448" s="19">
        <f t="shared" si="108"/>
        <v>172</v>
      </c>
      <c r="H1448" s="22">
        <f t="shared" si="110"/>
        <v>1447</v>
      </c>
      <c r="I1448" s="21">
        <f t="shared" ca="1" si="109"/>
        <v>0</v>
      </c>
      <c r="J1448" s="21" t="str">
        <f ca="1">IF(I1448=0,"",COUNTIF($I$2:I1448,"&gt;0"))</f>
        <v/>
      </c>
      <c r="K1448" s="21" t="str">
        <f t="shared" ca="1" si="107"/>
        <v/>
      </c>
    </row>
    <row r="1449" spans="1:11" s="18" customFormat="1" ht="14.25" x14ac:dyDescent="0.2">
      <c r="A1449" s="18" t="str">
        <f t="shared" si="106"/>
        <v>Eintrag 1448</v>
      </c>
      <c r="B1449" s="18">
        <v>100</v>
      </c>
      <c r="C1449" s="19">
        <v>100</v>
      </c>
      <c r="D1449" s="20">
        <v>10</v>
      </c>
      <c r="E1449" s="20">
        <v>10</v>
      </c>
      <c r="F1449" s="20">
        <v>10</v>
      </c>
      <c r="G1449" s="19">
        <f t="shared" si="108"/>
        <v>172</v>
      </c>
      <c r="H1449" s="22">
        <f t="shared" si="110"/>
        <v>1448</v>
      </c>
      <c r="I1449" s="21">
        <f t="shared" ca="1" si="109"/>
        <v>0</v>
      </c>
      <c r="J1449" s="21" t="str">
        <f ca="1">IF(I1449=0,"",COUNTIF($I$2:I1449,"&gt;0"))</f>
        <v/>
      </c>
      <c r="K1449" s="21" t="str">
        <f t="shared" ca="1" si="107"/>
        <v/>
      </c>
    </row>
    <row r="1450" spans="1:11" s="18" customFormat="1" ht="14.25" x14ac:dyDescent="0.2">
      <c r="A1450" s="18" t="str">
        <f t="shared" si="106"/>
        <v>Eintrag 1449</v>
      </c>
      <c r="B1450" s="18">
        <v>100</v>
      </c>
      <c r="C1450" s="19">
        <v>100</v>
      </c>
      <c r="D1450" s="20">
        <v>10</v>
      </c>
      <c r="E1450" s="20">
        <v>10</v>
      </c>
      <c r="F1450" s="20">
        <v>10</v>
      </c>
      <c r="G1450" s="19">
        <f t="shared" si="108"/>
        <v>172</v>
      </c>
      <c r="H1450" s="22">
        <f t="shared" si="110"/>
        <v>1449</v>
      </c>
      <c r="I1450" s="21">
        <f t="shared" ca="1" si="109"/>
        <v>0</v>
      </c>
      <c r="J1450" s="21" t="str">
        <f ca="1">IF(I1450=0,"",COUNTIF($I$2:I1450,"&gt;0"))</f>
        <v/>
      </c>
      <c r="K1450" s="21" t="str">
        <f t="shared" ca="1" si="107"/>
        <v/>
      </c>
    </row>
    <row r="1451" spans="1:11" s="18" customFormat="1" ht="14.25" x14ac:dyDescent="0.2">
      <c r="A1451" s="18" t="str">
        <f t="shared" si="106"/>
        <v>Eintrag 1450</v>
      </c>
      <c r="B1451" s="18">
        <v>100</v>
      </c>
      <c r="C1451" s="19">
        <v>100</v>
      </c>
      <c r="D1451" s="20">
        <v>10</v>
      </c>
      <c r="E1451" s="20">
        <v>10</v>
      </c>
      <c r="F1451" s="20">
        <v>10</v>
      </c>
      <c r="G1451" s="19">
        <f t="shared" si="108"/>
        <v>172</v>
      </c>
      <c r="H1451" s="22">
        <f t="shared" si="110"/>
        <v>1450</v>
      </c>
      <c r="I1451" s="21">
        <f t="shared" ca="1" si="109"/>
        <v>0</v>
      </c>
      <c r="J1451" s="21" t="str">
        <f ca="1">IF(I1451=0,"",COUNTIF($I$2:I1451,"&gt;0"))</f>
        <v/>
      </c>
      <c r="K1451" s="21" t="str">
        <f t="shared" ca="1" si="107"/>
        <v/>
      </c>
    </row>
    <row r="1452" spans="1:11" s="18" customFormat="1" ht="14.25" x14ac:dyDescent="0.2">
      <c r="A1452" s="18" t="str">
        <f t="shared" si="106"/>
        <v>Eintrag 1451</v>
      </c>
      <c r="B1452" s="18">
        <v>100</v>
      </c>
      <c r="C1452" s="19">
        <v>100</v>
      </c>
      <c r="D1452" s="20">
        <v>10</v>
      </c>
      <c r="E1452" s="20">
        <v>10</v>
      </c>
      <c r="F1452" s="20">
        <v>10</v>
      </c>
      <c r="G1452" s="19">
        <f t="shared" si="108"/>
        <v>172</v>
      </c>
      <c r="H1452" s="22">
        <f t="shared" si="110"/>
        <v>1451</v>
      </c>
      <c r="I1452" s="21">
        <f t="shared" ca="1" si="109"/>
        <v>0</v>
      </c>
      <c r="J1452" s="21" t="str">
        <f ca="1">IF(I1452=0,"",COUNTIF($I$2:I1452,"&gt;0"))</f>
        <v/>
      </c>
      <c r="K1452" s="21" t="str">
        <f t="shared" ca="1" si="107"/>
        <v/>
      </c>
    </row>
    <row r="1453" spans="1:11" s="18" customFormat="1" ht="14.25" x14ac:dyDescent="0.2">
      <c r="A1453" s="18" t="str">
        <f t="shared" si="106"/>
        <v>Eintrag 1452</v>
      </c>
      <c r="B1453" s="18">
        <v>100</v>
      </c>
      <c r="C1453" s="19">
        <v>100</v>
      </c>
      <c r="D1453" s="20">
        <v>10</v>
      </c>
      <c r="E1453" s="20">
        <v>10</v>
      </c>
      <c r="F1453" s="20">
        <v>10</v>
      </c>
      <c r="G1453" s="19">
        <f t="shared" si="108"/>
        <v>172</v>
      </c>
      <c r="H1453" s="22">
        <f t="shared" si="110"/>
        <v>1452</v>
      </c>
      <c r="I1453" s="21">
        <f t="shared" ca="1" si="109"/>
        <v>0</v>
      </c>
      <c r="J1453" s="21" t="str">
        <f ca="1">IF(I1453=0,"",COUNTIF($I$2:I1453,"&gt;0"))</f>
        <v/>
      </c>
      <c r="K1453" s="21" t="str">
        <f t="shared" ca="1" si="107"/>
        <v/>
      </c>
    </row>
    <row r="1454" spans="1:11" s="18" customFormat="1" ht="14.25" x14ac:dyDescent="0.2">
      <c r="A1454" s="18" t="str">
        <f t="shared" si="106"/>
        <v>Eintrag 1453</v>
      </c>
      <c r="B1454" s="18">
        <v>100</v>
      </c>
      <c r="C1454" s="19">
        <v>100</v>
      </c>
      <c r="D1454" s="20">
        <v>10</v>
      </c>
      <c r="E1454" s="20">
        <v>10</v>
      </c>
      <c r="F1454" s="20">
        <v>10</v>
      </c>
      <c r="G1454" s="19">
        <f t="shared" si="108"/>
        <v>172</v>
      </c>
      <c r="H1454" s="22">
        <f t="shared" si="110"/>
        <v>1453</v>
      </c>
      <c r="I1454" s="21">
        <f t="shared" ca="1" si="109"/>
        <v>0</v>
      </c>
      <c r="J1454" s="21" t="str">
        <f ca="1">IF(I1454=0,"",COUNTIF($I$2:I1454,"&gt;0"))</f>
        <v/>
      </c>
      <c r="K1454" s="21" t="str">
        <f t="shared" ca="1" si="107"/>
        <v/>
      </c>
    </row>
    <row r="1455" spans="1:11" s="18" customFormat="1" ht="14.25" x14ac:dyDescent="0.2">
      <c r="A1455" s="18" t="str">
        <f t="shared" si="106"/>
        <v>Eintrag 1454</v>
      </c>
      <c r="B1455" s="18">
        <v>100</v>
      </c>
      <c r="C1455" s="19">
        <v>100</v>
      </c>
      <c r="D1455" s="20">
        <v>10</v>
      </c>
      <c r="E1455" s="20">
        <v>10</v>
      </c>
      <c r="F1455" s="20">
        <v>10</v>
      </c>
      <c r="G1455" s="19">
        <f t="shared" si="108"/>
        <v>172</v>
      </c>
      <c r="H1455" s="22">
        <f t="shared" si="110"/>
        <v>1454</v>
      </c>
      <c r="I1455" s="21">
        <f t="shared" ca="1" si="109"/>
        <v>0</v>
      </c>
      <c r="J1455" s="21" t="str">
        <f ca="1">IF(I1455=0,"",COUNTIF($I$2:I1455,"&gt;0"))</f>
        <v/>
      </c>
      <c r="K1455" s="21" t="str">
        <f t="shared" ca="1" si="107"/>
        <v/>
      </c>
    </row>
    <row r="1456" spans="1:11" s="18" customFormat="1" ht="14.25" x14ac:dyDescent="0.2">
      <c r="A1456" s="18" t="str">
        <f t="shared" si="106"/>
        <v>Eintrag 1455</v>
      </c>
      <c r="B1456" s="18">
        <v>100</v>
      </c>
      <c r="C1456" s="19">
        <v>100</v>
      </c>
      <c r="D1456" s="20">
        <v>10</v>
      </c>
      <c r="E1456" s="20">
        <v>10</v>
      </c>
      <c r="F1456" s="20">
        <v>10</v>
      </c>
      <c r="G1456" s="19">
        <f t="shared" si="108"/>
        <v>172</v>
      </c>
      <c r="H1456" s="22">
        <f t="shared" si="110"/>
        <v>1455</v>
      </c>
      <c r="I1456" s="21">
        <f t="shared" ca="1" si="109"/>
        <v>0</v>
      </c>
      <c r="J1456" s="21" t="str">
        <f ca="1">IF(I1456=0,"",COUNTIF($I$2:I1456,"&gt;0"))</f>
        <v/>
      </c>
      <c r="K1456" s="21" t="str">
        <f t="shared" ca="1" si="107"/>
        <v/>
      </c>
    </row>
    <row r="1457" spans="1:11" s="18" customFormat="1" ht="14.25" x14ac:dyDescent="0.2">
      <c r="A1457" s="18" t="str">
        <f t="shared" si="106"/>
        <v>Eintrag 1456</v>
      </c>
      <c r="B1457" s="18">
        <v>100</v>
      </c>
      <c r="C1457" s="19">
        <v>100</v>
      </c>
      <c r="D1457" s="20">
        <v>10</v>
      </c>
      <c r="E1457" s="20">
        <v>10</v>
      </c>
      <c r="F1457" s="20">
        <v>10</v>
      </c>
      <c r="G1457" s="19">
        <f t="shared" si="108"/>
        <v>172</v>
      </c>
      <c r="H1457" s="22">
        <f t="shared" si="110"/>
        <v>1456</v>
      </c>
      <c r="I1457" s="21">
        <f t="shared" ca="1" si="109"/>
        <v>0</v>
      </c>
      <c r="J1457" s="21" t="str">
        <f ca="1">IF(I1457=0,"",COUNTIF($I$2:I1457,"&gt;0"))</f>
        <v/>
      </c>
      <c r="K1457" s="21" t="str">
        <f t="shared" ca="1" si="107"/>
        <v/>
      </c>
    </row>
    <row r="1458" spans="1:11" s="18" customFormat="1" ht="14.25" x14ac:dyDescent="0.2">
      <c r="A1458" s="18" t="str">
        <f t="shared" si="106"/>
        <v>Eintrag 1457</v>
      </c>
      <c r="B1458" s="18">
        <v>100</v>
      </c>
      <c r="C1458" s="19">
        <v>100</v>
      </c>
      <c r="D1458" s="20">
        <v>10</v>
      </c>
      <c r="E1458" s="20">
        <v>10</v>
      </c>
      <c r="F1458" s="20">
        <v>10</v>
      </c>
      <c r="G1458" s="19">
        <f t="shared" si="108"/>
        <v>172</v>
      </c>
      <c r="H1458" s="22">
        <f t="shared" si="110"/>
        <v>1457</v>
      </c>
      <c r="I1458" s="21">
        <f t="shared" ca="1" si="109"/>
        <v>0</v>
      </c>
      <c r="J1458" s="21" t="str">
        <f ca="1">IF(I1458=0,"",COUNTIF($I$2:I1458,"&gt;0"))</f>
        <v/>
      </c>
      <c r="K1458" s="21" t="str">
        <f t="shared" ca="1" si="107"/>
        <v/>
      </c>
    </row>
    <row r="1459" spans="1:11" s="18" customFormat="1" ht="14.25" x14ac:dyDescent="0.2">
      <c r="A1459" s="18" t="str">
        <f t="shared" si="106"/>
        <v>Eintrag 1458</v>
      </c>
      <c r="B1459" s="18">
        <v>100</v>
      </c>
      <c r="C1459" s="19">
        <v>100</v>
      </c>
      <c r="D1459" s="20">
        <v>10</v>
      </c>
      <c r="E1459" s="20">
        <v>10</v>
      </c>
      <c r="F1459" s="20">
        <v>10</v>
      </c>
      <c r="G1459" s="19">
        <f t="shared" si="108"/>
        <v>172</v>
      </c>
      <c r="H1459" s="22">
        <f t="shared" si="110"/>
        <v>1458</v>
      </c>
      <c r="I1459" s="21">
        <f t="shared" ca="1" si="109"/>
        <v>0</v>
      </c>
      <c r="J1459" s="21" t="str">
        <f ca="1">IF(I1459=0,"",COUNTIF($I$2:I1459,"&gt;0"))</f>
        <v/>
      </c>
      <c r="K1459" s="21" t="str">
        <f t="shared" ca="1" si="107"/>
        <v/>
      </c>
    </row>
    <row r="1460" spans="1:11" s="18" customFormat="1" ht="14.25" x14ac:dyDescent="0.2">
      <c r="A1460" s="18" t="str">
        <f t="shared" si="106"/>
        <v>Eintrag 1459</v>
      </c>
      <c r="B1460" s="18">
        <v>100</v>
      </c>
      <c r="C1460" s="19">
        <v>100</v>
      </c>
      <c r="D1460" s="20">
        <v>10</v>
      </c>
      <c r="E1460" s="20">
        <v>10</v>
      </c>
      <c r="F1460" s="20">
        <v>10</v>
      </c>
      <c r="G1460" s="19">
        <f t="shared" si="108"/>
        <v>172</v>
      </c>
      <c r="H1460" s="22">
        <f t="shared" si="110"/>
        <v>1459</v>
      </c>
      <c r="I1460" s="21">
        <f t="shared" ca="1" si="109"/>
        <v>0</v>
      </c>
      <c r="J1460" s="21" t="str">
        <f ca="1">IF(I1460=0,"",COUNTIF($I$2:I1460,"&gt;0"))</f>
        <v/>
      </c>
      <c r="K1460" s="21" t="str">
        <f t="shared" ca="1" si="107"/>
        <v/>
      </c>
    </row>
    <row r="1461" spans="1:11" s="18" customFormat="1" ht="14.25" x14ac:dyDescent="0.2">
      <c r="A1461" s="18" t="str">
        <f t="shared" si="106"/>
        <v>Eintrag 1460</v>
      </c>
      <c r="B1461" s="18">
        <v>100</v>
      </c>
      <c r="C1461" s="19">
        <v>100</v>
      </c>
      <c r="D1461" s="20">
        <v>10</v>
      </c>
      <c r="E1461" s="20">
        <v>10</v>
      </c>
      <c r="F1461" s="20">
        <v>10</v>
      </c>
      <c r="G1461" s="19">
        <f t="shared" si="108"/>
        <v>172</v>
      </c>
      <c r="H1461" s="22">
        <f t="shared" si="110"/>
        <v>1460</v>
      </c>
      <c r="I1461" s="21">
        <f t="shared" ca="1" si="109"/>
        <v>0</v>
      </c>
      <c r="J1461" s="21" t="str">
        <f ca="1">IF(I1461=0,"",COUNTIF($I$2:I1461,"&gt;0"))</f>
        <v/>
      </c>
      <c r="K1461" s="21" t="str">
        <f t="shared" ca="1" si="107"/>
        <v/>
      </c>
    </row>
    <row r="1462" spans="1:11" s="18" customFormat="1" ht="14.25" x14ac:dyDescent="0.2">
      <c r="A1462" s="18" t="str">
        <f t="shared" si="106"/>
        <v>Eintrag 1461</v>
      </c>
      <c r="B1462" s="18">
        <v>100</v>
      </c>
      <c r="C1462" s="19">
        <v>100</v>
      </c>
      <c r="D1462" s="20">
        <v>10</v>
      </c>
      <c r="E1462" s="20">
        <v>10</v>
      </c>
      <c r="F1462" s="20">
        <v>10</v>
      </c>
      <c r="G1462" s="19">
        <f t="shared" si="108"/>
        <v>172</v>
      </c>
      <c r="H1462" s="22">
        <f t="shared" si="110"/>
        <v>1461</v>
      </c>
      <c r="I1462" s="21">
        <f t="shared" ca="1" si="109"/>
        <v>0</v>
      </c>
      <c r="J1462" s="21" t="str">
        <f ca="1">IF(I1462=0,"",COUNTIF($I$2:I1462,"&gt;0"))</f>
        <v/>
      </c>
      <c r="K1462" s="21" t="str">
        <f t="shared" ca="1" si="107"/>
        <v/>
      </c>
    </row>
    <row r="1463" spans="1:11" s="18" customFormat="1" ht="14.25" x14ac:dyDescent="0.2">
      <c r="A1463" s="18" t="str">
        <f t="shared" si="106"/>
        <v>Eintrag 1462</v>
      </c>
      <c r="B1463" s="18">
        <v>100</v>
      </c>
      <c r="C1463" s="19">
        <v>100</v>
      </c>
      <c r="D1463" s="20">
        <v>10</v>
      </c>
      <c r="E1463" s="20">
        <v>10</v>
      </c>
      <c r="F1463" s="20">
        <v>10</v>
      </c>
      <c r="G1463" s="19">
        <f t="shared" si="108"/>
        <v>172</v>
      </c>
      <c r="H1463" s="22">
        <f t="shared" si="110"/>
        <v>1462</v>
      </c>
      <c r="I1463" s="21">
        <f t="shared" ca="1" si="109"/>
        <v>0</v>
      </c>
      <c r="J1463" s="21" t="str">
        <f ca="1">IF(I1463=0,"",COUNTIF($I$2:I1463,"&gt;0"))</f>
        <v/>
      </c>
      <c r="K1463" s="21" t="str">
        <f t="shared" ca="1" si="107"/>
        <v/>
      </c>
    </row>
    <row r="1464" spans="1:11" s="18" customFormat="1" ht="14.25" x14ac:dyDescent="0.2">
      <c r="A1464" s="18" t="str">
        <f t="shared" si="106"/>
        <v>Eintrag 1463</v>
      </c>
      <c r="B1464" s="18">
        <v>100</v>
      </c>
      <c r="C1464" s="19">
        <v>100</v>
      </c>
      <c r="D1464" s="20">
        <v>10</v>
      </c>
      <c r="E1464" s="20">
        <v>10</v>
      </c>
      <c r="F1464" s="20">
        <v>10</v>
      </c>
      <c r="G1464" s="19">
        <f t="shared" si="108"/>
        <v>172</v>
      </c>
      <c r="H1464" s="22">
        <f t="shared" si="110"/>
        <v>1463</v>
      </c>
      <c r="I1464" s="21">
        <f t="shared" ca="1" si="109"/>
        <v>0</v>
      </c>
      <c r="J1464" s="21" t="str">
        <f ca="1">IF(I1464=0,"",COUNTIF($I$2:I1464,"&gt;0"))</f>
        <v/>
      </c>
      <c r="K1464" s="21" t="str">
        <f t="shared" ca="1" si="107"/>
        <v/>
      </c>
    </row>
    <row r="1465" spans="1:11" s="18" customFormat="1" ht="14.25" x14ac:dyDescent="0.2">
      <c r="A1465" s="18" t="str">
        <f t="shared" si="106"/>
        <v>Eintrag 1464</v>
      </c>
      <c r="B1465" s="18">
        <v>100</v>
      </c>
      <c r="C1465" s="19">
        <v>100</v>
      </c>
      <c r="D1465" s="20">
        <v>10</v>
      </c>
      <c r="E1465" s="20">
        <v>10</v>
      </c>
      <c r="F1465" s="20">
        <v>10</v>
      </c>
      <c r="G1465" s="19">
        <f t="shared" si="108"/>
        <v>172</v>
      </c>
      <c r="H1465" s="22">
        <f t="shared" si="110"/>
        <v>1464</v>
      </c>
      <c r="I1465" s="21">
        <f t="shared" ca="1" si="109"/>
        <v>0</v>
      </c>
      <c r="J1465" s="21" t="str">
        <f ca="1">IF(I1465=0,"",COUNTIF($I$2:I1465,"&gt;0"))</f>
        <v/>
      </c>
      <c r="K1465" s="21" t="str">
        <f t="shared" ca="1" si="107"/>
        <v/>
      </c>
    </row>
    <row r="1466" spans="1:11" s="18" customFormat="1" ht="14.25" x14ac:dyDescent="0.2">
      <c r="A1466" s="18" t="str">
        <f t="shared" si="106"/>
        <v>Eintrag 1465</v>
      </c>
      <c r="B1466" s="18">
        <v>100</v>
      </c>
      <c r="C1466" s="19">
        <v>100</v>
      </c>
      <c r="D1466" s="20">
        <v>10</v>
      </c>
      <c r="E1466" s="20">
        <v>10</v>
      </c>
      <c r="F1466" s="20">
        <v>10</v>
      </c>
      <c r="G1466" s="19">
        <f t="shared" si="108"/>
        <v>172</v>
      </c>
      <c r="H1466" s="22">
        <f t="shared" si="110"/>
        <v>1465</v>
      </c>
      <c r="I1466" s="21">
        <f t="shared" ca="1" si="109"/>
        <v>0</v>
      </c>
      <c r="J1466" s="21" t="str">
        <f ca="1">IF(I1466=0,"",COUNTIF($I$2:I1466,"&gt;0"))</f>
        <v/>
      </c>
      <c r="K1466" s="21" t="str">
        <f t="shared" ca="1" si="107"/>
        <v/>
      </c>
    </row>
    <row r="1467" spans="1:11" s="18" customFormat="1" ht="14.25" x14ac:dyDescent="0.2">
      <c r="A1467" s="18" t="str">
        <f t="shared" si="106"/>
        <v>Eintrag 1466</v>
      </c>
      <c r="B1467" s="18">
        <v>100</v>
      </c>
      <c r="C1467" s="19">
        <v>100</v>
      </c>
      <c r="D1467" s="20">
        <v>10</v>
      </c>
      <c r="E1467" s="20">
        <v>10</v>
      </c>
      <c r="F1467" s="20">
        <v>10</v>
      </c>
      <c r="G1467" s="19">
        <f t="shared" si="108"/>
        <v>172</v>
      </c>
      <c r="H1467" s="22">
        <f t="shared" si="110"/>
        <v>1466</v>
      </c>
      <c r="I1467" s="21">
        <f t="shared" ca="1" si="109"/>
        <v>0</v>
      </c>
      <c r="J1467" s="21" t="str">
        <f ca="1">IF(I1467=0,"",COUNTIF($I$2:I1467,"&gt;0"))</f>
        <v/>
      </c>
      <c r="K1467" s="21" t="str">
        <f t="shared" ca="1" si="107"/>
        <v/>
      </c>
    </row>
    <row r="1468" spans="1:11" s="18" customFormat="1" ht="14.25" x14ac:dyDescent="0.2">
      <c r="A1468" s="18" t="str">
        <f t="shared" si="106"/>
        <v>Eintrag 1467</v>
      </c>
      <c r="B1468" s="18">
        <v>100</v>
      </c>
      <c r="C1468" s="19">
        <v>100</v>
      </c>
      <c r="D1468" s="20">
        <v>10</v>
      </c>
      <c r="E1468" s="20">
        <v>10</v>
      </c>
      <c r="F1468" s="20">
        <v>10</v>
      </c>
      <c r="G1468" s="19">
        <f t="shared" si="108"/>
        <v>172</v>
      </c>
      <c r="H1468" s="22">
        <f t="shared" si="110"/>
        <v>1467</v>
      </c>
      <c r="I1468" s="21">
        <f t="shared" ca="1" si="109"/>
        <v>0</v>
      </c>
      <c r="J1468" s="21" t="str">
        <f ca="1">IF(I1468=0,"",COUNTIF($I$2:I1468,"&gt;0"))</f>
        <v/>
      </c>
      <c r="K1468" s="21" t="str">
        <f t="shared" ca="1" si="107"/>
        <v/>
      </c>
    </row>
    <row r="1469" spans="1:11" s="18" customFormat="1" ht="14.25" x14ac:dyDescent="0.2">
      <c r="A1469" s="18" t="str">
        <f t="shared" ref="A1469:A1532" si="111">CONCATENATE("Eintrag ",H1469)</f>
        <v>Eintrag 1468</v>
      </c>
      <c r="B1469" s="18">
        <v>100</v>
      </c>
      <c r="C1469" s="19">
        <v>100</v>
      </c>
      <c r="D1469" s="20">
        <v>10</v>
      </c>
      <c r="E1469" s="20">
        <v>10</v>
      </c>
      <c r="F1469" s="20">
        <v>10</v>
      </c>
      <c r="G1469" s="19">
        <f t="shared" si="108"/>
        <v>172</v>
      </c>
      <c r="H1469" s="22">
        <f t="shared" si="110"/>
        <v>1468</v>
      </c>
      <c r="I1469" s="21">
        <f t="shared" ca="1" si="109"/>
        <v>0</v>
      </c>
      <c r="J1469" s="21" t="str">
        <f ca="1">IF(I1469=0,"",COUNTIF($I$2:I1469,"&gt;0"))</f>
        <v/>
      </c>
      <c r="K1469" s="21" t="str">
        <f t="shared" ca="1" si="107"/>
        <v/>
      </c>
    </row>
    <row r="1470" spans="1:11" s="18" customFormat="1" ht="14.25" x14ac:dyDescent="0.2">
      <c r="A1470" s="18" t="str">
        <f t="shared" si="111"/>
        <v>Eintrag 1469</v>
      </c>
      <c r="B1470" s="18">
        <v>100</v>
      </c>
      <c r="C1470" s="19">
        <v>100</v>
      </c>
      <c r="D1470" s="20">
        <v>10</v>
      </c>
      <c r="E1470" s="20">
        <v>10</v>
      </c>
      <c r="F1470" s="20">
        <v>10</v>
      </c>
      <c r="G1470" s="19">
        <f t="shared" si="108"/>
        <v>172</v>
      </c>
      <c r="H1470" s="22">
        <f t="shared" si="110"/>
        <v>1469</v>
      </c>
      <c r="I1470" s="21">
        <f t="shared" ca="1" si="109"/>
        <v>0</v>
      </c>
      <c r="J1470" s="21" t="str">
        <f ca="1">IF(I1470=0,"",COUNTIF($I$2:I1470,"&gt;0"))</f>
        <v/>
      </c>
      <c r="K1470" s="21" t="str">
        <f t="shared" ca="1" si="107"/>
        <v/>
      </c>
    </row>
    <row r="1471" spans="1:11" s="18" customFormat="1" ht="14.25" x14ac:dyDescent="0.2">
      <c r="A1471" s="18" t="str">
        <f t="shared" si="111"/>
        <v>Eintrag 1470</v>
      </c>
      <c r="B1471" s="18">
        <v>100</v>
      </c>
      <c r="C1471" s="19">
        <v>100</v>
      </c>
      <c r="D1471" s="20">
        <v>10</v>
      </c>
      <c r="E1471" s="20">
        <v>10</v>
      </c>
      <c r="F1471" s="20">
        <v>10</v>
      </c>
      <c r="G1471" s="19">
        <f t="shared" si="108"/>
        <v>172</v>
      </c>
      <c r="H1471" s="22">
        <f t="shared" si="110"/>
        <v>1470</v>
      </c>
      <c r="I1471" s="21">
        <f t="shared" ca="1" si="109"/>
        <v>0</v>
      </c>
      <c r="J1471" s="21" t="str">
        <f ca="1">IF(I1471=0,"",COUNTIF($I$2:I1471,"&gt;0"))</f>
        <v/>
      </c>
      <c r="K1471" s="21" t="str">
        <f t="shared" ca="1" si="107"/>
        <v/>
      </c>
    </row>
    <row r="1472" spans="1:11" s="18" customFormat="1" ht="14.25" x14ac:dyDescent="0.2">
      <c r="A1472" s="18" t="str">
        <f t="shared" si="111"/>
        <v>Eintrag 1471</v>
      </c>
      <c r="B1472" s="18">
        <v>100</v>
      </c>
      <c r="C1472" s="19">
        <v>100</v>
      </c>
      <c r="D1472" s="20">
        <v>10</v>
      </c>
      <c r="E1472" s="20">
        <v>10</v>
      </c>
      <c r="F1472" s="20">
        <v>10</v>
      </c>
      <c r="G1472" s="19">
        <f t="shared" si="108"/>
        <v>172</v>
      </c>
      <c r="H1472" s="22">
        <f t="shared" si="110"/>
        <v>1471</v>
      </c>
      <c r="I1472" s="21">
        <f t="shared" ca="1" si="109"/>
        <v>0</v>
      </c>
      <c r="J1472" s="21" t="str">
        <f ca="1">IF(I1472=0,"",COUNTIF($I$2:I1472,"&gt;0"))</f>
        <v/>
      </c>
      <c r="K1472" s="21" t="str">
        <f t="shared" ca="1" si="107"/>
        <v/>
      </c>
    </row>
    <row r="1473" spans="1:11" s="18" customFormat="1" ht="14.25" x14ac:dyDescent="0.2">
      <c r="A1473" s="18" t="str">
        <f t="shared" si="111"/>
        <v>Eintrag 1472</v>
      </c>
      <c r="B1473" s="18">
        <v>100</v>
      </c>
      <c r="C1473" s="19">
        <v>100</v>
      </c>
      <c r="D1473" s="20">
        <v>10</v>
      </c>
      <c r="E1473" s="20">
        <v>10</v>
      </c>
      <c r="F1473" s="20">
        <v>10</v>
      </c>
      <c r="G1473" s="19">
        <f t="shared" si="108"/>
        <v>172</v>
      </c>
      <c r="H1473" s="22">
        <f t="shared" si="110"/>
        <v>1472</v>
      </c>
      <c r="I1473" s="21">
        <f t="shared" ca="1" si="109"/>
        <v>0</v>
      </c>
      <c r="J1473" s="21" t="str">
        <f ca="1">IF(I1473=0,"",COUNTIF($I$2:I1473,"&gt;0"))</f>
        <v/>
      </c>
      <c r="K1473" s="21" t="str">
        <f t="shared" ca="1" si="107"/>
        <v/>
      </c>
    </row>
    <row r="1474" spans="1:11" s="18" customFormat="1" ht="14.25" x14ac:dyDescent="0.2">
      <c r="A1474" s="18" t="str">
        <f t="shared" si="111"/>
        <v>Eintrag 1473</v>
      </c>
      <c r="B1474" s="18">
        <v>100</v>
      </c>
      <c r="C1474" s="19">
        <v>100</v>
      </c>
      <c r="D1474" s="20">
        <v>10</v>
      </c>
      <c r="E1474" s="20">
        <v>10</v>
      </c>
      <c r="F1474" s="20">
        <v>10</v>
      </c>
      <c r="G1474" s="19">
        <f t="shared" si="108"/>
        <v>172</v>
      </c>
      <c r="H1474" s="22">
        <f t="shared" si="110"/>
        <v>1473</v>
      </c>
      <c r="I1474" s="21">
        <f t="shared" ca="1" si="109"/>
        <v>0</v>
      </c>
      <c r="J1474" s="21" t="str">
        <f ca="1">IF(I1474=0,"",COUNTIF($I$2:I1474,"&gt;0"))</f>
        <v/>
      </c>
      <c r="K1474" s="21" t="str">
        <f t="shared" ref="K1474:K1537" ca="1" si="112">IFERROR(INDEX(A:A,MATCH(ROW(I1473),J:J,0)),"")</f>
        <v/>
      </c>
    </row>
    <row r="1475" spans="1:11" s="18" customFormat="1" ht="14.25" x14ac:dyDescent="0.2">
      <c r="A1475" s="18" t="str">
        <f t="shared" si="111"/>
        <v>Eintrag 1474</v>
      </c>
      <c r="B1475" s="18">
        <v>100</v>
      </c>
      <c r="C1475" s="19">
        <v>100</v>
      </c>
      <c r="D1475" s="20">
        <v>10</v>
      </c>
      <c r="E1475" s="20">
        <v>10</v>
      </c>
      <c r="F1475" s="20">
        <v>10</v>
      </c>
      <c r="G1475" s="19">
        <f t="shared" ref="G1475:G1538" si="113">D1475*9+E1475*4.1+F1475*4.1</f>
        <v>172</v>
      </c>
      <c r="H1475" s="22">
        <f t="shared" si="110"/>
        <v>1474</v>
      </c>
      <c r="I1475" s="21">
        <f t="shared" ca="1" si="109"/>
        <v>0</v>
      </c>
      <c r="J1475" s="21" t="str">
        <f ca="1">IF(I1475=0,"",COUNTIF($I$2:I1475,"&gt;0"))</f>
        <v/>
      </c>
      <c r="K1475" s="21" t="str">
        <f t="shared" ca="1" si="112"/>
        <v/>
      </c>
    </row>
    <row r="1476" spans="1:11" s="18" customFormat="1" ht="14.25" x14ac:dyDescent="0.2">
      <c r="A1476" s="18" t="str">
        <f t="shared" si="111"/>
        <v>Eintrag 1475</v>
      </c>
      <c r="B1476" s="18">
        <v>100</v>
      </c>
      <c r="C1476" s="19">
        <v>100</v>
      </c>
      <c r="D1476" s="20">
        <v>10</v>
      </c>
      <c r="E1476" s="20">
        <v>10</v>
      </c>
      <c r="F1476" s="20">
        <v>10</v>
      </c>
      <c r="G1476" s="19">
        <f t="shared" si="113"/>
        <v>172</v>
      </c>
      <c r="H1476" s="22">
        <f t="shared" si="110"/>
        <v>1475</v>
      </c>
      <c r="I1476" s="21">
        <f t="shared" ca="1" si="109"/>
        <v>0</v>
      </c>
      <c r="J1476" s="21" t="str">
        <f ca="1">IF(I1476=0,"",COUNTIF($I$2:I1476,"&gt;0"))</f>
        <v/>
      </c>
      <c r="K1476" s="21" t="str">
        <f t="shared" ca="1" si="112"/>
        <v/>
      </c>
    </row>
    <row r="1477" spans="1:11" s="18" customFormat="1" ht="14.25" x14ac:dyDescent="0.2">
      <c r="A1477" s="18" t="str">
        <f t="shared" si="111"/>
        <v>Eintrag 1476</v>
      </c>
      <c r="B1477" s="18">
        <v>100</v>
      </c>
      <c r="C1477" s="19">
        <v>100</v>
      </c>
      <c r="D1477" s="20">
        <v>10</v>
      </c>
      <c r="E1477" s="20">
        <v>10</v>
      </c>
      <c r="F1477" s="20">
        <v>10</v>
      </c>
      <c r="G1477" s="19">
        <f t="shared" si="113"/>
        <v>172</v>
      </c>
      <c r="H1477" s="22">
        <f t="shared" si="110"/>
        <v>1476</v>
      </c>
      <c r="I1477" s="21">
        <f t="shared" ca="1" si="109"/>
        <v>0</v>
      </c>
      <c r="J1477" s="21" t="str">
        <f ca="1">IF(I1477=0,"",COUNTIF($I$2:I1477,"&gt;0"))</f>
        <v/>
      </c>
      <c r="K1477" s="21" t="str">
        <f t="shared" ca="1" si="112"/>
        <v/>
      </c>
    </row>
    <row r="1478" spans="1:11" s="18" customFormat="1" ht="14.25" x14ac:dyDescent="0.2">
      <c r="A1478" s="18" t="str">
        <f t="shared" si="111"/>
        <v>Eintrag 1477</v>
      </c>
      <c r="B1478" s="18">
        <v>100</v>
      </c>
      <c r="C1478" s="19">
        <v>100</v>
      </c>
      <c r="D1478" s="20">
        <v>10</v>
      </c>
      <c r="E1478" s="20">
        <v>10</v>
      </c>
      <c r="F1478" s="20">
        <v>10</v>
      </c>
      <c r="G1478" s="19">
        <f t="shared" si="113"/>
        <v>172</v>
      </c>
      <c r="H1478" s="22">
        <f t="shared" si="110"/>
        <v>1477</v>
      </c>
      <c r="I1478" s="21">
        <f t="shared" ca="1" si="109"/>
        <v>0</v>
      </c>
      <c r="J1478" s="21" t="str">
        <f ca="1">IF(I1478=0,"",COUNTIF($I$2:I1478,"&gt;0"))</f>
        <v/>
      </c>
      <c r="K1478" s="21" t="str">
        <f t="shared" ca="1" si="112"/>
        <v/>
      </c>
    </row>
    <row r="1479" spans="1:11" s="18" customFormat="1" ht="14.25" x14ac:dyDescent="0.2">
      <c r="A1479" s="18" t="str">
        <f t="shared" si="111"/>
        <v>Eintrag 1478</v>
      </c>
      <c r="B1479" s="18">
        <v>100</v>
      </c>
      <c r="C1479" s="19">
        <v>100</v>
      </c>
      <c r="D1479" s="20">
        <v>10</v>
      </c>
      <c r="E1479" s="20">
        <v>10</v>
      </c>
      <c r="F1479" s="20">
        <v>10</v>
      </c>
      <c r="G1479" s="19">
        <f t="shared" si="113"/>
        <v>172</v>
      </c>
      <c r="H1479" s="22">
        <f t="shared" si="110"/>
        <v>1478</v>
      </c>
      <c r="I1479" s="21">
        <f t="shared" ca="1" si="109"/>
        <v>0</v>
      </c>
      <c r="J1479" s="21" t="str">
        <f ca="1">IF(I1479=0,"",COUNTIF($I$2:I1479,"&gt;0"))</f>
        <v/>
      </c>
      <c r="K1479" s="21" t="str">
        <f t="shared" ca="1" si="112"/>
        <v/>
      </c>
    </row>
    <row r="1480" spans="1:11" s="18" customFormat="1" ht="14.25" x14ac:dyDescent="0.2">
      <c r="A1480" s="18" t="str">
        <f t="shared" si="111"/>
        <v>Eintrag 1479</v>
      </c>
      <c r="B1480" s="18">
        <v>100</v>
      </c>
      <c r="C1480" s="19">
        <v>100</v>
      </c>
      <c r="D1480" s="20">
        <v>10</v>
      </c>
      <c r="E1480" s="20">
        <v>10</v>
      </c>
      <c r="F1480" s="20">
        <v>10</v>
      </c>
      <c r="G1480" s="19">
        <f t="shared" si="113"/>
        <v>172</v>
      </c>
      <c r="H1480" s="22">
        <f t="shared" si="110"/>
        <v>1479</v>
      </c>
      <c r="I1480" s="21">
        <f t="shared" ca="1" si="109"/>
        <v>0</v>
      </c>
      <c r="J1480" s="21" t="str">
        <f ca="1">IF(I1480=0,"",COUNTIF($I$2:I1480,"&gt;0"))</f>
        <v/>
      </c>
      <c r="K1480" s="21" t="str">
        <f t="shared" ca="1" si="112"/>
        <v/>
      </c>
    </row>
    <row r="1481" spans="1:11" s="18" customFormat="1" ht="14.25" x14ac:dyDescent="0.2">
      <c r="A1481" s="18" t="str">
        <f t="shared" si="111"/>
        <v>Eintrag 1480</v>
      </c>
      <c r="B1481" s="18">
        <v>100</v>
      </c>
      <c r="C1481" s="19">
        <v>100</v>
      </c>
      <c r="D1481" s="20">
        <v>10</v>
      </c>
      <c r="E1481" s="20">
        <v>10</v>
      </c>
      <c r="F1481" s="20">
        <v>10</v>
      </c>
      <c r="G1481" s="19">
        <f t="shared" si="113"/>
        <v>172</v>
      </c>
      <c r="H1481" s="22">
        <f t="shared" si="110"/>
        <v>1480</v>
      </c>
      <c r="I1481" s="21">
        <f t="shared" ca="1" si="109"/>
        <v>0</v>
      </c>
      <c r="J1481" s="21" t="str">
        <f ca="1">IF(I1481=0,"",COUNTIF($I$2:I1481,"&gt;0"))</f>
        <v/>
      </c>
      <c r="K1481" s="21" t="str">
        <f t="shared" ca="1" si="112"/>
        <v/>
      </c>
    </row>
    <row r="1482" spans="1:11" s="18" customFormat="1" ht="14.25" x14ac:dyDescent="0.2">
      <c r="A1482" s="18" t="str">
        <f t="shared" si="111"/>
        <v>Eintrag 1481</v>
      </c>
      <c r="B1482" s="18">
        <v>100</v>
      </c>
      <c r="C1482" s="19">
        <v>100</v>
      </c>
      <c r="D1482" s="20">
        <v>10</v>
      </c>
      <c r="E1482" s="20">
        <v>10</v>
      </c>
      <c r="F1482" s="20">
        <v>10</v>
      </c>
      <c r="G1482" s="19">
        <f t="shared" si="113"/>
        <v>172</v>
      </c>
      <c r="H1482" s="22">
        <f t="shared" si="110"/>
        <v>1481</v>
      </c>
      <c r="I1482" s="21">
        <f t="shared" ca="1" si="109"/>
        <v>0</v>
      </c>
      <c r="J1482" s="21" t="str">
        <f ca="1">IF(I1482=0,"",COUNTIF($I$2:I1482,"&gt;0"))</f>
        <v/>
      </c>
      <c r="K1482" s="21" t="str">
        <f t="shared" ca="1" si="112"/>
        <v/>
      </c>
    </row>
    <row r="1483" spans="1:11" s="18" customFormat="1" ht="14.25" x14ac:dyDescent="0.2">
      <c r="A1483" s="18" t="str">
        <f t="shared" si="111"/>
        <v>Eintrag 1482</v>
      </c>
      <c r="B1483" s="18">
        <v>100</v>
      </c>
      <c r="C1483" s="19">
        <v>100</v>
      </c>
      <c r="D1483" s="20">
        <v>10</v>
      </c>
      <c r="E1483" s="20">
        <v>10</v>
      </c>
      <c r="F1483" s="20">
        <v>10</v>
      </c>
      <c r="G1483" s="19">
        <f t="shared" si="113"/>
        <v>172</v>
      </c>
      <c r="H1483" s="22">
        <f t="shared" si="110"/>
        <v>1482</v>
      </c>
      <c r="I1483" s="21">
        <f t="shared" ca="1" si="109"/>
        <v>0</v>
      </c>
      <c r="J1483" s="21" t="str">
        <f ca="1">IF(I1483=0,"",COUNTIF($I$2:I1483,"&gt;0"))</f>
        <v/>
      </c>
      <c r="K1483" s="21" t="str">
        <f t="shared" ca="1" si="112"/>
        <v/>
      </c>
    </row>
    <row r="1484" spans="1:11" s="18" customFormat="1" ht="14.25" x14ac:dyDescent="0.2">
      <c r="A1484" s="18" t="str">
        <f t="shared" si="111"/>
        <v>Eintrag 1483</v>
      </c>
      <c r="B1484" s="18">
        <v>100</v>
      </c>
      <c r="C1484" s="19">
        <v>100</v>
      </c>
      <c r="D1484" s="20">
        <v>10</v>
      </c>
      <c r="E1484" s="20">
        <v>10</v>
      </c>
      <c r="F1484" s="20">
        <v>10</v>
      </c>
      <c r="G1484" s="19">
        <f t="shared" si="113"/>
        <v>172</v>
      </c>
      <c r="H1484" s="22">
        <f t="shared" si="110"/>
        <v>1483</v>
      </c>
      <c r="I1484" s="21">
        <f t="shared" ca="1" si="109"/>
        <v>0</v>
      </c>
      <c r="J1484" s="21" t="str">
        <f ca="1">IF(I1484=0,"",COUNTIF($I$2:I1484,"&gt;0"))</f>
        <v/>
      </c>
      <c r="K1484" s="21" t="str">
        <f t="shared" ca="1" si="112"/>
        <v/>
      </c>
    </row>
    <row r="1485" spans="1:11" s="18" customFormat="1" ht="14.25" x14ac:dyDescent="0.2">
      <c r="A1485" s="18" t="str">
        <f t="shared" si="111"/>
        <v>Eintrag 1484</v>
      </c>
      <c r="B1485" s="18">
        <v>100</v>
      </c>
      <c r="C1485" s="19">
        <v>100</v>
      </c>
      <c r="D1485" s="20">
        <v>10</v>
      </c>
      <c r="E1485" s="20">
        <v>10</v>
      </c>
      <c r="F1485" s="20">
        <v>10</v>
      </c>
      <c r="G1485" s="19">
        <f t="shared" si="113"/>
        <v>172</v>
      </c>
      <c r="H1485" s="22">
        <f t="shared" si="110"/>
        <v>1484</v>
      </c>
      <c r="I1485" s="21">
        <f t="shared" ca="1" si="109"/>
        <v>0</v>
      </c>
      <c r="J1485" s="21" t="str">
        <f ca="1">IF(I1485=0,"",COUNTIF($I$2:I1485,"&gt;0"))</f>
        <v/>
      </c>
      <c r="K1485" s="21" t="str">
        <f t="shared" ca="1" si="112"/>
        <v/>
      </c>
    </row>
    <row r="1486" spans="1:11" s="18" customFormat="1" ht="14.25" x14ac:dyDescent="0.2">
      <c r="A1486" s="18" t="str">
        <f t="shared" si="111"/>
        <v>Eintrag 1485</v>
      </c>
      <c r="B1486" s="18">
        <v>100</v>
      </c>
      <c r="C1486" s="19">
        <v>100</v>
      </c>
      <c r="D1486" s="20">
        <v>10</v>
      </c>
      <c r="E1486" s="20">
        <v>10</v>
      </c>
      <c r="F1486" s="20">
        <v>10</v>
      </c>
      <c r="G1486" s="19">
        <f t="shared" si="113"/>
        <v>172</v>
      </c>
      <c r="H1486" s="22">
        <f t="shared" si="110"/>
        <v>1485</v>
      </c>
      <c r="I1486" s="21">
        <f t="shared" ca="1" si="109"/>
        <v>0</v>
      </c>
      <c r="J1486" s="21" t="str">
        <f ca="1">IF(I1486=0,"",COUNTIF($I$2:I1486,"&gt;0"))</f>
        <v/>
      </c>
      <c r="K1486" s="21" t="str">
        <f t="shared" ca="1" si="112"/>
        <v/>
      </c>
    </row>
    <row r="1487" spans="1:11" s="18" customFormat="1" ht="14.25" x14ac:dyDescent="0.2">
      <c r="A1487" s="18" t="str">
        <f t="shared" si="111"/>
        <v>Eintrag 1486</v>
      </c>
      <c r="B1487" s="18">
        <v>100</v>
      </c>
      <c r="C1487" s="19">
        <v>100</v>
      </c>
      <c r="D1487" s="20">
        <v>10</v>
      </c>
      <c r="E1487" s="20">
        <v>10</v>
      </c>
      <c r="F1487" s="20">
        <v>10</v>
      </c>
      <c r="G1487" s="19">
        <f t="shared" si="113"/>
        <v>172</v>
      </c>
      <c r="H1487" s="22">
        <f t="shared" si="110"/>
        <v>1486</v>
      </c>
      <c r="I1487" s="21">
        <f t="shared" ca="1" si="109"/>
        <v>0</v>
      </c>
      <c r="J1487" s="21" t="str">
        <f ca="1">IF(I1487=0,"",COUNTIF($I$2:I1487,"&gt;0"))</f>
        <v/>
      </c>
      <c r="K1487" s="21" t="str">
        <f t="shared" ca="1" si="112"/>
        <v/>
      </c>
    </row>
    <row r="1488" spans="1:11" s="18" customFormat="1" ht="14.25" x14ac:dyDescent="0.2">
      <c r="A1488" s="18" t="str">
        <f t="shared" si="111"/>
        <v>Eintrag 1487</v>
      </c>
      <c r="B1488" s="18">
        <v>100</v>
      </c>
      <c r="C1488" s="19">
        <v>100</v>
      </c>
      <c r="D1488" s="20">
        <v>10</v>
      </c>
      <c r="E1488" s="20">
        <v>10</v>
      </c>
      <c r="F1488" s="20">
        <v>10</v>
      </c>
      <c r="G1488" s="19">
        <f t="shared" si="113"/>
        <v>172</v>
      </c>
      <c r="H1488" s="22">
        <f t="shared" si="110"/>
        <v>1487</v>
      </c>
      <c r="I1488" s="21">
        <f t="shared" ca="1" si="109"/>
        <v>0</v>
      </c>
      <c r="J1488" s="21" t="str">
        <f ca="1">IF(I1488=0,"",COUNTIF($I$2:I1488,"&gt;0"))</f>
        <v/>
      </c>
      <c r="K1488" s="21" t="str">
        <f t="shared" ca="1" si="112"/>
        <v/>
      </c>
    </row>
    <row r="1489" spans="1:11" s="18" customFormat="1" ht="14.25" x14ac:dyDescent="0.2">
      <c r="A1489" s="18" t="str">
        <f t="shared" si="111"/>
        <v>Eintrag 1488</v>
      </c>
      <c r="B1489" s="18">
        <v>100</v>
      </c>
      <c r="C1489" s="19">
        <v>100</v>
      </c>
      <c r="D1489" s="20">
        <v>10</v>
      </c>
      <c r="E1489" s="20">
        <v>10</v>
      </c>
      <c r="F1489" s="20">
        <v>10</v>
      </c>
      <c r="G1489" s="19">
        <f t="shared" si="113"/>
        <v>172</v>
      </c>
      <c r="H1489" s="22">
        <f t="shared" si="110"/>
        <v>1488</v>
      </c>
      <c r="I1489" s="21">
        <f t="shared" ca="1" si="109"/>
        <v>0</v>
      </c>
      <c r="J1489" s="21" t="str">
        <f ca="1">IF(I1489=0,"",COUNTIF($I$2:I1489,"&gt;0"))</f>
        <v/>
      </c>
      <c r="K1489" s="21" t="str">
        <f t="shared" ca="1" si="112"/>
        <v/>
      </c>
    </row>
    <row r="1490" spans="1:11" s="18" customFormat="1" ht="14.25" x14ac:dyDescent="0.2">
      <c r="A1490" s="18" t="str">
        <f t="shared" si="111"/>
        <v>Eintrag 1489</v>
      </c>
      <c r="B1490" s="18">
        <v>100</v>
      </c>
      <c r="C1490" s="19">
        <v>100</v>
      </c>
      <c r="D1490" s="20">
        <v>10</v>
      </c>
      <c r="E1490" s="20">
        <v>10</v>
      </c>
      <c r="F1490" s="20">
        <v>10</v>
      </c>
      <c r="G1490" s="19">
        <f t="shared" si="113"/>
        <v>172</v>
      </c>
      <c r="H1490" s="22">
        <f t="shared" si="110"/>
        <v>1489</v>
      </c>
      <c r="I1490" s="21">
        <f t="shared" ca="1" si="109"/>
        <v>0</v>
      </c>
      <c r="J1490" s="21" t="str">
        <f ca="1">IF(I1490=0,"",COUNTIF($I$2:I1490,"&gt;0"))</f>
        <v/>
      </c>
      <c r="K1490" s="21" t="str">
        <f t="shared" ca="1" si="112"/>
        <v/>
      </c>
    </row>
    <row r="1491" spans="1:11" s="18" customFormat="1" ht="14.25" x14ac:dyDescent="0.2">
      <c r="A1491" s="18" t="str">
        <f t="shared" si="111"/>
        <v>Eintrag 1490</v>
      </c>
      <c r="B1491" s="18">
        <v>100</v>
      </c>
      <c r="C1491" s="19">
        <v>100</v>
      </c>
      <c r="D1491" s="20">
        <v>10</v>
      </c>
      <c r="E1491" s="20">
        <v>10</v>
      </c>
      <c r="F1491" s="20">
        <v>10</v>
      </c>
      <c r="G1491" s="19">
        <f t="shared" si="113"/>
        <v>172</v>
      </c>
      <c r="H1491" s="22">
        <f t="shared" si="110"/>
        <v>1490</v>
      </c>
      <c r="I1491" s="21">
        <f t="shared" ca="1" si="109"/>
        <v>0</v>
      </c>
      <c r="J1491" s="21" t="str">
        <f ca="1">IF(I1491=0,"",COUNTIF($I$2:I1491,"&gt;0"))</f>
        <v/>
      </c>
      <c r="K1491" s="21" t="str">
        <f t="shared" ca="1" si="112"/>
        <v/>
      </c>
    </row>
    <row r="1492" spans="1:11" s="18" customFormat="1" ht="14.25" x14ac:dyDescent="0.2">
      <c r="A1492" s="18" t="str">
        <f t="shared" si="111"/>
        <v>Eintrag 1491</v>
      </c>
      <c r="B1492" s="18">
        <v>100</v>
      </c>
      <c r="C1492" s="19">
        <v>100</v>
      </c>
      <c r="D1492" s="20">
        <v>10</v>
      </c>
      <c r="E1492" s="20">
        <v>10</v>
      </c>
      <c r="F1492" s="20">
        <v>10</v>
      </c>
      <c r="G1492" s="19">
        <f t="shared" si="113"/>
        <v>172</v>
      </c>
      <c r="H1492" s="22">
        <f t="shared" si="110"/>
        <v>1491</v>
      </c>
      <c r="I1492" s="21">
        <f t="shared" ca="1" si="109"/>
        <v>0</v>
      </c>
      <c r="J1492" s="21" t="str">
        <f ca="1">IF(I1492=0,"",COUNTIF($I$2:I1492,"&gt;0"))</f>
        <v/>
      </c>
      <c r="K1492" s="21" t="str">
        <f t="shared" ca="1" si="112"/>
        <v/>
      </c>
    </row>
    <row r="1493" spans="1:11" s="18" customFormat="1" ht="14.25" x14ac:dyDescent="0.2">
      <c r="A1493" s="18" t="str">
        <f t="shared" si="111"/>
        <v>Eintrag 1492</v>
      </c>
      <c r="B1493" s="18">
        <v>100</v>
      </c>
      <c r="C1493" s="19">
        <v>100</v>
      </c>
      <c r="D1493" s="20">
        <v>10</v>
      </c>
      <c r="E1493" s="20">
        <v>10</v>
      </c>
      <c r="F1493" s="20">
        <v>10</v>
      </c>
      <c r="G1493" s="19">
        <f t="shared" si="113"/>
        <v>172</v>
      </c>
      <c r="H1493" s="22">
        <f t="shared" si="110"/>
        <v>1492</v>
      </c>
      <c r="I1493" s="21">
        <f t="shared" ca="1" si="109"/>
        <v>0</v>
      </c>
      <c r="J1493" s="21" t="str">
        <f ca="1">IF(I1493=0,"",COUNTIF($I$2:I1493,"&gt;0"))</f>
        <v/>
      </c>
      <c r="K1493" s="21" t="str">
        <f t="shared" ca="1" si="112"/>
        <v/>
      </c>
    </row>
    <row r="1494" spans="1:11" s="18" customFormat="1" ht="14.25" x14ac:dyDescent="0.2">
      <c r="A1494" s="18" t="str">
        <f t="shared" si="111"/>
        <v>Eintrag 1493</v>
      </c>
      <c r="B1494" s="18">
        <v>100</v>
      </c>
      <c r="C1494" s="19">
        <v>100</v>
      </c>
      <c r="D1494" s="20">
        <v>10</v>
      </c>
      <c r="E1494" s="20">
        <v>10</v>
      </c>
      <c r="F1494" s="20">
        <v>10</v>
      </c>
      <c r="G1494" s="19">
        <f t="shared" si="113"/>
        <v>172</v>
      </c>
      <c r="H1494" s="22">
        <f t="shared" si="110"/>
        <v>1493</v>
      </c>
      <c r="I1494" s="21">
        <f t="shared" ca="1" si="109"/>
        <v>0</v>
      </c>
      <c r="J1494" s="21" t="str">
        <f ca="1">IF(I1494=0,"",COUNTIF($I$2:I1494,"&gt;0"))</f>
        <v/>
      </c>
      <c r="K1494" s="21" t="str">
        <f t="shared" ca="1" si="112"/>
        <v/>
      </c>
    </row>
    <row r="1495" spans="1:11" s="18" customFormat="1" ht="14.25" x14ac:dyDescent="0.2">
      <c r="A1495" s="18" t="str">
        <f t="shared" si="111"/>
        <v>Eintrag 1494</v>
      </c>
      <c r="B1495" s="18">
        <v>100</v>
      </c>
      <c r="C1495" s="19">
        <v>100</v>
      </c>
      <c r="D1495" s="20">
        <v>10</v>
      </c>
      <c r="E1495" s="20">
        <v>10</v>
      </c>
      <c r="F1495" s="20">
        <v>10</v>
      </c>
      <c r="G1495" s="19">
        <f t="shared" si="113"/>
        <v>172</v>
      </c>
      <c r="H1495" s="22">
        <f t="shared" si="110"/>
        <v>1494</v>
      </c>
      <c r="I1495" s="21">
        <f t="shared" ref="I1495:I1558" ca="1" si="114">IFERROR(SEARCH(INDIRECT(CELL("address")),A1495),0)</f>
        <v>0</v>
      </c>
      <c r="J1495" s="21" t="str">
        <f ca="1">IF(I1495=0,"",COUNTIF($I$2:I1495,"&gt;0"))</f>
        <v/>
      </c>
      <c r="K1495" s="21" t="str">
        <f t="shared" ca="1" si="112"/>
        <v/>
      </c>
    </row>
    <row r="1496" spans="1:11" s="18" customFormat="1" ht="14.25" x14ac:dyDescent="0.2">
      <c r="A1496" s="18" t="str">
        <f t="shared" si="111"/>
        <v>Eintrag 1495</v>
      </c>
      <c r="B1496" s="18">
        <v>100</v>
      </c>
      <c r="C1496" s="19">
        <v>100</v>
      </c>
      <c r="D1496" s="20">
        <v>10</v>
      </c>
      <c r="E1496" s="20">
        <v>10</v>
      </c>
      <c r="F1496" s="20">
        <v>10</v>
      </c>
      <c r="G1496" s="19">
        <f t="shared" si="113"/>
        <v>172</v>
      </c>
      <c r="H1496" s="22">
        <f t="shared" si="110"/>
        <v>1495</v>
      </c>
      <c r="I1496" s="21">
        <f t="shared" ca="1" si="114"/>
        <v>0</v>
      </c>
      <c r="J1496" s="21" t="str">
        <f ca="1">IF(I1496=0,"",COUNTIF($I$2:I1496,"&gt;0"))</f>
        <v/>
      </c>
      <c r="K1496" s="21" t="str">
        <f t="shared" ca="1" si="112"/>
        <v/>
      </c>
    </row>
    <row r="1497" spans="1:11" s="18" customFormat="1" ht="14.25" x14ac:dyDescent="0.2">
      <c r="A1497" s="18" t="str">
        <f t="shared" si="111"/>
        <v>Eintrag 1496</v>
      </c>
      <c r="B1497" s="18">
        <v>100</v>
      </c>
      <c r="C1497" s="19">
        <v>100</v>
      </c>
      <c r="D1497" s="20">
        <v>10</v>
      </c>
      <c r="E1497" s="20">
        <v>10</v>
      </c>
      <c r="F1497" s="20">
        <v>10</v>
      </c>
      <c r="G1497" s="19">
        <f t="shared" si="113"/>
        <v>172</v>
      </c>
      <c r="H1497" s="22">
        <f t="shared" si="110"/>
        <v>1496</v>
      </c>
      <c r="I1497" s="21">
        <f t="shared" ca="1" si="114"/>
        <v>0</v>
      </c>
      <c r="J1497" s="21" t="str">
        <f ca="1">IF(I1497=0,"",COUNTIF($I$2:I1497,"&gt;0"))</f>
        <v/>
      </c>
      <c r="K1497" s="21" t="str">
        <f t="shared" ca="1" si="112"/>
        <v/>
      </c>
    </row>
    <row r="1498" spans="1:11" s="18" customFormat="1" ht="14.25" x14ac:dyDescent="0.2">
      <c r="A1498" s="18" t="str">
        <f t="shared" si="111"/>
        <v>Eintrag 1497</v>
      </c>
      <c r="B1498" s="18">
        <v>100</v>
      </c>
      <c r="C1498" s="19">
        <v>100</v>
      </c>
      <c r="D1498" s="20">
        <v>10</v>
      </c>
      <c r="E1498" s="20">
        <v>10</v>
      </c>
      <c r="F1498" s="20">
        <v>10</v>
      </c>
      <c r="G1498" s="19">
        <f t="shared" si="113"/>
        <v>172</v>
      </c>
      <c r="H1498" s="22">
        <f t="shared" si="110"/>
        <v>1497</v>
      </c>
      <c r="I1498" s="21">
        <f t="shared" ca="1" si="114"/>
        <v>0</v>
      </c>
      <c r="J1498" s="21" t="str">
        <f ca="1">IF(I1498=0,"",COUNTIF($I$2:I1498,"&gt;0"))</f>
        <v/>
      </c>
      <c r="K1498" s="21" t="str">
        <f t="shared" ca="1" si="112"/>
        <v/>
      </c>
    </row>
    <row r="1499" spans="1:11" s="18" customFormat="1" ht="14.25" x14ac:dyDescent="0.2">
      <c r="A1499" s="18" t="str">
        <f t="shared" si="111"/>
        <v>Eintrag 1498</v>
      </c>
      <c r="B1499" s="18">
        <v>100</v>
      </c>
      <c r="C1499" s="19">
        <v>100</v>
      </c>
      <c r="D1499" s="20">
        <v>10</v>
      </c>
      <c r="E1499" s="20">
        <v>10</v>
      </c>
      <c r="F1499" s="20">
        <v>10</v>
      </c>
      <c r="G1499" s="19">
        <f t="shared" si="113"/>
        <v>172</v>
      </c>
      <c r="H1499" s="22">
        <f t="shared" si="110"/>
        <v>1498</v>
      </c>
      <c r="I1499" s="21">
        <f t="shared" ca="1" si="114"/>
        <v>0</v>
      </c>
      <c r="J1499" s="21" t="str">
        <f ca="1">IF(I1499=0,"",COUNTIF($I$2:I1499,"&gt;0"))</f>
        <v/>
      </c>
      <c r="K1499" s="21" t="str">
        <f t="shared" ca="1" si="112"/>
        <v/>
      </c>
    </row>
    <row r="1500" spans="1:11" s="18" customFormat="1" ht="14.25" x14ac:dyDescent="0.2">
      <c r="A1500" s="18" t="str">
        <f t="shared" si="111"/>
        <v>Eintrag 1499</v>
      </c>
      <c r="B1500" s="18">
        <v>100</v>
      </c>
      <c r="C1500" s="19">
        <v>100</v>
      </c>
      <c r="D1500" s="20">
        <v>10</v>
      </c>
      <c r="E1500" s="20">
        <v>10</v>
      </c>
      <c r="F1500" s="20">
        <v>10</v>
      </c>
      <c r="G1500" s="19">
        <f t="shared" si="113"/>
        <v>172</v>
      </c>
      <c r="H1500" s="22">
        <f t="shared" si="110"/>
        <v>1499</v>
      </c>
      <c r="I1500" s="21">
        <f t="shared" ca="1" si="114"/>
        <v>0</v>
      </c>
      <c r="J1500" s="21" t="str">
        <f ca="1">IF(I1500=0,"",COUNTIF($I$2:I1500,"&gt;0"))</f>
        <v/>
      </c>
      <c r="K1500" s="21" t="str">
        <f t="shared" ca="1" si="112"/>
        <v/>
      </c>
    </row>
    <row r="1501" spans="1:11" s="18" customFormat="1" ht="14.25" x14ac:dyDescent="0.2">
      <c r="A1501" s="18" t="str">
        <f t="shared" si="111"/>
        <v>Eintrag 1500</v>
      </c>
      <c r="B1501" s="18">
        <v>100</v>
      </c>
      <c r="C1501" s="19">
        <v>100</v>
      </c>
      <c r="D1501" s="20">
        <v>10</v>
      </c>
      <c r="E1501" s="20">
        <v>10</v>
      </c>
      <c r="F1501" s="20">
        <v>10</v>
      </c>
      <c r="G1501" s="19">
        <f t="shared" si="113"/>
        <v>172</v>
      </c>
      <c r="H1501" s="22">
        <f t="shared" si="110"/>
        <v>1500</v>
      </c>
      <c r="I1501" s="21">
        <f t="shared" ca="1" si="114"/>
        <v>0</v>
      </c>
      <c r="J1501" s="21" t="str">
        <f ca="1">IF(I1501=0,"",COUNTIF($I$2:I1501,"&gt;0"))</f>
        <v/>
      </c>
      <c r="K1501" s="21" t="str">
        <f t="shared" ca="1" si="112"/>
        <v/>
      </c>
    </row>
    <row r="1502" spans="1:11" s="18" customFormat="1" ht="14.25" x14ac:dyDescent="0.2">
      <c r="A1502" s="18" t="str">
        <f t="shared" si="111"/>
        <v>Eintrag 1501</v>
      </c>
      <c r="B1502" s="18">
        <v>100</v>
      </c>
      <c r="C1502" s="19">
        <v>100</v>
      </c>
      <c r="D1502" s="20">
        <v>10</v>
      </c>
      <c r="E1502" s="20">
        <v>10</v>
      </c>
      <c r="F1502" s="20">
        <v>10</v>
      </c>
      <c r="G1502" s="19">
        <f t="shared" si="113"/>
        <v>172</v>
      </c>
      <c r="H1502" s="22">
        <f t="shared" si="110"/>
        <v>1501</v>
      </c>
      <c r="I1502" s="21">
        <f t="shared" ca="1" si="114"/>
        <v>0</v>
      </c>
      <c r="J1502" s="21" t="str">
        <f ca="1">IF(I1502=0,"",COUNTIF($I$2:I1502,"&gt;0"))</f>
        <v/>
      </c>
      <c r="K1502" s="21" t="str">
        <f t="shared" ca="1" si="112"/>
        <v/>
      </c>
    </row>
    <row r="1503" spans="1:11" s="18" customFormat="1" ht="14.25" x14ac:dyDescent="0.2">
      <c r="A1503" s="18" t="str">
        <f t="shared" si="111"/>
        <v>Eintrag 1502</v>
      </c>
      <c r="B1503" s="18">
        <v>100</v>
      </c>
      <c r="C1503" s="19">
        <v>100</v>
      </c>
      <c r="D1503" s="20">
        <v>10</v>
      </c>
      <c r="E1503" s="20">
        <v>10</v>
      </c>
      <c r="F1503" s="20">
        <v>10</v>
      </c>
      <c r="G1503" s="19">
        <f t="shared" si="113"/>
        <v>172</v>
      </c>
      <c r="H1503" s="22">
        <f t="shared" si="110"/>
        <v>1502</v>
      </c>
      <c r="I1503" s="21">
        <f t="shared" ca="1" si="114"/>
        <v>0</v>
      </c>
      <c r="J1503" s="21" t="str">
        <f ca="1">IF(I1503=0,"",COUNTIF($I$2:I1503,"&gt;0"))</f>
        <v/>
      </c>
      <c r="K1503" s="21" t="str">
        <f t="shared" ca="1" si="112"/>
        <v/>
      </c>
    </row>
    <row r="1504" spans="1:11" s="18" customFormat="1" ht="14.25" x14ac:dyDescent="0.2">
      <c r="A1504" s="18" t="str">
        <f t="shared" si="111"/>
        <v>Eintrag 1503</v>
      </c>
      <c r="B1504" s="18">
        <v>100</v>
      </c>
      <c r="C1504" s="19">
        <v>100</v>
      </c>
      <c r="D1504" s="20">
        <v>10</v>
      </c>
      <c r="E1504" s="20">
        <v>10</v>
      </c>
      <c r="F1504" s="20">
        <v>10</v>
      </c>
      <c r="G1504" s="19">
        <f t="shared" si="113"/>
        <v>172</v>
      </c>
      <c r="H1504" s="22">
        <f t="shared" si="110"/>
        <v>1503</v>
      </c>
      <c r="I1504" s="21">
        <f t="shared" ca="1" si="114"/>
        <v>0</v>
      </c>
      <c r="J1504" s="21" t="str">
        <f ca="1">IF(I1504=0,"",COUNTIF($I$2:I1504,"&gt;0"))</f>
        <v/>
      </c>
      <c r="K1504" s="21" t="str">
        <f t="shared" ca="1" si="112"/>
        <v/>
      </c>
    </row>
    <row r="1505" spans="1:11" s="18" customFormat="1" ht="14.25" x14ac:dyDescent="0.2">
      <c r="A1505" s="18" t="str">
        <f t="shared" si="111"/>
        <v>Eintrag 1504</v>
      </c>
      <c r="B1505" s="18">
        <v>100</v>
      </c>
      <c r="C1505" s="19">
        <v>100</v>
      </c>
      <c r="D1505" s="20">
        <v>10</v>
      </c>
      <c r="E1505" s="20">
        <v>10</v>
      </c>
      <c r="F1505" s="20">
        <v>10</v>
      </c>
      <c r="G1505" s="19">
        <f t="shared" si="113"/>
        <v>172</v>
      </c>
      <c r="H1505" s="22">
        <f t="shared" si="110"/>
        <v>1504</v>
      </c>
      <c r="I1505" s="21">
        <f t="shared" ca="1" si="114"/>
        <v>0</v>
      </c>
      <c r="J1505" s="21" t="str">
        <f ca="1">IF(I1505=0,"",COUNTIF($I$2:I1505,"&gt;0"))</f>
        <v/>
      </c>
      <c r="K1505" s="21" t="str">
        <f t="shared" ca="1" si="112"/>
        <v/>
      </c>
    </row>
    <row r="1506" spans="1:11" s="18" customFormat="1" ht="14.25" x14ac:dyDescent="0.2">
      <c r="A1506" s="18" t="str">
        <f t="shared" si="111"/>
        <v>Eintrag 1505</v>
      </c>
      <c r="B1506" s="18">
        <v>100</v>
      </c>
      <c r="C1506" s="19">
        <v>100</v>
      </c>
      <c r="D1506" s="20">
        <v>10</v>
      </c>
      <c r="E1506" s="20">
        <v>10</v>
      </c>
      <c r="F1506" s="20">
        <v>10</v>
      </c>
      <c r="G1506" s="19">
        <f t="shared" si="113"/>
        <v>172</v>
      </c>
      <c r="H1506" s="22">
        <f t="shared" si="110"/>
        <v>1505</v>
      </c>
      <c r="I1506" s="21">
        <f t="shared" ca="1" si="114"/>
        <v>0</v>
      </c>
      <c r="J1506" s="21" t="str">
        <f ca="1">IF(I1506=0,"",COUNTIF($I$2:I1506,"&gt;0"))</f>
        <v/>
      </c>
      <c r="K1506" s="21" t="str">
        <f t="shared" ca="1" si="112"/>
        <v/>
      </c>
    </row>
    <row r="1507" spans="1:11" s="18" customFormat="1" ht="14.25" x14ac:dyDescent="0.2">
      <c r="A1507" s="18" t="str">
        <f t="shared" si="111"/>
        <v>Eintrag 1506</v>
      </c>
      <c r="B1507" s="18">
        <v>100</v>
      </c>
      <c r="C1507" s="19">
        <v>100</v>
      </c>
      <c r="D1507" s="20">
        <v>10</v>
      </c>
      <c r="E1507" s="20">
        <v>10</v>
      </c>
      <c r="F1507" s="20">
        <v>10</v>
      </c>
      <c r="G1507" s="19">
        <f t="shared" si="113"/>
        <v>172</v>
      </c>
      <c r="H1507" s="22">
        <f t="shared" si="110"/>
        <v>1506</v>
      </c>
      <c r="I1507" s="21">
        <f t="shared" ca="1" si="114"/>
        <v>0</v>
      </c>
      <c r="J1507" s="21" t="str">
        <f ca="1">IF(I1507=0,"",COUNTIF($I$2:I1507,"&gt;0"))</f>
        <v/>
      </c>
      <c r="K1507" s="21" t="str">
        <f t="shared" ca="1" si="112"/>
        <v/>
      </c>
    </row>
    <row r="1508" spans="1:11" s="18" customFormat="1" ht="14.25" x14ac:dyDescent="0.2">
      <c r="A1508" s="18" t="str">
        <f t="shared" si="111"/>
        <v>Eintrag 1507</v>
      </c>
      <c r="B1508" s="18">
        <v>100</v>
      </c>
      <c r="C1508" s="19">
        <v>100</v>
      </c>
      <c r="D1508" s="20">
        <v>10</v>
      </c>
      <c r="E1508" s="20">
        <v>10</v>
      </c>
      <c r="F1508" s="20">
        <v>10</v>
      </c>
      <c r="G1508" s="19">
        <f t="shared" si="113"/>
        <v>172</v>
      </c>
      <c r="H1508" s="22">
        <f t="shared" si="110"/>
        <v>1507</v>
      </c>
      <c r="I1508" s="21">
        <f t="shared" ca="1" si="114"/>
        <v>0</v>
      </c>
      <c r="J1508" s="21" t="str">
        <f ca="1">IF(I1508=0,"",COUNTIF($I$2:I1508,"&gt;0"))</f>
        <v/>
      </c>
      <c r="K1508" s="21" t="str">
        <f t="shared" ca="1" si="112"/>
        <v/>
      </c>
    </row>
    <row r="1509" spans="1:11" s="18" customFormat="1" ht="14.25" x14ac:dyDescent="0.2">
      <c r="A1509" s="18" t="str">
        <f t="shared" si="111"/>
        <v>Eintrag 1508</v>
      </c>
      <c r="B1509" s="18">
        <v>100</v>
      </c>
      <c r="C1509" s="19">
        <v>100</v>
      </c>
      <c r="D1509" s="20">
        <v>10</v>
      </c>
      <c r="E1509" s="20">
        <v>10</v>
      </c>
      <c r="F1509" s="20">
        <v>10</v>
      </c>
      <c r="G1509" s="19">
        <f t="shared" si="113"/>
        <v>172</v>
      </c>
      <c r="H1509" s="22">
        <f t="shared" ref="H1509:H1572" si="115">H1508+1</f>
        <v>1508</v>
      </c>
      <c r="I1509" s="21">
        <f t="shared" ca="1" si="114"/>
        <v>0</v>
      </c>
      <c r="J1509" s="21" t="str">
        <f ca="1">IF(I1509=0,"",COUNTIF($I$2:I1509,"&gt;0"))</f>
        <v/>
      </c>
      <c r="K1509" s="21" t="str">
        <f t="shared" ca="1" si="112"/>
        <v/>
      </c>
    </row>
    <row r="1510" spans="1:11" s="18" customFormat="1" ht="14.25" x14ac:dyDescent="0.2">
      <c r="A1510" s="18" t="str">
        <f t="shared" si="111"/>
        <v>Eintrag 1509</v>
      </c>
      <c r="B1510" s="18">
        <v>100</v>
      </c>
      <c r="C1510" s="19">
        <v>100</v>
      </c>
      <c r="D1510" s="20">
        <v>10</v>
      </c>
      <c r="E1510" s="20">
        <v>10</v>
      </c>
      <c r="F1510" s="20">
        <v>10</v>
      </c>
      <c r="G1510" s="19">
        <f t="shared" si="113"/>
        <v>172</v>
      </c>
      <c r="H1510" s="22">
        <f t="shared" si="115"/>
        <v>1509</v>
      </c>
      <c r="I1510" s="21">
        <f t="shared" ca="1" si="114"/>
        <v>0</v>
      </c>
      <c r="J1510" s="21" t="str">
        <f ca="1">IF(I1510=0,"",COUNTIF($I$2:I1510,"&gt;0"))</f>
        <v/>
      </c>
      <c r="K1510" s="21" t="str">
        <f t="shared" ca="1" si="112"/>
        <v/>
      </c>
    </row>
    <row r="1511" spans="1:11" s="18" customFormat="1" ht="14.25" x14ac:dyDescent="0.2">
      <c r="A1511" s="18" t="str">
        <f t="shared" si="111"/>
        <v>Eintrag 1510</v>
      </c>
      <c r="B1511" s="18">
        <v>100</v>
      </c>
      <c r="C1511" s="19">
        <v>100</v>
      </c>
      <c r="D1511" s="20">
        <v>10</v>
      </c>
      <c r="E1511" s="20">
        <v>10</v>
      </c>
      <c r="F1511" s="20">
        <v>10</v>
      </c>
      <c r="G1511" s="19">
        <f t="shared" si="113"/>
        <v>172</v>
      </c>
      <c r="H1511" s="22">
        <f t="shared" si="115"/>
        <v>1510</v>
      </c>
      <c r="I1511" s="21">
        <f t="shared" ca="1" si="114"/>
        <v>0</v>
      </c>
      <c r="J1511" s="21" t="str">
        <f ca="1">IF(I1511=0,"",COUNTIF($I$2:I1511,"&gt;0"))</f>
        <v/>
      </c>
      <c r="K1511" s="21" t="str">
        <f t="shared" ca="1" si="112"/>
        <v/>
      </c>
    </row>
    <row r="1512" spans="1:11" s="18" customFormat="1" ht="14.25" x14ac:dyDescent="0.2">
      <c r="A1512" s="18" t="str">
        <f t="shared" si="111"/>
        <v>Eintrag 1511</v>
      </c>
      <c r="B1512" s="18">
        <v>100</v>
      </c>
      <c r="C1512" s="19">
        <v>100</v>
      </c>
      <c r="D1512" s="20">
        <v>10</v>
      </c>
      <c r="E1512" s="20">
        <v>10</v>
      </c>
      <c r="F1512" s="20">
        <v>10</v>
      </c>
      <c r="G1512" s="19">
        <f t="shared" si="113"/>
        <v>172</v>
      </c>
      <c r="H1512" s="22">
        <f t="shared" si="115"/>
        <v>1511</v>
      </c>
      <c r="I1512" s="21">
        <f t="shared" ca="1" si="114"/>
        <v>0</v>
      </c>
      <c r="J1512" s="21" t="str">
        <f ca="1">IF(I1512=0,"",COUNTIF($I$2:I1512,"&gt;0"))</f>
        <v/>
      </c>
      <c r="K1512" s="21" t="str">
        <f t="shared" ca="1" si="112"/>
        <v/>
      </c>
    </row>
    <row r="1513" spans="1:11" s="18" customFormat="1" ht="14.25" x14ac:dyDescent="0.2">
      <c r="A1513" s="18" t="str">
        <f t="shared" si="111"/>
        <v>Eintrag 1512</v>
      </c>
      <c r="B1513" s="18">
        <v>100</v>
      </c>
      <c r="C1513" s="19">
        <v>100</v>
      </c>
      <c r="D1513" s="20">
        <v>10</v>
      </c>
      <c r="E1513" s="20">
        <v>10</v>
      </c>
      <c r="F1513" s="20">
        <v>10</v>
      </c>
      <c r="G1513" s="19">
        <f t="shared" si="113"/>
        <v>172</v>
      </c>
      <c r="H1513" s="22">
        <f t="shared" si="115"/>
        <v>1512</v>
      </c>
      <c r="I1513" s="21">
        <f t="shared" ca="1" si="114"/>
        <v>0</v>
      </c>
      <c r="J1513" s="21" t="str">
        <f ca="1">IF(I1513=0,"",COUNTIF($I$2:I1513,"&gt;0"))</f>
        <v/>
      </c>
      <c r="K1513" s="21" t="str">
        <f t="shared" ca="1" si="112"/>
        <v/>
      </c>
    </row>
    <row r="1514" spans="1:11" s="18" customFormat="1" ht="14.25" x14ac:dyDescent="0.2">
      <c r="A1514" s="18" t="str">
        <f t="shared" si="111"/>
        <v>Eintrag 1513</v>
      </c>
      <c r="B1514" s="18">
        <v>100</v>
      </c>
      <c r="C1514" s="19">
        <v>100</v>
      </c>
      <c r="D1514" s="20">
        <v>10</v>
      </c>
      <c r="E1514" s="20">
        <v>10</v>
      </c>
      <c r="F1514" s="20">
        <v>10</v>
      </c>
      <c r="G1514" s="19">
        <f t="shared" si="113"/>
        <v>172</v>
      </c>
      <c r="H1514" s="22">
        <f t="shared" si="115"/>
        <v>1513</v>
      </c>
      <c r="I1514" s="21">
        <f t="shared" ca="1" si="114"/>
        <v>0</v>
      </c>
      <c r="J1514" s="21" t="str">
        <f ca="1">IF(I1514=0,"",COUNTIF($I$2:I1514,"&gt;0"))</f>
        <v/>
      </c>
      <c r="K1514" s="21" t="str">
        <f t="shared" ca="1" si="112"/>
        <v/>
      </c>
    </row>
    <row r="1515" spans="1:11" s="18" customFormat="1" ht="14.25" x14ac:dyDescent="0.2">
      <c r="A1515" s="18" t="str">
        <f t="shared" si="111"/>
        <v>Eintrag 1514</v>
      </c>
      <c r="B1515" s="18">
        <v>100</v>
      </c>
      <c r="C1515" s="19">
        <v>100</v>
      </c>
      <c r="D1515" s="20">
        <v>10</v>
      </c>
      <c r="E1515" s="20">
        <v>10</v>
      </c>
      <c r="F1515" s="20">
        <v>10</v>
      </c>
      <c r="G1515" s="19">
        <f t="shared" si="113"/>
        <v>172</v>
      </c>
      <c r="H1515" s="22">
        <f t="shared" si="115"/>
        <v>1514</v>
      </c>
      <c r="I1515" s="21">
        <f t="shared" ca="1" si="114"/>
        <v>0</v>
      </c>
      <c r="J1515" s="21" t="str">
        <f ca="1">IF(I1515=0,"",COUNTIF($I$2:I1515,"&gt;0"))</f>
        <v/>
      </c>
      <c r="K1515" s="21" t="str">
        <f t="shared" ca="1" si="112"/>
        <v/>
      </c>
    </row>
    <row r="1516" spans="1:11" s="18" customFormat="1" ht="14.25" x14ac:dyDescent="0.2">
      <c r="A1516" s="18" t="str">
        <f t="shared" si="111"/>
        <v>Eintrag 1515</v>
      </c>
      <c r="B1516" s="18">
        <v>100</v>
      </c>
      <c r="C1516" s="19">
        <v>100</v>
      </c>
      <c r="D1516" s="20">
        <v>10</v>
      </c>
      <c r="E1516" s="20">
        <v>10</v>
      </c>
      <c r="F1516" s="20">
        <v>10</v>
      </c>
      <c r="G1516" s="19">
        <f t="shared" si="113"/>
        <v>172</v>
      </c>
      <c r="H1516" s="22">
        <f t="shared" si="115"/>
        <v>1515</v>
      </c>
      <c r="I1516" s="21">
        <f t="shared" ca="1" si="114"/>
        <v>0</v>
      </c>
      <c r="J1516" s="21" t="str">
        <f ca="1">IF(I1516=0,"",COUNTIF($I$2:I1516,"&gt;0"))</f>
        <v/>
      </c>
      <c r="K1516" s="21" t="str">
        <f t="shared" ca="1" si="112"/>
        <v/>
      </c>
    </row>
    <row r="1517" spans="1:11" s="18" customFormat="1" ht="14.25" x14ac:dyDescent="0.2">
      <c r="A1517" s="18" t="str">
        <f t="shared" si="111"/>
        <v>Eintrag 1516</v>
      </c>
      <c r="B1517" s="18">
        <v>100</v>
      </c>
      <c r="C1517" s="19">
        <v>100</v>
      </c>
      <c r="D1517" s="20">
        <v>10</v>
      </c>
      <c r="E1517" s="20">
        <v>10</v>
      </c>
      <c r="F1517" s="20">
        <v>10</v>
      </c>
      <c r="G1517" s="19">
        <f t="shared" si="113"/>
        <v>172</v>
      </c>
      <c r="H1517" s="22">
        <f t="shared" si="115"/>
        <v>1516</v>
      </c>
      <c r="I1517" s="21">
        <f t="shared" ca="1" si="114"/>
        <v>0</v>
      </c>
      <c r="J1517" s="21" t="str">
        <f ca="1">IF(I1517=0,"",COUNTIF($I$2:I1517,"&gt;0"))</f>
        <v/>
      </c>
      <c r="K1517" s="21" t="str">
        <f t="shared" ca="1" si="112"/>
        <v/>
      </c>
    </row>
    <row r="1518" spans="1:11" s="18" customFormat="1" ht="14.25" x14ac:dyDescent="0.2">
      <c r="A1518" s="18" t="str">
        <f t="shared" si="111"/>
        <v>Eintrag 1517</v>
      </c>
      <c r="B1518" s="18">
        <v>100</v>
      </c>
      <c r="C1518" s="19">
        <v>100</v>
      </c>
      <c r="D1518" s="20">
        <v>10</v>
      </c>
      <c r="E1518" s="20">
        <v>10</v>
      </c>
      <c r="F1518" s="20">
        <v>10</v>
      </c>
      <c r="G1518" s="19">
        <f t="shared" si="113"/>
        <v>172</v>
      </c>
      <c r="H1518" s="22">
        <f t="shared" si="115"/>
        <v>1517</v>
      </c>
      <c r="I1518" s="21">
        <f t="shared" ca="1" si="114"/>
        <v>0</v>
      </c>
      <c r="J1518" s="21" t="str">
        <f ca="1">IF(I1518=0,"",COUNTIF($I$2:I1518,"&gt;0"))</f>
        <v/>
      </c>
      <c r="K1518" s="21" t="str">
        <f t="shared" ca="1" si="112"/>
        <v/>
      </c>
    </row>
    <row r="1519" spans="1:11" s="18" customFormat="1" ht="14.25" x14ac:dyDescent="0.2">
      <c r="A1519" s="18" t="str">
        <f t="shared" si="111"/>
        <v>Eintrag 1518</v>
      </c>
      <c r="B1519" s="18">
        <v>100</v>
      </c>
      <c r="C1519" s="19">
        <v>100</v>
      </c>
      <c r="D1519" s="20">
        <v>10</v>
      </c>
      <c r="E1519" s="20">
        <v>10</v>
      </c>
      <c r="F1519" s="20">
        <v>10</v>
      </c>
      <c r="G1519" s="19">
        <f t="shared" si="113"/>
        <v>172</v>
      </c>
      <c r="H1519" s="22">
        <f t="shared" si="115"/>
        <v>1518</v>
      </c>
      <c r="I1519" s="21">
        <f t="shared" ca="1" si="114"/>
        <v>0</v>
      </c>
      <c r="J1519" s="21" t="str">
        <f ca="1">IF(I1519=0,"",COUNTIF($I$2:I1519,"&gt;0"))</f>
        <v/>
      </c>
      <c r="K1519" s="21" t="str">
        <f t="shared" ca="1" si="112"/>
        <v/>
      </c>
    </row>
    <row r="1520" spans="1:11" s="18" customFormat="1" ht="14.25" x14ac:dyDescent="0.2">
      <c r="A1520" s="18" t="str">
        <f t="shared" si="111"/>
        <v>Eintrag 1519</v>
      </c>
      <c r="B1520" s="18">
        <v>100</v>
      </c>
      <c r="C1520" s="19">
        <v>100</v>
      </c>
      <c r="D1520" s="20">
        <v>10</v>
      </c>
      <c r="E1520" s="20">
        <v>10</v>
      </c>
      <c r="F1520" s="20">
        <v>10</v>
      </c>
      <c r="G1520" s="19">
        <f t="shared" si="113"/>
        <v>172</v>
      </c>
      <c r="H1520" s="22">
        <f t="shared" si="115"/>
        <v>1519</v>
      </c>
      <c r="I1520" s="21">
        <f t="shared" ca="1" si="114"/>
        <v>0</v>
      </c>
      <c r="J1520" s="21" t="str">
        <f ca="1">IF(I1520=0,"",COUNTIF($I$2:I1520,"&gt;0"))</f>
        <v/>
      </c>
      <c r="K1520" s="21" t="str">
        <f t="shared" ca="1" si="112"/>
        <v/>
      </c>
    </row>
    <row r="1521" spans="1:11" s="18" customFormat="1" ht="14.25" x14ac:dyDescent="0.2">
      <c r="A1521" s="18" t="str">
        <f t="shared" si="111"/>
        <v>Eintrag 1520</v>
      </c>
      <c r="B1521" s="18">
        <v>100</v>
      </c>
      <c r="C1521" s="19">
        <v>100</v>
      </c>
      <c r="D1521" s="20">
        <v>10</v>
      </c>
      <c r="E1521" s="20">
        <v>10</v>
      </c>
      <c r="F1521" s="20">
        <v>10</v>
      </c>
      <c r="G1521" s="19">
        <f t="shared" si="113"/>
        <v>172</v>
      </c>
      <c r="H1521" s="22">
        <f t="shared" si="115"/>
        <v>1520</v>
      </c>
      <c r="I1521" s="21">
        <f t="shared" ca="1" si="114"/>
        <v>0</v>
      </c>
      <c r="J1521" s="21" t="str">
        <f ca="1">IF(I1521=0,"",COUNTIF($I$2:I1521,"&gt;0"))</f>
        <v/>
      </c>
      <c r="K1521" s="21" t="str">
        <f t="shared" ca="1" si="112"/>
        <v/>
      </c>
    </row>
    <row r="1522" spans="1:11" s="18" customFormat="1" ht="14.25" x14ac:dyDescent="0.2">
      <c r="A1522" s="18" t="str">
        <f t="shared" si="111"/>
        <v>Eintrag 1521</v>
      </c>
      <c r="B1522" s="18">
        <v>100</v>
      </c>
      <c r="C1522" s="19">
        <v>100</v>
      </c>
      <c r="D1522" s="20">
        <v>10</v>
      </c>
      <c r="E1522" s="20">
        <v>10</v>
      </c>
      <c r="F1522" s="20">
        <v>10</v>
      </c>
      <c r="G1522" s="19">
        <f t="shared" si="113"/>
        <v>172</v>
      </c>
      <c r="H1522" s="22">
        <f t="shared" si="115"/>
        <v>1521</v>
      </c>
      <c r="I1522" s="21">
        <f t="shared" ca="1" si="114"/>
        <v>0</v>
      </c>
      <c r="J1522" s="21" t="str">
        <f ca="1">IF(I1522=0,"",COUNTIF($I$2:I1522,"&gt;0"))</f>
        <v/>
      </c>
      <c r="K1522" s="21" t="str">
        <f t="shared" ca="1" si="112"/>
        <v/>
      </c>
    </row>
    <row r="1523" spans="1:11" s="18" customFormat="1" ht="14.25" x14ac:dyDescent="0.2">
      <c r="A1523" s="18" t="str">
        <f t="shared" si="111"/>
        <v>Eintrag 1522</v>
      </c>
      <c r="B1523" s="18">
        <v>100</v>
      </c>
      <c r="C1523" s="19">
        <v>100</v>
      </c>
      <c r="D1523" s="20">
        <v>10</v>
      </c>
      <c r="E1523" s="20">
        <v>10</v>
      </c>
      <c r="F1523" s="20">
        <v>10</v>
      </c>
      <c r="G1523" s="19">
        <f t="shared" si="113"/>
        <v>172</v>
      </c>
      <c r="H1523" s="22">
        <f t="shared" si="115"/>
        <v>1522</v>
      </c>
      <c r="I1523" s="21">
        <f t="shared" ca="1" si="114"/>
        <v>0</v>
      </c>
      <c r="J1523" s="21" t="str">
        <f ca="1">IF(I1523=0,"",COUNTIF($I$2:I1523,"&gt;0"))</f>
        <v/>
      </c>
      <c r="K1523" s="21" t="str">
        <f t="shared" ca="1" si="112"/>
        <v/>
      </c>
    </row>
    <row r="1524" spans="1:11" s="18" customFormat="1" ht="14.25" x14ac:dyDescent="0.2">
      <c r="A1524" s="18" t="str">
        <f t="shared" si="111"/>
        <v>Eintrag 1523</v>
      </c>
      <c r="B1524" s="18">
        <v>100</v>
      </c>
      <c r="C1524" s="19">
        <v>100</v>
      </c>
      <c r="D1524" s="20">
        <v>10</v>
      </c>
      <c r="E1524" s="20">
        <v>10</v>
      </c>
      <c r="F1524" s="20">
        <v>10</v>
      </c>
      <c r="G1524" s="19">
        <f t="shared" si="113"/>
        <v>172</v>
      </c>
      <c r="H1524" s="22">
        <f t="shared" si="115"/>
        <v>1523</v>
      </c>
      <c r="I1524" s="21">
        <f t="shared" ca="1" si="114"/>
        <v>0</v>
      </c>
      <c r="J1524" s="21" t="str">
        <f ca="1">IF(I1524=0,"",COUNTIF($I$2:I1524,"&gt;0"))</f>
        <v/>
      </c>
      <c r="K1524" s="21" t="str">
        <f t="shared" ca="1" si="112"/>
        <v/>
      </c>
    </row>
    <row r="1525" spans="1:11" s="18" customFormat="1" ht="14.25" x14ac:dyDescent="0.2">
      <c r="A1525" s="18" t="str">
        <f t="shared" si="111"/>
        <v>Eintrag 1524</v>
      </c>
      <c r="B1525" s="18">
        <v>100</v>
      </c>
      <c r="C1525" s="19">
        <v>100</v>
      </c>
      <c r="D1525" s="20">
        <v>10</v>
      </c>
      <c r="E1525" s="20">
        <v>10</v>
      </c>
      <c r="F1525" s="20">
        <v>10</v>
      </c>
      <c r="G1525" s="19">
        <f t="shared" si="113"/>
        <v>172</v>
      </c>
      <c r="H1525" s="22">
        <f t="shared" si="115"/>
        <v>1524</v>
      </c>
      <c r="I1525" s="21">
        <f t="shared" ca="1" si="114"/>
        <v>0</v>
      </c>
      <c r="J1525" s="21" t="str">
        <f ca="1">IF(I1525=0,"",COUNTIF($I$2:I1525,"&gt;0"))</f>
        <v/>
      </c>
      <c r="K1525" s="21" t="str">
        <f t="shared" ca="1" si="112"/>
        <v/>
      </c>
    </row>
    <row r="1526" spans="1:11" s="18" customFormat="1" ht="14.25" x14ac:dyDescent="0.2">
      <c r="A1526" s="18" t="str">
        <f t="shared" si="111"/>
        <v>Eintrag 1525</v>
      </c>
      <c r="B1526" s="18">
        <v>100</v>
      </c>
      <c r="C1526" s="19">
        <v>100</v>
      </c>
      <c r="D1526" s="20">
        <v>10</v>
      </c>
      <c r="E1526" s="20">
        <v>10</v>
      </c>
      <c r="F1526" s="20">
        <v>10</v>
      </c>
      <c r="G1526" s="19">
        <f t="shared" si="113"/>
        <v>172</v>
      </c>
      <c r="H1526" s="22">
        <f t="shared" si="115"/>
        <v>1525</v>
      </c>
      <c r="I1526" s="21">
        <f t="shared" ca="1" si="114"/>
        <v>0</v>
      </c>
      <c r="J1526" s="21" t="str">
        <f ca="1">IF(I1526=0,"",COUNTIF($I$2:I1526,"&gt;0"))</f>
        <v/>
      </c>
      <c r="K1526" s="21" t="str">
        <f t="shared" ca="1" si="112"/>
        <v/>
      </c>
    </row>
    <row r="1527" spans="1:11" s="18" customFormat="1" ht="14.25" x14ac:dyDescent="0.2">
      <c r="A1527" s="18" t="str">
        <f t="shared" si="111"/>
        <v>Eintrag 1526</v>
      </c>
      <c r="B1527" s="18">
        <v>100</v>
      </c>
      <c r="C1527" s="19">
        <v>100</v>
      </c>
      <c r="D1527" s="20">
        <v>10</v>
      </c>
      <c r="E1527" s="20">
        <v>10</v>
      </c>
      <c r="F1527" s="20">
        <v>10</v>
      </c>
      <c r="G1527" s="19">
        <f t="shared" si="113"/>
        <v>172</v>
      </c>
      <c r="H1527" s="22">
        <f t="shared" si="115"/>
        <v>1526</v>
      </c>
      <c r="I1527" s="21">
        <f t="shared" ca="1" si="114"/>
        <v>0</v>
      </c>
      <c r="J1527" s="21" t="str">
        <f ca="1">IF(I1527=0,"",COUNTIF($I$2:I1527,"&gt;0"))</f>
        <v/>
      </c>
      <c r="K1527" s="21" t="str">
        <f t="shared" ca="1" si="112"/>
        <v/>
      </c>
    </row>
    <row r="1528" spans="1:11" s="18" customFormat="1" ht="14.25" x14ac:dyDescent="0.2">
      <c r="A1528" s="18" t="str">
        <f t="shared" si="111"/>
        <v>Eintrag 1527</v>
      </c>
      <c r="B1528" s="18">
        <v>100</v>
      </c>
      <c r="C1528" s="19">
        <v>100</v>
      </c>
      <c r="D1528" s="20">
        <v>10</v>
      </c>
      <c r="E1528" s="20">
        <v>10</v>
      </c>
      <c r="F1528" s="20">
        <v>10</v>
      </c>
      <c r="G1528" s="19">
        <f t="shared" si="113"/>
        <v>172</v>
      </c>
      <c r="H1528" s="22">
        <f t="shared" si="115"/>
        <v>1527</v>
      </c>
      <c r="I1528" s="21">
        <f t="shared" ca="1" si="114"/>
        <v>0</v>
      </c>
      <c r="J1528" s="21" t="str">
        <f ca="1">IF(I1528=0,"",COUNTIF($I$2:I1528,"&gt;0"))</f>
        <v/>
      </c>
      <c r="K1528" s="21" t="str">
        <f t="shared" ca="1" si="112"/>
        <v/>
      </c>
    </row>
    <row r="1529" spans="1:11" s="18" customFormat="1" ht="14.25" x14ac:dyDescent="0.2">
      <c r="A1529" s="18" t="str">
        <f t="shared" si="111"/>
        <v>Eintrag 1528</v>
      </c>
      <c r="B1529" s="18">
        <v>100</v>
      </c>
      <c r="C1529" s="19">
        <v>100</v>
      </c>
      <c r="D1529" s="20">
        <v>10</v>
      </c>
      <c r="E1529" s="20">
        <v>10</v>
      </c>
      <c r="F1529" s="20">
        <v>10</v>
      </c>
      <c r="G1529" s="19">
        <f t="shared" si="113"/>
        <v>172</v>
      </c>
      <c r="H1529" s="22">
        <f t="shared" si="115"/>
        <v>1528</v>
      </c>
      <c r="I1529" s="21">
        <f t="shared" ca="1" si="114"/>
        <v>0</v>
      </c>
      <c r="J1529" s="21" t="str">
        <f ca="1">IF(I1529=0,"",COUNTIF($I$2:I1529,"&gt;0"))</f>
        <v/>
      </c>
      <c r="K1529" s="21" t="str">
        <f t="shared" ca="1" si="112"/>
        <v/>
      </c>
    </row>
    <row r="1530" spans="1:11" s="18" customFormat="1" ht="14.25" x14ac:dyDescent="0.2">
      <c r="A1530" s="18" t="str">
        <f t="shared" si="111"/>
        <v>Eintrag 1529</v>
      </c>
      <c r="B1530" s="18">
        <v>100</v>
      </c>
      <c r="C1530" s="19">
        <v>100</v>
      </c>
      <c r="D1530" s="20">
        <v>10</v>
      </c>
      <c r="E1530" s="20">
        <v>10</v>
      </c>
      <c r="F1530" s="20">
        <v>10</v>
      </c>
      <c r="G1530" s="19">
        <f t="shared" si="113"/>
        <v>172</v>
      </c>
      <c r="H1530" s="22">
        <f t="shared" si="115"/>
        <v>1529</v>
      </c>
      <c r="I1530" s="21">
        <f t="shared" ca="1" si="114"/>
        <v>0</v>
      </c>
      <c r="J1530" s="21" t="str">
        <f ca="1">IF(I1530=0,"",COUNTIF($I$2:I1530,"&gt;0"))</f>
        <v/>
      </c>
      <c r="K1530" s="21" t="str">
        <f t="shared" ca="1" si="112"/>
        <v/>
      </c>
    </row>
    <row r="1531" spans="1:11" s="18" customFormat="1" ht="14.25" x14ac:dyDescent="0.2">
      <c r="A1531" s="18" t="str">
        <f t="shared" si="111"/>
        <v>Eintrag 1530</v>
      </c>
      <c r="B1531" s="18">
        <v>100</v>
      </c>
      <c r="C1531" s="19">
        <v>100</v>
      </c>
      <c r="D1531" s="20">
        <v>10</v>
      </c>
      <c r="E1531" s="20">
        <v>10</v>
      </c>
      <c r="F1531" s="20">
        <v>10</v>
      </c>
      <c r="G1531" s="19">
        <f t="shared" si="113"/>
        <v>172</v>
      </c>
      <c r="H1531" s="22">
        <f t="shared" si="115"/>
        <v>1530</v>
      </c>
      <c r="I1531" s="21">
        <f t="shared" ca="1" si="114"/>
        <v>0</v>
      </c>
      <c r="J1531" s="21" t="str">
        <f ca="1">IF(I1531=0,"",COUNTIF($I$2:I1531,"&gt;0"))</f>
        <v/>
      </c>
      <c r="K1531" s="21" t="str">
        <f t="shared" ca="1" si="112"/>
        <v/>
      </c>
    </row>
    <row r="1532" spans="1:11" s="18" customFormat="1" ht="14.25" x14ac:dyDescent="0.2">
      <c r="A1532" s="18" t="str">
        <f t="shared" si="111"/>
        <v>Eintrag 1531</v>
      </c>
      <c r="B1532" s="18">
        <v>100</v>
      </c>
      <c r="C1532" s="19">
        <v>100</v>
      </c>
      <c r="D1532" s="20">
        <v>10</v>
      </c>
      <c r="E1532" s="20">
        <v>10</v>
      </c>
      <c r="F1532" s="20">
        <v>10</v>
      </c>
      <c r="G1532" s="19">
        <f t="shared" si="113"/>
        <v>172</v>
      </c>
      <c r="H1532" s="22">
        <f t="shared" si="115"/>
        <v>1531</v>
      </c>
      <c r="I1532" s="21">
        <f t="shared" ca="1" si="114"/>
        <v>0</v>
      </c>
      <c r="J1532" s="21" t="str">
        <f ca="1">IF(I1532=0,"",COUNTIF($I$2:I1532,"&gt;0"))</f>
        <v/>
      </c>
      <c r="K1532" s="21" t="str">
        <f t="shared" ca="1" si="112"/>
        <v/>
      </c>
    </row>
    <row r="1533" spans="1:11" s="18" customFormat="1" ht="14.25" x14ac:dyDescent="0.2">
      <c r="A1533" s="18" t="str">
        <f t="shared" ref="A1533:A1596" si="116">CONCATENATE("Eintrag ",H1533)</f>
        <v>Eintrag 1532</v>
      </c>
      <c r="B1533" s="18">
        <v>100</v>
      </c>
      <c r="C1533" s="19">
        <v>100</v>
      </c>
      <c r="D1533" s="20">
        <v>10</v>
      </c>
      <c r="E1533" s="20">
        <v>10</v>
      </c>
      <c r="F1533" s="20">
        <v>10</v>
      </c>
      <c r="G1533" s="19">
        <f t="shared" si="113"/>
        <v>172</v>
      </c>
      <c r="H1533" s="22">
        <f t="shared" si="115"/>
        <v>1532</v>
      </c>
      <c r="I1533" s="21">
        <f t="shared" ca="1" si="114"/>
        <v>0</v>
      </c>
      <c r="J1533" s="21" t="str">
        <f ca="1">IF(I1533=0,"",COUNTIF($I$2:I1533,"&gt;0"))</f>
        <v/>
      </c>
      <c r="K1533" s="21" t="str">
        <f t="shared" ca="1" si="112"/>
        <v/>
      </c>
    </row>
    <row r="1534" spans="1:11" s="18" customFormat="1" ht="14.25" x14ac:dyDescent="0.2">
      <c r="A1534" s="18" t="str">
        <f t="shared" si="116"/>
        <v>Eintrag 1533</v>
      </c>
      <c r="B1534" s="18">
        <v>100</v>
      </c>
      <c r="C1534" s="19">
        <v>100</v>
      </c>
      <c r="D1534" s="20">
        <v>10</v>
      </c>
      <c r="E1534" s="20">
        <v>10</v>
      </c>
      <c r="F1534" s="20">
        <v>10</v>
      </c>
      <c r="G1534" s="19">
        <f t="shared" si="113"/>
        <v>172</v>
      </c>
      <c r="H1534" s="22">
        <f t="shared" si="115"/>
        <v>1533</v>
      </c>
      <c r="I1534" s="21">
        <f t="shared" ca="1" si="114"/>
        <v>0</v>
      </c>
      <c r="J1534" s="21" t="str">
        <f ca="1">IF(I1534=0,"",COUNTIF($I$2:I1534,"&gt;0"))</f>
        <v/>
      </c>
      <c r="K1534" s="21" t="str">
        <f t="shared" ca="1" si="112"/>
        <v/>
      </c>
    </row>
    <row r="1535" spans="1:11" s="18" customFormat="1" ht="14.25" x14ac:dyDescent="0.2">
      <c r="A1535" s="18" t="str">
        <f t="shared" si="116"/>
        <v>Eintrag 1534</v>
      </c>
      <c r="B1535" s="18">
        <v>100</v>
      </c>
      <c r="C1535" s="19">
        <v>100</v>
      </c>
      <c r="D1535" s="20">
        <v>10</v>
      </c>
      <c r="E1535" s="20">
        <v>10</v>
      </c>
      <c r="F1535" s="20">
        <v>10</v>
      </c>
      <c r="G1535" s="19">
        <f t="shared" si="113"/>
        <v>172</v>
      </c>
      <c r="H1535" s="22">
        <f t="shared" si="115"/>
        <v>1534</v>
      </c>
      <c r="I1535" s="21">
        <f t="shared" ca="1" si="114"/>
        <v>0</v>
      </c>
      <c r="J1535" s="21" t="str">
        <f ca="1">IF(I1535=0,"",COUNTIF($I$2:I1535,"&gt;0"))</f>
        <v/>
      </c>
      <c r="K1535" s="21" t="str">
        <f t="shared" ca="1" si="112"/>
        <v/>
      </c>
    </row>
    <row r="1536" spans="1:11" s="18" customFormat="1" ht="14.25" x14ac:dyDescent="0.2">
      <c r="A1536" s="18" t="str">
        <f t="shared" si="116"/>
        <v>Eintrag 1535</v>
      </c>
      <c r="B1536" s="18">
        <v>100</v>
      </c>
      <c r="C1536" s="19">
        <v>100</v>
      </c>
      <c r="D1536" s="20">
        <v>10</v>
      </c>
      <c r="E1536" s="20">
        <v>10</v>
      </c>
      <c r="F1536" s="20">
        <v>10</v>
      </c>
      <c r="G1536" s="19">
        <f t="shared" si="113"/>
        <v>172</v>
      </c>
      <c r="H1536" s="22">
        <f t="shared" si="115"/>
        <v>1535</v>
      </c>
      <c r="I1536" s="21">
        <f t="shared" ca="1" si="114"/>
        <v>0</v>
      </c>
      <c r="J1536" s="21" t="str">
        <f ca="1">IF(I1536=0,"",COUNTIF($I$2:I1536,"&gt;0"))</f>
        <v/>
      </c>
      <c r="K1536" s="21" t="str">
        <f t="shared" ca="1" si="112"/>
        <v/>
      </c>
    </row>
    <row r="1537" spans="1:11" s="18" customFormat="1" ht="14.25" x14ac:dyDescent="0.2">
      <c r="A1537" s="18" t="str">
        <f t="shared" si="116"/>
        <v>Eintrag 1536</v>
      </c>
      <c r="B1537" s="18">
        <v>100</v>
      </c>
      <c r="C1537" s="19">
        <v>100</v>
      </c>
      <c r="D1537" s="20">
        <v>10</v>
      </c>
      <c r="E1537" s="20">
        <v>10</v>
      </c>
      <c r="F1537" s="20">
        <v>10</v>
      </c>
      <c r="G1537" s="19">
        <f t="shared" si="113"/>
        <v>172</v>
      </c>
      <c r="H1537" s="22">
        <f t="shared" si="115"/>
        <v>1536</v>
      </c>
      <c r="I1537" s="21">
        <f t="shared" ca="1" si="114"/>
        <v>0</v>
      </c>
      <c r="J1537" s="21" t="str">
        <f ca="1">IF(I1537=0,"",COUNTIF($I$2:I1537,"&gt;0"))</f>
        <v/>
      </c>
      <c r="K1537" s="21" t="str">
        <f t="shared" ca="1" si="112"/>
        <v/>
      </c>
    </row>
    <row r="1538" spans="1:11" s="18" customFormat="1" ht="14.25" x14ac:dyDescent="0.2">
      <c r="A1538" s="18" t="str">
        <f t="shared" si="116"/>
        <v>Eintrag 1537</v>
      </c>
      <c r="B1538" s="18">
        <v>100</v>
      </c>
      <c r="C1538" s="19">
        <v>100</v>
      </c>
      <c r="D1538" s="20">
        <v>10</v>
      </c>
      <c r="E1538" s="20">
        <v>10</v>
      </c>
      <c r="F1538" s="20">
        <v>10</v>
      </c>
      <c r="G1538" s="19">
        <f t="shared" si="113"/>
        <v>172</v>
      </c>
      <c r="H1538" s="22">
        <f t="shared" si="115"/>
        <v>1537</v>
      </c>
      <c r="I1538" s="21">
        <f t="shared" ca="1" si="114"/>
        <v>0</v>
      </c>
      <c r="J1538" s="21" t="str">
        <f ca="1">IF(I1538=0,"",COUNTIF($I$2:I1538,"&gt;0"))</f>
        <v/>
      </c>
      <c r="K1538" s="21" t="str">
        <f t="shared" ref="K1538:K1601" ca="1" si="117">IFERROR(INDEX(A:A,MATCH(ROW(I1537),J:J,0)),"")</f>
        <v/>
      </c>
    </row>
    <row r="1539" spans="1:11" s="18" customFormat="1" ht="14.25" x14ac:dyDescent="0.2">
      <c r="A1539" s="18" t="str">
        <f t="shared" si="116"/>
        <v>Eintrag 1538</v>
      </c>
      <c r="B1539" s="18">
        <v>100</v>
      </c>
      <c r="C1539" s="19">
        <v>100</v>
      </c>
      <c r="D1539" s="20">
        <v>10</v>
      </c>
      <c r="E1539" s="20">
        <v>10</v>
      </c>
      <c r="F1539" s="20">
        <v>10</v>
      </c>
      <c r="G1539" s="19">
        <f t="shared" ref="G1539:G1602" si="118">D1539*9+E1539*4.1+F1539*4.1</f>
        <v>172</v>
      </c>
      <c r="H1539" s="22">
        <f t="shared" si="115"/>
        <v>1538</v>
      </c>
      <c r="I1539" s="21">
        <f t="shared" ca="1" si="114"/>
        <v>0</v>
      </c>
      <c r="J1539" s="21" t="str">
        <f ca="1">IF(I1539=0,"",COUNTIF($I$2:I1539,"&gt;0"))</f>
        <v/>
      </c>
      <c r="K1539" s="21" t="str">
        <f t="shared" ca="1" si="117"/>
        <v/>
      </c>
    </row>
    <row r="1540" spans="1:11" s="18" customFormat="1" ht="14.25" x14ac:dyDescent="0.2">
      <c r="A1540" s="18" t="str">
        <f t="shared" si="116"/>
        <v>Eintrag 1539</v>
      </c>
      <c r="B1540" s="18">
        <v>100</v>
      </c>
      <c r="C1540" s="19">
        <v>100</v>
      </c>
      <c r="D1540" s="20">
        <v>10</v>
      </c>
      <c r="E1540" s="20">
        <v>10</v>
      </c>
      <c r="F1540" s="20">
        <v>10</v>
      </c>
      <c r="G1540" s="19">
        <f t="shared" si="118"/>
        <v>172</v>
      </c>
      <c r="H1540" s="22">
        <f t="shared" si="115"/>
        <v>1539</v>
      </c>
      <c r="I1540" s="21">
        <f t="shared" ca="1" si="114"/>
        <v>0</v>
      </c>
      <c r="J1540" s="21" t="str">
        <f ca="1">IF(I1540=0,"",COUNTIF($I$2:I1540,"&gt;0"))</f>
        <v/>
      </c>
      <c r="K1540" s="21" t="str">
        <f t="shared" ca="1" si="117"/>
        <v/>
      </c>
    </row>
    <row r="1541" spans="1:11" s="18" customFormat="1" ht="14.25" x14ac:dyDescent="0.2">
      <c r="A1541" s="18" t="str">
        <f t="shared" si="116"/>
        <v>Eintrag 1540</v>
      </c>
      <c r="B1541" s="18">
        <v>100</v>
      </c>
      <c r="C1541" s="19">
        <v>100</v>
      </c>
      <c r="D1541" s="20">
        <v>10</v>
      </c>
      <c r="E1541" s="20">
        <v>10</v>
      </c>
      <c r="F1541" s="20">
        <v>10</v>
      </c>
      <c r="G1541" s="19">
        <f t="shared" si="118"/>
        <v>172</v>
      </c>
      <c r="H1541" s="22">
        <f t="shared" si="115"/>
        <v>1540</v>
      </c>
      <c r="I1541" s="21">
        <f t="shared" ca="1" si="114"/>
        <v>0</v>
      </c>
      <c r="J1541" s="21" t="str">
        <f ca="1">IF(I1541=0,"",COUNTIF($I$2:I1541,"&gt;0"))</f>
        <v/>
      </c>
      <c r="K1541" s="21" t="str">
        <f t="shared" ca="1" si="117"/>
        <v/>
      </c>
    </row>
    <row r="1542" spans="1:11" s="18" customFormat="1" ht="14.25" x14ac:dyDescent="0.2">
      <c r="A1542" s="18" t="str">
        <f t="shared" si="116"/>
        <v>Eintrag 1541</v>
      </c>
      <c r="B1542" s="18">
        <v>100</v>
      </c>
      <c r="C1542" s="19">
        <v>100</v>
      </c>
      <c r="D1542" s="20">
        <v>10</v>
      </c>
      <c r="E1542" s="20">
        <v>10</v>
      </c>
      <c r="F1542" s="20">
        <v>10</v>
      </c>
      <c r="G1542" s="19">
        <f t="shared" si="118"/>
        <v>172</v>
      </c>
      <c r="H1542" s="22">
        <f t="shared" si="115"/>
        <v>1541</v>
      </c>
      <c r="I1542" s="21">
        <f t="shared" ca="1" si="114"/>
        <v>0</v>
      </c>
      <c r="J1542" s="21" t="str">
        <f ca="1">IF(I1542=0,"",COUNTIF($I$2:I1542,"&gt;0"))</f>
        <v/>
      </c>
      <c r="K1542" s="21" t="str">
        <f t="shared" ca="1" si="117"/>
        <v/>
      </c>
    </row>
    <row r="1543" spans="1:11" s="18" customFormat="1" ht="14.25" x14ac:dyDescent="0.2">
      <c r="A1543" s="18" t="str">
        <f t="shared" si="116"/>
        <v>Eintrag 1542</v>
      </c>
      <c r="B1543" s="18">
        <v>100</v>
      </c>
      <c r="C1543" s="19">
        <v>100</v>
      </c>
      <c r="D1543" s="20">
        <v>10</v>
      </c>
      <c r="E1543" s="20">
        <v>10</v>
      </c>
      <c r="F1543" s="20">
        <v>10</v>
      </c>
      <c r="G1543" s="19">
        <f t="shared" si="118"/>
        <v>172</v>
      </c>
      <c r="H1543" s="22">
        <f t="shared" si="115"/>
        <v>1542</v>
      </c>
      <c r="I1543" s="21">
        <f t="shared" ca="1" si="114"/>
        <v>0</v>
      </c>
      <c r="J1543" s="21" t="str">
        <f ca="1">IF(I1543=0,"",COUNTIF($I$2:I1543,"&gt;0"))</f>
        <v/>
      </c>
      <c r="K1543" s="21" t="str">
        <f t="shared" ca="1" si="117"/>
        <v/>
      </c>
    </row>
    <row r="1544" spans="1:11" s="18" customFormat="1" ht="14.25" x14ac:dyDescent="0.2">
      <c r="A1544" s="18" t="str">
        <f t="shared" si="116"/>
        <v>Eintrag 1543</v>
      </c>
      <c r="B1544" s="18">
        <v>100</v>
      </c>
      <c r="C1544" s="19">
        <v>100</v>
      </c>
      <c r="D1544" s="20">
        <v>10</v>
      </c>
      <c r="E1544" s="20">
        <v>10</v>
      </c>
      <c r="F1544" s="20">
        <v>10</v>
      </c>
      <c r="G1544" s="19">
        <f t="shared" si="118"/>
        <v>172</v>
      </c>
      <c r="H1544" s="22">
        <f t="shared" si="115"/>
        <v>1543</v>
      </c>
      <c r="I1544" s="21">
        <f t="shared" ca="1" si="114"/>
        <v>0</v>
      </c>
      <c r="J1544" s="21" t="str">
        <f ca="1">IF(I1544=0,"",COUNTIF($I$2:I1544,"&gt;0"))</f>
        <v/>
      </c>
      <c r="K1544" s="21" t="str">
        <f t="shared" ca="1" si="117"/>
        <v/>
      </c>
    </row>
    <row r="1545" spans="1:11" s="18" customFormat="1" ht="14.25" x14ac:dyDescent="0.2">
      <c r="A1545" s="18" t="str">
        <f t="shared" si="116"/>
        <v>Eintrag 1544</v>
      </c>
      <c r="B1545" s="18">
        <v>100</v>
      </c>
      <c r="C1545" s="19">
        <v>100</v>
      </c>
      <c r="D1545" s="20">
        <v>10</v>
      </c>
      <c r="E1545" s="20">
        <v>10</v>
      </c>
      <c r="F1545" s="20">
        <v>10</v>
      </c>
      <c r="G1545" s="19">
        <f t="shared" si="118"/>
        <v>172</v>
      </c>
      <c r="H1545" s="22">
        <f t="shared" si="115"/>
        <v>1544</v>
      </c>
      <c r="I1545" s="21">
        <f t="shared" ca="1" si="114"/>
        <v>0</v>
      </c>
      <c r="J1545" s="21" t="str">
        <f ca="1">IF(I1545=0,"",COUNTIF($I$2:I1545,"&gt;0"))</f>
        <v/>
      </c>
      <c r="K1545" s="21" t="str">
        <f t="shared" ca="1" si="117"/>
        <v/>
      </c>
    </row>
    <row r="1546" spans="1:11" s="18" customFormat="1" ht="14.25" x14ac:dyDescent="0.2">
      <c r="A1546" s="18" t="str">
        <f t="shared" si="116"/>
        <v>Eintrag 1545</v>
      </c>
      <c r="B1546" s="18">
        <v>100</v>
      </c>
      <c r="C1546" s="19">
        <v>100</v>
      </c>
      <c r="D1546" s="20">
        <v>10</v>
      </c>
      <c r="E1546" s="20">
        <v>10</v>
      </c>
      <c r="F1546" s="20">
        <v>10</v>
      </c>
      <c r="G1546" s="19">
        <f t="shared" si="118"/>
        <v>172</v>
      </c>
      <c r="H1546" s="22">
        <f t="shared" si="115"/>
        <v>1545</v>
      </c>
      <c r="I1546" s="21">
        <f t="shared" ca="1" si="114"/>
        <v>0</v>
      </c>
      <c r="J1546" s="21" t="str">
        <f ca="1">IF(I1546=0,"",COUNTIF($I$2:I1546,"&gt;0"))</f>
        <v/>
      </c>
      <c r="K1546" s="21" t="str">
        <f t="shared" ca="1" si="117"/>
        <v/>
      </c>
    </row>
    <row r="1547" spans="1:11" s="18" customFormat="1" ht="14.25" x14ac:dyDescent="0.2">
      <c r="A1547" s="18" t="str">
        <f t="shared" si="116"/>
        <v>Eintrag 1546</v>
      </c>
      <c r="B1547" s="18">
        <v>100</v>
      </c>
      <c r="C1547" s="19">
        <v>100</v>
      </c>
      <c r="D1547" s="20">
        <v>10</v>
      </c>
      <c r="E1547" s="20">
        <v>10</v>
      </c>
      <c r="F1547" s="20">
        <v>10</v>
      </c>
      <c r="G1547" s="19">
        <f t="shared" si="118"/>
        <v>172</v>
      </c>
      <c r="H1547" s="22">
        <f t="shared" si="115"/>
        <v>1546</v>
      </c>
      <c r="I1547" s="21">
        <f t="shared" ca="1" si="114"/>
        <v>0</v>
      </c>
      <c r="J1547" s="21" t="str">
        <f ca="1">IF(I1547=0,"",COUNTIF($I$2:I1547,"&gt;0"))</f>
        <v/>
      </c>
      <c r="K1547" s="21" t="str">
        <f t="shared" ca="1" si="117"/>
        <v/>
      </c>
    </row>
    <row r="1548" spans="1:11" s="18" customFormat="1" ht="14.25" x14ac:dyDescent="0.2">
      <c r="A1548" s="18" t="str">
        <f t="shared" si="116"/>
        <v>Eintrag 1547</v>
      </c>
      <c r="B1548" s="18">
        <v>100</v>
      </c>
      <c r="C1548" s="19">
        <v>100</v>
      </c>
      <c r="D1548" s="20">
        <v>10</v>
      </c>
      <c r="E1548" s="20">
        <v>10</v>
      </c>
      <c r="F1548" s="20">
        <v>10</v>
      </c>
      <c r="G1548" s="19">
        <f t="shared" si="118"/>
        <v>172</v>
      </c>
      <c r="H1548" s="22">
        <f t="shared" si="115"/>
        <v>1547</v>
      </c>
      <c r="I1548" s="21">
        <f t="shared" ca="1" si="114"/>
        <v>0</v>
      </c>
      <c r="J1548" s="21" t="str">
        <f ca="1">IF(I1548=0,"",COUNTIF($I$2:I1548,"&gt;0"))</f>
        <v/>
      </c>
      <c r="K1548" s="21" t="str">
        <f t="shared" ca="1" si="117"/>
        <v/>
      </c>
    </row>
    <row r="1549" spans="1:11" s="18" customFormat="1" ht="14.25" x14ac:dyDescent="0.2">
      <c r="A1549" s="18" t="str">
        <f t="shared" si="116"/>
        <v>Eintrag 1548</v>
      </c>
      <c r="B1549" s="18">
        <v>100</v>
      </c>
      <c r="C1549" s="19">
        <v>100</v>
      </c>
      <c r="D1549" s="20">
        <v>10</v>
      </c>
      <c r="E1549" s="20">
        <v>10</v>
      </c>
      <c r="F1549" s="20">
        <v>10</v>
      </c>
      <c r="G1549" s="19">
        <f t="shared" si="118"/>
        <v>172</v>
      </c>
      <c r="H1549" s="22">
        <f t="shared" si="115"/>
        <v>1548</v>
      </c>
      <c r="I1549" s="21">
        <f t="shared" ca="1" si="114"/>
        <v>0</v>
      </c>
      <c r="J1549" s="21" t="str">
        <f ca="1">IF(I1549=0,"",COUNTIF($I$2:I1549,"&gt;0"))</f>
        <v/>
      </c>
      <c r="K1549" s="21" t="str">
        <f t="shared" ca="1" si="117"/>
        <v/>
      </c>
    </row>
    <row r="1550" spans="1:11" s="18" customFormat="1" ht="14.25" x14ac:dyDescent="0.2">
      <c r="A1550" s="18" t="str">
        <f t="shared" si="116"/>
        <v>Eintrag 1549</v>
      </c>
      <c r="B1550" s="18">
        <v>100</v>
      </c>
      <c r="C1550" s="19">
        <v>100</v>
      </c>
      <c r="D1550" s="20">
        <v>10</v>
      </c>
      <c r="E1550" s="20">
        <v>10</v>
      </c>
      <c r="F1550" s="20">
        <v>10</v>
      </c>
      <c r="G1550" s="19">
        <f t="shared" si="118"/>
        <v>172</v>
      </c>
      <c r="H1550" s="22">
        <f t="shared" si="115"/>
        <v>1549</v>
      </c>
      <c r="I1550" s="21">
        <f t="shared" ca="1" si="114"/>
        <v>0</v>
      </c>
      <c r="J1550" s="21" t="str">
        <f ca="1">IF(I1550=0,"",COUNTIF($I$2:I1550,"&gt;0"))</f>
        <v/>
      </c>
      <c r="K1550" s="21" t="str">
        <f t="shared" ca="1" si="117"/>
        <v/>
      </c>
    </row>
    <row r="1551" spans="1:11" s="18" customFormat="1" ht="14.25" x14ac:dyDescent="0.2">
      <c r="A1551" s="18" t="str">
        <f t="shared" si="116"/>
        <v>Eintrag 1550</v>
      </c>
      <c r="B1551" s="18">
        <v>100</v>
      </c>
      <c r="C1551" s="19">
        <v>100</v>
      </c>
      <c r="D1551" s="20">
        <v>10</v>
      </c>
      <c r="E1551" s="20">
        <v>10</v>
      </c>
      <c r="F1551" s="20">
        <v>10</v>
      </c>
      <c r="G1551" s="19">
        <f t="shared" si="118"/>
        <v>172</v>
      </c>
      <c r="H1551" s="22">
        <f t="shared" si="115"/>
        <v>1550</v>
      </c>
      <c r="I1551" s="21">
        <f t="shared" ca="1" si="114"/>
        <v>0</v>
      </c>
      <c r="J1551" s="21" t="str">
        <f ca="1">IF(I1551=0,"",COUNTIF($I$2:I1551,"&gt;0"))</f>
        <v/>
      </c>
      <c r="K1551" s="21" t="str">
        <f t="shared" ca="1" si="117"/>
        <v/>
      </c>
    </row>
    <row r="1552" spans="1:11" s="18" customFormat="1" ht="14.25" x14ac:dyDescent="0.2">
      <c r="A1552" s="18" t="str">
        <f t="shared" si="116"/>
        <v>Eintrag 1551</v>
      </c>
      <c r="B1552" s="18">
        <v>100</v>
      </c>
      <c r="C1552" s="19">
        <v>100</v>
      </c>
      <c r="D1552" s="20">
        <v>10</v>
      </c>
      <c r="E1552" s="20">
        <v>10</v>
      </c>
      <c r="F1552" s="20">
        <v>10</v>
      </c>
      <c r="G1552" s="19">
        <f t="shared" si="118"/>
        <v>172</v>
      </c>
      <c r="H1552" s="22">
        <f t="shared" si="115"/>
        <v>1551</v>
      </c>
      <c r="I1552" s="21">
        <f t="shared" ca="1" si="114"/>
        <v>0</v>
      </c>
      <c r="J1552" s="21" t="str">
        <f ca="1">IF(I1552=0,"",COUNTIF($I$2:I1552,"&gt;0"))</f>
        <v/>
      </c>
      <c r="K1552" s="21" t="str">
        <f t="shared" ca="1" si="117"/>
        <v/>
      </c>
    </row>
    <row r="1553" spans="1:11" s="18" customFormat="1" ht="14.25" x14ac:dyDescent="0.2">
      <c r="A1553" s="18" t="str">
        <f t="shared" si="116"/>
        <v>Eintrag 1552</v>
      </c>
      <c r="B1553" s="18">
        <v>100</v>
      </c>
      <c r="C1553" s="19">
        <v>100</v>
      </c>
      <c r="D1553" s="20">
        <v>10</v>
      </c>
      <c r="E1553" s="20">
        <v>10</v>
      </c>
      <c r="F1553" s="20">
        <v>10</v>
      </c>
      <c r="G1553" s="19">
        <f t="shared" si="118"/>
        <v>172</v>
      </c>
      <c r="H1553" s="22">
        <f t="shared" si="115"/>
        <v>1552</v>
      </c>
      <c r="I1553" s="21">
        <f t="shared" ca="1" si="114"/>
        <v>0</v>
      </c>
      <c r="J1553" s="21" t="str">
        <f ca="1">IF(I1553=0,"",COUNTIF($I$2:I1553,"&gt;0"))</f>
        <v/>
      </c>
      <c r="K1553" s="21" t="str">
        <f t="shared" ca="1" si="117"/>
        <v/>
      </c>
    </row>
    <row r="1554" spans="1:11" s="18" customFormat="1" ht="14.25" x14ac:dyDescent="0.2">
      <c r="A1554" s="18" t="str">
        <f t="shared" si="116"/>
        <v>Eintrag 1553</v>
      </c>
      <c r="B1554" s="18">
        <v>100</v>
      </c>
      <c r="C1554" s="19">
        <v>100</v>
      </c>
      <c r="D1554" s="20">
        <v>10</v>
      </c>
      <c r="E1554" s="20">
        <v>10</v>
      </c>
      <c r="F1554" s="20">
        <v>10</v>
      </c>
      <c r="G1554" s="19">
        <f t="shared" si="118"/>
        <v>172</v>
      </c>
      <c r="H1554" s="22">
        <f t="shared" si="115"/>
        <v>1553</v>
      </c>
      <c r="I1554" s="21">
        <f t="shared" ca="1" si="114"/>
        <v>0</v>
      </c>
      <c r="J1554" s="21" t="str">
        <f ca="1">IF(I1554=0,"",COUNTIF($I$2:I1554,"&gt;0"))</f>
        <v/>
      </c>
      <c r="K1554" s="21" t="str">
        <f t="shared" ca="1" si="117"/>
        <v/>
      </c>
    </row>
    <row r="1555" spans="1:11" s="18" customFormat="1" ht="14.25" x14ac:dyDescent="0.2">
      <c r="A1555" s="18" t="str">
        <f t="shared" si="116"/>
        <v>Eintrag 1554</v>
      </c>
      <c r="B1555" s="18">
        <v>100</v>
      </c>
      <c r="C1555" s="19">
        <v>100</v>
      </c>
      <c r="D1555" s="20">
        <v>10</v>
      </c>
      <c r="E1555" s="20">
        <v>10</v>
      </c>
      <c r="F1555" s="20">
        <v>10</v>
      </c>
      <c r="G1555" s="19">
        <f t="shared" si="118"/>
        <v>172</v>
      </c>
      <c r="H1555" s="22">
        <f t="shared" si="115"/>
        <v>1554</v>
      </c>
      <c r="I1555" s="21">
        <f t="shared" ca="1" si="114"/>
        <v>0</v>
      </c>
      <c r="J1555" s="21" t="str">
        <f ca="1">IF(I1555=0,"",COUNTIF($I$2:I1555,"&gt;0"))</f>
        <v/>
      </c>
      <c r="K1555" s="21" t="str">
        <f t="shared" ca="1" si="117"/>
        <v/>
      </c>
    </row>
    <row r="1556" spans="1:11" s="18" customFormat="1" ht="14.25" x14ac:dyDescent="0.2">
      <c r="A1556" s="18" t="str">
        <f t="shared" si="116"/>
        <v>Eintrag 1555</v>
      </c>
      <c r="B1556" s="18">
        <v>100</v>
      </c>
      <c r="C1556" s="19">
        <v>100</v>
      </c>
      <c r="D1556" s="20">
        <v>10</v>
      </c>
      <c r="E1556" s="20">
        <v>10</v>
      </c>
      <c r="F1556" s="20">
        <v>10</v>
      </c>
      <c r="G1556" s="19">
        <f t="shared" si="118"/>
        <v>172</v>
      </c>
      <c r="H1556" s="22">
        <f t="shared" si="115"/>
        <v>1555</v>
      </c>
      <c r="I1556" s="21">
        <f t="shared" ca="1" si="114"/>
        <v>0</v>
      </c>
      <c r="J1556" s="21" t="str">
        <f ca="1">IF(I1556=0,"",COUNTIF($I$2:I1556,"&gt;0"))</f>
        <v/>
      </c>
      <c r="K1556" s="21" t="str">
        <f t="shared" ca="1" si="117"/>
        <v/>
      </c>
    </row>
    <row r="1557" spans="1:11" s="18" customFormat="1" ht="14.25" x14ac:dyDescent="0.2">
      <c r="A1557" s="18" t="str">
        <f t="shared" si="116"/>
        <v>Eintrag 1556</v>
      </c>
      <c r="B1557" s="18">
        <v>100</v>
      </c>
      <c r="C1557" s="19">
        <v>100</v>
      </c>
      <c r="D1557" s="20">
        <v>10</v>
      </c>
      <c r="E1557" s="20">
        <v>10</v>
      </c>
      <c r="F1557" s="20">
        <v>10</v>
      </c>
      <c r="G1557" s="19">
        <f t="shared" si="118"/>
        <v>172</v>
      </c>
      <c r="H1557" s="22">
        <f t="shared" si="115"/>
        <v>1556</v>
      </c>
      <c r="I1557" s="21">
        <f t="shared" ca="1" si="114"/>
        <v>0</v>
      </c>
      <c r="J1557" s="21" t="str">
        <f ca="1">IF(I1557=0,"",COUNTIF($I$2:I1557,"&gt;0"))</f>
        <v/>
      </c>
      <c r="K1557" s="21" t="str">
        <f t="shared" ca="1" si="117"/>
        <v/>
      </c>
    </row>
    <row r="1558" spans="1:11" s="18" customFormat="1" ht="14.25" x14ac:dyDescent="0.2">
      <c r="A1558" s="18" t="str">
        <f t="shared" si="116"/>
        <v>Eintrag 1557</v>
      </c>
      <c r="B1558" s="18">
        <v>100</v>
      </c>
      <c r="C1558" s="19">
        <v>100</v>
      </c>
      <c r="D1558" s="20">
        <v>10</v>
      </c>
      <c r="E1558" s="20">
        <v>10</v>
      </c>
      <c r="F1558" s="20">
        <v>10</v>
      </c>
      <c r="G1558" s="19">
        <f t="shared" si="118"/>
        <v>172</v>
      </c>
      <c r="H1558" s="22">
        <f t="shared" si="115"/>
        <v>1557</v>
      </c>
      <c r="I1558" s="21">
        <f t="shared" ca="1" si="114"/>
        <v>0</v>
      </c>
      <c r="J1558" s="21" t="str">
        <f ca="1">IF(I1558=0,"",COUNTIF($I$2:I1558,"&gt;0"))</f>
        <v/>
      </c>
      <c r="K1558" s="21" t="str">
        <f t="shared" ca="1" si="117"/>
        <v/>
      </c>
    </row>
    <row r="1559" spans="1:11" s="18" customFormat="1" ht="14.25" x14ac:dyDescent="0.2">
      <c r="A1559" s="18" t="str">
        <f t="shared" si="116"/>
        <v>Eintrag 1558</v>
      </c>
      <c r="B1559" s="18">
        <v>100</v>
      </c>
      <c r="C1559" s="19">
        <v>100</v>
      </c>
      <c r="D1559" s="20">
        <v>10</v>
      </c>
      <c r="E1559" s="20">
        <v>10</v>
      </c>
      <c r="F1559" s="20">
        <v>10</v>
      </c>
      <c r="G1559" s="19">
        <f t="shared" si="118"/>
        <v>172</v>
      </c>
      <c r="H1559" s="22">
        <f t="shared" si="115"/>
        <v>1558</v>
      </c>
      <c r="I1559" s="21">
        <f t="shared" ref="I1559:I1622" ca="1" si="119">IFERROR(SEARCH(INDIRECT(CELL("address")),A1559),0)</f>
        <v>0</v>
      </c>
      <c r="J1559" s="21" t="str">
        <f ca="1">IF(I1559=0,"",COUNTIF($I$2:I1559,"&gt;0"))</f>
        <v/>
      </c>
      <c r="K1559" s="21" t="str">
        <f t="shared" ca="1" si="117"/>
        <v/>
      </c>
    </row>
    <row r="1560" spans="1:11" s="18" customFormat="1" ht="14.25" x14ac:dyDescent="0.2">
      <c r="A1560" s="18" t="str">
        <f t="shared" si="116"/>
        <v>Eintrag 1559</v>
      </c>
      <c r="B1560" s="18">
        <v>100</v>
      </c>
      <c r="C1560" s="19">
        <v>100</v>
      </c>
      <c r="D1560" s="20">
        <v>10</v>
      </c>
      <c r="E1560" s="20">
        <v>10</v>
      </c>
      <c r="F1560" s="20">
        <v>10</v>
      </c>
      <c r="G1560" s="19">
        <f t="shared" si="118"/>
        <v>172</v>
      </c>
      <c r="H1560" s="22">
        <f t="shared" si="115"/>
        <v>1559</v>
      </c>
      <c r="I1560" s="21">
        <f t="shared" ca="1" si="119"/>
        <v>0</v>
      </c>
      <c r="J1560" s="21" t="str">
        <f ca="1">IF(I1560=0,"",COUNTIF($I$2:I1560,"&gt;0"))</f>
        <v/>
      </c>
      <c r="K1560" s="21" t="str">
        <f t="shared" ca="1" si="117"/>
        <v/>
      </c>
    </row>
    <row r="1561" spans="1:11" s="18" customFormat="1" ht="14.25" x14ac:dyDescent="0.2">
      <c r="A1561" s="18" t="str">
        <f t="shared" si="116"/>
        <v>Eintrag 1560</v>
      </c>
      <c r="B1561" s="18">
        <v>100</v>
      </c>
      <c r="C1561" s="19">
        <v>100</v>
      </c>
      <c r="D1561" s="20">
        <v>10</v>
      </c>
      <c r="E1561" s="20">
        <v>10</v>
      </c>
      <c r="F1561" s="20">
        <v>10</v>
      </c>
      <c r="G1561" s="19">
        <f t="shared" si="118"/>
        <v>172</v>
      </c>
      <c r="H1561" s="22">
        <f t="shared" si="115"/>
        <v>1560</v>
      </c>
      <c r="I1561" s="21">
        <f t="shared" ca="1" si="119"/>
        <v>0</v>
      </c>
      <c r="J1561" s="21" t="str">
        <f ca="1">IF(I1561=0,"",COUNTIF($I$2:I1561,"&gt;0"))</f>
        <v/>
      </c>
      <c r="K1561" s="21" t="str">
        <f t="shared" ca="1" si="117"/>
        <v/>
      </c>
    </row>
    <row r="1562" spans="1:11" s="18" customFormat="1" ht="14.25" x14ac:dyDescent="0.2">
      <c r="A1562" s="18" t="str">
        <f t="shared" si="116"/>
        <v>Eintrag 1561</v>
      </c>
      <c r="B1562" s="18">
        <v>100</v>
      </c>
      <c r="C1562" s="19">
        <v>100</v>
      </c>
      <c r="D1562" s="20">
        <v>10</v>
      </c>
      <c r="E1562" s="20">
        <v>10</v>
      </c>
      <c r="F1562" s="20">
        <v>10</v>
      </c>
      <c r="G1562" s="19">
        <f t="shared" si="118"/>
        <v>172</v>
      </c>
      <c r="H1562" s="22">
        <f t="shared" si="115"/>
        <v>1561</v>
      </c>
      <c r="I1562" s="21">
        <f t="shared" ca="1" si="119"/>
        <v>0</v>
      </c>
      <c r="J1562" s="21" t="str">
        <f ca="1">IF(I1562=0,"",COUNTIF($I$2:I1562,"&gt;0"))</f>
        <v/>
      </c>
      <c r="K1562" s="21" t="str">
        <f t="shared" ca="1" si="117"/>
        <v/>
      </c>
    </row>
    <row r="1563" spans="1:11" s="18" customFormat="1" ht="14.25" x14ac:dyDescent="0.2">
      <c r="A1563" s="18" t="str">
        <f t="shared" si="116"/>
        <v>Eintrag 1562</v>
      </c>
      <c r="B1563" s="18">
        <v>100</v>
      </c>
      <c r="C1563" s="19">
        <v>100</v>
      </c>
      <c r="D1563" s="20">
        <v>10</v>
      </c>
      <c r="E1563" s="20">
        <v>10</v>
      </c>
      <c r="F1563" s="20">
        <v>10</v>
      </c>
      <c r="G1563" s="19">
        <f t="shared" si="118"/>
        <v>172</v>
      </c>
      <c r="H1563" s="22">
        <f t="shared" si="115"/>
        <v>1562</v>
      </c>
      <c r="I1563" s="21">
        <f t="shared" ca="1" si="119"/>
        <v>0</v>
      </c>
      <c r="J1563" s="21" t="str">
        <f ca="1">IF(I1563=0,"",COUNTIF($I$2:I1563,"&gt;0"))</f>
        <v/>
      </c>
      <c r="K1563" s="21" t="str">
        <f t="shared" ca="1" si="117"/>
        <v/>
      </c>
    </row>
    <row r="1564" spans="1:11" s="18" customFormat="1" ht="14.25" x14ac:dyDescent="0.2">
      <c r="A1564" s="18" t="str">
        <f t="shared" si="116"/>
        <v>Eintrag 1563</v>
      </c>
      <c r="B1564" s="18">
        <v>100</v>
      </c>
      <c r="C1564" s="19">
        <v>100</v>
      </c>
      <c r="D1564" s="20">
        <v>10</v>
      </c>
      <c r="E1564" s="20">
        <v>10</v>
      </c>
      <c r="F1564" s="20">
        <v>10</v>
      </c>
      <c r="G1564" s="19">
        <f t="shared" si="118"/>
        <v>172</v>
      </c>
      <c r="H1564" s="22">
        <f t="shared" si="115"/>
        <v>1563</v>
      </c>
      <c r="I1564" s="21">
        <f t="shared" ca="1" si="119"/>
        <v>0</v>
      </c>
      <c r="J1564" s="21" t="str">
        <f ca="1">IF(I1564=0,"",COUNTIF($I$2:I1564,"&gt;0"))</f>
        <v/>
      </c>
      <c r="K1564" s="21" t="str">
        <f t="shared" ca="1" si="117"/>
        <v/>
      </c>
    </row>
    <row r="1565" spans="1:11" s="18" customFormat="1" ht="14.25" x14ac:dyDescent="0.2">
      <c r="A1565" s="18" t="str">
        <f t="shared" si="116"/>
        <v>Eintrag 1564</v>
      </c>
      <c r="B1565" s="18">
        <v>100</v>
      </c>
      <c r="C1565" s="19">
        <v>100</v>
      </c>
      <c r="D1565" s="20">
        <v>10</v>
      </c>
      <c r="E1565" s="20">
        <v>10</v>
      </c>
      <c r="F1565" s="20">
        <v>10</v>
      </c>
      <c r="G1565" s="19">
        <f t="shared" si="118"/>
        <v>172</v>
      </c>
      <c r="H1565" s="22">
        <f t="shared" si="115"/>
        <v>1564</v>
      </c>
      <c r="I1565" s="21">
        <f t="shared" ca="1" si="119"/>
        <v>0</v>
      </c>
      <c r="J1565" s="21" t="str">
        <f ca="1">IF(I1565=0,"",COUNTIF($I$2:I1565,"&gt;0"))</f>
        <v/>
      </c>
      <c r="K1565" s="21" t="str">
        <f t="shared" ca="1" si="117"/>
        <v/>
      </c>
    </row>
    <row r="1566" spans="1:11" s="18" customFormat="1" ht="14.25" x14ac:dyDescent="0.2">
      <c r="A1566" s="18" t="str">
        <f t="shared" si="116"/>
        <v>Eintrag 1565</v>
      </c>
      <c r="B1566" s="18">
        <v>100</v>
      </c>
      <c r="C1566" s="19">
        <v>100</v>
      </c>
      <c r="D1566" s="20">
        <v>10</v>
      </c>
      <c r="E1566" s="20">
        <v>10</v>
      </c>
      <c r="F1566" s="20">
        <v>10</v>
      </c>
      <c r="G1566" s="19">
        <f t="shared" si="118"/>
        <v>172</v>
      </c>
      <c r="H1566" s="22">
        <f t="shared" si="115"/>
        <v>1565</v>
      </c>
      <c r="I1566" s="21">
        <f t="shared" ca="1" si="119"/>
        <v>0</v>
      </c>
      <c r="J1566" s="21" t="str">
        <f ca="1">IF(I1566=0,"",COUNTIF($I$2:I1566,"&gt;0"))</f>
        <v/>
      </c>
      <c r="K1566" s="21" t="str">
        <f t="shared" ca="1" si="117"/>
        <v/>
      </c>
    </row>
    <row r="1567" spans="1:11" s="18" customFormat="1" ht="14.25" x14ac:dyDescent="0.2">
      <c r="A1567" s="18" t="str">
        <f t="shared" si="116"/>
        <v>Eintrag 1566</v>
      </c>
      <c r="B1567" s="18">
        <v>100</v>
      </c>
      <c r="C1567" s="19">
        <v>100</v>
      </c>
      <c r="D1567" s="20">
        <v>10</v>
      </c>
      <c r="E1567" s="20">
        <v>10</v>
      </c>
      <c r="F1567" s="20">
        <v>10</v>
      </c>
      <c r="G1567" s="19">
        <f t="shared" si="118"/>
        <v>172</v>
      </c>
      <c r="H1567" s="22">
        <f t="shared" si="115"/>
        <v>1566</v>
      </c>
      <c r="I1567" s="21">
        <f t="shared" ca="1" si="119"/>
        <v>0</v>
      </c>
      <c r="J1567" s="21" t="str">
        <f ca="1">IF(I1567=0,"",COUNTIF($I$2:I1567,"&gt;0"))</f>
        <v/>
      </c>
      <c r="K1567" s="21" t="str">
        <f t="shared" ca="1" si="117"/>
        <v/>
      </c>
    </row>
    <row r="1568" spans="1:11" s="18" customFormat="1" ht="14.25" x14ac:dyDescent="0.2">
      <c r="A1568" s="18" t="str">
        <f t="shared" si="116"/>
        <v>Eintrag 1567</v>
      </c>
      <c r="B1568" s="18">
        <v>100</v>
      </c>
      <c r="C1568" s="19">
        <v>100</v>
      </c>
      <c r="D1568" s="20">
        <v>10</v>
      </c>
      <c r="E1568" s="20">
        <v>10</v>
      </c>
      <c r="F1568" s="20">
        <v>10</v>
      </c>
      <c r="G1568" s="19">
        <f t="shared" si="118"/>
        <v>172</v>
      </c>
      <c r="H1568" s="22">
        <f t="shared" si="115"/>
        <v>1567</v>
      </c>
      <c r="I1568" s="21">
        <f t="shared" ca="1" si="119"/>
        <v>0</v>
      </c>
      <c r="J1568" s="21" t="str">
        <f ca="1">IF(I1568=0,"",COUNTIF($I$2:I1568,"&gt;0"))</f>
        <v/>
      </c>
      <c r="K1568" s="21" t="str">
        <f t="shared" ca="1" si="117"/>
        <v/>
      </c>
    </row>
    <row r="1569" spans="1:11" s="18" customFormat="1" ht="14.25" x14ac:dyDescent="0.2">
      <c r="A1569" s="18" t="str">
        <f t="shared" si="116"/>
        <v>Eintrag 1568</v>
      </c>
      <c r="B1569" s="18">
        <v>100</v>
      </c>
      <c r="C1569" s="19">
        <v>100</v>
      </c>
      <c r="D1569" s="20">
        <v>10</v>
      </c>
      <c r="E1569" s="20">
        <v>10</v>
      </c>
      <c r="F1569" s="20">
        <v>10</v>
      </c>
      <c r="G1569" s="19">
        <f t="shared" si="118"/>
        <v>172</v>
      </c>
      <c r="H1569" s="22">
        <f t="shared" si="115"/>
        <v>1568</v>
      </c>
      <c r="I1569" s="21">
        <f t="shared" ca="1" si="119"/>
        <v>0</v>
      </c>
      <c r="J1569" s="21" t="str">
        <f ca="1">IF(I1569=0,"",COUNTIF($I$2:I1569,"&gt;0"))</f>
        <v/>
      </c>
      <c r="K1569" s="21" t="str">
        <f t="shared" ca="1" si="117"/>
        <v/>
      </c>
    </row>
    <row r="1570" spans="1:11" s="18" customFormat="1" ht="14.25" x14ac:dyDescent="0.2">
      <c r="A1570" s="18" t="str">
        <f t="shared" si="116"/>
        <v>Eintrag 1569</v>
      </c>
      <c r="B1570" s="18">
        <v>100</v>
      </c>
      <c r="C1570" s="19">
        <v>100</v>
      </c>
      <c r="D1570" s="20">
        <v>10</v>
      </c>
      <c r="E1570" s="20">
        <v>10</v>
      </c>
      <c r="F1570" s="20">
        <v>10</v>
      </c>
      <c r="G1570" s="19">
        <f t="shared" si="118"/>
        <v>172</v>
      </c>
      <c r="H1570" s="22">
        <f t="shared" si="115"/>
        <v>1569</v>
      </c>
      <c r="I1570" s="21">
        <f t="shared" ca="1" si="119"/>
        <v>0</v>
      </c>
      <c r="J1570" s="21" t="str">
        <f ca="1">IF(I1570=0,"",COUNTIF($I$2:I1570,"&gt;0"))</f>
        <v/>
      </c>
      <c r="K1570" s="21" t="str">
        <f t="shared" ca="1" si="117"/>
        <v/>
      </c>
    </row>
    <row r="1571" spans="1:11" s="18" customFormat="1" ht="14.25" x14ac:dyDescent="0.2">
      <c r="A1571" s="18" t="str">
        <f t="shared" si="116"/>
        <v>Eintrag 1570</v>
      </c>
      <c r="B1571" s="18">
        <v>100</v>
      </c>
      <c r="C1571" s="19">
        <v>100</v>
      </c>
      <c r="D1571" s="20">
        <v>10</v>
      </c>
      <c r="E1571" s="20">
        <v>10</v>
      </c>
      <c r="F1571" s="20">
        <v>10</v>
      </c>
      <c r="G1571" s="19">
        <f t="shared" si="118"/>
        <v>172</v>
      </c>
      <c r="H1571" s="22">
        <f t="shared" si="115"/>
        <v>1570</v>
      </c>
      <c r="I1571" s="21">
        <f t="shared" ca="1" si="119"/>
        <v>0</v>
      </c>
      <c r="J1571" s="21" t="str">
        <f ca="1">IF(I1571=0,"",COUNTIF($I$2:I1571,"&gt;0"))</f>
        <v/>
      </c>
      <c r="K1571" s="21" t="str">
        <f t="shared" ca="1" si="117"/>
        <v/>
      </c>
    </row>
    <row r="1572" spans="1:11" s="18" customFormat="1" ht="14.25" x14ac:dyDescent="0.2">
      <c r="A1572" s="18" t="str">
        <f t="shared" si="116"/>
        <v>Eintrag 1571</v>
      </c>
      <c r="B1572" s="18">
        <v>100</v>
      </c>
      <c r="C1572" s="19">
        <v>100</v>
      </c>
      <c r="D1572" s="20">
        <v>10</v>
      </c>
      <c r="E1572" s="20">
        <v>10</v>
      </c>
      <c r="F1572" s="20">
        <v>10</v>
      </c>
      <c r="G1572" s="19">
        <f t="shared" si="118"/>
        <v>172</v>
      </c>
      <c r="H1572" s="22">
        <f t="shared" si="115"/>
        <v>1571</v>
      </c>
      <c r="I1572" s="21">
        <f t="shared" ca="1" si="119"/>
        <v>0</v>
      </c>
      <c r="J1572" s="21" t="str">
        <f ca="1">IF(I1572=0,"",COUNTIF($I$2:I1572,"&gt;0"))</f>
        <v/>
      </c>
      <c r="K1572" s="21" t="str">
        <f t="shared" ca="1" si="117"/>
        <v/>
      </c>
    </row>
    <row r="1573" spans="1:11" s="18" customFormat="1" ht="14.25" x14ac:dyDescent="0.2">
      <c r="A1573" s="18" t="str">
        <f t="shared" si="116"/>
        <v>Eintrag 1572</v>
      </c>
      <c r="B1573" s="18">
        <v>100</v>
      </c>
      <c r="C1573" s="19">
        <v>100</v>
      </c>
      <c r="D1573" s="20">
        <v>10</v>
      </c>
      <c r="E1573" s="20">
        <v>10</v>
      </c>
      <c r="F1573" s="20">
        <v>10</v>
      </c>
      <c r="G1573" s="19">
        <f t="shared" si="118"/>
        <v>172</v>
      </c>
      <c r="H1573" s="22">
        <f t="shared" ref="H1573:H1636" si="120">H1572+1</f>
        <v>1572</v>
      </c>
      <c r="I1573" s="21">
        <f t="shared" ca="1" si="119"/>
        <v>0</v>
      </c>
      <c r="J1573" s="21" t="str">
        <f ca="1">IF(I1573=0,"",COUNTIF($I$2:I1573,"&gt;0"))</f>
        <v/>
      </c>
      <c r="K1573" s="21" t="str">
        <f t="shared" ca="1" si="117"/>
        <v/>
      </c>
    </row>
    <row r="1574" spans="1:11" s="18" customFormat="1" ht="14.25" x14ac:dyDescent="0.2">
      <c r="A1574" s="18" t="str">
        <f t="shared" si="116"/>
        <v>Eintrag 1573</v>
      </c>
      <c r="B1574" s="18">
        <v>100</v>
      </c>
      <c r="C1574" s="19">
        <v>100</v>
      </c>
      <c r="D1574" s="20">
        <v>10</v>
      </c>
      <c r="E1574" s="20">
        <v>10</v>
      </c>
      <c r="F1574" s="20">
        <v>10</v>
      </c>
      <c r="G1574" s="19">
        <f t="shared" si="118"/>
        <v>172</v>
      </c>
      <c r="H1574" s="22">
        <f t="shared" si="120"/>
        <v>1573</v>
      </c>
      <c r="I1574" s="21">
        <f t="shared" ca="1" si="119"/>
        <v>0</v>
      </c>
      <c r="J1574" s="21" t="str">
        <f ca="1">IF(I1574=0,"",COUNTIF($I$2:I1574,"&gt;0"))</f>
        <v/>
      </c>
      <c r="K1574" s="21" t="str">
        <f t="shared" ca="1" si="117"/>
        <v/>
      </c>
    </row>
    <row r="1575" spans="1:11" s="18" customFormat="1" ht="14.25" x14ac:dyDescent="0.2">
      <c r="A1575" s="18" t="str">
        <f t="shared" si="116"/>
        <v>Eintrag 1574</v>
      </c>
      <c r="B1575" s="18">
        <v>100</v>
      </c>
      <c r="C1575" s="19">
        <v>100</v>
      </c>
      <c r="D1575" s="20">
        <v>10</v>
      </c>
      <c r="E1575" s="20">
        <v>10</v>
      </c>
      <c r="F1575" s="20">
        <v>10</v>
      </c>
      <c r="G1575" s="19">
        <f t="shared" si="118"/>
        <v>172</v>
      </c>
      <c r="H1575" s="22">
        <f t="shared" si="120"/>
        <v>1574</v>
      </c>
      <c r="I1575" s="21">
        <f t="shared" ca="1" si="119"/>
        <v>0</v>
      </c>
      <c r="J1575" s="21" t="str">
        <f ca="1">IF(I1575=0,"",COUNTIF($I$2:I1575,"&gt;0"))</f>
        <v/>
      </c>
      <c r="K1575" s="21" t="str">
        <f t="shared" ca="1" si="117"/>
        <v/>
      </c>
    </row>
    <row r="1576" spans="1:11" s="18" customFormat="1" ht="14.25" x14ac:dyDescent="0.2">
      <c r="A1576" s="18" t="str">
        <f t="shared" si="116"/>
        <v>Eintrag 1575</v>
      </c>
      <c r="B1576" s="18">
        <v>100</v>
      </c>
      <c r="C1576" s="19">
        <v>100</v>
      </c>
      <c r="D1576" s="20">
        <v>10</v>
      </c>
      <c r="E1576" s="20">
        <v>10</v>
      </c>
      <c r="F1576" s="20">
        <v>10</v>
      </c>
      <c r="G1576" s="19">
        <f t="shared" si="118"/>
        <v>172</v>
      </c>
      <c r="H1576" s="22">
        <f t="shared" si="120"/>
        <v>1575</v>
      </c>
      <c r="I1576" s="21">
        <f t="shared" ca="1" si="119"/>
        <v>0</v>
      </c>
      <c r="J1576" s="21" t="str">
        <f ca="1">IF(I1576=0,"",COUNTIF($I$2:I1576,"&gt;0"))</f>
        <v/>
      </c>
      <c r="K1576" s="21" t="str">
        <f t="shared" ca="1" si="117"/>
        <v/>
      </c>
    </row>
    <row r="1577" spans="1:11" s="18" customFormat="1" ht="14.25" x14ac:dyDescent="0.2">
      <c r="A1577" s="18" t="str">
        <f t="shared" si="116"/>
        <v>Eintrag 1576</v>
      </c>
      <c r="B1577" s="18">
        <v>100</v>
      </c>
      <c r="C1577" s="19">
        <v>100</v>
      </c>
      <c r="D1577" s="20">
        <v>10</v>
      </c>
      <c r="E1577" s="20">
        <v>10</v>
      </c>
      <c r="F1577" s="20">
        <v>10</v>
      </c>
      <c r="G1577" s="19">
        <f t="shared" si="118"/>
        <v>172</v>
      </c>
      <c r="H1577" s="22">
        <f t="shared" si="120"/>
        <v>1576</v>
      </c>
      <c r="I1577" s="21">
        <f t="shared" ca="1" si="119"/>
        <v>0</v>
      </c>
      <c r="J1577" s="21" t="str">
        <f ca="1">IF(I1577=0,"",COUNTIF($I$2:I1577,"&gt;0"))</f>
        <v/>
      </c>
      <c r="K1577" s="21" t="str">
        <f t="shared" ca="1" si="117"/>
        <v/>
      </c>
    </row>
    <row r="1578" spans="1:11" s="18" customFormat="1" ht="14.25" x14ac:dyDescent="0.2">
      <c r="A1578" s="18" t="str">
        <f t="shared" si="116"/>
        <v>Eintrag 1577</v>
      </c>
      <c r="B1578" s="18">
        <v>100</v>
      </c>
      <c r="C1578" s="19">
        <v>100</v>
      </c>
      <c r="D1578" s="20">
        <v>10</v>
      </c>
      <c r="E1578" s="20">
        <v>10</v>
      </c>
      <c r="F1578" s="20">
        <v>10</v>
      </c>
      <c r="G1578" s="19">
        <f t="shared" si="118"/>
        <v>172</v>
      </c>
      <c r="H1578" s="22">
        <f t="shared" si="120"/>
        <v>1577</v>
      </c>
      <c r="I1578" s="21">
        <f t="shared" ca="1" si="119"/>
        <v>0</v>
      </c>
      <c r="J1578" s="21" t="str">
        <f ca="1">IF(I1578=0,"",COUNTIF($I$2:I1578,"&gt;0"))</f>
        <v/>
      </c>
      <c r="K1578" s="21" t="str">
        <f t="shared" ca="1" si="117"/>
        <v/>
      </c>
    </row>
    <row r="1579" spans="1:11" s="18" customFormat="1" ht="14.25" x14ac:dyDescent="0.2">
      <c r="A1579" s="18" t="str">
        <f t="shared" si="116"/>
        <v>Eintrag 1578</v>
      </c>
      <c r="B1579" s="18">
        <v>100</v>
      </c>
      <c r="C1579" s="19">
        <v>100</v>
      </c>
      <c r="D1579" s="20">
        <v>10</v>
      </c>
      <c r="E1579" s="20">
        <v>10</v>
      </c>
      <c r="F1579" s="20">
        <v>10</v>
      </c>
      <c r="G1579" s="19">
        <f t="shared" si="118"/>
        <v>172</v>
      </c>
      <c r="H1579" s="22">
        <f t="shared" si="120"/>
        <v>1578</v>
      </c>
      <c r="I1579" s="21">
        <f t="shared" ca="1" si="119"/>
        <v>0</v>
      </c>
      <c r="J1579" s="21" t="str">
        <f ca="1">IF(I1579=0,"",COUNTIF($I$2:I1579,"&gt;0"))</f>
        <v/>
      </c>
      <c r="K1579" s="21" t="str">
        <f t="shared" ca="1" si="117"/>
        <v/>
      </c>
    </row>
    <row r="1580" spans="1:11" s="18" customFormat="1" ht="14.25" x14ac:dyDescent="0.2">
      <c r="A1580" s="18" t="str">
        <f t="shared" si="116"/>
        <v>Eintrag 1579</v>
      </c>
      <c r="B1580" s="18">
        <v>100</v>
      </c>
      <c r="C1580" s="19">
        <v>100</v>
      </c>
      <c r="D1580" s="20">
        <v>10</v>
      </c>
      <c r="E1580" s="20">
        <v>10</v>
      </c>
      <c r="F1580" s="20">
        <v>10</v>
      </c>
      <c r="G1580" s="19">
        <f t="shared" si="118"/>
        <v>172</v>
      </c>
      <c r="H1580" s="22">
        <f t="shared" si="120"/>
        <v>1579</v>
      </c>
      <c r="I1580" s="21">
        <f t="shared" ca="1" si="119"/>
        <v>0</v>
      </c>
      <c r="J1580" s="21" t="str">
        <f ca="1">IF(I1580=0,"",COUNTIF($I$2:I1580,"&gt;0"))</f>
        <v/>
      </c>
      <c r="K1580" s="21" t="str">
        <f t="shared" ca="1" si="117"/>
        <v/>
      </c>
    </row>
    <row r="1581" spans="1:11" s="18" customFormat="1" ht="14.25" x14ac:dyDescent="0.2">
      <c r="A1581" s="18" t="str">
        <f t="shared" si="116"/>
        <v>Eintrag 1580</v>
      </c>
      <c r="B1581" s="18">
        <v>100</v>
      </c>
      <c r="C1581" s="19">
        <v>100</v>
      </c>
      <c r="D1581" s="20">
        <v>10</v>
      </c>
      <c r="E1581" s="20">
        <v>10</v>
      </c>
      <c r="F1581" s="20">
        <v>10</v>
      </c>
      <c r="G1581" s="19">
        <f t="shared" si="118"/>
        <v>172</v>
      </c>
      <c r="H1581" s="22">
        <f t="shared" si="120"/>
        <v>1580</v>
      </c>
      <c r="I1581" s="21">
        <f t="shared" ca="1" si="119"/>
        <v>0</v>
      </c>
      <c r="J1581" s="21" t="str">
        <f ca="1">IF(I1581=0,"",COUNTIF($I$2:I1581,"&gt;0"))</f>
        <v/>
      </c>
      <c r="K1581" s="21" t="str">
        <f t="shared" ca="1" si="117"/>
        <v/>
      </c>
    </row>
    <row r="1582" spans="1:11" s="18" customFormat="1" ht="14.25" x14ac:dyDescent="0.2">
      <c r="A1582" s="18" t="str">
        <f t="shared" si="116"/>
        <v>Eintrag 1581</v>
      </c>
      <c r="B1582" s="18">
        <v>100</v>
      </c>
      <c r="C1582" s="19">
        <v>100</v>
      </c>
      <c r="D1582" s="20">
        <v>10</v>
      </c>
      <c r="E1582" s="20">
        <v>10</v>
      </c>
      <c r="F1582" s="20">
        <v>10</v>
      </c>
      <c r="G1582" s="19">
        <f t="shared" si="118"/>
        <v>172</v>
      </c>
      <c r="H1582" s="22">
        <f t="shared" si="120"/>
        <v>1581</v>
      </c>
      <c r="I1582" s="21">
        <f t="shared" ca="1" si="119"/>
        <v>0</v>
      </c>
      <c r="J1582" s="21" t="str">
        <f ca="1">IF(I1582=0,"",COUNTIF($I$2:I1582,"&gt;0"))</f>
        <v/>
      </c>
      <c r="K1582" s="21" t="str">
        <f t="shared" ca="1" si="117"/>
        <v/>
      </c>
    </row>
    <row r="1583" spans="1:11" s="18" customFormat="1" ht="14.25" x14ac:dyDescent="0.2">
      <c r="A1583" s="18" t="str">
        <f t="shared" si="116"/>
        <v>Eintrag 1582</v>
      </c>
      <c r="B1583" s="18">
        <v>100</v>
      </c>
      <c r="C1583" s="19">
        <v>100</v>
      </c>
      <c r="D1583" s="20">
        <v>10</v>
      </c>
      <c r="E1583" s="20">
        <v>10</v>
      </c>
      <c r="F1583" s="20">
        <v>10</v>
      </c>
      <c r="G1583" s="19">
        <f t="shared" si="118"/>
        <v>172</v>
      </c>
      <c r="H1583" s="22">
        <f t="shared" si="120"/>
        <v>1582</v>
      </c>
      <c r="I1583" s="21">
        <f t="shared" ca="1" si="119"/>
        <v>0</v>
      </c>
      <c r="J1583" s="21" t="str">
        <f ca="1">IF(I1583=0,"",COUNTIF($I$2:I1583,"&gt;0"))</f>
        <v/>
      </c>
      <c r="K1583" s="21" t="str">
        <f t="shared" ca="1" si="117"/>
        <v/>
      </c>
    </row>
    <row r="1584" spans="1:11" s="18" customFormat="1" ht="14.25" x14ac:dyDescent="0.2">
      <c r="A1584" s="18" t="str">
        <f t="shared" si="116"/>
        <v>Eintrag 1583</v>
      </c>
      <c r="B1584" s="18">
        <v>100</v>
      </c>
      <c r="C1584" s="19">
        <v>100</v>
      </c>
      <c r="D1584" s="20">
        <v>10</v>
      </c>
      <c r="E1584" s="20">
        <v>10</v>
      </c>
      <c r="F1584" s="20">
        <v>10</v>
      </c>
      <c r="G1584" s="19">
        <f t="shared" si="118"/>
        <v>172</v>
      </c>
      <c r="H1584" s="22">
        <f t="shared" si="120"/>
        <v>1583</v>
      </c>
      <c r="I1584" s="21">
        <f t="shared" ca="1" si="119"/>
        <v>0</v>
      </c>
      <c r="J1584" s="21" t="str">
        <f ca="1">IF(I1584=0,"",COUNTIF($I$2:I1584,"&gt;0"))</f>
        <v/>
      </c>
      <c r="K1584" s="21" t="str">
        <f t="shared" ca="1" si="117"/>
        <v/>
      </c>
    </row>
    <row r="1585" spans="1:11" s="18" customFormat="1" ht="14.25" x14ac:dyDescent="0.2">
      <c r="A1585" s="18" t="str">
        <f t="shared" si="116"/>
        <v>Eintrag 1584</v>
      </c>
      <c r="B1585" s="18">
        <v>100</v>
      </c>
      <c r="C1585" s="19">
        <v>100</v>
      </c>
      <c r="D1585" s="20">
        <v>10</v>
      </c>
      <c r="E1585" s="20">
        <v>10</v>
      </c>
      <c r="F1585" s="20">
        <v>10</v>
      </c>
      <c r="G1585" s="19">
        <f t="shared" si="118"/>
        <v>172</v>
      </c>
      <c r="H1585" s="22">
        <f t="shared" si="120"/>
        <v>1584</v>
      </c>
      <c r="I1585" s="21">
        <f t="shared" ca="1" si="119"/>
        <v>0</v>
      </c>
      <c r="J1585" s="21" t="str">
        <f ca="1">IF(I1585=0,"",COUNTIF($I$2:I1585,"&gt;0"))</f>
        <v/>
      </c>
      <c r="K1585" s="21" t="str">
        <f t="shared" ca="1" si="117"/>
        <v/>
      </c>
    </row>
    <row r="1586" spans="1:11" s="18" customFormat="1" ht="14.25" x14ac:dyDescent="0.2">
      <c r="A1586" s="18" t="str">
        <f t="shared" si="116"/>
        <v>Eintrag 1585</v>
      </c>
      <c r="B1586" s="18">
        <v>100</v>
      </c>
      <c r="C1586" s="19">
        <v>100</v>
      </c>
      <c r="D1586" s="20">
        <v>10</v>
      </c>
      <c r="E1586" s="20">
        <v>10</v>
      </c>
      <c r="F1586" s="20">
        <v>10</v>
      </c>
      <c r="G1586" s="19">
        <f t="shared" si="118"/>
        <v>172</v>
      </c>
      <c r="H1586" s="22">
        <f t="shared" si="120"/>
        <v>1585</v>
      </c>
      <c r="I1586" s="21">
        <f t="shared" ca="1" si="119"/>
        <v>0</v>
      </c>
      <c r="J1586" s="21" t="str">
        <f ca="1">IF(I1586=0,"",COUNTIF($I$2:I1586,"&gt;0"))</f>
        <v/>
      </c>
      <c r="K1586" s="21" t="str">
        <f t="shared" ca="1" si="117"/>
        <v/>
      </c>
    </row>
    <row r="1587" spans="1:11" s="18" customFormat="1" ht="14.25" x14ac:dyDescent="0.2">
      <c r="A1587" s="18" t="str">
        <f t="shared" si="116"/>
        <v>Eintrag 1586</v>
      </c>
      <c r="B1587" s="18">
        <v>100</v>
      </c>
      <c r="C1587" s="19">
        <v>100</v>
      </c>
      <c r="D1587" s="20">
        <v>10</v>
      </c>
      <c r="E1587" s="20">
        <v>10</v>
      </c>
      <c r="F1587" s="20">
        <v>10</v>
      </c>
      <c r="G1587" s="19">
        <f t="shared" si="118"/>
        <v>172</v>
      </c>
      <c r="H1587" s="22">
        <f t="shared" si="120"/>
        <v>1586</v>
      </c>
      <c r="I1587" s="21">
        <f t="shared" ca="1" si="119"/>
        <v>0</v>
      </c>
      <c r="J1587" s="21" t="str">
        <f ca="1">IF(I1587=0,"",COUNTIF($I$2:I1587,"&gt;0"))</f>
        <v/>
      </c>
      <c r="K1587" s="21" t="str">
        <f t="shared" ca="1" si="117"/>
        <v/>
      </c>
    </row>
    <row r="1588" spans="1:11" s="18" customFormat="1" ht="14.25" x14ac:dyDescent="0.2">
      <c r="A1588" s="18" t="str">
        <f t="shared" si="116"/>
        <v>Eintrag 1587</v>
      </c>
      <c r="B1588" s="18">
        <v>100</v>
      </c>
      <c r="C1588" s="19">
        <v>100</v>
      </c>
      <c r="D1588" s="20">
        <v>10</v>
      </c>
      <c r="E1588" s="20">
        <v>10</v>
      </c>
      <c r="F1588" s="20">
        <v>10</v>
      </c>
      <c r="G1588" s="19">
        <f t="shared" si="118"/>
        <v>172</v>
      </c>
      <c r="H1588" s="22">
        <f t="shared" si="120"/>
        <v>1587</v>
      </c>
      <c r="I1588" s="21">
        <f t="shared" ca="1" si="119"/>
        <v>0</v>
      </c>
      <c r="J1588" s="21" t="str">
        <f ca="1">IF(I1588=0,"",COUNTIF($I$2:I1588,"&gt;0"))</f>
        <v/>
      </c>
      <c r="K1588" s="21" t="str">
        <f t="shared" ca="1" si="117"/>
        <v/>
      </c>
    </row>
    <row r="1589" spans="1:11" s="18" customFormat="1" ht="14.25" x14ac:dyDescent="0.2">
      <c r="A1589" s="18" t="str">
        <f t="shared" si="116"/>
        <v>Eintrag 1588</v>
      </c>
      <c r="B1589" s="18">
        <v>100</v>
      </c>
      <c r="C1589" s="19">
        <v>100</v>
      </c>
      <c r="D1589" s="20">
        <v>10</v>
      </c>
      <c r="E1589" s="20">
        <v>10</v>
      </c>
      <c r="F1589" s="20">
        <v>10</v>
      </c>
      <c r="G1589" s="19">
        <f t="shared" si="118"/>
        <v>172</v>
      </c>
      <c r="H1589" s="22">
        <f t="shared" si="120"/>
        <v>1588</v>
      </c>
      <c r="I1589" s="21">
        <f t="shared" ca="1" si="119"/>
        <v>0</v>
      </c>
      <c r="J1589" s="21" t="str">
        <f ca="1">IF(I1589=0,"",COUNTIF($I$2:I1589,"&gt;0"))</f>
        <v/>
      </c>
      <c r="K1589" s="21" t="str">
        <f t="shared" ca="1" si="117"/>
        <v/>
      </c>
    </row>
    <row r="1590" spans="1:11" s="18" customFormat="1" ht="14.25" x14ac:dyDescent="0.2">
      <c r="A1590" s="18" t="str">
        <f t="shared" si="116"/>
        <v>Eintrag 1589</v>
      </c>
      <c r="B1590" s="18">
        <v>100</v>
      </c>
      <c r="C1590" s="19">
        <v>100</v>
      </c>
      <c r="D1590" s="20">
        <v>10</v>
      </c>
      <c r="E1590" s="20">
        <v>10</v>
      </c>
      <c r="F1590" s="20">
        <v>10</v>
      </c>
      <c r="G1590" s="19">
        <f t="shared" si="118"/>
        <v>172</v>
      </c>
      <c r="H1590" s="22">
        <f t="shared" si="120"/>
        <v>1589</v>
      </c>
      <c r="I1590" s="21">
        <f t="shared" ca="1" si="119"/>
        <v>0</v>
      </c>
      <c r="J1590" s="21" t="str">
        <f ca="1">IF(I1590=0,"",COUNTIF($I$2:I1590,"&gt;0"))</f>
        <v/>
      </c>
      <c r="K1590" s="21" t="str">
        <f t="shared" ca="1" si="117"/>
        <v/>
      </c>
    </row>
    <row r="1591" spans="1:11" s="18" customFormat="1" ht="14.25" x14ac:dyDescent="0.2">
      <c r="A1591" s="18" t="str">
        <f t="shared" si="116"/>
        <v>Eintrag 1590</v>
      </c>
      <c r="B1591" s="18">
        <v>100</v>
      </c>
      <c r="C1591" s="19">
        <v>100</v>
      </c>
      <c r="D1591" s="20">
        <v>10</v>
      </c>
      <c r="E1591" s="20">
        <v>10</v>
      </c>
      <c r="F1591" s="20">
        <v>10</v>
      </c>
      <c r="G1591" s="19">
        <f t="shared" si="118"/>
        <v>172</v>
      </c>
      <c r="H1591" s="22">
        <f t="shared" si="120"/>
        <v>1590</v>
      </c>
      <c r="I1591" s="21">
        <f t="shared" ca="1" si="119"/>
        <v>0</v>
      </c>
      <c r="J1591" s="21" t="str">
        <f ca="1">IF(I1591=0,"",COUNTIF($I$2:I1591,"&gt;0"))</f>
        <v/>
      </c>
      <c r="K1591" s="21" t="str">
        <f t="shared" ca="1" si="117"/>
        <v/>
      </c>
    </row>
    <row r="1592" spans="1:11" s="18" customFormat="1" ht="14.25" x14ac:dyDescent="0.2">
      <c r="A1592" s="18" t="str">
        <f t="shared" si="116"/>
        <v>Eintrag 1591</v>
      </c>
      <c r="B1592" s="18">
        <v>100</v>
      </c>
      <c r="C1592" s="19">
        <v>100</v>
      </c>
      <c r="D1592" s="20">
        <v>10</v>
      </c>
      <c r="E1592" s="20">
        <v>10</v>
      </c>
      <c r="F1592" s="20">
        <v>10</v>
      </c>
      <c r="G1592" s="19">
        <f t="shared" si="118"/>
        <v>172</v>
      </c>
      <c r="H1592" s="22">
        <f t="shared" si="120"/>
        <v>1591</v>
      </c>
      <c r="I1592" s="21">
        <f t="shared" ca="1" si="119"/>
        <v>0</v>
      </c>
      <c r="J1592" s="21" t="str">
        <f ca="1">IF(I1592=0,"",COUNTIF($I$2:I1592,"&gt;0"))</f>
        <v/>
      </c>
      <c r="K1592" s="21" t="str">
        <f t="shared" ca="1" si="117"/>
        <v/>
      </c>
    </row>
    <row r="1593" spans="1:11" s="18" customFormat="1" ht="14.25" x14ac:dyDescent="0.2">
      <c r="A1593" s="18" t="str">
        <f t="shared" si="116"/>
        <v>Eintrag 1592</v>
      </c>
      <c r="B1593" s="18">
        <v>100</v>
      </c>
      <c r="C1593" s="19">
        <v>100</v>
      </c>
      <c r="D1593" s="20">
        <v>10</v>
      </c>
      <c r="E1593" s="20">
        <v>10</v>
      </c>
      <c r="F1593" s="20">
        <v>10</v>
      </c>
      <c r="G1593" s="19">
        <f t="shared" si="118"/>
        <v>172</v>
      </c>
      <c r="H1593" s="22">
        <f t="shared" si="120"/>
        <v>1592</v>
      </c>
      <c r="I1593" s="21">
        <f t="shared" ca="1" si="119"/>
        <v>0</v>
      </c>
      <c r="J1593" s="21" t="str">
        <f ca="1">IF(I1593=0,"",COUNTIF($I$2:I1593,"&gt;0"))</f>
        <v/>
      </c>
      <c r="K1593" s="21" t="str">
        <f t="shared" ca="1" si="117"/>
        <v/>
      </c>
    </row>
    <row r="1594" spans="1:11" s="18" customFormat="1" ht="14.25" x14ac:dyDescent="0.2">
      <c r="A1594" s="18" t="str">
        <f t="shared" si="116"/>
        <v>Eintrag 1593</v>
      </c>
      <c r="B1594" s="18">
        <v>100</v>
      </c>
      <c r="C1594" s="19">
        <v>100</v>
      </c>
      <c r="D1594" s="20">
        <v>10</v>
      </c>
      <c r="E1594" s="20">
        <v>10</v>
      </c>
      <c r="F1594" s="20">
        <v>10</v>
      </c>
      <c r="G1594" s="19">
        <f t="shared" si="118"/>
        <v>172</v>
      </c>
      <c r="H1594" s="22">
        <f t="shared" si="120"/>
        <v>1593</v>
      </c>
      <c r="I1594" s="21">
        <f t="shared" ca="1" si="119"/>
        <v>0</v>
      </c>
      <c r="J1594" s="21" t="str">
        <f ca="1">IF(I1594=0,"",COUNTIF($I$2:I1594,"&gt;0"))</f>
        <v/>
      </c>
      <c r="K1594" s="21" t="str">
        <f t="shared" ca="1" si="117"/>
        <v/>
      </c>
    </row>
    <row r="1595" spans="1:11" s="18" customFormat="1" ht="14.25" x14ac:dyDescent="0.2">
      <c r="A1595" s="18" t="str">
        <f t="shared" si="116"/>
        <v>Eintrag 1594</v>
      </c>
      <c r="B1595" s="18">
        <v>100</v>
      </c>
      <c r="C1595" s="19">
        <v>100</v>
      </c>
      <c r="D1595" s="20">
        <v>10</v>
      </c>
      <c r="E1595" s="20">
        <v>10</v>
      </c>
      <c r="F1595" s="20">
        <v>10</v>
      </c>
      <c r="G1595" s="19">
        <f t="shared" si="118"/>
        <v>172</v>
      </c>
      <c r="H1595" s="22">
        <f t="shared" si="120"/>
        <v>1594</v>
      </c>
      <c r="I1595" s="21">
        <f t="shared" ca="1" si="119"/>
        <v>0</v>
      </c>
      <c r="J1595" s="21" t="str">
        <f ca="1">IF(I1595=0,"",COUNTIF($I$2:I1595,"&gt;0"))</f>
        <v/>
      </c>
      <c r="K1595" s="21" t="str">
        <f t="shared" ca="1" si="117"/>
        <v/>
      </c>
    </row>
    <row r="1596" spans="1:11" s="18" customFormat="1" ht="14.25" x14ac:dyDescent="0.2">
      <c r="A1596" s="18" t="str">
        <f t="shared" si="116"/>
        <v>Eintrag 1595</v>
      </c>
      <c r="B1596" s="18">
        <v>100</v>
      </c>
      <c r="C1596" s="19">
        <v>100</v>
      </c>
      <c r="D1596" s="20">
        <v>10</v>
      </c>
      <c r="E1596" s="20">
        <v>10</v>
      </c>
      <c r="F1596" s="20">
        <v>10</v>
      </c>
      <c r="G1596" s="19">
        <f t="shared" si="118"/>
        <v>172</v>
      </c>
      <c r="H1596" s="22">
        <f t="shared" si="120"/>
        <v>1595</v>
      </c>
      <c r="I1596" s="21">
        <f t="shared" ca="1" si="119"/>
        <v>0</v>
      </c>
      <c r="J1596" s="21" t="str">
        <f ca="1">IF(I1596=0,"",COUNTIF($I$2:I1596,"&gt;0"))</f>
        <v/>
      </c>
      <c r="K1596" s="21" t="str">
        <f t="shared" ca="1" si="117"/>
        <v/>
      </c>
    </row>
    <row r="1597" spans="1:11" s="18" customFormat="1" ht="14.25" x14ac:dyDescent="0.2">
      <c r="A1597" s="18" t="str">
        <f t="shared" ref="A1597:A1660" si="121">CONCATENATE("Eintrag ",H1597)</f>
        <v>Eintrag 1596</v>
      </c>
      <c r="B1597" s="18">
        <v>100</v>
      </c>
      <c r="C1597" s="19">
        <v>100</v>
      </c>
      <c r="D1597" s="20">
        <v>10</v>
      </c>
      <c r="E1597" s="20">
        <v>10</v>
      </c>
      <c r="F1597" s="20">
        <v>10</v>
      </c>
      <c r="G1597" s="19">
        <f t="shared" si="118"/>
        <v>172</v>
      </c>
      <c r="H1597" s="22">
        <f t="shared" si="120"/>
        <v>1596</v>
      </c>
      <c r="I1597" s="21">
        <f t="shared" ca="1" si="119"/>
        <v>0</v>
      </c>
      <c r="J1597" s="21" t="str">
        <f ca="1">IF(I1597=0,"",COUNTIF($I$2:I1597,"&gt;0"))</f>
        <v/>
      </c>
      <c r="K1597" s="21" t="str">
        <f t="shared" ca="1" si="117"/>
        <v/>
      </c>
    </row>
    <row r="1598" spans="1:11" s="18" customFormat="1" ht="14.25" x14ac:dyDescent="0.2">
      <c r="A1598" s="18" t="str">
        <f t="shared" si="121"/>
        <v>Eintrag 1597</v>
      </c>
      <c r="B1598" s="18">
        <v>100</v>
      </c>
      <c r="C1598" s="19">
        <v>100</v>
      </c>
      <c r="D1598" s="20">
        <v>10</v>
      </c>
      <c r="E1598" s="20">
        <v>10</v>
      </c>
      <c r="F1598" s="20">
        <v>10</v>
      </c>
      <c r="G1598" s="19">
        <f t="shared" si="118"/>
        <v>172</v>
      </c>
      <c r="H1598" s="22">
        <f t="shared" si="120"/>
        <v>1597</v>
      </c>
      <c r="I1598" s="21">
        <f t="shared" ca="1" si="119"/>
        <v>0</v>
      </c>
      <c r="J1598" s="21" t="str">
        <f ca="1">IF(I1598=0,"",COUNTIF($I$2:I1598,"&gt;0"))</f>
        <v/>
      </c>
      <c r="K1598" s="21" t="str">
        <f t="shared" ca="1" si="117"/>
        <v/>
      </c>
    </row>
    <row r="1599" spans="1:11" s="18" customFormat="1" ht="14.25" x14ac:dyDescent="0.2">
      <c r="A1599" s="18" t="str">
        <f t="shared" si="121"/>
        <v>Eintrag 1598</v>
      </c>
      <c r="B1599" s="18">
        <v>100</v>
      </c>
      <c r="C1599" s="19">
        <v>100</v>
      </c>
      <c r="D1599" s="20">
        <v>10</v>
      </c>
      <c r="E1599" s="20">
        <v>10</v>
      </c>
      <c r="F1599" s="20">
        <v>10</v>
      </c>
      <c r="G1599" s="19">
        <f t="shared" si="118"/>
        <v>172</v>
      </c>
      <c r="H1599" s="22">
        <f t="shared" si="120"/>
        <v>1598</v>
      </c>
      <c r="I1599" s="21">
        <f t="shared" ca="1" si="119"/>
        <v>0</v>
      </c>
      <c r="J1599" s="21" t="str">
        <f ca="1">IF(I1599=0,"",COUNTIF($I$2:I1599,"&gt;0"))</f>
        <v/>
      </c>
      <c r="K1599" s="21" t="str">
        <f t="shared" ca="1" si="117"/>
        <v/>
      </c>
    </row>
    <row r="1600" spans="1:11" s="18" customFormat="1" ht="14.25" x14ac:dyDescent="0.2">
      <c r="A1600" s="18" t="str">
        <f t="shared" si="121"/>
        <v>Eintrag 1599</v>
      </c>
      <c r="B1600" s="18">
        <v>100</v>
      </c>
      <c r="C1600" s="19">
        <v>100</v>
      </c>
      <c r="D1600" s="20">
        <v>10</v>
      </c>
      <c r="E1600" s="20">
        <v>10</v>
      </c>
      <c r="F1600" s="20">
        <v>10</v>
      </c>
      <c r="G1600" s="19">
        <f t="shared" si="118"/>
        <v>172</v>
      </c>
      <c r="H1600" s="22">
        <f t="shared" si="120"/>
        <v>1599</v>
      </c>
      <c r="I1600" s="21">
        <f t="shared" ca="1" si="119"/>
        <v>0</v>
      </c>
      <c r="J1600" s="21" t="str">
        <f ca="1">IF(I1600=0,"",COUNTIF($I$2:I1600,"&gt;0"))</f>
        <v/>
      </c>
      <c r="K1600" s="21" t="str">
        <f t="shared" ca="1" si="117"/>
        <v/>
      </c>
    </row>
    <row r="1601" spans="1:11" s="18" customFormat="1" ht="14.25" x14ac:dyDescent="0.2">
      <c r="A1601" s="18" t="str">
        <f t="shared" si="121"/>
        <v>Eintrag 1600</v>
      </c>
      <c r="B1601" s="18">
        <v>100</v>
      </c>
      <c r="C1601" s="19">
        <v>100</v>
      </c>
      <c r="D1601" s="20">
        <v>10</v>
      </c>
      <c r="E1601" s="20">
        <v>10</v>
      </c>
      <c r="F1601" s="20">
        <v>10</v>
      </c>
      <c r="G1601" s="19">
        <f t="shared" si="118"/>
        <v>172</v>
      </c>
      <c r="H1601" s="22">
        <f t="shared" si="120"/>
        <v>1600</v>
      </c>
      <c r="I1601" s="21">
        <f t="shared" ca="1" si="119"/>
        <v>0</v>
      </c>
      <c r="J1601" s="21" t="str">
        <f ca="1">IF(I1601=0,"",COUNTIF($I$2:I1601,"&gt;0"))</f>
        <v/>
      </c>
      <c r="K1601" s="21" t="str">
        <f t="shared" ca="1" si="117"/>
        <v/>
      </c>
    </row>
    <row r="1602" spans="1:11" s="18" customFormat="1" ht="14.25" x14ac:dyDescent="0.2">
      <c r="A1602" s="18" t="str">
        <f t="shared" si="121"/>
        <v>Eintrag 1601</v>
      </c>
      <c r="B1602" s="18">
        <v>100</v>
      </c>
      <c r="C1602" s="19">
        <v>100</v>
      </c>
      <c r="D1602" s="20">
        <v>10</v>
      </c>
      <c r="E1602" s="20">
        <v>10</v>
      </c>
      <c r="F1602" s="20">
        <v>10</v>
      </c>
      <c r="G1602" s="19">
        <f t="shared" si="118"/>
        <v>172</v>
      </c>
      <c r="H1602" s="22">
        <f t="shared" si="120"/>
        <v>1601</v>
      </c>
      <c r="I1602" s="21">
        <f t="shared" ca="1" si="119"/>
        <v>0</v>
      </c>
      <c r="J1602" s="21" t="str">
        <f ca="1">IF(I1602=0,"",COUNTIF($I$2:I1602,"&gt;0"))</f>
        <v/>
      </c>
      <c r="K1602" s="21" t="str">
        <f t="shared" ref="K1602:K1665" ca="1" si="122">IFERROR(INDEX(A:A,MATCH(ROW(I1601),J:J,0)),"")</f>
        <v/>
      </c>
    </row>
    <row r="1603" spans="1:11" s="18" customFormat="1" ht="14.25" x14ac:dyDescent="0.2">
      <c r="A1603" s="18" t="str">
        <f t="shared" si="121"/>
        <v>Eintrag 1602</v>
      </c>
      <c r="B1603" s="18">
        <v>100</v>
      </c>
      <c r="C1603" s="19">
        <v>100</v>
      </c>
      <c r="D1603" s="20">
        <v>10</v>
      </c>
      <c r="E1603" s="20">
        <v>10</v>
      </c>
      <c r="F1603" s="20">
        <v>10</v>
      </c>
      <c r="G1603" s="19">
        <f t="shared" ref="G1603:G1666" si="123">D1603*9+E1603*4.1+F1603*4.1</f>
        <v>172</v>
      </c>
      <c r="H1603" s="22">
        <f t="shared" si="120"/>
        <v>1602</v>
      </c>
      <c r="I1603" s="21">
        <f t="shared" ca="1" si="119"/>
        <v>0</v>
      </c>
      <c r="J1603" s="21" t="str">
        <f ca="1">IF(I1603=0,"",COUNTIF($I$2:I1603,"&gt;0"))</f>
        <v/>
      </c>
      <c r="K1603" s="21" t="str">
        <f t="shared" ca="1" si="122"/>
        <v/>
      </c>
    </row>
    <row r="1604" spans="1:11" s="18" customFormat="1" ht="14.25" x14ac:dyDescent="0.2">
      <c r="A1604" s="18" t="str">
        <f t="shared" si="121"/>
        <v>Eintrag 1603</v>
      </c>
      <c r="B1604" s="18">
        <v>100</v>
      </c>
      <c r="C1604" s="19">
        <v>100</v>
      </c>
      <c r="D1604" s="20">
        <v>10</v>
      </c>
      <c r="E1604" s="20">
        <v>10</v>
      </c>
      <c r="F1604" s="20">
        <v>10</v>
      </c>
      <c r="G1604" s="19">
        <f t="shared" si="123"/>
        <v>172</v>
      </c>
      <c r="H1604" s="22">
        <f t="shared" si="120"/>
        <v>1603</v>
      </c>
      <c r="I1604" s="21">
        <f t="shared" ca="1" si="119"/>
        <v>0</v>
      </c>
      <c r="J1604" s="21" t="str">
        <f ca="1">IF(I1604=0,"",COUNTIF($I$2:I1604,"&gt;0"))</f>
        <v/>
      </c>
      <c r="K1604" s="21" t="str">
        <f t="shared" ca="1" si="122"/>
        <v/>
      </c>
    </row>
    <row r="1605" spans="1:11" s="18" customFormat="1" ht="14.25" x14ac:dyDescent="0.2">
      <c r="A1605" s="18" t="str">
        <f t="shared" si="121"/>
        <v>Eintrag 1604</v>
      </c>
      <c r="B1605" s="18">
        <v>100</v>
      </c>
      <c r="C1605" s="19">
        <v>100</v>
      </c>
      <c r="D1605" s="20">
        <v>10</v>
      </c>
      <c r="E1605" s="20">
        <v>10</v>
      </c>
      <c r="F1605" s="20">
        <v>10</v>
      </c>
      <c r="G1605" s="19">
        <f t="shared" si="123"/>
        <v>172</v>
      </c>
      <c r="H1605" s="22">
        <f t="shared" si="120"/>
        <v>1604</v>
      </c>
      <c r="I1605" s="21">
        <f t="shared" ca="1" si="119"/>
        <v>0</v>
      </c>
      <c r="J1605" s="21" t="str">
        <f ca="1">IF(I1605=0,"",COUNTIF($I$2:I1605,"&gt;0"))</f>
        <v/>
      </c>
      <c r="K1605" s="21" t="str">
        <f t="shared" ca="1" si="122"/>
        <v/>
      </c>
    </row>
    <row r="1606" spans="1:11" s="18" customFormat="1" ht="14.25" x14ac:dyDescent="0.2">
      <c r="A1606" s="18" t="str">
        <f t="shared" si="121"/>
        <v>Eintrag 1605</v>
      </c>
      <c r="B1606" s="18">
        <v>100</v>
      </c>
      <c r="C1606" s="19">
        <v>100</v>
      </c>
      <c r="D1606" s="20">
        <v>10</v>
      </c>
      <c r="E1606" s="20">
        <v>10</v>
      </c>
      <c r="F1606" s="20">
        <v>10</v>
      </c>
      <c r="G1606" s="19">
        <f t="shared" si="123"/>
        <v>172</v>
      </c>
      <c r="H1606" s="22">
        <f t="shared" si="120"/>
        <v>1605</v>
      </c>
      <c r="I1606" s="21">
        <f t="shared" ca="1" si="119"/>
        <v>0</v>
      </c>
      <c r="J1606" s="21" t="str">
        <f ca="1">IF(I1606=0,"",COUNTIF($I$2:I1606,"&gt;0"))</f>
        <v/>
      </c>
      <c r="K1606" s="21" t="str">
        <f t="shared" ca="1" si="122"/>
        <v/>
      </c>
    </row>
    <row r="1607" spans="1:11" s="18" customFormat="1" ht="14.25" x14ac:dyDescent="0.2">
      <c r="A1607" s="18" t="str">
        <f t="shared" si="121"/>
        <v>Eintrag 1606</v>
      </c>
      <c r="B1607" s="18">
        <v>100</v>
      </c>
      <c r="C1607" s="19">
        <v>100</v>
      </c>
      <c r="D1607" s="20">
        <v>10</v>
      </c>
      <c r="E1607" s="20">
        <v>10</v>
      </c>
      <c r="F1607" s="20">
        <v>10</v>
      </c>
      <c r="G1607" s="19">
        <f t="shared" si="123"/>
        <v>172</v>
      </c>
      <c r="H1607" s="22">
        <f t="shared" si="120"/>
        <v>1606</v>
      </c>
      <c r="I1607" s="21">
        <f t="shared" ca="1" si="119"/>
        <v>0</v>
      </c>
      <c r="J1607" s="21" t="str">
        <f ca="1">IF(I1607=0,"",COUNTIF($I$2:I1607,"&gt;0"))</f>
        <v/>
      </c>
      <c r="K1607" s="21" t="str">
        <f t="shared" ca="1" si="122"/>
        <v/>
      </c>
    </row>
    <row r="1608" spans="1:11" s="18" customFormat="1" ht="14.25" x14ac:dyDescent="0.2">
      <c r="A1608" s="18" t="str">
        <f t="shared" si="121"/>
        <v>Eintrag 1607</v>
      </c>
      <c r="B1608" s="18">
        <v>100</v>
      </c>
      <c r="C1608" s="19">
        <v>100</v>
      </c>
      <c r="D1608" s="20">
        <v>10</v>
      </c>
      <c r="E1608" s="20">
        <v>10</v>
      </c>
      <c r="F1608" s="20">
        <v>10</v>
      </c>
      <c r="G1608" s="19">
        <f t="shared" si="123"/>
        <v>172</v>
      </c>
      <c r="H1608" s="22">
        <f t="shared" si="120"/>
        <v>1607</v>
      </c>
      <c r="I1608" s="21">
        <f t="shared" ca="1" si="119"/>
        <v>0</v>
      </c>
      <c r="J1608" s="21" t="str">
        <f ca="1">IF(I1608=0,"",COUNTIF($I$2:I1608,"&gt;0"))</f>
        <v/>
      </c>
      <c r="K1608" s="21" t="str">
        <f t="shared" ca="1" si="122"/>
        <v/>
      </c>
    </row>
    <row r="1609" spans="1:11" s="18" customFormat="1" ht="14.25" x14ac:dyDescent="0.2">
      <c r="A1609" s="18" t="str">
        <f t="shared" si="121"/>
        <v>Eintrag 1608</v>
      </c>
      <c r="B1609" s="18">
        <v>100</v>
      </c>
      <c r="C1609" s="19">
        <v>100</v>
      </c>
      <c r="D1609" s="20">
        <v>10</v>
      </c>
      <c r="E1609" s="20">
        <v>10</v>
      </c>
      <c r="F1609" s="20">
        <v>10</v>
      </c>
      <c r="G1609" s="19">
        <f t="shared" si="123"/>
        <v>172</v>
      </c>
      <c r="H1609" s="22">
        <f t="shared" si="120"/>
        <v>1608</v>
      </c>
      <c r="I1609" s="21">
        <f t="shared" ca="1" si="119"/>
        <v>0</v>
      </c>
      <c r="J1609" s="21" t="str">
        <f ca="1">IF(I1609=0,"",COUNTIF($I$2:I1609,"&gt;0"))</f>
        <v/>
      </c>
      <c r="K1609" s="21" t="str">
        <f t="shared" ca="1" si="122"/>
        <v/>
      </c>
    </row>
    <row r="1610" spans="1:11" s="18" customFormat="1" ht="14.25" x14ac:dyDescent="0.2">
      <c r="A1610" s="18" t="str">
        <f t="shared" si="121"/>
        <v>Eintrag 1609</v>
      </c>
      <c r="B1610" s="18">
        <v>100</v>
      </c>
      <c r="C1610" s="19">
        <v>100</v>
      </c>
      <c r="D1610" s="20">
        <v>10</v>
      </c>
      <c r="E1610" s="20">
        <v>10</v>
      </c>
      <c r="F1610" s="20">
        <v>10</v>
      </c>
      <c r="G1610" s="19">
        <f t="shared" si="123"/>
        <v>172</v>
      </c>
      <c r="H1610" s="22">
        <f t="shared" si="120"/>
        <v>1609</v>
      </c>
      <c r="I1610" s="21">
        <f t="shared" ca="1" si="119"/>
        <v>0</v>
      </c>
      <c r="J1610" s="21" t="str">
        <f ca="1">IF(I1610=0,"",COUNTIF($I$2:I1610,"&gt;0"))</f>
        <v/>
      </c>
      <c r="K1610" s="21" t="str">
        <f t="shared" ca="1" si="122"/>
        <v/>
      </c>
    </row>
    <row r="1611" spans="1:11" s="18" customFormat="1" ht="14.25" x14ac:dyDescent="0.2">
      <c r="A1611" s="18" t="str">
        <f t="shared" si="121"/>
        <v>Eintrag 1610</v>
      </c>
      <c r="B1611" s="18">
        <v>100</v>
      </c>
      <c r="C1611" s="19">
        <v>100</v>
      </c>
      <c r="D1611" s="20">
        <v>10</v>
      </c>
      <c r="E1611" s="20">
        <v>10</v>
      </c>
      <c r="F1611" s="20">
        <v>10</v>
      </c>
      <c r="G1611" s="19">
        <f t="shared" si="123"/>
        <v>172</v>
      </c>
      <c r="H1611" s="22">
        <f t="shared" si="120"/>
        <v>1610</v>
      </c>
      <c r="I1611" s="21">
        <f t="shared" ca="1" si="119"/>
        <v>0</v>
      </c>
      <c r="J1611" s="21" t="str">
        <f ca="1">IF(I1611=0,"",COUNTIF($I$2:I1611,"&gt;0"))</f>
        <v/>
      </c>
      <c r="K1611" s="21" t="str">
        <f t="shared" ca="1" si="122"/>
        <v/>
      </c>
    </row>
    <row r="1612" spans="1:11" s="18" customFormat="1" ht="14.25" x14ac:dyDescent="0.2">
      <c r="A1612" s="18" t="str">
        <f t="shared" si="121"/>
        <v>Eintrag 1611</v>
      </c>
      <c r="B1612" s="18">
        <v>100</v>
      </c>
      <c r="C1612" s="19">
        <v>100</v>
      </c>
      <c r="D1612" s="20">
        <v>10</v>
      </c>
      <c r="E1612" s="20">
        <v>10</v>
      </c>
      <c r="F1612" s="20">
        <v>10</v>
      </c>
      <c r="G1612" s="19">
        <f t="shared" si="123"/>
        <v>172</v>
      </c>
      <c r="H1612" s="22">
        <f t="shared" si="120"/>
        <v>1611</v>
      </c>
      <c r="I1612" s="21">
        <f t="shared" ca="1" si="119"/>
        <v>0</v>
      </c>
      <c r="J1612" s="21" t="str">
        <f ca="1">IF(I1612=0,"",COUNTIF($I$2:I1612,"&gt;0"))</f>
        <v/>
      </c>
      <c r="K1612" s="21" t="str">
        <f t="shared" ca="1" si="122"/>
        <v/>
      </c>
    </row>
    <row r="1613" spans="1:11" s="18" customFormat="1" ht="14.25" x14ac:dyDescent="0.2">
      <c r="A1613" s="18" t="str">
        <f t="shared" si="121"/>
        <v>Eintrag 1612</v>
      </c>
      <c r="B1613" s="18">
        <v>100</v>
      </c>
      <c r="C1613" s="19">
        <v>100</v>
      </c>
      <c r="D1613" s="20">
        <v>10</v>
      </c>
      <c r="E1613" s="20">
        <v>10</v>
      </c>
      <c r="F1613" s="20">
        <v>10</v>
      </c>
      <c r="G1613" s="19">
        <f t="shared" si="123"/>
        <v>172</v>
      </c>
      <c r="H1613" s="22">
        <f t="shared" si="120"/>
        <v>1612</v>
      </c>
      <c r="I1613" s="21">
        <f t="shared" ca="1" si="119"/>
        <v>0</v>
      </c>
      <c r="J1613" s="21" t="str">
        <f ca="1">IF(I1613=0,"",COUNTIF($I$2:I1613,"&gt;0"))</f>
        <v/>
      </c>
      <c r="K1613" s="21" t="str">
        <f t="shared" ca="1" si="122"/>
        <v/>
      </c>
    </row>
    <row r="1614" spans="1:11" s="18" customFormat="1" ht="14.25" x14ac:dyDescent="0.2">
      <c r="A1614" s="18" t="str">
        <f t="shared" si="121"/>
        <v>Eintrag 1613</v>
      </c>
      <c r="B1614" s="18">
        <v>100</v>
      </c>
      <c r="C1614" s="19">
        <v>100</v>
      </c>
      <c r="D1614" s="20">
        <v>10</v>
      </c>
      <c r="E1614" s="20">
        <v>10</v>
      </c>
      <c r="F1614" s="20">
        <v>10</v>
      </c>
      <c r="G1614" s="19">
        <f t="shared" si="123"/>
        <v>172</v>
      </c>
      <c r="H1614" s="22">
        <f t="shared" si="120"/>
        <v>1613</v>
      </c>
      <c r="I1614" s="21">
        <f t="shared" ca="1" si="119"/>
        <v>0</v>
      </c>
      <c r="J1614" s="21" t="str">
        <f ca="1">IF(I1614=0,"",COUNTIF($I$2:I1614,"&gt;0"))</f>
        <v/>
      </c>
      <c r="K1614" s="21" t="str">
        <f t="shared" ca="1" si="122"/>
        <v/>
      </c>
    </row>
    <row r="1615" spans="1:11" s="18" customFormat="1" ht="14.25" x14ac:dyDescent="0.2">
      <c r="A1615" s="18" t="str">
        <f t="shared" si="121"/>
        <v>Eintrag 1614</v>
      </c>
      <c r="B1615" s="18">
        <v>100</v>
      </c>
      <c r="C1615" s="19">
        <v>100</v>
      </c>
      <c r="D1615" s="20">
        <v>10</v>
      </c>
      <c r="E1615" s="20">
        <v>10</v>
      </c>
      <c r="F1615" s="20">
        <v>10</v>
      </c>
      <c r="G1615" s="19">
        <f t="shared" si="123"/>
        <v>172</v>
      </c>
      <c r="H1615" s="22">
        <f t="shared" si="120"/>
        <v>1614</v>
      </c>
      <c r="I1615" s="21">
        <f t="shared" ca="1" si="119"/>
        <v>0</v>
      </c>
      <c r="J1615" s="21" t="str">
        <f ca="1">IF(I1615=0,"",COUNTIF($I$2:I1615,"&gt;0"))</f>
        <v/>
      </c>
      <c r="K1615" s="21" t="str">
        <f t="shared" ca="1" si="122"/>
        <v/>
      </c>
    </row>
    <row r="1616" spans="1:11" s="18" customFormat="1" ht="14.25" x14ac:dyDescent="0.2">
      <c r="A1616" s="18" t="str">
        <f t="shared" si="121"/>
        <v>Eintrag 1615</v>
      </c>
      <c r="B1616" s="18">
        <v>100</v>
      </c>
      <c r="C1616" s="19">
        <v>100</v>
      </c>
      <c r="D1616" s="20">
        <v>10</v>
      </c>
      <c r="E1616" s="20">
        <v>10</v>
      </c>
      <c r="F1616" s="20">
        <v>10</v>
      </c>
      <c r="G1616" s="19">
        <f t="shared" si="123"/>
        <v>172</v>
      </c>
      <c r="H1616" s="22">
        <f t="shared" si="120"/>
        <v>1615</v>
      </c>
      <c r="I1616" s="21">
        <f t="shared" ca="1" si="119"/>
        <v>0</v>
      </c>
      <c r="J1616" s="21" t="str">
        <f ca="1">IF(I1616=0,"",COUNTIF($I$2:I1616,"&gt;0"))</f>
        <v/>
      </c>
      <c r="K1616" s="21" t="str">
        <f t="shared" ca="1" si="122"/>
        <v/>
      </c>
    </row>
    <row r="1617" spans="1:11" s="18" customFormat="1" ht="14.25" x14ac:dyDescent="0.2">
      <c r="A1617" s="18" t="str">
        <f t="shared" si="121"/>
        <v>Eintrag 1616</v>
      </c>
      <c r="B1617" s="18">
        <v>100</v>
      </c>
      <c r="C1617" s="19">
        <v>100</v>
      </c>
      <c r="D1617" s="20">
        <v>10</v>
      </c>
      <c r="E1617" s="20">
        <v>10</v>
      </c>
      <c r="F1617" s="20">
        <v>10</v>
      </c>
      <c r="G1617" s="19">
        <f t="shared" si="123"/>
        <v>172</v>
      </c>
      <c r="H1617" s="22">
        <f t="shared" si="120"/>
        <v>1616</v>
      </c>
      <c r="I1617" s="21">
        <f t="shared" ca="1" si="119"/>
        <v>0</v>
      </c>
      <c r="J1617" s="21" t="str">
        <f ca="1">IF(I1617=0,"",COUNTIF($I$2:I1617,"&gt;0"))</f>
        <v/>
      </c>
      <c r="K1617" s="21" t="str">
        <f t="shared" ca="1" si="122"/>
        <v/>
      </c>
    </row>
    <row r="1618" spans="1:11" s="18" customFormat="1" ht="14.25" x14ac:dyDescent="0.2">
      <c r="A1618" s="18" t="str">
        <f t="shared" si="121"/>
        <v>Eintrag 1617</v>
      </c>
      <c r="B1618" s="18">
        <v>100</v>
      </c>
      <c r="C1618" s="19">
        <v>100</v>
      </c>
      <c r="D1618" s="20">
        <v>10</v>
      </c>
      <c r="E1618" s="20">
        <v>10</v>
      </c>
      <c r="F1618" s="20">
        <v>10</v>
      </c>
      <c r="G1618" s="19">
        <f t="shared" si="123"/>
        <v>172</v>
      </c>
      <c r="H1618" s="22">
        <f t="shared" si="120"/>
        <v>1617</v>
      </c>
      <c r="I1618" s="21">
        <f t="shared" ca="1" si="119"/>
        <v>0</v>
      </c>
      <c r="J1618" s="21" t="str">
        <f ca="1">IF(I1618=0,"",COUNTIF($I$2:I1618,"&gt;0"))</f>
        <v/>
      </c>
      <c r="K1618" s="21" t="str">
        <f t="shared" ca="1" si="122"/>
        <v/>
      </c>
    </row>
    <row r="1619" spans="1:11" s="18" customFormat="1" ht="14.25" x14ac:dyDescent="0.2">
      <c r="A1619" s="18" t="str">
        <f t="shared" si="121"/>
        <v>Eintrag 1618</v>
      </c>
      <c r="B1619" s="18">
        <v>100</v>
      </c>
      <c r="C1619" s="19">
        <v>100</v>
      </c>
      <c r="D1619" s="20">
        <v>10</v>
      </c>
      <c r="E1619" s="20">
        <v>10</v>
      </c>
      <c r="F1619" s="20">
        <v>10</v>
      </c>
      <c r="G1619" s="19">
        <f t="shared" si="123"/>
        <v>172</v>
      </c>
      <c r="H1619" s="22">
        <f t="shared" si="120"/>
        <v>1618</v>
      </c>
      <c r="I1619" s="21">
        <f t="shared" ca="1" si="119"/>
        <v>0</v>
      </c>
      <c r="J1619" s="21" t="str">
        <f ca="1">IF(I1619=0,"",COUNTIF($I$2:I1619,"&gt;0"))</f>
        <v/>
      </c>
      <c r="K1619" s="21" t="str">
        <f t="shared" ca="1" si="122"/>
        <v/>
      </c>
    </row>
    <row r="1620" spans="1:11" s="18" customFormat="1" ht="14.25" x14ac:dyDescent="0.2">
      <c r="A1620" s="18" t="str">
        <f t="shared" si="121"/>
        <v>Eintrag 1619</v>
      </c>
      <c r="B1620" s="18">
        <v>100</v>
      </c>
      <c r="C1620" s="19">
        <v>100</v>
      </c>
      <c r="D1620" s="20">
        <v>10</v>
      </c>
      <c r="E1620" s="20">
        <v>10</v>
      </c>
      <c r="F1620" s="20">
        <v>10</v>
      </c>
      <c r="G1620" s="19">
        <f t="shared" si="123"/>
        <v>172</v>
      </c>
      <c r="H1620" s="22">
        <f t="shared" si="120"/>
        <v>1619</v>
      </c>
      <c r="I1620" s="21">
        <f t="shared" ca="1" si="119"/>
        <v>0</v>
      </c>
      <c r="J1620" s="21" t="str">
        <f ca="1">IF(I1620=0,"",COUNTIF($I$2:I1620,"&gt;0"))</f>
        <v/>
      </c>
      <c r="K1620" s="21" t="str">
        <f t="shared" ca="1" si="122"/>
        <v/>
      </c>
    </row>
    <row r="1621" spans="1:11" s="18" customFormat="1" ht="14.25" x14ac:dyDescent="0.2">
      <c r="A1621" s="18" t="str">
        <f t="shared" si="121"/>
        <v>Eintrag 1620</v>
      </c>
      <c r="B1621" s="18">
        <v>100</v>
      </c>
      <c r="C1621" s="19">
        <v>100</v>
      </c>
      <c r="D1621" s="20">
        <v>10</v>
      </c>
      <c r="E1621" s="20">
        <v>10</v>
      </c>
      <c r="F1621" s="20">
        <v>10</v>
      </c>
      <c r="G1621" s="19">
        <f t="shared" si="123"/>
        <v>172</v>
      </c>
      <c r="H1621" s="22">
        <f t="shared" si="120"/>
        <v>1620</v>
      </c>
      <c r="I1621" s="21">
        <f t="shared" ca="1" si="119"/>
        <v>0</v>
      </c>
      <c r="J1621" s="21" t="str">
        <f ca="1">IF(I1621=0,"",COUNTIF($I$2:I1621,"&gt;0"))</f>
        <v/>
      </c>
      <c r="K1621" s="21" t="str">
        <f t="shared" ca="1" si="122"/>
        <v/>
      </c>
    </row>
    <row r="1622" spans="1:11" s="18" customFormat="1" ht="14.25" x14ac:dyDescent="0.2">
      <c r="A1622" s="18" t="str">
        <f t="shared" si="121"/>
        <v>Eintrag 1621</v>
      </c>
      <c r="B1622" s="18">
        <v>100</v>
      </c>
      <c r="C1622" s="19">
        <v>100</v>
      </c>
      <c r="D1622" s="20">
        <v>10</v>
      </c>
      <c r="E1622" s="20">
        <v>10</v>
      </c>
      <c r="F1622" s="20">
        <v>10</v>
      </c>
      <c r="G1622" s="19">
        <f t="shared" si="123"/>
        <v>172</v>
      </c>
      <c r="H1622" s="22">
        <f t="shared" si="120"/>
        <v>1621</v>
      </c>
      <c r="I1622" s="21">
        <f t="shared" ca="1" si="119"/>
        <v>0</v>
      </c>
      <c r="J1622" s="21" t="str">
        <f ca="1">IF(I1622=0,"",COUNTIF($I$2:I1622,"&gt;0"))</f>
        <v/>
      </c>
      <c r="K1622" s="21" t="str">
        <f t="shared" ca="1" si="122"/>
        <v/>
      </c>
    </row>
    <row r="1623" spans="1:11" s="18" customFormat="1" ht="14.25" x14ac:dyDescent="0.2">
      <c r="A1623" s="18" t="str">
        <f t="shared" si="121"/>
        <v>Eintrag 1622</v>
      </c>
      <c r="B1623" s="18">
        <v>100</v>
      </c>
      <c r="C1623" s="19">
        <v>100</v>
      </c>
      <c r="D1623" s="20">
        <v>10</v>
      </c>
      <c r="E1623" s="20">
        <v>10</v>
      </c>
      <c r="F1623" s="20">
        <v>10</v>
      </c>
      <c r="G1623" s="19">
        <f t="shared" si="123"/>
        <v>172</v>
      </c>
      <c r="H1623" s="22">
        <f t="shared" si="120"/>
        <v>1622</v>
      </c>
      <c r="I1623" s="21">
        <f t="shared" ref="I1623:I1686" ca="1" si="124">IFERROR(SEARCH(INDIRECT(CELL("address")),A1623),0)</f>
        <v>0</v>
      </c>
      <c r="J1623" s="21" t="str">
        <f ca="1">IF(I1623=0,"",COUNTIF($I$2:I1623,"&gt;0"))</f>
        <v/>
      </c>
      <c r="K1623" s="21" t="str">
        <f t="shared" ca="1" si="122"/>
        <v/>
      </c>
    </row>
    <row r="1624" spans="1:11" s="18" customFormat="1" ht="14.25" x14ac:dyDescent="0.2">
      <c r="A1624" s="18" t="str">
        <f t="shared" si="121"/>
        <v>Eintrag 1623</v>
      </c>
      <c r="B1624" s="18">
        <v>100</v>
      </c>
      <c r="C1624" s="19">
        <v>100</v>
      </c>
      <c r="D1624" s="20">
        <v>10</v>
      </c>
      <c r="E1624" s="20">
        <v>10</v>
      </c>
      <c r="F1624" s="20">
        <v>10</v>
      </c>
      <c r="G1624" s="19">
        <f t="shared" si="123"/>
        <v>172</v>
      </c>
      <c r="H1624" s="22">
        <f t="shared" si="120"/>
        <v>1623</v>
      </c>
      <c r="I1624" s="21">
        <f t="shared" ca="1" si="124"/>
        <v>0</v>
      </c>
      <c r="J1624" s="21" t="str">
        <f ca="1">IF(I1624=0,"",COUNTIF($I$2:I1624,"&gt;0"))</f>
        <v/>
      </c>
      <c r="K1624" s="21" t="str">
        <f t="shared" ca="1" si="122"/>
        <v/>
      </c>
    </row>
    <row r="1625" spans="1:11" s="18" customFormat="1" ht="14.25" x14ac:dyDescent="0.2">
      <c r="A1625" s="18" t="str">
        <f t="shared" si="121"/>
        <v>Eintrag 1624</v>
      </c>
      <c r="B1625" s="18">
        <v>100</v>
      </c>
      <c r="C1625" s="19">
        <v>100</v>
      </c>
      <c r="D1625" s="20">
        <v>10</v>
      </c>
      <c r="E1625" s="20">
        <v>10</v>
      </c>
      <c r="F1625" s="20">
        <v>10</v>
      </c>
      <c r="G1625" s="19">
        <f t="shared" si="123"/>
        <v>172</v>
      </c>
      <c r="H1625" s="22">
        <f t="shared" si="120"/>
        <v>1624</v>
      </c>
      <c r="I1625" s="21">
        <f t="shared" ca="1" si="124"/>
        <v>0</v>
      </c>
      <c r="J1625" s="21" t="str">
        <f ca="1">IF(I1625=0,"",COUNTIF($I$2:I1625,"&gt;0"))</f>
        <v/>
      </c>
      <c r="K1625" s="21" t="str">
        <f t="shared" ca="1" si="122"/>
        <v/>
      </c>
    </row>
    <row r="1626" spans="1:11" s="18" customFormat="1" ht="14.25" x14ac:dyDescent="0.2">
      <c r="A1626" s="18" t="str">
        <f t="shared" si="121"/>
        <v>Eintrag 1625</v>
      </c>
      <c r="B1626" s="18">
        <v>100</v>
      </c>
      <c r="C1626" s="19">
        <v>100</v>
      </c>
      <c r="D1626" s="20">
        <v>10</v>
      </c>
      <c r="E1626" s="20">
        <v>10</v>
      </c>
      <c r="F1626" s="20">
        <v>10</v>
      </c>
      <c r="G1626" s="19">
        <f t="shared" si="123"/>
        <v>172</v>
      </c>
      <c r="H1626" s="22">
        <f t="shared" si="120"/>
        <v>1625</v>
      </c>
      <c r="I1626" s="21">
        <f t="shared" ca="1" si="124"/>
        <v>0</v>
      </c>
      <c r="J1626" s="21" t="str">
        <f ca="1">IF(I1626=0,"",COUNTIF($I$2:I1626,"&gt;0"))</f>
        <v/>
      </c>
      <c r="K1626" s="21" t="str">
        <f t="shared" ca="1" si="122"/>
        <v/>
      </c>
    </row>
    <row r="1627" spans="1:11" s="18" customFormat="1" ht="14.25" x14ac:dyDescent="0.2">
      <c r="A1627" s="18" t="str">
        <f t="shared" si="121"/>
        <v>Eintrag 1626</v>
      </c>
      <c r="B1627" s="18">
        <v>100</v>
      </c>
      <c r="C1627" s="19">
        <v>100</v>
      </c>
      <c r="D1627" s="20">
        <v>10</v>
      </c>
      <c r="E1627" s="20">
        <v>10</v>
      </c>
      <c r="F1627" s="20">
        <v>10</v>
      </c>
      <c r="G1627" s="19">
        <f t="shared" si="123"/>
        <v>172</v>
      </c>
      <c r="H1627" s="22">
        <f t="shared" si="120"/>
        <v>1626</v>
      </c>
      <c r="I1627" s="21">
        <f t="shared" ca="1" si="124"/>
        <v>0</v>
      </c>
      <c r="J1627" s="21" t="str">
        <f ca="1">IF(I1627=0,"",COUNTIF($I$2:I1627,"&gt;0"))</f>
        <v/>
      </c>
      <c r="K1627" s="21" t="str">
        <f t="shared" ca="1" si="122"/>
        <v/>
      </c>
    </row>
    <row r="1628" spans="1:11" s="18" customFormat="1" ht="14.25" x14ac:dyDescent="0.2">
      <c r="A1628" s="18" t="str">
        <f t="shared" si="121"/>
        <v>Eintrag 1627</v>
      </c>
      <c r="B1628" s="18">
        <v>100</v>
      </c>
      <c r="C1628" s="19">
        <v>100</v>
      </c>
      <c r="D1628" s="20">
        <v>10</v>
      </c>
      <c r="E1628" s="20">
        <v>10</v>
      </c>
      <c r="F1628" s="20">
        <v>10</v>
      </c>
      <c r="G1628" s="19">
        <f t="shared" si="123"/>
        <v>172</v>
      </c>
      <c r="H1628" s="22">
        <f t="shared" si="120"/>
        <v>1627</v>
      </c>
      <c r="I1628" s="21">
        <f t="shared" ca="1" si="124"/>
        <v>0</v>
      </c>
      <c r="J1628" s="21" t="str">
        <f ca="1">IF(I1628=0,"",COUNTIF($I$2:I1628,"&gt;0"))</f>
        <v/>
      </c>
      <c r="K1628" s="21" t="str">
        <f t="shared" ca="1" si="122"/>
        <v/>
      </c>
    </row>
    <row r="1629" spans="1:11" s="18" customFormat="1" ht="14.25" x14ac:dyDescent="0.2">
      <c r="A1629" s="18" t="str">
        <f t="shared" si="121"/>
        <v>Eintrag 1628</v>
      </c>
      <c r="B1629" s="18">
        <v>100</v>
      </c>
      <c r="C1629" s="19">
        <v>100</v>
      </c>
      <c r="D1629" s="20">
        <v>10</v>
      </c>
      <c r="E1629" s="20">
        <v>10</v>
      </c>
      <c r="F1629" s="20">
        <v>10</v>
      </c>
      <c r="G1629" s="19">
        <f t="shared" si="123"/>
        <v>172</v>
      </c>
      <c r="H1629" s="22">
        <f t="shared" si="120"/>
        <v>1628</v>
      </c>
      <c r="I1629" s="21">
        <f t="shared" ca="1" si="124"/>
        <v>0</v>
      </c>
      <c r="J1629" s="21" t="str">
        <f ca="1">IF(I1629=0,"",COUNTIF($I$2:I1629,"&gt;0"))</f>
        <v/>
      </c>
      <c r="K1629" s="21" t="str">
        <f t="shared" ca="1" si="122"/>
        <v/>
      </c>
    </row>
    <row r="1630" spans="1:11" s="18" customFormat="1" ht="14.25" x14ac:dyDescent="0.2">
      <c r="A1630" s="18" t="str">
        <f t="shared" si="121"/>
        <v>Eintrag 1629</v>
      </c>
      <c r="B1630" s="18">
        <v>100</v>
      </c>
      <c r="C1630" s="19">
        <v>100</v>
      </c>
      <c r="D1630" s="20">
        <v>10</v>
      </c>
      <c r="E1630" s="20">
        <v>10</v>
      </c>
      <c r="F1630" s="20">
        <v>10</v>
      </c>
      <c r="G1630" s="19">
        <f t="shared" si="123"/>
        <v>172</v>
      </c>
      <c r="H1630" s="22">
        <f t="shared" si="120"/>
        <v>1629</v>
      </c>
      <c r="I1630" s="21">
        <f t="shared" ca="1" si="124"/>
        <v>0</v>
      </c>
      <c r="J1630" s="21" t="str">
        <f ca="1">IF(I1630=0,"",COUNTIF($I$2:I1630,"&gt;0"))</f>
        <v/>
      </c>
      <c r="K1630" s="21" t="str">
        <f t="shared" ca="1" si="122"/>
        <v/>
      </c>
    </row>
    <row r="1631" spans="1:11" s="18" customFormat="1" ht="14.25" x14ac:dyDescent="0.2">
      <c r="A1631" s="18" t="str">
        <f t="shared" si="121"/>
        <v>Eintrag 1630</v>
      </c>
      <c r="B1631" s="18">
        <v>100</v>
      </c>
      <c r="C1631" s="19">
        <v>100</v>
      </c>
      <c r="D1631" s="20">
        <v>10</v>
      </c>
      <c r="E1631" s="20">
        <v>10</v>
      </c>
      <c r="F1631" s="20">
        <v>10</v>
      </c>
      <c r="G1631" s="19">
        <f t="shared" si="123"/>
        <v>172</v>
      </c>
      <c r="H1631" s="22">
        <f t="shared" si="120"/>
        <v>1630</v>
      </c>
      <c r="I1631" s="21">
        <f t="shared" ca="1" si="124"/>
        <v>0</v>
      </c>
      <c r="J1631" s="21" t="str">
        <f ca="1">IF(I1631=0,"",COUNTIF($I$2:I1631,"&gt;0"))</f>
        <v/>
      </c>
      <c r="K1631" s="21" t="str">
        <f t="shared" ca="1" si="122"/>
        <v/>
      </c>
    </row>
    <row r="1632" spans="1:11" s="18" customFormat="1" ht="14.25" x14ac:dyDescent="0.2">
      <c r="A1632" s="18" t="str">
        <f t="shared" si="121"/>
        <v>Eintrag 1631</v>
      </c>
      <c r="B1632" s="18">
        <v>100</v>
      </c>
      <c r="C1632" s="19">
        <v>100</v>
      </c>
      <c r="D1632" s="20">
        <v>10</v>
      </c>
      <c r="E1632" s="20">
        <v>10</v>
      </c>
      <c r="F1632" s="20">
        <v>10</v>
      </c>
      <c r="G1632" s="19">
        <f t="shared" si="123"/>
        <v>172</v>
      </c>
      <c r="H1632" s="22">
        <f t="shared" si="120"/>
        <v>1631</v>
      </c>
      <c r="I1632" s="21">
        <f t="shared" ca="1" si="124"/>
        <v>0</v>
      </c>
      <c r="J1632" s="21" t="str">
        <f ca="1">IF(I1632=0,"",COUNTIF($I$2:I1632,"&gt;0"))</f>
        <v/>
      </c>
      <c r="K1632" s="21" t="str">
        <f t="shared" ca="1" si="122"/>
        <v/>
      </c>
    </row>
    <row r="1633" spans="1:11" s="18" customFormat="1" ht="14.25" x14ac:dyDescent="0.2">
      <c r="A1633" s="18" t="str">
        <f t="shared" si="121"/>
        <v>Eintrag 1632</v>
      </c>
      <c r="B1633" s="18">
        <v>100</v>
      </c>
      <c r="C1633" s="19">
        <v>100</v>
      </c>
      <c r="D1633" s="20">
        <v>10</v>
      </c>
      <c r="E1633" s="20">
        <v>10</v>
      </c>
      <c r="F1633" s="20">
        <v>10</v>
      </c>
      <c r="G1633" s="19">
        <f t="shared" si="123"/>
        <v>172</v>
      </c>
      <c r="H1633" s="22">
        <f t="shared" si="120"/>
        <v>1632</v>
      </c>
      <c r="I1633" s="21">
        <f t="shared" ca="1" si="124"/>
        <v>0</v>
      </c>
      <c r="J1633" s="21" t="str">
        <f ca="1">IF(I1633=0,"",COUNTIF($I$2:I1633,"&gt;0"))</f>
        <v/>
      </c>
      <c r="K1633" s="21" t="str">
        <f t="shared" ca="1" si="122"/>
        <v/>
      </c>
    </row>
    <row r="1634" spans="1:11" s="18" customFormat="1" ht="14.25" x14ac:dyDescent="0.2">
      <c r="A1634" s="18" t="str">
        <f t="shared" si="121"/>
        <v>Eintrag 1633</v>
      </c>
      <c r="B1634" s="18">
        <v>100</v>
      </c>
      <c r="C1634" s="19">
        <v>100</v>
      </c>
      <c r="D1634" s="20">
        <v>10</v>
      </c>
      <c r="E1634" s="20">
        <v>10</v>
      </c>
      <c r="F1634" s="20">
        <v>10</v>
      </c>
      <c r="G1634" s="19">
        <f t="shared" si="123"/>
        <v>172</v>
      </c>
      <c r="H1634" s="22">
        <f t="shared" si="120"/>
        <v>1633</v>
      </c>
      <c r="I1634" s="21">
        <f t="shared" ca="1" si="124"/>
        <v>0</v>
      </c>
      <c r="J1634" s="21" t="str">
        <f ca="1">IF(I1634=0,"",COUNTIF($I$2:I1634,"&gt;0"))</f>
        <v/>
      </c>
      <c r="K1634" s="21" t="str">
        <f t="shared" ca="1" si="122"/>
        <v/>
      </c>
    </row>
    <row r="1635" spans="1:11" s="18" customFormat="1" ht="14.25" x14ac:dyDescent="0.2">
      <c r="A1635" s="18" t="str">
        <f t="shared" si="121"/>
        <v>Eintrag 1634</v>
      </c>
      <c r="B1635" s="18">
        <v>100</v>
      </c>
      <c r="C1635" s="19">
        <v>100</v>
      </c>
      <c r="D1635" s="20">
        <v>10</v>
      </c>
      <c r="E1635" s="20">
        <v>10</v>
      </c>
      <c r="F1635" s="20">
        <v>10</v>
      </c>
      <c r="G1635" s="19">
        <f t="shared" si="123"/>
        <v>172</v>
      </c>
      <c r="H1635" s="22">
        <f t="shared" si="120"/>
        <v>1634</v>
      </c>
      <c r="I1635" s="21">
        <f t="shared" ca="1" si="124"/>
        <v>0</v>
      </c>
      <c r="J1635" s="21" t="str">
        <f ca="1">IF(I1635=0,"",COUNTIF($I$2:I1635,"&gt;0"))</f>
        <v/>
      </c>
      <c r="K1635" s="21" t="str">
        <f t="shared" ca="1" si="122"/>
        <v/>
      </c>
    </row>
    <row r="1636" spans="1:11" s="18" customFormat="1" ht="14.25" x14ac:dyDescent="0.2">
      <c r="A1636" s="18" t="str">
        <f t="shared" si="121"/>
        <v>Eintrag 1635</v>
      </c>
      <c r="B1636" s="18">
        <v>100</v>
      </c>
      <c r="C1636" s="19">
        <v>100</v>
      </c>
      <c r="D1636" s="20">
        <v>10</v>
      </c>
      <c r="E1636" s="20">
        <v>10</v>
      </c>
      <c r="F1636" s="20">
        <v>10</v>
      </c>
      <c r="G1636" s="19">
        <f t="shared" si="123"/>
        <v>172</v>
      </c>
      <c r="H1636" s="22">
        <f t="shared" si="120"/>
        <v>1635</v>
      </c>
      <c r="I1636" s="21">
        <f t="shared" ca="1" si="124"/>
        <v>0</v>
      </c>
      <c r="J1636" s="21" t="str">
        <f ca="1">IF(I1636=0,"",COUNTIF($I$2:I1636,"&gt;0"))</f>
        <v/>
      </c>
      <c r="K1636" s="21" t="str">
        <f t="shared" ca="1" si="122"/>
        <v/>
      </c>
    </row>
    <row r="1637" spans="1:11" s="18" customFormat="1" ht="14.25" x14ac:dyDescent="0.2">
      <c r="A1637" s="18" t="str">
        <f t="shared" si="121"/>
        <v>Eintrag 1636</v>
      </c>
      <c r="B1637" s="18">
        <v>100</v>
      </c>
      <c r="C1637" s="19">
        <v>100</v>
      </c>
      <c r="D1637" s="20">
        <v>10</v>
      </c>
      <c r="E1637" s="20">
        <v>10</v>
      </c>
      <c r="F1637" s="20">
        <v>10</v>
      </c>
      <c r="G1637" s="19">
        <f t="shared" si="123"/>
        <v>172</v>
      </c>
      <c r="H1637" s="22">
        <f t="shared" ref="H1637:H1700" si="125">H1636+1</f>
        <v>1636</v>
      </c>
      <c r="I1637" s="21">
        <f t="shared" ca="1" si="124"/>
        <v>0</v>
      </c>
      <c r="J1637" s="21" t="str">
        <f ca="1">IF(I1637=0,"",COUNTIF($I$2:I1637,"&gt;0"))</f>
        <v/>
      </c>
      <c r="K1637" s="21" t="str">
        <f t="shared" ca="1" si="122"/>
        <v/>
      </c>
    </row>
    <row r="1638" spans="1:11" s="18" customFormat="1" ht="14.25" x14ac:dyDescent="0.2">
      <c r="A1638" s="18" t="str">
        <f t="shared" si="121"/>
        <v>Eintrag 1637</v>
      </c>
      <c r="B1638" s="18">
        <v>100</v>
      </c>
      <c r="C1638" s="19">
        <v>100</v>
      </c>
      <c r="D1638" s="20">
        <v>10</v>
      </c>
      <c r="E1638" s="20">
        <v>10</v>
      </c>
      <c r="F1638" s="20">
        <v>10</v>
      </c>
      <c r="G1638" s="19">
        <f t="shared" si="123"/>
        <v>172</v>
      </c>
      <c r="H1638" s="22">
        <f t="shared" si="125"/>
        <v>1637</v>
      </c>
      <c r="I1638" s="21">
        <f t="shared" ca="1" si="124"/>
        <v>0</v>
      </c>
      <c r="J1638" s="21" t="str">
        <f ca="1">IF(I1638=0,"",COUNTIF($I$2:I1638,"&gt;0"))</f>
        <v/>
      </c>
      <c r="K1638" s="21" t="str">
        <f t="shared" ca="1" si="122"/>
        <v/>
      </c>
    </row>
    <row r="1639" spans="1:11" s="18" customFormat="1" ht="14.25" x14ac:dyDescent="0.2">
      <c r="A1639" s="18" t="str">
        <f t="shared" si="121"/>
        <v>Eintrag 1638</v>
      </c>
      <c r="B1639" s="18">
        <v>100</v>
      </c>
      <c r="C1639" s="19">
        <v>100</v>
      </c>
      <c r="D1639" s="20">
        <v>10</v>
      </c>
      <c r="E1639" s="20">
        <v>10</v>
      </c>
      <c r="F1639" s="20">
        <v>10</v>
      </c>
      <c r="G1639" s="19">
        <f t="shared" si="123"/>
        <v>172</v>
      </c>
      <c r="H1639" s="22">
        <f t="shared" si="125"/>
        <v>1638</v>
      </c>
      <c r="I1639" s="21">
        <f t="shared" ca="1" si="124"/>
        <v>0</v>
      </c>
      <c r="J1639" s="21" t="str">
        <f ca="1">IF(I1639=0,"",COUNTIF($I$2:I1639,"&gt;0"))</f>
        <v/>
      </c>
      <c r="K1639" s="21" t="str">
        <f t="shared" ca="1" si="122"/>
        <v/>
      </c>
    </row>
    <row r="1640" spans="1:11" s="18" customFormat="1" ht="14.25" x14ac:dyDescent="0.2">
      <c r="A1640" s="18" t="str">
        <f t="shared" si="121"/>
        <v>Eintrag 1639</v>
      </c>
      <c r="B1640" s="18">
        <v>100</v>
      </c>
      <c r="C1640" s="19">
        <v>100</v>
      </c>
      <c r="D1640" s="20">
        <v>10</v>
      </c>
      <c r="E1640" s="20">
        <v>10</v>
      </c>
      <c r="F1640" s="20">
        <v>10</v>
      </c>
      <c r="G1640" s="19">
        <f t="shared" si="123"/>
        <v>172</v>
      </c>
      <c r="H1640" s="22">
        <f t="shared" si="125"/>
        <v>1639</v>
      </c>
      <c r="I1640" s="21">
        <f t="shared" ca="1" si="124"/>
        <v>0</v>
      </c>
      <c r="J1640" s="21" t="str">
        <f ca="1">IF(I1640=0,"",COUNTIF($I$2:I1640,"&gt;0"))</f>
        <v/>
      </c>
      <c r="K1640" s="21" t="str">
        <f t="shared" ca="1" si="122"/>
        <v/>
      </c>
    </row>
    <row r="1641" spans="1:11" s="18" customFormat="1" ht="14.25" x14ac:dyDescent="0.2">
      <c r="A1641" s="18" t="str">
        <f t="shared" si="121"/>
        <v>Eintrag 1640</v>
      </c>
      <c r="B1641" s="18">
        <v>100</v>
      </c>
      <c r="C1641" s="19">
        <v>100</v>
      </c>
      <c r="D1641" s="20">
        <v>10</v>
      </c>
      <c r="E1641" s="20">
        <v>10</v>
      </c>
      <c r="F1641" s="20">
        <v>10</v>
      </c>
      <c r="G1641" s="19">
        <f t="shared" si="123"/>
        <v>172</v>
      </c>
      <c r="H1641" s="22">
        <f t="shared" si="125"/>
        <v>1640</v>
      </c>
      <c r="I1641" s="21">
        <f t="shared" ca="1" si="124"/>
        <v>0</v>
      </c>
      <c r="J1641" s="21" t="str">
        <f ca="1">IF(I1641=0,"",COUNTIF($I$2:I1641,"&gt;0"))</f>
        <v/>
      </c>
      <c r="K1641" s="21" t="str">
        <f t="shared" ca="1" si="122"/>
        <v/>
      </c>
    </row>
    <row r="1642" spans="1:11" s="18" customFormat="1" ht="14.25" x14ac:dyDescent="0.2">
      <c r="A1642" s="18" t="str">
        <f t="shared" si="121"/>
        <v>Eintrag 1641</v>
      </c>
      <c r="B1642" s="18">
        <v>100</v>
      </c>
      <c r="C1642" s="19">
        <v>100</v>
      </c>
      <c r="D1642" s="20">
        <v>10</v>
      </c>
      <c r="E1642" s="20">
        <v>10</v>
      </c>
      <c r="F1642" s="20">
        <v>10</v>
      </c>
      <c r="G1642" s="19">
        <f t="shared" si="123"/>
        <v>172</v>
      </c>
      <c r="H1642" s="22">
        <f t="shared" si="125"/>
        <v>1641</v>
      </c>
      <c r="I1642" s="21">
        <f t="shared" ca="1" si="124"/>
        <v>0</v>
      </c>
      <c r="J1642" s="21" t="str">
        <f ca="1">IF(I1642=0,"",COUNTIF($I$2:I1642,"&gt;0"))</f>
        <v/>
      </c>
      <c r="K1642" s="21" t="str">
        <f t="shared" ca="1" si="122"/>
        <v/>
      </c>
    </row>
    <row r="1643" spans="1:11" s="18" customFormat="1" ht="14.25" x14ac:dyDescent="0.2">
      <c r="A1643" s="18" t="str">
        <f t="shared" si="121"/>
        <v>Eintrag 1642</v>
      </c>
      <c r="B1643" s="18">
        <v>100</v>
      </c>
      <c r="C1643" s="19">
        <v>100</v>
      </c>
      <c r="D1643" s="20">
        <v>10</v>
      </c>
      <c r="E1643" s="20">
        <v>10</v>
      </c>
      <c r="F1643" s="20">
        <v>10</v>
      </c>
      <c r="G1643" s="19">
        <f t="shared" si="123"/>
        <v>172</v>
      </c>
      <c r="H1643" s="22">
        <f t="shared" si="125"/>
        <v>1642</v>
      </c>
      <c r="I1643" s="21">
        <f t="shared" ca="1" si="124"/>
        <v>0</v>
      </c>
      <c r="J1643" s="21" t="str">
        <f ca="1">IF(I1643=0,"",COUNTIF($I$2:I1643,"&gt;0"))</f>
        <v/>
      </c>
      <c r="K1643" s="21" t="str">
        <f t="shared" ca="1" si="122"/>
        <v/>
      </c>
    </row>
    <row r="1644" spans="1:11" s="18" customFormat="1" ht="14.25" x14ac:dyDescent="0.2">
      <c r="A1644" s="18" t="str">
        <f t="shared" si="121"/>
        <v>Eintrag 1643</v>
      </c>
      <c r="B1644" s="18">
        <v>100</v>
      </c>
      <c r="C1644" s="19">
        <v>100</v>
      </c>
      <c r="D1644" s="20">
        <v>10</v>
      </c>
      <c r="E1644" s="20">
        <v>10</v>
      </c>
      <c r="F1644" s="20">
        <v>10</v>
      </c>
      <c r="G1644" s="19">
        <f t="shared" si="123"/>
        <v>172</v>
      </c>
      <c r="H1644" s="22">
        <f t="shared" si="125"/>
        <v>1643</v>
      </c>
      <c r="I1644" s="21">
        <f t="shared" ca="1" si="124"/>
        <v>0</v>
      </c>
      <c r="J1644" s="21" t="str">
        <f ca="1">IF(I1644=0,"",COUNTIF($I$2:I1644,"&gt;0"))</f>
        <v/>
      </c>
      <c r="K1644" s="21" t="str">
        <f t="shared" ca="1" si="122"/>
        <v/>
      </c>
    </row>
    <row r="1645" spans="1:11" s="18" customFormat="1" ht="14.25" x14ac:dyDescent="0.2">
      <c r="A1645" s="18" t="str">
        <f t="shared" si="121"/>
        <v>Eintrag 1644</v>
      </c>
      <c r="B1645" s="18">
        <v>100</v>
      </c>
      <c r="C1645" s="19">
        <v>100</v>
      </c>
      <c r="D1645" s="20">
        <v>10</v>
      </c>
      <c r="E1645" s="20">
        <v>10</v>
      </c>
      <c r="F1645" s="20">
        <v>10</v>
      </c>
      <c r="G1645" s="19">
        <f t="shared" si="123"/>
        <v>172</v>
      </c>
      <c r="H1645" s="22">
        <f t="shared" si="125"/>
        <v>1644</v>
      </c>
      <c r="I1645" s="21">
        <f t="shared" ca="1" si="124"/>
        <v>0</v>
      </c>
      <c r="J1645" s="21" t="str">
        <f ca="1">IF(I1645=0,"",COUNTIF($I$2:I1645,"&gt;0"))</f>
        <v/>
      </c>
      <c r="K1645" s="21" t="str">
        <f t="shared" ca="1" si="122"/>
        <v/>
      </c>
    </row>
    <row r="1646" spans="1:11" s="18" customFormat="1" ht="14.25" x14ac:dyDescent="0.2">
      <c r="A1646" s="18" t="str">
        <f t="shared" si="121"/>
        <v>Eintrag 1645</v>
      </c>
      <c r="B1646" s="18">
        <v>100</v>
      </c>
      <c r="C1646" s="19">
        <v>100</v>
      </c>
      <c r="D1646" s="20">
        <v>10</v>
      </c>
      <c r="E1646" s="20">
        <v>10</v>
      </c>
      <c r="F1646" s="20">
        <v>10</v>
      </c>
      <c r="G1646" s="19">
        <f t="shared" si="123"/>
        <v>172</v>
      </c>
      <c r="H1646" s="22">
        <f t="shared" si="125"/>
        <v>1645</v>
      </c>
      <c r="I1646" s="21">
        <f t="shared" ca="1" si="124"/>
        <v>0</v>
      </c>
      <c r="J1646" s="21" t="str">
        <f ca="1">IF(I1646=0,"",COUNTIF($I$2:I1646,"&gt;0"))</f>
        <v/>
      </c>
      <c r="K1646" s="21" t="str">
        <f t="shared" ca="1" si="122"/>
        <v/>
      </c>
    </row>
    <row r="1647" spans="1:11" s="18" customFormat="1" ht="14.25" x14ac:dyDescent="0.2">
      <c r="A1647" s="18" t="str">
        <f t="shared" si="121"/>
        <v>Eintrag 1646</v>
      </c>
      <c r="B1647" s="18">
        <v>100</v>
      </c>
      <c r="C1647" s="19">
        <v>100</v>
      </c>
      <c r="D1647" s="20">
        <v>10</v>
      </c>
      <c r="E1647" s="20">
        <v>10</v>
      </c>
      <c r="F1647" s="20">
        <v>10</v>
      </c>
      <c r="G1647" s="19">
        <f t="shared" si="123"/>
        <v>172</v>
      </c>
      <c r="H1647" s="22">
        <f t="shared" si="125"/>
        <v>1646</v>
      </c>
      <c r="I1647" s="21">
        <f t="shared" ca="1" si="124"/>
        <v>0</v>
      </c>
      <c r="J1647" s="21" t="str">
        <f ca="1">IF(I1647=0,"",COUNTIF($I$2:I1647,"&gt;0"))</f>
        <v/>
      </c>
      <c r="K1647" s="21" t="str">
        <f t="shared" ca="1" si="122"/>
        <v/>
      </c>
    </row>
    <row r="1648" spans="1:11" s="18" customFormat="1" ht="14.25" x14ac:dyDescent="0.2">
      <c r="A1648" s="18" t="str">
        <f t="shared" si="121"/>
        <v>Eintrag 1647</v>
      </c>
      <c r="B1648" s="18">
        <v>100</v>
      </c>
      <c r="C1648" s="19">
        <v>100</v>
      </c>
      <c r="D1648" s="20">
        <v>10</v>
      </c>
      <c r="E1648" s="20">
        <v>10</v>
      </c>
      <c r="F1648" s="20">
        <v>10</v>
      </c>
      <c r="G1648" s="19">
        <f t="shared" si="123"/>
        <v>172</v>
      </c>
      <c r="H1648" s="22">
        <f t="shared" si="125"/>
        <v>1647</v>
      </c>
      <c r="I1648" s="21">
        <f t="shared" ca="1" si="124"/>
        <v>0</v>
      </c>
      <c r="J1648" s="21" t="str">
        <f ca="1">IF(I1648=0,"",COUNTIF($I$2:I1648,"&gt;0"))</f>
        <v/>
      </c>
      <c r="K1648" s="21" t="str">
        <f t="shared" ca="1" si="122"/>
        <v/>
      </c>
    </row>
    <row r="1649" spans="1:11" s="18" customFormat="1" ht="14.25" x14ac:dyDescent="0.2">
      <c r="A1649" s="18" t="str">
        <f t="shared" si="121"/>
        <v>Eintrag 1648</v>
      </c>
      <c r="B1649" s="18">
        <v>100</v>
      </c>
      <c r="C1649" s="19">
        <v>100</v>
      </c>
      <c r="D1649" s="20">
        <v>10</v>
      </c>
      <c r="E1649" s="20">
        <v>10</v>
      </c>
      <c r="F1649" s="20">
        <v>10</v>
      </c>
      <c r="G1649" s="19">
        <f t="shared" si="123"/>
        <v>172</v>
      </c>
      <c r="H1649" s="22">
        <f t="shared" si="125"/>
        <v>1648</v>
      </c>
      <c r="I1649" s="21">
        <f t="shared" ca="1" si="124"/>
        <v>0</v>
      </c>
      <c r="J1649" s="21" t="str">
        <f ca="1">IF(I1649=0,"",COUNTIF($I$2:I1649,"&gt;0"))</f>
        <v/>
      </c>
      <c r="K1649" s="21" t="str">
        <f t="shared" ca="1" si="122"/>
        <v/>
      </c>
    </row>
    <row r="1650" spans="1:11" s="18" customFormat="1" ht="14.25" x14ac:dyDescent="0.2">
      <c r="A1650" s="18" t="str">
        <f t="shared" si="121"/>
        <v>Eintrag 1649</v>
      </c>
      <c r="B1650" s="18">
        <v>100</v>
      </c>
      <c r="C1650" s="19">
        <v>100</v>
      </c>
      <c r="D1650" s="20">
        <v>10</v>
      </c>
      <c r="E1650" s="20">
        <v>10</v>
      </c>
      <c r="F1650" s="20">
        <v>10</v>
      </c>
      <c r="G1650" s="19">
        <f t="shared" si="123"/>
        <v>172</v>
      </c>
      <c r="H1650" s="22">
        <f t="shared" si="125"/>
        <v>1649</v>
      </c>
      <c r="I1650" s="21">
        <f t="shared" ca="1" si="124"/>
        <v>0</v>
      </c>
      <c r="J1650" s="21" t="str">
        <f ca="1">IF(I1650=0,"",COUNTIF($I$2:I1650,"&gt;0"))</f>
        <v/>
      </c>
      <c r="K1650" s="21" t="str">
        <f t="shared" ca="1" si="122"/>
        <v/>
      </c>
    </row>
    <row r="1651" spans="1:11" s="18" customFormat="1" ht="14.25" x14ac:dyDescent="0.2">
      <c r="A1651" s="18" t="str">
        <f t="shared" si="121"/>
        <v>Eintrag 1650</v>
      </c>
      <c r="B1651" s="18">
        <v>100</v>
      </c>
      <c r="C1651" s="19">
        <v>100</v>
      </c>
      <c r="D1651" s="20">
        <v>10</v>
      </c>
      <c r="E1651" s="20">
        <v>10</v>
      </c>
      <c r="F1651" s="20">
        <v>10</v>
      </c>
      <c r="G1651" s="19">
        <f t="shared" si="123"/>
        <v>172</v>
      </c>
      <c r="H1651" s="22">
        <f t="shared" si="125"/>
        <v>1650</v>
      </c>
      <c r="I1651" s="21">
        <f t="shared" ca="1" si="124"/>
        <v>0</v>
      </c>
      <c r="J1651" s="21" t="str">
        <f ca="1">IF(I1651=0,"",COUNTIF($I$2:I1651,"&gt;0"))</f>
        <v/>
      </c>
      <c r="K1651" s="21" t="str">
        <f t="shared" ca="1" si="122"/>
        <v/>
      </c>
    </row>
    <row r="1652" spans="1:11" s="18" customFormat="1" ht="14.25" x14ac:dyDescent="0.2">
      <c r="A1652" s="18" t="str">
        <f t="shared" si="121"/>
        <v>Eintrag 1651</v>
      </c>
      <c r="B1652" s="18">
        <v>100</v>
      </c>
      <c r="C1652" s="19">
        <v>100</v>
      </c>
      <c r="D1652" s="20">
        <v>10</v>
      </c>
      <c r="E1652" s="20">
        <v>10</v>
      </c>
      <c r="F1652" s="20">
        <v>10</v>
      </c>
      <c r="G1652" s="19">
        <f t="shared" si="123"/>
        <v>172</v>
      </c>
      <c r="H1652" s="22">
        <f t="shared" si="125"/>
        <v>1651</v>
      </c>
      <c r="I1652" s="21">
        <f t="shared" ca="1" si="124"/>
        <v>0</v>
      </c>
      <c r="J1652" s="21" t="str">
        <f ca="1">IF(I1652=0,"",COUNTIF($I$2:I1652,"&gt;0"))</f>
        <v/>
      </c>
      <c r="K1652" s="21" t="str">
        <f t="shared" ca="1" si="122"/>
        <v/>
      </c>
    </row>
    <row r="1653" spans="1:11" s="18" customFormat="1" ht="14.25" x14ac:dyDescent="0.2">
      <c r="A1653" s="18" t="str">
        <f t="shared" si="121"/>
        <v>Eintrag 1652</v>
      </c>
      <c r="B1653" s="18">
        <v>100</v>
      </c>
      <c r="C1653" s="19">
        <v>100</v>
      </c>
      <c r="D1653" s="20">
        <v>10</v>
      </c>
      <c r="E1653" s="20">
        <v>10</v>
      </c>
      <c r="F1653" s="20">
        <v>10</v>
      </c>
      <c r="G1653" s="19">
        <f t="shared" si="123"/>
        <v>172</v>
      </c>
      <c r="H1653" s="22">
        <f t="shared" si="125"/>
        <v>1652</v>
      </c>
      <c r="I1653" s="21">
        <f t="shared" ca="1" si="124"/>
        <v>0</v>
      </c>
      <c r="J1653" s="21" t="str">
        <f ca="1">IF(I1653=0,"",COUNTIF($I$2:I1653,"&gt;0"))</f>
        <v/>
      </c>
      <c r="K1653" s="21" t="str">
        <f t="shared" ca="1" si="122"/>
        <v/>
      </c>
    </row>
    <row r="1654" spans="1:11" s="18" customFormat="1" ht="14.25" x14ac:dyDescent="0.2">
      <c r="A1654" s="18" t="str">
        <f t="shared" si="121"/>
        <v>Eintrag 1653</v>
      </c>
      <c r="B1654" s="18">
        <v>100</v>
      </c>
      <c r="C1654" s="19">
        <v>100</v>
      </c>
      <c r="D1654" s="20">
        <v>10</v>
      </c>
      <c r="E1654" s="20">
        <v>10</v>
      </c>
      <c r="F1654" s="20">
        <v>10</v>
      </c>
      <c r="G1654" s="19">
        <f t="shared" si="123"/>
        <v>172</v>
      </c>
      <c r="H1654" s="22">
        <f t="shared" si="125"/>
        <v>1653</v>
      </c>
      <c r="I1654" s="21">
        <f t="shared" ca="1" si="124"/>
        <v>0</v>
      </c>
      <c r="J1654" s="21" t="str">
        <f ca="1">IF(I1654=0,"",COUNTIF($I$2:I1654,"&gt;0"))</f>
        <v/>
      </c>
      <c r="K1654" s="21" t="str">
        <f t="shared" ca="1" si="122"/>
        <v/>
      </c>
    </row>
    <row r="1655" spans="1:11" s="18" customFormat="1" ht="14.25" x14ac:dyDescent="0.2">
      <c r="A1655" s="18" t="str">
        <f t="shared" si="121"/>
        <v>Eintrag 1654</v>
      </c>
      <c r="B1655" s="18">
        <v>100</v>
      </c>
      <c r="C1655" s="19">
        <v>100</v>
      </c>
      <c r="D1655" s="20">
        <v>10</v>
      </c>
      <c r="E1655" s="20">
        <v>10</v>
      </c>
      <c r="F1655" s="20">
        <v>10</v>
      </c>
      <c r="G1655" s="19">
        <f t="shared" si="123"/>
        <v>172</v>
      </c>
      <c r="H1655" s="22">
        <f t="shared" si="125"/>
        <v>1654</v>
      </c>
      <c r="I1655" s="21">
        <f t="shared" ca="1" si="124"/>
        <v>0</v>
      </c>
      <c r="J1655" s="21" t="str">
        <f ca="1">IF(I1655=0,"",COUNTIF($I$2:I1655,"&gt;0"))</f>
        <v/>
      </c>
      <c r="K1655" s="21" t="str">
        <f t="shared" ca="1" si="122"/>
        <v/>
      </c>
    </row>
    <row r="1656" spans="1:11" s="18" customFormat="1" ht="14.25" x14ac:dyDescent="0.2">
      <c r="A1656" s="18" t="str">
        <f t="shared" si="121"/>
        <v>Eintrag 1655</v>
      </c>
      <c r="B1656" s="18">
        <v>100</v>
      </c>
      <c r="C1656" s="19">
        <v>100</v>
      </c>
      <c r="D1656" s="20">
        <v>10</v>
      </c>
      <c r="E1656" s="20">
        <v>10</v>
      </c>
      <c r="F1656" s="20">
        <v>10</v>
      </c>
      <c r="G1656" s="19">
        <f t="shared" si="123"/>
        <v>172</v>
      </c>
      <c r="H1656" s="22">
        <f t="shared" si="125"/>
        <v>1655</v>
      </c>
      <c r="I1656" s="21">
        <f t="shared" ca="1" si="124"/>
        <v>0</v>
      </c>
      <c r="J1656" s="21" t="str">
        <f ca="1">IF(I1656=0,"",COUNTIF($I$2:I1656,"&gt;0"))</f>
        <v/>
      </c>
      <c r="K1656" s="21" t="str">
        <f t="shared" ca="1" si="122"/>
        <v/>
      </c>
    </row>
    <row r="1657" spans="1:11" s="18" customFormat="1" ht="14.25" x14ac:dyDescent="0.2">
      <c r="A1657" s="18" t="str">
        <f t="shared" si="121"/>
        <v>Eintrag 1656</v>
      </c>
      <c r="B1657" s="18">
        <v>100</v>
      </c>
      <c r="C1657" s="19">
        <v>100</v>
      </c>
      <c r="D1657" s="20">
        <v>10</v>
      </c>
      <c r="E1657" s="20">
        <v>10</v>
      </c>
      <c r="F1657" s="20">
        <v>10</v>
      </c>
      <c r="G1657" s="19">
        <f t="shared" si="123"/>
        <v>172</v>
      </c>
      <c r="H1657" s="22">
        <f t="shared" si="125"/>
        <v>1656</v>
      </c>
      <c r="I1657" s="21">
        <f t="shared" ca="1" si="124"/>
        <v>0</v>
      </c>
      <c r="J1657" s="21" t="str">
        <f ca="1">IF(I1657=0,"",COUNTIF($I$2:I1657,"&gt;0"))</f>
        <v/>
      </c>
      <c r="K1657" s="21" t="str">
        <f t="shared" ca="1" si="122"/>
        <v/>
      </c>
    </row>
    <row r="1658" spans="1:11" s="18" customFormat="1" ht="14.25" x14ac:dyDescent="0.2">
      <c r="A1658" s="18" t="str">
        <f t="shared" si="121"/>
        <v>Eintrag 1657</v>
      </c>
      <c r="B1658" s="18">
        <v>100</v>
      </c>
      <c r="C1658" s="19">
        <v>100</v>
      </c>
      <c r="D1658" s="20">
        <v>10</v>
      </c>
      <c r="E1658" s="20">
        <v>10</v>
      </c>
      <c r="F1658" s="20">
        <v>10</v>
      </c>
      <c r="G1658" s="19">
        <f t="shared" si="123"/>
        <v>172</v>
      </c>
      <c r="H1658" s="22">
        <f t="shared" si="125"/>
        <v>1657</v>
      </c>
      <c r="I1658" s="21">
        <f t="shared" ca="1" si="124"/>
        <v>0</v>
      </c>
      <c r="J1658" s="21" t="str">
        <f ca="1">IF(I1658=0,"",COUNTIF($I$2:I1658,"&gt;0"))</f>
        <v/>
      </c>
      <c r="K1658" s="21" t="str">
        <f t="shared" ca="1" si="122"/>
        <v/>
      </c>
    </row>
    <row r="1659" spans="1:11" s="18" customFormat="1" ht="14.25" x14ac:dyDescent="0.2">
      <c r="A1659" s="18" t="str">
        <f t="shared" si="121"/>
        <v>Eintrag 1658</v>
      </c>
      <c r="B1659" s="18">
        <v>100</v>
      </c>
      <c r="C1659" s="19">
        <v>100</v>
      </c>
      <c r="D1659" s="20">
        <v>10</v>
      </c>
      <c r="E1659" s="20">
        <v>10</v>
      </c>
      <c r="F1659" s="20">
        <v>10</v>
      </c>
      <c r="G1659" s="19">
        <f t="shared" si="123"/>
        <v>172</v>
      </c>
      <c r="H1659" s="22">
        <f t="shared" si="125"/>
        <v>1658</v>
      </c>
      <c r="I1659" s="21">
        <f t="shared" ca="1" si="124"/>
        <v>0</v>
      </c>
      <c r="J1659" s="21" t="str">
        <f ca="1">IF(I1659=0,"",COUNTIF($I$2:I1659,"&gt;0"))</f>
        <v/>
      </c>
      <c r="K1659" s="21" t="str">
        <f t="shared" ca="1" si="122"/>
        <v/>
      </c>
    </row>
    <row r="1660" spans="1:11" s="18" customFormat="1" ht="14.25" x14ac:dyDescent="0.2">
      <c r="A1660" s="18" t="str">
        <f t="shared" si="121"/>
        <v>Eintrag 1659</v>
      </c>
      <c r="B1660" s="18">
        <v>100</v>
      </c>
      <c r="C1660" s="19">
        <v>100</v>
      </c>
      <c r="D1660" s="20">
        <v>10</v>
      </c>
      <c r="E1660" s="20">
        <v>10</v>
      </c>
      <c r="F1660" s="20">
        <v>10</v>
      </c>
      <c r="G1660" s="19">
        <f t="shared" si="123"/>
        <v>172</v>
      </c>
      <c r="H1660" s="22">
        <f t="shared" si="125"/>
        <v>1659</v>
      </c>
      <c r="I1660" s="21">
        <f t="shared" ca="1" si="124"/>
        <v>0</v>
      </c>
      <c r="J1660" s="21" t="str">
        <f ca="1">IF(I1660=0,"",COUNTIF($I$2:I1660,"&gt;0"))</f>
        <v/>
      </c>
      <c r="K1660" s="21" t="str">
        <f t="shared" ca="1" si="122"/>
        <v/>
      </c>
    </row>
    <row r="1661" spans="1:11" s="18" customFormat="1" ht="14.25" x14ac:dyDescent="0.2">
      <c r="A1661" s="18" t="str">
        <f t="shared" ref="A1661:A1724" si="126">CONCATENATE("Eintrag ",H1661)</f>
        <v>Eintrag 1660</v>
      </c>
      <c r="B1661" s="18">
        <v>100</v>
      </c>
      <c r="C1661" s="19">
        <v>100</v>
      </c>
      <c r="D1661" s="20">
        <v>10</v>
      </c>
      <c r="E1661" s="20">
        <v>10</v>
      </c>
      <c r="F1661" s="20">
        <v>10</v>
      </c>
      <c r="G1661" s="19">
        <f t="shared" si="123"/>
        <v>172</v>
      </c>
      <c r="H1661" s="22">
        <f t="shared" si="125"/>
        <v>1660</v>
      </c>
      <c r="I1661" s="21">
        <f t="shared" ca="1" si="124"/>
        <v>0</v>
      </c>
      <c r="J1661" s="21" t="str">
        <f ca="1">IF(I1661=0,"",COUNTIF($I$2:I1661,"&gt;0"))</f>
        <v/>
      </c>
      <c r="K1661" s="21" t="str">
        <f t="shared" ca="1" si="122"/>
        <v/>
      </c>
    </row>
    <row r="1662" spans="1:11" s="18" customFormat="1" ht="14.25" x14ac:dyDescent="0.2">
      <c r="A1662" s="18" t="str">
        <f t="shared" si="126"/>
        <v>Eintrag 1661</v>
      </c>
      <c r="B1662" s="18">
        <v>100</v>
      </c>
      <c r="C1662" s="19">
        <v>100</v>
      </c>
      <c r="D1662" s="20">
        <v>10</v>
      </c>
      <c r="E1662" s="20">
        <v>10</v>
      </c>
      <c r="F1662" s="20">
        <v>10</v>
      </c>
      <c r="G1662" s="19">
        <f t="shared" si="123"/>
        <v>172</v>
      </c>
      <c r="H1662" s="22">
        <f t="shared" si="125"/>
        <v>1661</v>
      </c>
      <c r="I1662" s="21">
        <f t="shared" ca="1" si="124"/>
        <v>0</v>
      </c>
      <c r="J1662" s="21" t="str">
        <f ca="1">IF(I1662=0,"",COUNTIF($I$2:I1662,"&gt;0"))</f>
        <v/>
      </c>
      <c r="K1662" s="21" t="str">
        <f t="shared" ca="1" si="122"/>
        <v/>
      </c>
    </row>
    <row r="1663" spans="1:11" s="18" customFormat="1" ht="14.25" x14ac:dyDescent="0.2">
      <c r="A1663" s="18" t="str">
        <f t="shared" si="126"/>
        <v>Eintrag 1662</v>
      </c>
      <c r="B1663" s="18">
        <v>100</v>
      </c>
      <c r="C1663" s="19">
        <v>100</v>
      </c>
      <c r="D1663" s="20">
        <v>10</v>
      </c>
      <c r="E1663" s="20">
        <v>10</v>
      </c>
      <c r="F1663" s="20">
        <v>10</v>
      </c>
      <c r="G1663" s="19">
        <f t="shared" si="123"/>
        <v>172</v>
      </c>
      <c r="H1663" s="22">
        <f t="shared" si="125"/>
        <v>1662</v>
      </c>
      <c r="I1663" s="21">
        <f t="shared" ca="1" si="124"/>
        <v>0</v>
      </c>
      <c r="J1663" s="21" t="str">
        <f ca="1">IF(I1663=0,"",COUNTIF($I$2:I1663,"&gt;0"))</f>
        <v/>
      </c>
      <c r="K1663" s="21" t="str">
        <f t="shared" ca="1" si="122"/>
        <v/>
      </c>
    </row>
    <row r="1664" spans="1:11" s="18" customFormat="1" ht="14.25" x14ac:dyDescent="0.2">
      <c r="A1664" s="18" t="str">
        <f t="shared" si="126"/>
        <v>Eintrag 1663</v>
      </c>
      <c r="B1664" s="18">
        <v>100</v>
      </c>
      <c r="C1664" s="19">
        <v>100</v>
      </c>
      <c r="D1664" s="20">
        <v>10</v>
      </c>
      <c r="E1664" s="20">
        <v>10</v>
      </c>
      <c r="F1664" s="20">
        <v>10</v>
      </c>
      <c r="G1664" s="19">
        <f t="shared" si="123"/>
        <v>172</v>
      </c>
      <c r="H1664" s="22">
        <f t="shared" si="125"/>
        <v>1663</v>
      </c>
      <c r="I1664" s="21">
        <f t="shared" ca="1" si="124"/>
        <v>0</v>
      </c>
      <c r="J1664" s="21" t="str">
        <f ca="1">IF(I1664=0,"",COUNTIF($I$2:I1664,"&gt;0"))</f>
        <v/>
      </c>
      <c r="K1664" s="21" t="str">
        <f t="shared" ca="1" si="122"/>
        <v/>
      </c>
    </row>
    <row r="1665" spans="1:11" s="18" customFormat="1" ht="14.25" x14ac:dyDescent="0.2">
      <c r="A1665" s="18" t="str">
        <f t="shared" si="126"/>
        <v>Eintrag 1664</v>
      </c>
      <c r="B1665" s="18">
        <v>100</v>
      </c>
      <c r="C1665" s="19">
        <v>100</v>
      </c>
      <c r="D1665" s="20">
        <v>10</v>
      </c>
      <c r="E1665" s="20">
        <v>10</v>
      </c>
      <c r="F1665" s="20">
        <v>10</v>
      </c>
      <c r="G1665" s="19">
        <f t="shared" si="123"/>
        <v>172</v>
      </c>
      <c r="H1665" s="22">
        <f t="shared" si="125"/>
        <v>1664</v>
      </c>
      <c r="I1665" s="21">
        <f t="shared" ca="1" si="124"/>
        <v>0</v>
      </c>
      <c r="J1665" s="21" t="str">
        <f ca="1">IF(I1665=0,"",COUNTIF($I$2:I1665,"&gt;0"))</f>
        <v/>
      </c>
      <c r="K1665" s="21" t="str">
        <f t="shared" ca="1" si="122"/>
        <v/>
      </c>
    </row>
    <row r="1666" spans="1:11" s="18" customFormat="1" ht="14.25" x14ac:dyDescent="0.2">
      <c r="A1666" s="18" t="str">
        <f t="shared" si="126"/>
        <v>Eintrag 1665</v>
      </c>
      <c r="B1666" s="18">
        <v>100</v>
      </c>
      <c r="C1666" s="19">
        <v>100</v>
      </c>
      <c r="D1666" s="20">
        <v>10</v>
      </c>
      <c r="E1666" s="20">
        <v>10</v>
      </c>
      <c r="F1666" s="20">
        <v>10</v>
      </c>
      <c r="G1666" s="19">
        <f t="shared" si="123"/>
        <v>172</v>
      </c>
      <c r="H1666" s="22">
        <f t="shared" si="125"/>
        <v>1665</v>
      </c>
      <c r="I1666" s="21">
        <f t="shared" ca="1" si="124"/>
        <v>0</v>
      </c>
      <c r="J1666" s="21" t="str">
        <f ca="1">IF(I1666=0,"",COUNTIF($I$2:I1666,"&gt;0"))</f>
        <v/>
      </c>
      <c r="K1666" s="21" t="str">
        <f t="shared" ref="K1666:K1729" ca="1" si="127">IFERROR(INDEX(A:A,MATCH(ROW(I1665),J:J,0)),"")</f>
        <v/>
      </c>
    </row>
    <row r="1667" spans="1:11" s="18" customFormat="1" ht="14.25" x14ac:dyDescent="0.2">
      <c r="A1667" s="18" t="str">
        <f t="shared" si="126"/>
        <v>Eintrag 1666</v>
      </c>
      <c r="B1667" s="18">
        <v>100</v>
      </c>
      <c r="C1667" s="19">
        <v>100</v>
      </c>
      <c r="D1667" s="20">
        <v>10</v>
      </c>
      <c r="E1667" s="20">
        <v>10</v>
      </c>
      <c r="F1667" s="20">
        <v>10</v>
      </c>
      <c r="G1667" s="19">
        <f t="shared" ref="G1667:G1730" si="128">D1667*9+E1667*4.1+F1667*4.1</f>
        <v>172</v>
      </c>
      <c r="H1667" s="22">
        <f t="shared" si="125"/>
        <v>1666</v>
      </c>
      <c r="I1667" s="21">
        <f t="shared" ca="1" si="124"/>
        <v>0</v>
      </c>
      <c r="J1667" s="21" t="str">
        <f ca="1">IF(I1667=0,"",COUNTIF($I$2:I1667,"&gt;0"))</f>
        <v/>
      </c>
      <c r="K1667" s="21" t="str">
        <f t="shared" ca="1" si="127"/>
        <v/>
      </c>
    </row>
    <row r="1668" spans="1:11" s="18" customFormat="1" ht="14.25" x14ac:dyDescent="0.2">
      <c r="A1668" s="18" t="str">
        <f t="shared" si="126"/>
        <v>Eintrag 1667</v>
      </c>
      <c r="B1668" s="18">
        <v>100</v>
      </c>
      <c r="C1668" s="19">
        <v>100</v>
      </c>
      <c r="D1668" s="20">
        <v>10</v>
      </c>
      <c r="E1668" s="20">
        <v>10</v>
      </c>
      <c r="F1668" s="20">
        <v>10</v>
      </c>
      <c r="G1668" s="19">
        <f t="shared" si="128"/>
        <v>172</v>
      </c>
      <c r="H1668" s="22">
        <f t="shared" si="125"/>
        <v>1667</v>
      </c>
      <c r="I1668" s="21">
        <f t="shared" ca="1" si="124"/>
        <v>0</v>
      </c>
      <c r="J1668" s="21" t="str">
        <f ca="1">IF(I1668=0,"",COUNTIF($I$2:I1668,"&gt;0"))</f>
        <v/>
      </c>
      <c r="K1668" s="21" t="str">
        <f t="shared" ca="1" si="127"/>
        <v/>
      </c>
    </row>
    <row r="1669" spans="1:11" s="18" customFormat="1" ht="14.25" x14ac:dyDescent="0.2">
      <c r="A1669" s="18" t="str">
        <f t="shared" si="126"/>
        <v>Eintrag 1668</v>
      </c>
      <c r="B1669" s="18">
        <v>100</v>
      </c>
      <c r="C1669" s="19">
        <v>100</v>
      </c>
      <c r="D1669" s="20">
        <v>10</v>
      </c>
      <c r="E1669" s="20">
        <v>10</v>
      </c>
      <c r="F1669" s="20">
        <v>10</v>
      </c>
      <c r="G1669" s="19">
        <f t="shared" si="128"/>
        <v>172</v>
      </c>
      <c r="H1669" s="22">
        <f t="shared" si="125"/>
        <v>1668</v>
      </c>
      <c r="I1669" s="21">
        <f t="shared" ca="1" si="124"/>
        <v>0</v>
      </c>
      <c r="J1669" s="21" t="str">
        <f ca="1">IF(I1669=0,"",COUNTIF($I$2:I1669,"&gt;0"))</f>
        <v/>
      </c>
      <c r="K1669" s="21" t="str">
        <f t="shared" ca="1" si="127"/>
        <v/>
      </c>
    </row>
    <row r="1670" spans="1:11" s="18" customFormat="1" ht="14.25" x14ac:dyDescent="0.2">
      <c r="A1670" s="18" t="str">
        <f t="shared" si="126"/>
        <v>Eintrag 1669</v>
      </c>
      <c r="B1670" s="18">
        <v>100</v>
      </c>
      <c r="C1670" s="19">
        <v>100</v>
      </c>
      <c r="D1670" s="20">
        <v>10</v>
      </c>
      <c r="E1670" s="20">
        <v>10</v>
      </c>
      <c r="F1670" s="20">
        <v>10</v>
      </c>
      <c r="G1670" s="19">
        <f t="shared" si="128"/>
        <v>172</v>
      </c>
      <c r="H1670" s="22">
        <f t="shared" si="125"/>
        <v>1669</v>
      </c>
      <c r="I1670" s="21">
        <f t="shared" ca="1" si="124"/>
        <v>0</v>
      </c>
      <c r="J1670" s="21" t="str">
        <f ca="1">IF(I1670=0,"",COUNTIF($I$2:I1670,"&gt;0"))</f>
        <v/>
      </c>
      <c r="K1670" s="21" t="str">
        <f t="shared" ca="1" si="127"/>
        <v/>
      </c>
    </row>
    <row r="1671" spans="1:11" s="18" customFormat="1" ht="14.25" x14ac:dyDescent="0.2">
      <c r="A1671" s="18" t="str">
        <f t="shared" si="126"/>
        <v>Eintrag 1670</v>
      </c>
      <c r="B1671" s="18">
        <v>100</v>
      </c>
      <c r="C1671" s="19">
        <v>100</v>
      </c>
      <c r="D1671" s="20">
        <v>10</v>
      </c>
      <c r="E1671" s="20">
        <v>10</v>
      </c>
      <c r="F1671" s="20">
        <v>10</v>
      </c>
      <c r="G1671" s="19">
        <f t="shared" si="128"/>
        <v>172</v>
      </c>
      <c r="H1671" s="22">
        <f t="shared" si="125"/>
        <v>1670</v>
      </c>
      <c r="I1671" s="21">
        <f t="shared" ca="1" si="124"/>
        <v>0</v>
      </c>
      <c r="J1671" s="21" t="str">
        <f ca="1">IF(I1671=0,"",COUNTIF($I$2:I1671,"&gt;0"))</f>
        <v/>
      </c>
      <c r="K1671" s="21" t="str">
        <f t="shared" ca="1" si="127"/>
        <v/>
      </c>
    </row>
    <row r="1672" spans="1:11" s="18" customFormat="1" ht="14.25" x14ac:dyDescent="0.2">
      <c r="A1672" s="18" t="str">
        <f t="shared" si="126"/>
        <v>Eintrag 1671</v>
      </c>
      <c r="B1672" s="18">
        <v>100</v>
      </c>
      <c r="C1672" s="19">
        <v>100</v>
      </c>
      <c r="D1672" s="20">
        <v>10</v>
      </c>
      <c r="E1672" s="20">
        <v>10</v>
      </c>
      <c r="F1672" s="20">
        <v>10</v>
      </c>
      <c r="G1672" s="19">
        <f t="shared" si="128"/>
        <v>172</v>
      </c>
      <c r="H1672" s="22">
        <f t="shared" si="125"/>
        <v>1671</v>
      </c>
      <c r="I1672" s="21">
        <f t="shared" ca="1" si="124"/>
        <v>0</v>
      </c>
      <c r="J1672" s="21" t="str">
        <f ca="1">IF(I1672=0,"",COUNTIF($I$2:I1672,"&gt;0"))</f>
        <v/>
      </c>
      <c r="K1672" s="21" t="str">
        <f t="shared" ca="1" si="127"/>
        <v/>
      </c>
    </row>
    <row r="1673" spans="1:11" s="18" customFormat="1" ht="14.25" x14ac:dyDescent="0.2">
      <c r="A1673" s="18" t="str">
        <f t="shared" si="126"/>
        <v>Eintrag 1672</v>
      </c>
      <c r="B1673" s="18">
        <v>100</v>
      </c>
      <c r="C1673" s="19">
        <v>100</v>
      </c>
      <c r="D1673" s="20">
        <v>10</v>
      </c>
      <c r="E1673" s="20">
        <v>10</v>
      </c>
      <c r="F1673" s="20">
        <v>10</v>
      </c>
      <c r="G1673" s="19">
        <f t="shared" si="128"/>
        <v>172</v>
      </c>
      <c r="H1673" s="22">
        <f t="shared" si="125"/>
        <v>1672</v>
      </c>
      <c r="I1673" s="21">
        <f t="shared" ca="1" si="124"/>
        <v>0</v>
      </c>
      <c r="J1673" s="21" t="str">
        <f ca="1">IF(I1673=0,"",COUNTIF($I$2:I1673,"&gt;0"))</f>
        <v/>
      </c>
      <c r="K1673" s="21" t="str">
        <f t="shared" ca="1" si="127"/>
        <v/>
      </c>
    </row>
    <row r="1674" spans="1:11" s="18" customFormat="1" ht="14.25" x14ac:dyDescent="0.2">
      <c r="A1674" s="18" t="str">
        <f t="shared" si="126"/>
        <v>Eintrag 1673</v>
      </c>
      <c r="B1674" s="18">
        <v>100</v>
      </c>
      <c r="C1674" s="19">
        <v>100</v>
      </c>
      <c r="D1674" s="20">
        <v>10</v>
      </c>
      <c r="E1674" s="20">
        <v>10</v>
      </c>
      <c r="F1674" s="20">
        <v>10</v>
      </c>
      <c r="G1674" s="19">
        <f t="shared" si="128"/>
        <v>172</v>
      </c>
      <c r="H1674" s="22">
        <f t="shared" si="125"/>
        <v>1673</v>
      </c>
      <c r="I1674" s="21">
        <f t="shared" ca="1" si="124"/>
        <v>0</v>
      </c>
      <c r="J1674" s="21" t="str">
        <f ca="1">IF(I1674=0,"",COUNTIF($I$2:I1674,"&gt;0"))</f>
        <v/>
      </c>
      <c r="K1674" s="21" t="str">
        <f t="shared" ca="1" si="127"/>
        <v/>
      </c>
    </row>
    <row r="1675" spans="1:11" s="18" customFormat="1" ht="14.25" x14ac:dyDescent="0.2">
      <c r="A1675" s="18" t="str">
        <f t="shared" si="126"/>
        <v>Eintrag 1674</v>
      </c>
      <c r="B1675" s="18">
        <v>100</v>
      </c>
      <c r="C1675" s="19">
        <v>100</v>
      </c>
      <c r="D1675" s="20">
        <v>10</v>
      </c>
      <c r="E1675" s="20">
        <v>10</v>
      </c>
      <c r="F1675" s="20">
        <v>10</v>
      </c>
      <c r="G1675" s="19">
        <f t="shared" si="128"/>
        <v>172</v>
      </c>
      <c r="H1675" s="22">
        <f t="shared" si="125"/>
        <v>1674</v>
      </c>
      <c r="I1675" s="21">
        <f t="shared" ca="1" si="124"/>
        <v>0</v>
      </c>
      <c r="J1675" s="21" t="str">
        <f ca="1">IF(I1675=0,"",COUNTIF($I$2:I1675,"&gt;0"))</f>
        <v/>
      </c>
      <c r="K1675" s="21" t="str">
        <f t="shared" ca="1" si="127"/>
        <v/>
      </c>
    </row>
    <row r="1676" spans="1:11" s="18" customFormat="1" ht="14.25" x14ac:dyDescent="0.2">
      <c r="A1676" s="18" t="str">
        <f t="shared" si="126"/>
        <v>Eintrag 1675</v>
      </c>
      <c r="B1676" s="18">
        <v>100</v>
      </c>
      <c r="C1676" s="19">
        <v>100</v>
      </c>
      <c r="D1676" s="20">
        <v>10</v>
      </c>
      <c r="E1676" s="20">
        <v>10</v>
      </c>
      <c r="F1676" s="20">
        <v>10</v>
      </c>
      <c r="G1676" s="19">
        <f t="shared" si="128"/>
        <v>172</v>
      </c>
      <c r="H1676" s="22">
        <f t="shared" si="125"/>
        <v>1675</v>
      </c>
      <c r="I1676" s="21">
        <f t="shared" ca="1" si="124"/>
        <v>0</v>
      </c>
      <c r="J1676" s="21" t="str">
        <f ca="1">IF(I1676=0,"",COUNTIF($I$2:I1676,"&gt;0"))</f>
        <v/>
      </c>
      <c r="K1676" s="21" t="str">
        <f t="shared" ca="1" si="127"/>
        <v/>
      </c>
    </row>
    <row r="1677" spans="1:11" s="18" customFormat="1" ht="14.25" x14ac:dyDescent="0.2">
      <c r="A1677" s="18" t="str">
        <f t="shared" si="126"/>
        <v>Eintrag 1676</v>
      </c>
      <c r="B1677" s="18">
        <v>100</v>
      </c>
      <c r="C1677" s="19">
        <v>100</v>
      </c>
      <c r="D1677" s="20">
        <v>10</v>
      </c>
      <c r="E1677" s="20">
        <v>10</v>
      </c>
      <c r="F1677" s="20">
        <v>10</v>
      </c>
      <c r="G1677" s="19">
        <f t="shared" si="128"/>
        <v>172</v>
      </c>
      <c r="H1677" s="22">
        <f t="shared" si="125"/>
        <v>1676</v>
      </c>
      <c r="I1677" s="21">
        <f t="shared" ca="1" si="124"/>
        <v>0</v>
      </c>
      <c r="J1677" s="21" t="str">
        <f ca="1">IF(I1677=0,"",COUNTIF($I$2:I1677,"&gt;0"))</f>
        <v/>
      </c>
      <c r="K1677" s="21" t="str">
        <f t="shared" ca="1" si="127"/>
        <v/>
      </c>
    </row>
    <row r="1678" spans="1:11" s="18" customFormat="1" ht="14.25" x14ac:dyDescent="0.2">
      <c r="A1678" s="18" t="str">
        <f t="shared" si="126"/>
        <v>Eintrag 1677</v>
      </c>
      <c r="B1678" s="18">
        <v>100</v>
      </c>
      <c r="C1678" s="19">
        <v>100</v>
      </c>
      <c r="D1678" s="20">
        <v>10</v>
      </c>
      <c r="E1678" s="20">
        <v>10</v>
      </c>
      <c r="F1678" s="20">
        <v>10</v>
      </c>
      <c r="G1678" s="19">
        <f t="shared" si="128"/>
        <v>172</v>
      </c>
      <c r="H1678" s="22">
        <f t="shared" si="125"/>
        <v>1677</v>
      </c>
      <c r="I1678" s="21">
        <f t="shared" ca="1" si="124"/>
        <v>0</v>
      </c>
      <c r="J1678" s="21" t="str">
        <f ca="1">IF(I1678=0,"",COUNTIF($I$2:I1678,"&gt;0"))</f>
        <v/>
      </c>
      <c r="K1678" s="21" t="str">
        <f t="shared" ca="1" si="127"/>
        <v/>
      </c>
    </row>
    <row r="1679" spans="1:11" s="18" customFormat="1" ht="14.25" x14ac:dyDescent="0.2">
      <c r="A1679" s="18" t="str">
        <f t="shared" si="126"/>
        <v>Eintrag 1678</v>
      </c>
      <c r="B1679" s="18">
        <v>100</v>
      </c>
      <c r="C1679" s="19">
        <v>100</v>
      </c>
      <c r="D1679" s="20">
        <v>10</v>
      </c>
      <c r="E1679" s="20">
        <v>10</v>
      </c>
      <c r="F1679" s="20">
        <v>10</v>
      </c>
      <c r="G1679" s="19">
        <f t="shared" si="128"/>
        <v>172</v>
      </c>
      <c r="H1679" s="22">
        <f t="shared" si="125"/>
        <v>1678</v>
      </c>
      <c r="I1679" s="21">
        <f t="shared" ca="1" si="124"/>
        <v>0</v>
      </c>
      <c r="J1679" s="21" t="str">
        <f ca="1">IF(I1679=0,"",COUNTIF($I$2:I1679,"&gt;0"))</f>
        <v/>
      </c>
      <c r="K1679" s="21" t="str">
        <f t="shared" ca="1" si="127"/>
        <v/>
      </c>
    </row>
    <row r="1680" spans="1:11" s="18" customFormat="1" ht="14.25" x14ac:dyDescent="0.2">
      <c r="A1680" s="18" t="str">
        <f t="shared" si="126"/>
        <v>Eintrag 1679</v>
      </c>
      <c r="B1680" s="18">
        <v>100</v>
      </c>
      <c r="C1680" s="19">
        <v>100</v>
      </c>
      <c r="D1680" s="20">
        <v>10</v>
      </c>
      <c r="E1680" s="20">
        <v>10</v>
      </c>
      <c r="F1680" s="20">
        <v>10</v>
      </c>
      <c r="G1680" s="19">
        <f t="shared" si="128"/>
        <v>172</v>
      </c>
      <c r="H1680" s="22">
        <f t="shared" si="125"/>
        <v>1679</v>
      </c>
      <c r="I1680" s="21">
        <f t="shared" ca="1" si="124"/>
        <v>0</v>
      </c>
      <c r="J1680" s="21" t="str">
        <f ca="1">IF(I1680=0,"",COUNTIF($I$2:I1680,"&gt;0"))</f>
        <v/>
      </c>
      <c r="K1680" s="21" t="str">
        <f t="shared" ca="1" si="127"/>
        <v/>
      </c>
    </row>
    <row r="1681" spans="1:11" s="18" customFormat="1" ht="14.25" x14ac:dyDescent="0.2">
      <c r="A1681" s="18" t="str">
        <f t="shared" si="126"/>
        <v>Eintrag 1680</v>
      </c>
      <c r="B1681" s="18">
        <v>100</v>
      </c>
      <c r="C1681" s="19">
        <v>100</v>
      </c>
      <c r="D1681" s="20">
        <v>10</v>
      </c>
      <c r="E1681" s="20">
        <v>10</v>
      </c>
      <c r="F1681" s="20">
        <v>10</v>
      </c>
      <c r="G1681" s="19">
        <f t="shared" si="128"/>
        <v>172</v>
      </c>
      <c r="H1681" s="22">
        <f t="shared" si="125"/>
        <v>1680</v>
      </c>
      <c r="I1681" s="21">
        <f t="shared" ca="1" si="124"/>
        <v>0</v>
      </c>
      <c r="J1681" s="21" t="str">
        <f ca="1">IF(I1681=0,"",COUNTIF($I$2:I1681,"&gt;0"))</f>
        <v/>
      </c>
      <c r="K1681" s="21" t="str">
        <f t="shared" ca="1" si="127"/>
        <v/>
      </c>
    </row>
    <row r="1682" spans="1:11" s="18" customFormat="1" ht="14.25" x14ac:dyDescent="0.2">
      <c r="A1682" s="18" t="str">
        <f t="shared" si="126"/>
        <v>Eintrag 1681</v>
      </c>
      <c r="B1682" s="18">
        <v>100</v>
      </c>
      <c r="C1682" s="19">
        <v>100</v>
      </c>
      <c r="D1682" s="20">
        <v>10</v>
      </c>
      <c r="E1682" s="20">
        <v>10</v>
      </c>
      <c r="F1682" s="20">
        <v>10</v>
      </c>
      <c r="G1682" s="19">
        <f t="shared" si="128"/>
        <v>172</v>
      </c>
      <c r="H1682" s="22">
        <f t="shared" si="125"/>
        <v>1681</v>
      </c>
      <c r="I1682" s="21">
        <f t="shared" ca="1" si="124"/>
        <v>0</v>
      </c>
      <c r="J1682" s="21" t="str">
        <f ca="1">IF(I1682=0,"",COUNTIF($I$2:I1682,"&gt;0"))</f>
        <v/>
      </c>
      <c r="K1682" s="21" t="str">
        <f t="shared" ca="1" si="127"/>
        <v/>
      </c>
    </row>
    <row r="1683" spans="1:11" s="18" customFormat="1" ht="14.25" x14ac:dyDescent="0.2">
      <c r="A1683" s="18" t="str">
        <f t="shared" si="126"/>
        <v>Eintrag 1682</v>
      </c>
      <c r="B1683" s="18">
        <v>100</v>
      </c>
      <c r="C1683" s="19">
        <v>100</v>
      </c>
      <c r="D1683" s="20">
        <v>10</v>
      </c>
      <c r="E1683" s="20">
        <v>10</v>
      </c>
      <c r="F1683" s="20">
        <v>10</v>
      </c>
      <c r="G1683" s="19">
        <f t="shared" si="128"/>
        <v>172</v>
      </c>
      <c r="H1683" s="22">
        <f t="shared" si="125"/>
        <v>1682</v>
      </c>
      <c r="I1683" s="21">
        <f t="shared" ca="1" si="124"/>
        <v>0</v>
      </c>
      <c r="J1683" s="21" t="str">
        <f ca="1">IF(I1683=0,"",COUNTIF($I$2:I1683,"&gt;0"))</f>
        <v/>
      </c>
      <c r="K1683" s="21" t="str">
        <f t="shared" ca="1" si="127"/>
        <v/>
      </c>
    </row>
    <row r="1684" spans="1:11" s="18" customFormat="1" ht="14.25" x14ac:dyDescent="0.2">
      <c r="A1684" s="18" t="str">
        <f t="shared" si="126"/>
        <v>Eintrag 1683</v>
      </c>
      <c r="B1684" s="18">
        <v>100</v>
      </c>
      <c r="C1684" s="19">
        <v>100</v>
      </c>
      <c r="D1684" s="20">
        <v>10</v>
      </c>
      <c r="E1684" s="20">
        <v>10</v>
      </c>
      <c r="F1684" s="20">
        <v>10</v>
      </c>
      <c r="G1684" s="19">
        <f t="shared" si="128"/>
        <v>172</v>
      </c>
      <c r="H1684" s="22">
        <f t="shared" si="125"/>
        <v>1683</v>
      </c>
      <c r="I1684" s="21">
        <f t="shared" ca="1" si="124"/>
        <v>0</v>
      </c>
      <c r="J1684" s="21" t="str">
        <f ca="1">IF(I1684=0,"",COUNTIF($I$2:I1684,"&gt;0"))</f>
        <v/>
      </c>
      <c r="K1684" s="21" t="str">
        <f t="shared" ca="1" si="127"/>
        <v/>
      </c>
    </row>
    <row r="1685" spans="1:11" s="18" customFormat="1" ht="14.25" x14ac:dyDescent="0.2">
      <c r="A1685" s="18" t="str">
        <f t="shared" si="126"/>
        <v>Eintrag 1684</v>
      </c>
      <c r="B1685" s="18">
        <v>100</v>
      </c>
      <c r="C1685" s="19">
        <v>100</v>
      </c>
      <c r="D1685" s="20">
        <v>10</v>
      </c>
      <c r="E1685" s="20">
        <v>10</v>
      </c>
      <c r="F1685" s="20">
        <v>10</v>
      </c>
      <c r="G1685" s="19">
        <f t="shared" si="128"/>
        <v>172</v>
      </c>
      <c r="H1685" s="22">
        <f t="shared" si="125"/>
        <v>1684</v>
      </c>
      <c r="I1685" s="21">
        <f t="shared" ca="1" si="124"/>
        <v>0</v>
      </c>
      <c r="J1685" s="21" t="str">
        <f ca="1">IF(I1685=0,"",COUNTIF($I$2:I1685,"&gt;0"))</f>
        <v/>
      </c>
      <c r="K1685" s="21" t="str">
        <f t="shared" ca="1" si="127"/>
        <v/>
      </c>
    </row>
    <row r="1686" spans="1:11" s="18" customFormat="1" ht="14.25" x14ac:dyDescent="0.2">
      <c r="A1686" s="18" t="str">
        <f t="shared" si="126"/>
        <v>Eintrag 1685</v>
      </c>
      <c r="B1686" s="18">
        <v>100</v>
      </c>
      <c r="C1686" s="19">
        <v>100</v>
      </c>
      <c r="D1686" s="20">
        <v>10</v>
      </c>
      <c r="E1686" s="20">
        <v>10</v>
      </c>
      <c r="F1686" s="20">
        <v>10</v>
      </c>
      <c r="G1686" s="19">
        <f t="shared" si="128"/>
        <v>172</v>
      </c>
      <c r="H1686" s="22">
        <f t="shared" si="125"/>
        <v>1685</v>
      </c>
      <c r="I1686" s="21">
        <f t="shared" ca="1" si="124"/>
        <v>0</v>
      </c>
      <c r="J1686" s="21" t="str">
        <f ca="1">IF(I1686=0,"",COUNTIF($I$2:I1686,"&gt;0"))</f>
        <v/>
      </c>
      <c r="K1686" s="21" t="str">
        <f t="shared" ca="1" si="127"/>
        <v/>
      </c>
    </row>
    <row r="1687" spans="1:11" s="18" customFormat="1" ht="14.25" x14ac:dyDescent="0.2">
      <c r="A1687" s="18" t="str">
        <f t="shared" si="126"/>
        <v>Eintrag 1686</v>
      </c>
      <c r="B1687" s="18">
        <v>100</v>
      </c>
      <c r="C1687" s="19">
        <v>100</v>
      </c>
      <c r="D1687" s="20">
        <v>10</v>
      </c>
      <c r="E1687" s="20">
        <v>10</v>
      </c>
      <c r="F1687" s="20">
        <v>10</v>
      </c>
      <c r="G1687" s="19">
        <f t="shared" si="128"/>
        <v>172</v>
      </c>
      <c r="H1687" s="22">
        <f t="shared" si="125"/>
        <v>1686</v>
      </c>
      <c r="I1687" s="21">
        <f t="shared" ref="I1687:I1750" ca="1" si="129">IFERROR(SEARCH(INDIRECT(CELL("address")),A1687),0)</f>
        <v>0</v>
      </c>
      <c r="J1687" s="21" t="str">
        <f ca="1">IF(I1687=0,"",COUNTIF($I$2:I1687,"&gt;0"))</f>
        <v/>
      </c>
      <c r="K1687" s="21" t="str">
        <f t="shared" ca="1" si="127"/>
        <v/>
      </c>
    </row>
    <row r="1688" spans="1:11" s="18" customFormat="1" ht="14.25" x14ac:dyDescent="0.2">
      <c r="A1688" s="18" t="str">
        <f t="shared" si="126"/>
        <v>Eintrag 1687</v>
      </c>
      <c r="B1688" s="18">
        <v>100</v>
      </c>
      <c r="C1688" s="19">
        <v>100</v>
      </c>
      <c r="D1688" s="20">
        <v>10</v>
      </c>
      <c r="E1688" s="20">
        <v>10</v>
      </c>
      <c r="F1688" s="20">
        <v>10</v>
      </c>
      <c r="G1688" s="19">
        <f t="shared" si="128"/>
        <v>172</v>
      </c>
      <c r="H1688" s="22">
        <f t="shared" si="125"/>
        <v>1687</v>
      </c>
      <c r="I1688" s="21">
        <f t="shared" ca="1" si="129"/>
        <v>0</v>
      </c>
      <c r="J1688" s="21" t="str">
        <f ca="1">IF(I1688=0,"",COUNTIF($I$2:I1688,"&gt;0"))</f>
        <v/>
      </c>
      <c r="K1688" s="21" t="str">
        <f t="shared" ca="1" si="127"/>
        <v/>
      </c>
    </row>
    <row r="1689" spans="1:11" s="18" customFormat="1" ht="14.25" x14ac:dyDescent="0.2">
      <c r="A1689" s="18" t="str">
        <f t="shared" si="126"/>
        <v>Eintrag 1688</v>
      </c>
      <c r="B1689" s="18">
        <v>100</v>
      </c>
      <c r="C1689" s="19">
        <v>100</v>
      </c>
      <c r="D1689" s="20">
        <v>10</v>
      </c>
      <c r="E1689" s="20">
        <v>10</v>
      </c>
      <c r="F1689" s="20">
        <v>10</v>
      </c>
      <c r="G1689" s="19">
        <f t="shared" si="128"/>
        <v>172</v>
      </c>
      <c r="H1689" s="22">
        <f t="shared" si="125"/>
        <v>1688</v>
      </c>
      <c r="I1689" s="21">
        <f t="shared" ca="1" si="129"/>
        <v>0</v>
      </c>
      <c r="J1689" s="21" t="str">
        <f ca="1">IF(I1689=0,"",COUNTIF($I$2:I1689,"&gt;0"))</f>
        <v/>
      </c>
      <c r="K1689" s="21" t="str">
        <f t="shared" ca="1" si="127"/>
        <v/>
      </c>
    </row>
    <row r="1690" spans="1:11" s="18" customFormat="1" ht="14.25" x14ac:dyDescent="0.2">
      <c r="A1690" s="18" t="str">
        <f t="shared" si="126"/>
        <v>Eintrag 1689</v>
      </c>
      <c r="B1690" s="18">
        <v>100</v>
      </c>
      <c r="C1690" s="19">
        <v>100</v>
      </c>
      <c r="D1690" s="20">
        <v>10</v>
      </c>
      <c r="E1690" s="20">
        <v>10</v>
      </c>
      <c r="F1690" s="20">
        <v>10</v>
      </c>
      <c r="G1690" s="19">
        <f t="shared" si="128"/>
        <v>172</v>
      </c>
      <c r="H1690" s="22">
        <f t="shared" si="125"/>
        <v>1689</v>
      </c>
      <c r="I1690" s="21">
        <f t="shared" ca="1" si="129"/>
        <v>0</v>
      </c>
      <c r="J1690" s="21" t="str">
        <f ca="1">IF(I1690=0,"",COUNTIF($I$2:I1690,"&gt;0"))</f>
        <v/>
      </c>
      <c r="K1690" s="21" t="str">
        <f t="shared" ca="1" si="127"/>
        <v/>
      </c>
    </row>
    <row r="1691" spans="1:11" s="18" customFormat="1" ht="14.25" x14ac:dyDescent="0.2">
      <c r="A1691" s="18" t="str">
        <f t="shared" si="126"/>
        <v>Eintrag 1690</v>
      </c>
      <c r="B1691" s="18">
        <v>100</v>
      </c>
      <c r="C1691" s="19">
        <v>100</v>
      </c>
      <c r="D1691" s="20">
        <v>10</v>
      </c>
      <c r="E1691" s="20">
        <v>10</v>
      </c>
      <c r="F1691" s="20">
        <v>10</v>
      </c>
      <c r="G1691" s="19">
        <f t="shared" si="128"/>
        <v>172</v>
      </c>
      <c r="H1691" s="22">
        <f t="shared" si="125"/>
        <v>1690</v>
      </c>
      <c r="I1691" s="21">
        <f t="shared" ca="1" si="129"/>
        <v>0</v>
      </c>
      <c r="J1691" s="21" t="str">
        <f ca="1">IF(I1691=0,"",COUNTIF($I$2:I1691,"&gt;0"))</f>
        <v/>
      </c>
      <c r="K1691" s="21" t="str">
        <f t="shared" ca="1" si="127"/>
        <v/>
      </c>
    </row>
    <row r="1692" spans="1:11" s="18" customFormat="1" ht="14.25" x14ac:dyDescent="0.2">
      <c r="A1692" s="18" t="str">
        <f t="shared" si="126"/>
        <v>Eintrag 1691</v>
      </c>
      <c r="B1692" s="18">
        <v>100</v>
      </c>
      <c r="C1692" s="19">
        <v>100</v>
      </c>
      <c r="D1692" s="20">
        <v>10</v>
      </c>
      <c r="E1692" s="20">
        <v>10</v>
      </c>
      <c r="F1692" s="20">
        <v>10</v>
      </c>
      <c r="G1692" s="19">
        <f t="shared" si="128"/>
        <v>172</v>
      </c>
      <c r="H1692" s="22">
        <f t="shared" si="125"/>
        <v>1691</v>
      </c>
      <c r="I1692" s="21">
        <f t="shared" ca="1" si="129"/>
        <v>0</v>
      </c>
      <c r="J1692" s="21" t="str">
        <f ca="1">IF(I1692=0,"",COUNTIF($I$2:I1692,"&gt;0"))</f>
        <v/>
      </c>
      <c r="K1692" s="21" t="str">
        <f t="shared" ca="1" si="127"/>
        <v/>
      </c>
    </row>
    <row r="1693" spans="1:11" s="18" customFormat="1" ht="14.25" x14ac:dyDescent="0.2">
      <c r="A1693" s="18" t="str">
        <f t="shared" si="126"/>
        <v>Eintrag 1692</v>
      </c>
      <c r="B1693" s="18">
        <v>100</v>
      </c>
      <c r="C1693" s="19">
        <v>100</v>
      </c>
      <c r="D1693" s="20">
        <v>10</v>
      </c>
      <c r="E1693" s="20">
        <v>10</v>
      </c>
      <c r="F1693" s="20">
        <v>10</v>
      </c>
      <c r="G1693" s="19">
        <f t="shared" si="128"/>
        <v>172</v>
      </c>
      <c r="H1693" s="22">
        <f t="shared" si="125"/>
        <v>1692</v>
      </c>
      <c r="I1693" s="21">
        <f t="shared" ca="1" si="129"/>
        <v>0</v>
      </c>
      <c r="J1693" s="21" t="str">
        <f ca="1">IF(I1693=0,"",COUNTIF($I$2:I1693,"&gt;0"))</f>
        <v/>
      </c>
      <c r="K1693" s="21" t="str">
        <f t="shared" ca="1" si="127"/>
        <v/>
      </c>
    </row>
    <row r="1694" spans="1:11" s="18" customFormat="1" ht="14.25" x14ac:dyDescent="0.2">
      <c r="A1694" s="18" t="str">
        <f t="shared" si="126"/>
        <v>Eintrag 1693</v>
      </c>
      <c r="B1694" s="18">
        <v>100</v>
      </c>
      <c r="C1694" s="19">
        <v>100</v>
      </c>
      <c r="D1694" s="20">
        <v>10</v>
      </c>
      <c r="E1694" s="20">
        <v>10</v>
      </c>
      <c r="F1694" s="20">
        <v>10</v>
      </c>
      <c r="G1694" s="19">
        <f t="shared" si="128"/>
        <v>172</v>
      </c>
      <c r="H1694" s="22">
        <f t="shared" si="125"/>
        <v>1693</v>
      </c>
      <c r="I1694" s="21">
        <f t="shared" ca="1" si="129"/>
        <v>0</v>
      </c>
      <c r="J1694" s="21" t="str">
        <f ca="1">IF(I1694=0,"",COUNTIF($I$2:I1694,"&gt;0"))</f>
        <v/>
      </c>
      <c r="K1694" s="21" t="str">
        <f t="shared" ca="1" si="127"/>
        <v/>
      </c>
    </row>
    <row r="1695" spans="1:11" s="18" customFormat="1" ht="14.25" x14ac:dyDescent="0.2">
      <c r="A1695" s="18" t="str">
        <f t="shared" si="126"/>
        <v>Eintrag 1694</v>
      </c>
      <c r="B1695" s="18">
        <v>100</v>
      </c>
      <c r="C1695" s="19">
        <v>100</v>
      </c>
      <c r="D1695" s="20">
        <v>10</v>
      </c>
      <c r="E1695" s="20">
        <v>10</v>
      </c>
      <c r="F1695" s="20">
        <v>10</v>
      </c>
      <c r="G1695" s="19">
        <f t="shared" si="128"/>
        <v>172</v>
      </c>
      <c r="H1695" s="22">
        <f t="shared" si="125"/>
        <v>1694</v>
      </c>
      <c r="I1695" s="21">
        <f t="shared" ca="1" si="129"/>
        <v>0</v>
      </c>
      <c r="J1695" s="21" t="str">
        <f ca="1">IF(I1695=0,"",COUNTIF($I$2:I1695,"&gt;0"))</f>
        <v/>
      </c>
      <c r="K1695" s="21" t="str">
        <f t="shared" ca="1" si="127"/>
        <v/>
      </c>
    </row>
    <row r="1696" spans="1:11" s="18" customFormat="1" ht="14.25" x14ac:dyDescent="0.2">
      <c r="A1696" s="18" t="str">
        <f t="shared" si="126"/>
        <v>Eintrag 1695</v>
      </c>
      <c r="B1696" s="18">
        <v>100</v>
      </c>
      <c r="C1696" s="19">
        <v>100</v>
      </c>
      <c r="D1696" s="20">
        <v>10</v>
      </c>
      <c r="E1696" s="20">
        <v>10</v>
      </c>
      <c r="F1696" s="20">
        <v>10</v>
      </c>
      <c r="G1696" s="19">
        <f t="shared" si="128"/>
        <v>172</v>
      </c>
      <c r="H1696" s="22">
        <f t="shared" si="125"/>
        <v>1695</v>
      </c>
      <c r="I1696" s="21">
        <f t="shared" ca="1" si="129"/>
        <v>0</v>
      </c>
      <c r="J1696" s="21" t="str">
        <f ca="1">IF(I1696=0,"",COUNTIF($I$2:I1696,"&gt;0"))</f>
        <v/>
      </c>
      <c r="K1696" s="21" t="str">
        <f t="shared" ca="1" si="127"/>
        <v/>
      </c>
    </row>
    <row r="1697" spans="1:11" s="18" customFormat="1" ht="14.25" x14ac:dyDescent="0.2">
      <c r="A1697" s="18" t="str">
        <f t="shared" si="126"/>
        <v>Eintrag 1696</v>
      </c>
      <c r="B1697" s="18">
        <v>100</v>
      </c>
      <c r="C1697" s="19">
        <v>100</v>
      </c>
      <c r="D1697" s="20">
        <v>10</v>
      </c>
      <c r="E1697" s="20">
        <v>10</v>
      </c>
      <c r="F1697" s="20">
        <v>10</v>
      </c>
      <c r="G1697" s="19">
        <f t="shared" si="128"/>
        <v>172</v>
      </c>
      <c r="H1697" s="22">
        <f t="shared" si="125"/>
        <v>1696</v>
      </c>
      <c r="I1697" s="21">
        <f t="shared" ca="1" si="129"/>
        <v>0</v>
      </c>
      <c r="J1697" s="21" t="str">
        <f ca="1">IF(I1697=0,"",COUNTIF($I$2:I1697,"&gt;0"))</f>
        <v/>
      </c>
      <c r="K1697" s="21" t="str">
        <f t="shared" ca="1" si="127"/>
        <v/>
      </c>
    </row>
    <row r="1698" spans="1:11" s="18" customFormat="1" ht="14.25" x14ac:dyDescent="0.2">
      <c r="A1698" s="18" t="str">
        <f t="shared" si="126"/>
        <v>Eintrag 1697</v>
      </c>
      <c r="B1698" s="18">
        <v>100</v>
      </c>
      <c r="C1698" s="19">
        <v>100</v>
      </c>
      <c r="D1698" s="20">
        <v>10</v>
      </c>
      <c r="E1698" s="20">
        <v>10</v>
      </c>
      <c r="F1698" s="20">
        <v>10</v>
      </c>
      <c r="G1698" s="19">
        <f t="shared" si="128"/>
        <v>172</v>
      </c>
      <c r="H1698" s="22">
        <f t="shared" si="125"/>
        <v>1697</v>
      </c>
      <c r="I1698" s="21">
        <f t="shared" ca="1" si="129"/>
        <v>0</v>
      </c>
      <c r="J1698" s="21" t="str">
        <f ca="1">IF(I1698=0,"",COUNTIF($I$2:I1698,"&gt;0"))</f>
        <v/>
      </c>
      <c r="K1698" s="21" t="str">
        <f t="shared" ca="1" si="127"/>
        <v/>
      </c>
    </row>
    <row r="1699" spans="1:11" s="18" customFormat="1" ht="14.25" x14ac:dyDescent="0.2">
      <c r="A1699" s="18" t="str">
        <f t="shared" si="126"/>
        <v>Eintrag 1698</v>
      </c>
      <c r="B1699" s="18">
        <v>100</v>
      </c>
      <c r="C1699" s="19">
        <v>100</v>
      </c>
      <c r="D1699" s="20">
        <v>10</v>
      </c>
      <c r="E1699" s="20">
        <v>10</v>
      </c>
      <c r="F1699" s="20">
        <v>10</v>
      </c>
      <c r="G1699" s="19">
        <f t="shared" si="128"/>
        <v>172</v>
      </c>
      <c r="H1699" s="22">
        <f t="shared" si="125"/>
        <v>1698</v>
      </c>
      <c r="I1699" s="21">
        <f t="shared" ca="1" si="129"/>
        <v>0</v>
      </c>
      <c r="J1699" s="21" t="str">
        <f ca="1">IF(I1699=0,"",COUNTIF($I$2:I1699,"&gt;0"))</f>
        <v/>
      </c>
      <c r="K1699" s="21" t="str">
        <f t="shared" ca="1" si="127"/>
        <v/>
      </c>
    </row>
    <row r="1700" spans="1:11" s="18" customFormat="1" ht="14.25" x14ac:dyDescent="0.2">
      <c r="A1700" s="18" t="str">
        <f t="shared" si="126"/>
        <v>Eintrag 1699</v>
      </c>
      <c r="B1700" s="18">
        <v>100</v>
      </c>
      <c r="C1700" s="19">
        <v>100</v>
      </c>
      <c r="D1700" s="20">
        <v>10</v>
      </c>
      <c r="E1700" s="20">
        <v>10</v>
      </c>
      <c r="F1700" s="20">
        <v>10</v>
      </c>
      <c r="G1700" s="19">
        <f t="shared" si="128"/>
        <v>172</v>
      </c>
      <c r="H1700" s="22">
        <f t="shared" si="125"/>
        <v>1699</v>
      </c>
      <c r="I1700" s="21">
        <f t="shared" ca="1" si="129"/>
        <v>0</v>
      </c>
      <c r="J1700" s="21" t="str">
        <f ca="1">IF(I1700=0,"",COUNTIF($I$2:I1700,"&gt;0"))</f>
        <v/>
      </c>
      <c r="K1700" s="21" t="str">
        <f t="shared" ca="1" si="127"/>
        <v/>
      </c>
    </row>
    <row r="1701" spans="1:11" s="18" customFormat="1" ht="14.25" x14ac:dyDescent="0.2">
      <c r="A1701" s="18" t="str">
        <f t="shared" si="126"/>
        <v>Eintrag 1700</v>
      </c>
      <c r="B1701" s="18">
        <v>100</v>
      </c>
      <c r="C1701" s="19">
        <v>100</v>
      </c>
      <c r="D1701" s="20">
        <v>10</v>
      </c>
      <c r="E1701" s="20">
        <v>10</v>
      </c>
      <c r="F1701" s="20">
        <v>10</v>
      </c>
      <c r="G1701" s="19">
        <f t="shared" si="128"/>
        <v>172</v>
      </c>
      <c r="H1701" s="22">
        <f t="shared" ref="H1701:H1764" si="130">H1700+1</f>
        <v>1700</v>
      </c>
      <c r="I1701" s="21">
        <f t="shared" ca="1" si="129"/>
        <v>0</v>
      </c>
      <c r="J1701" s="21" t="str">
        <f ca="1">IF(I1701=0,"",COUNTIF($I$2:I1701,"&gt;0"))</f>
        <v/>
      </c>
      <c r="K1701" s="21" t="str">
        <f t="shared" ca="1" si="127"/>
        <v/>
      </c>
    </row>
    <row r="1702" spans="1:11" s="18" customFormat="1" ht="14.25" x14ac:dyDescent="0.2">
      <c r="A1702" s="18" t="str">
        <f t="shared" si="126"/>
        <v>Eintrag 1701</v>
      </c>
      <c r="B1702" s="18">
        <v>100</v>
      </c>
      <c r="C1702" s="19">
        <v>100</v>
      </c>
      <c r="D1702" s="20">
        <v>10</v>
      </c>
      <c r="E1702" s="20">
        <v>10</v>
      </c>
      <c r="F1702" s="20">
        <v>10</v>
      </c>
      <c r="G1702" s="19">
        <f t="shared" si="128"/>
        <v>172</v>
      </c>
      <c r="H1702" s="22">
        <f t="shared" si="130"/>
        <v>1701</v>
      </c>
      <c r="I1702" s="21">
        <f t="shared" ca="1" si="129"/>
        <v>0</v>
      </c>
      <c r="J1702" s="21" t="str">
        <f ca="1">IF(I1702=0,"",COUNTIF($I$2:I1702,"&gt;0"))</f>
        <v/>
      </c>
      <c r="K1702" s="21" t="str">
        <f t="shared" ca="1" si="127"/>
        <v/>
      </c>
    </row>
    <row r="1703" spans="1:11" s="18" customFormat="1" ht="14.25" x14ac:dyDescent="0.2">
      <c r="A1703" s="18" t="str">
        <f t="shared" si="126"/>
        <v>Eintrag 1702</v>
      </c>
      <c r="B1703" s="18">
        <v>100</v>
      </c>
      <c r="C1703" s="19">
        <v>100</v>
      </c>
      <c r="D1703" s="20">
        <v>10</v>
      </c>
      <c r="E1703" s="20">
        <v>10</v>
      </c>
      <c r="F1703" s="20">
        <v>10</v>
      </c>
      <c r="G1703" s="19">
        <f t="shared" si="128"/>
        <v>172</v>
      </c>
      <c r="H1703" s="22">
        <f t="shared" si="130"/>
        <v>1702</v>
      </c>
      <c r="I1703" s="21">
        <f t="shared" ca="1" si="129"/>
        <v>0</v>
      </c>
      <c r="J1703" s="21" t="str">
        <f ca="1">IF(I1703=0,"",COUNTIF($I$2:I1703,"&gt;0"))</f>
        <v/>
      </c>
      <c r="K1703" s="21" t="str">
        <f t="shared" ca="1" si="127"/>
        <v/>
      </c>
    </row>
    <row r="1704" spans="1:11" s="18" customFormat="1" ht="14.25" x14ac:dyDescent="0.2">
      <c r="A1704" s="18" t="str">
        <f t="shared" si="126"/>
        <v>Eintrag 1703</v>
      </c>
      <c r="B1704" s="18">
        <v>100</v>
      </c>
      <c r="C1704" s="19">
        <v>100</v>
      </c>
      <c r="D1704" s="20">
        <v>10</v>
      </c>
      <c r="E1704" s="20">
        <v>10</v>
      </c>
      <c r="F1704" s="20">
        <v>10</v>
      </c>
      <c r="G1704" s="19">
        <f t="shared" si="128"/>
        <v>172</v>
      </c>
      <c r="H1704" s="22">
        <f t="shared" si="130"/>
        <v>1703</v>
      </c>
      <c r="I1704" s="21">
        <f t="shared" ca="1" si="129"/>
        <v>0</v>
      </c>
      <c r="J1704" s="21" t="str">
        <f ca="1">IF(I1704=0,"",COUNTIF($I$2:I1704,"&gt;0"))</f>
        <v/>
      </c>
      <c r="K1704" s="21" t="str">
        <f t="shared" ca="1" si="127"/>
        <v/>
      </c>
    </row>
    <row r="1705" spans="1:11" s="18" customFormat="1" ht="14.25" x14ac:dyDescent="0.2">
      <c r="A1705" s="18" t="str">
        <f t="shared" si="126"/>
        <v>Eintrag 1704</v>
      </c>
      <c r="B1705" s="18">
        <v>100</v>
      </c>
      <c r="C1705" s="19">
        <v>100</v>
      </c>
      <c r="D1705" s="20">
        <v>10</v>
      </c>
      <c r="E1705" s="20">
        <v>10</v>
      </c>
      <c r="F1705" s="20">
        <v>10</v>
      </c>
      <c r="G1705" s="19">
        <f t="shared" si="128"/>
        <v>172</v>
      </c>
      <c r="H1705" s="22">
        <f t="shared" si="130"/>
        <v>1704</v>
      </c>
      <c r="I1705" s="21">
        <f t="shared" ca="1" si="129"/>
        <v>0</v>
      </c>
      <c r="J1705" s="21" t="str">
        <f ca="1">IF(I1705=0,"",COUNTIF($I$2:I1705,"&gt;0"))</f>
        <v/>
      </c>
      <c r="K1705" s="21" t="str">
        <f t="shared" ca="1" si="127"/>
        <v/>
      </c>
    </row>
    <row r="1706" spans="1:11" s="18" customFormat="1" ht="14.25" x14ac:dyDescent="0.2">
      <c r="A1706" s="18" t="str">
        <f t="shared" si="126"/>
        <v>Eintrag 1705</v>
      </c>
      <c r="B1706" s="18">
        <v>100</v>
      </c>
      <c r="C1706" s="19">
        <v>100</v>
      </c>
      <c r="D1706" s="20">
        <v>10</v>
      </c>
      <c r="E1706" s="20">
        <v>10</v>
      </c>
      <c r="F1706" s="20">
        <v>10</v>
      </c>
      <c r="G1706" s="19">
        <f t="shared" si="128"/>
        <v>172</v>
      </c>
      <c r="H1706" s="22">
        <f t="shared" si="130"/>
        <v>1705</v>
      </c>
      <c r="I1706" s="21">
        <f t="shared" ca="1" si="129"/>
        <v>0</v>
      </c>
      <c r="J1706" s="21" t="str">
        <f ca="1">IF(I1706=0,"",COUNTIF($I$2:I1706,"&gt;0"))</f>
        <v/>
      </c>
      <c r="K1706" s="21" t="str">
        <f t="shared" ca="1" si="127"/>
        <v/>
      </c>
    </row>
    <row r="1707" spans="1:11" s="18" customFormat="1" ht="14.25" x14ac:dyDescent="0.2">
      <c r="A1707" s="18" t="str">
        <f t="shared" si="126"/>
        <v>Eintrag 1706</v>
      </c>
      <c r="B1707" s="18">
        <v>100</v>
      </c>
      <c r="C1707" s="19">
        <v>100</v>
      </c>
      <c r="D1707" s="20">
        <v>10</v>
      </c>
      <c r="E1707" s="20">
        <v>10</v>
      </c>
      <c r="F1707" s="20">
        <v>10</v>
      </c>
      <c r="G1707" s="19">
        <f t="shared" si="128"/>
        <v>172</v>
      </c>
      <c r="H1707" s="22">
        <f t="shared" si="130"/>
        <v>1706</v>
      </c>
      <c r="I1707" s="21">
        <f t="shared" ca="1" si="129"/>
        <v>0</v>
      </c>
      <c r="J1707" s="21" t="str">
        <f ca="1">IF(I1707=0,"",COUNTIF($I$2:I1707,"&gt;0"))</f>
        <v/>
      </c>
      <c r="K1707" s="21" t="str">
        <f t="shared" ca="1" si="127"/>
        <v/>
      </c>
    </row>
    <row r="1708" spans="1:11" s="18" customFormat="1" ht="14.25" x14ac:dyDescent="0.2">
      <c r="A1708" s="18" t="str">
        <f t="shared" si="126"/>
        <v>Eintrag 1707</v>
      </c>
      <c r="B1708" s="18">
        <v>100</v>
      </c>
      <c r="C1708" s="19">
        <v>100</v>
      </c>
      <c r="D1708" s="20">
        <v>10</v>
      </c>
      <c r="E1708" s="20">
        <v>10</v>
      </c>
      <c r="F1708" s="20">
        <v>10</v>
      </c>
      <c r="G1708" s="19">
        <f t="shared" si="128"/>
        <v>172</v>
      </c>
      <c r="H1708" s="22">
        <f t="shared" si="130"/>
        <v>1707</v>
      </c>
      <c r="I1708" s="21">
        <f t="shared" ca="1" si="129"/>
        <v>0</v>
      </c>
      <c r="J1708" s="21" t="str">
        <f ca="1">IF(I1708=0,"",COUNTIF($I$2:I1708,"&gt;0"))</f>
        <v/>
      </c>
      <c r="K1708" s="21" t="str">
        <f t="shared" ca="1" si="127"/>
        <v/>
      </c>
    </row>
    <row r="1709" spans="1:11" s="18" customFormat="1" ht="14.25" x14ac:dyDescent="0.2">
      <c r="A1709" s="18" t="str">
        <f t="shared" si="126"/>
        <v>Eintrag 1708</v>
      </c>
      <c r="B1709" s="18">
        <v>100</v>
      </c>
      <c r="C1709" s="19">
        <v>100</v>
      </c>
      <c r="D1709" s="20">
        <v>10</v>
      </c>
      <c r="E1709" s="20">
        <v>10</v>
      </c>
      <c r="F1709" s="20">
        <v>10</v>
      </c>
      <c r="G1709" s="19">
        <f t="shared" si="128"/>
        <v>172</v>
      </c>
      <c r="H1709" s="22">
        <f t="shared" si="130"/>
        <v>1708</v>
      </c>
      <c r="I1709" s="21">
        <f t="shared" ca="1" si="129"/>
        <v>0</v>
      </c>
      <c r="J1709" s="21" t="str">
        <f ca="1">IF(I1709=0,"",COUNTIF($I$2:I1709,"&gt;0"))</f>
        <v/>
      </c>
      <c r="K1709" s="21" t="str">
        <f t="shared" ca="1" si="127"/>
        <v/>
      </c>
    </row>
    <row r="1710" spans="1:11" s="18" customFormat="1" ht="14.25" x14ac:dyDescent="0.2">
      <c r="A1710" s="18" t="str">
        <f t="shared" si="126"/>
        <v>Eintrag 1709</v>
      </c>
      <c r="B1710" s="18">
        <v>100</v>
      </c>
      <c r="C1710" s="19">
        <v>100</v>
      </c>
      <c r="D1710" s="20">
        <v>10</v>
      </c>
      <c r="E1710" s="20">
        <v>10</v>
      </c>
      <c r="F1710" s="20">
        <v>10</v>
      </c>
      <c r="G1710" s="19">
        <f t="shared" si="128"/>
        <v>172</v>
      </c>
      <c r="H1710" s="22">
        <f t="shared" si="130"/>
        <v>1709</v>
      </c>
      <c r="I1710" s="21">
        <f t="shared" ca="1" si="129"/>
        <v>0</v>
      </c>
      <c r="J1710" s="21" t="str">
        <f ca="1">IF(I1710=0,"",COUNTIF($I$2:I1710,"&gt;0"))</f>
        <v/>
      </c>
      <c r="K1710" s="21" t="str">
        <f t="shared" ca="1" si="127"/>
        <v/>
      </c>
    </row>
    <row r="1711" spans="1:11" s="18" customFormat="1" ht="14.25" x14ac:dyDescent="0.2">
      <c r="A1711" s="18" t="str">
        <f t="shared" si="126"/>
        <v>Eintrag 1710</v>
      </c>
      <c r="B1711" s="18">
        <v>100</v>
      </c>
      <c r="C1711" s="19">
        <v>100</v>
      </c>
      <c r="D1711" s="20">
        <v>10</v>
      </c>
      <c r="E1711" s="20">
        <v>10</v>
      </c>
      <c r="F1711" s="20">
        <v>10</v>
      </c>
      <c r="G1711" s="19">
        <f t="shared" si="128"/>
        <v>172</v>
      </c>
      <c r="H1711" s="22">
        <f t="shared" si="130"/>
        <v>1710</v>
      </c>
      <c r="I1711" s="21">
        <f t="shared" ca="1" si="129"/>
        <v>0</v>
      </c>
      <c r="J1711" s="21" t="str">
        <f ca="1">IF(I1711=0,"",COUNTIF($I$2:I1711,"&gt;0"))</f>
        <v/>
      </c>
      <c r="K1711" s="21" t="str">
        <f t="shared" ca="1" si="127"/>
        <v/>
      </c>
    </row>
    <row r="1712" spans="1:11" s="18" customFormat="1" ht="14.25" x14ac:dyDescent="0.2">
      <c r="A1712" s="18" t="str">
        <f t="shared" si="126"/>
        <v>Eintrag 1711</v>
      </c>
      <c r="B1712" s="18">
        <v>100</v>
      </c>
      <c r="C1712" s="19">
        <v>100</v>
      </c>
      <c r="D1712" s="20">
        <v>10</v>
      </c>
      <c r="E1712" s="20">
        <v>10</v>
      </c>
      <c r="F1712" s="20">
        <v>10</v>
      </c>
      <c r="G1712" s="19">
        <f t="shared" si="128"/>
        <v>172</v>
      </c>
      <c r="H1712" s="22">
        <f t="shared" si="130"/>
        <v>1711</v>
      </c>
      <c r="I1712" s="21">
        <f t="shared" ca="1" si="129"/>
        <v>0</v>
      </c>
      <c r="J1712" s="21" t="str">
        <f ca="1">IF(I1712=0,"",COUNTIF($I$2:I1712,"&gt;0"))</f>
        <v/>
      </c>
      <c r="K1712" s="21" t="str">
        <f t="shared" ca="1" si="127"/>
        <v/>
      </c>
    </row>
    <row r="1713" spans="1:11" s="18" customFormat="1" ht="14.25" x14ac:dyDescent="0.2">
      <c r="A1713" s="18" t="str">
        <f t="shared" si="126"/>
        <v>Eintrag 1712</v>
      </c>
      <c r="B1713" s="18">
        <v>100</v>
      </c>
      <c r="C1713" s="19">
        <v>100</v>
      </c>
      <c r="D1713" s="20">
        <v>10</v>
      </c>
      <c r="E1713" s="20">
        <v>10</v>
      </c>
      <c r="F1713" s="20">
        <v>10</v>
      </c>
      <c r="G1713" s="19">
        <f t="shared" si="128"/>
        <v>172</v>
      </c>
      <c r="H1713" s="22">
        <f t="shared" si="130"/>
        <v>1712</v>
      </c>
      <c r="I1713" s="21">
        <f t="shared" ca="1" si="129"/>
        <v>0</v>
      </c>
      <c r="J1713" s="21" t="str">
        <f ca="1">IF(I1713=0,"",COUNTIF($I$2:I1713,"&gt;0"))</f>
        <v/>
      </c>
      <c r="K1713" s="21" t="str">
        <f t="shared" ca="1" si="127"/>
        <v/>
      </c>
    </row>
    <row r="1714" spans="1:11" s="18" customFormat="1" ht="14.25" x14ac:dyDescent="0.2">
      <c r="A1714" s="18" t="str">
        <f t="shared" si="126"/>
        <v>Eintrag 1713</v>
      </c>
      <c r="B1714" s="18">
        <v>100</v>
      </c>
      <c r="C1714" s="19">
        <v>100</v>
      </c>
      <c r="D1714" s="20">
        <v>10</v>
      </c>
      <c r="E1714" s="20">
        <v>10</v>
      </c>
      <c r="F1714" s="20">
        <v>10</v>
      </c>
      <c r="G1714" s="19">
        <f t="shared" si="128"/>
        <v>172</v>
      </c>
      <c r="H1714" s="22">
        <f t="shared" si="130"/>
        <v>1713</v>
      </c>
      <c r="I1714" s="21">
        <f t="shared" ca="1" si="129"/>
        <v>0</v>
      </c>
      <c r="J1714" s="21" t="str">
        <f ca="1">IF(I1714=0,"",COUNTIF($I$2:I1714,"&gt;0"))</f>
        <v/>
      </c>
      <c r="K1714" s="21" t="str">
        <f t="shared" ca="1" si="127"/>
        <v/>
      </c>
    </row>
    <row r="1715" spans="1:11" s="18" customFormat="1" ht="14.25" x14ac:dyDescent="0.2">
      <c r="A1715" s="18" t="str">
        <f t="shared" si="126"/>
        <v>Eintrag 1714</v>
      </c>
      <c r="B1715" s="18">
        <v>100</v>
      </c>
      <c r="C1715" s="19">
        <v>100</v>
      </c>
      <c r="D1715" s="20">
        <v>10</v>
      </c>
      <c r="E1715" s="20">
        <v>10</v>
      </c>
      <c r="F1715" s="20">
        <v>10</v>
      </c>
      <c r="G1715" s="19">
        <f t="shared" si="128"/>
        <v>172</v>
      </c>
      <c r="H1715" s="22">
        <f t="shared" si="130"/>
        <v>1714</v>
      </c>
      <c r="I1715" s="21">
        <f t="shared" ca="1" si="129"/>
        <v>0</v>
      </c>
      <c r="J1715" s="21" t="str">
        <f ca="1">IF(I1715=0,"",COUNTIF($I$2:I1715,"&gt;0"))</f>
        <v/>
      </c>
      <c r="K1715" s="21" t="str">
        <f t="shared" ca="1" si="127"/>
        <v/>
      </c>
    </row>
    <row r="1716" spans="1:11" s="18" customFormat="1" ht="14.25" x14ac:dyDescent="0.2">
      <c r="A1716" s="18" t="str">
        <f t="shared" si="126"/>
        <v>Eintrag 1715</v>
      </c>
      <c r="B1716" s="18">
        <v>100</v>
      </c>
      <c r="C1716" s="19">
        <v>100</v>
      </c>
      <c r="D1716" s="20">
        <v>10</v>
      </c>
      <c r="E1716" s="20">
        <v>10</v>
      </c>
      <c r="F1716" s="20">
        <v>10</v>
      </c>
      <c r="G1716" s="19">
        <f t="shared" si="128"/>
        <v>172</v>
      </c>
      <c r="H1716" s="22">
        <f t="shared" si="130"/>
        <v>1715</v>
      </c>
      <c r="I1716" s="21">
        <f t="shared" ca="1" si="129"/>
        <v>0</v>
      </c>
      <c r="J1716" s="21" t="str">
        <f ca="1">IF(I1716=0,"",COUNTIF($I$2:I1716,"&gt;0"))</f>
        <v/>
      </c>
      <c r="K1716" s="21" t="str">
        <f t="shared" ca="1" si="127"/>
        <v/>
      </c>
    </row>
    <row r="1717" spans="1:11" s="18" customFormat="1" ht="14.25" x14ac:dyDescent="0.2">
      <c r="A1717" s="18" t="str">
        <f t="shared" si="126"/>
        <v>Eintrag 1716</v>
      </c>
      <c r="B1717" s="18">
        <v>100</v>
      </c>
      <c r="C1717" s="19">
        <v>100</v>
      </c>
      <c r="D1717" s="20">
        <v>10</v>
      </c>
      <c r="E1717" s="20">
        <v>10</v>
      </c>
      <c r="F1717" s="20">
        <v>10</v>
      </c>
      <c r="G1717" s="19">
        <f t="shared" si="128"/>
        <v>172</v>
      </c>
      <c r="H1717" s="22">
        <f t="shared" si="130"/>
        <v>1716</v>
      </c>
      <c r="I1717" s="21">
        <f t="shared" ca="1" si="129"/>
        <v>0</v>
      </c>
      <c r="J1717" s="21" t="str">
        <f ca="1">IF(I1717=0,"",COUNTIF($I$2:I1717,"&gt;0"))</f>
        <v/>
      </c>
      <c r="K1717" s="21" t="str">
        <f t="shared" ca="1" si="127"/>
        <v/>
      </c>
    </row>
    <row r="1718" spans="1:11" s="18" customFormat="1" ht="14.25" x14ac:dyDescent="0.2">
      <c r="A1718" s="18" t="str">
        <f t="shared" si="126"/>
        <v>Eintrag 1717</v>
      </c>
      <c r="B1718" s="18">
        <v>100</v>
      </c>
      <c r="C1718" s="19">
        <v>100</v>
      </c>
      <c r="D1718" s="20">
        <v>10</v>
      </c>
      <c r="E1718" s="20">
        <v>10</v>
      </c>
      <c r="F1718" s="20">
        <v>10</v>
      </c>
      <c r="G1718" s="19">
        <f t="shared" si="128"/>
        <v>172</v>
      </c>
      <c r="H1718" s="22">
        <f t="shared" si="130"/>
        <v>1717</v>
      </c>
      <c r="I1718" s="21">
        <f t="shared" ca="1" si="129"/>
        <v>0</v>
      </c>
      <c r="J1718" s="21" t="str">
        <f ca="1">IF(I1718=0,"",COUNTIF($I$2:I1718,"&gt;0"))</f>
        <v/>
      </c>
      <c r="K1718" s="21" t="str">
        <f t="shared" ca="1" si="127"/>
        <v/>
      </c>
    </row>
    <row r="1719" spans="1:11" s="18" customFormat="1" ht="14.25" x14ac:dyDescent="0.2">
      <c r="A1719" s="18" t="str">
        <f t="shared" si="126"/>
        <v>Eintrag 1718</v>
      </c>
      <c r="B1719" s="18">
        <v>100</v>
      </c>
      <c r="C1719" s="19">
        <v>100</v>
      </c>
      <c r="D1719" s="20">
        <v>10</v>
      </c>
      <c r="E1719" s="20">
        <v>10</v>
      </c>
      <c r="F1719" s="20">
        <v>10</v>
      </c>
      <c r="G1719" s="19">
        <f t="shared" si="128"/>
        <v>172</v>
      </c>
      <c r="H1719" s="22">
        <f t="shared" si="130"/>
        <v>1718</v>
      </c>
      <c r="I1719" s="21">
        <f t="shared" ca="1" si="129"/>
        <v>0</v>
      </c>
      <c r="J1719" s="21" t="str">
        <f ca="1">IF(I1719=0,"",COUNTIF($I$2:I1719,"&gt;0"))</f>
        <v/>
      </c>
      <c r="K1719" s="21" t="str">
        <f t="shared" ca="1" si="127"/>
        <v/>
      </c>
    </row>
    <row r="1720" spans="1:11" s="18" customFormat="1" ht="14.25" x14ac:dyDescent="0.2">
      <c r="A1720" s="18" t="str">
        <f t="shared" si="126"/>
        <v>Eintrag 1719</v>
      </c>
      <c r="B1720" s="18">
        <v>100</v>
      </c>
      <c r="C1720" s="19">
        <v>100</v>
      </c>
      <c r="D1720" s="20">
        <v>10</v>
      </c>
      <c r="E1720" s="20">
        <v>10</v>
      </c>
      <c r="F1720" s="20">
        <v>10</v>
      </c>
      <c r="G1720" s="19">
        <f t="shared" si="128"/>
        <v>172</v>
      </c>
      <c r="H1720" s="22">
        <f t="shared" si="130"/>
        <v>1719</v>
      </c>
      <c r="I1720" s="21">
        <f t="shared" ca="1" si="129"/>
        <v>0</v>
      </c>
      <c r="J1720" s="21" t="str">
        <f ca="1">IF(I1720=0,"",COUNTIF($I$2:I1720,"&gt;0"))</f>
        <v/>
      </c>
      <c r="K1720" s="21" t="str">
        <f t="shared" ca="1" si="127"/>
        <v/>
      </c>
    </row>
    <row r="1721" spans="1:11" s="18" customFormat="1" ht="14.25" x14ac:dyDescent="0.2">
      <c r="A1721" s="18" t="str">
        <f t="shared" si="126"/>
        <v>Eintrag 1720</v>
      </c>
      <c r="B1721" s="18">
        <v>100</v>
      </c>
      <c r="C1721" s="19">
        <v>100</v>
      </c>
      <c r="D1721" s="20">
        <v>10</v>
      </c>
      <c r="E1721" s="20">
        <v>10</v>
      </c>
      <c r="F1721" s="20">
        <v>10</v>
      </c>
      <c r="G1721" s="19">
        <f t="shared" si="128"/>
        <v>172</v>
      </c>
      <c r="H1721" s="22">
        <f t="shared" si="130"/>
        <v>1720</v>
      </c>
      <c r="I1721" s="21">
        <f t="shared" ca="1" si="129"/>
        <v>0</v>
      </c>
      <c r="J1721" s="21" t="str">
        <f ca="1">IF(I1721=0,"",COUNTIF($I$2:I1721,"&gt;0"))</f>
        <v/>
      </c>
      <c r="K1721" s="21" t="str">
        <f t="shared" ca="1" si="127"/>
        <v/>
      </c>
    </row>
    <row r="1722" spans="1:11" s="18" customFormat="1" ht="14.25" x14ac:dyDescent="0.2">
      <c r="A1722" s="18" t="str">
        <f t="shared" si="126"/>
        <v>Eintrag 1721</v>
      </c>
      <c r="B1722" s="18">
        <v>100</v>
      </c>
      <c r="C1722" s="19">
        <v>100</v>
      </c>
      <c r="D1722" s="20">
        <v>10</v>
      </c>
      <c r="E1722" s="20">
        <v>10</v>
      </c>
      <c r="F1722" s="20">
        <v>10</v>
      </c>
      <c r="G1722" s="19">
        <f t="shared" si="128"/>
        <v>172</v>
      </c>
      <c r="H1722" s="22">
        <f t="shared" si="130"/>
        <v>1721</v>
      </c>
      <c r="I1722" s="21">
        <f t="shared" ca="1" si="129"/>
        <v>0</v>
      </c>
      <c r="J1722" s="21" t="str">
        <f ca="1">IF(I1722=0,"",COUNTIF($I$2:I1722,"&gt;0"))</f>
        <v/>
      </c>
      <c r="K1722" s="21" t="str">
        <f t="shared" ca="1" si="127"/>
        <v/>
      </c>
    </row>
    <row r="1723" spans="1:11" s="18" customFormat="1" ht="14.25" x14ac:dyDescent="0.2">
      <c r="A1723" s="18" t="str">
        <f t="shared" si="126"/>
        <v>Eintrag 1722</v>
      </c>
      <c r="B1723" s="18">
        <v>100</v>
      </c>
      <c r="C1723" s="19">
        <v>100</v>
      </c>
      <c r="D1723" s="20">
        <v>10</v>
      </c>
      <c r="E1723" s="20">
        <v>10</v>
      </c>
      <c r="F1723" s="20">
        <v>10</v>
      </c>
      <c r="G1723" s="19">
        <f t="shared" si="128"/>
        <v>172</v>
      </c>
      <c r="H1723" s="22">
        <f t="shared" si="130"/>
        <v>1722</v>
      </c>
      <c r="I1723" s="21">
        <f t="shared" ca="1" si="129"/>
        <v>0</v>
      </c>
      <c r="J1723" s="21" t="str">
        <f ca="1">IF(I1723=0,"",COUNTIF($I$2:I1723,"&gt;0"))</f>
        <v/>
      </c>
      <c r="K1723" s="21" t="str">
        <f t="shared" ca="1" si="127"/>
        <v/>
      </c>
    </row>
    <row r="1724" spans="1:11" s="18" customFormat="1" ht="14.25" x14ac:dyDescent="0.2">
      <c r="A1724" s="18" t="str">
        <f t="shared" si="126"/>
        <v>Eintrag 1723</v>
      </c>
      <c r="B1724" s="18">
        <v>100</v>
      </c>
      <c r="C1724" s="19">
        <v>100</v>
      </c>
      <c r="D1724" s="20">
        <v>10</v>
      </c>
      <c r="E1724" s="20">
        <v>10</v>
      </c>
      <c r="F1724" s="20">
        <v>10</v>
      </c>
      <c r="G1724" s="19">
        <f t="shared" si="128"/>
        <v>172</v>
      </c>
      <c r="H1724" s="22">
        <f t="shared" si="130"/>
        <v>1723</v>
      </c>
      <c r="I1724" s="21">
        <f t="shared" ca="1" si="129"/>
        <v>0</v>
      </c>
      <c r="J1724" s="21" t="str">
        <f ca="1">IF(I1724=0,"",COUNTIF($I$2:I1724,"&gt;0"))</f>
        <v/>
      </c>
      <c r="K1724" s="21" t="str">
        <f t="shared" ca="1" si="127"/>
        <v/>
      </c>
    </row>
    <row r="1725" spans="1:11" s="18" customFormat="1" ht="14.25" x14ac:dyDescent="0.2">
      <c r="A1725" s="18" t="str">
        <f t="shared" ref="A1725:A1788" si="131">CONCATENATE("Eintrag ",H1725)</f>
        <v>Eintrag 1724</v>
      </c>
      <c r="B1725" s="18">
        <v>100</v>
      </c>
      <c r="C1725" s="19">
        <v>100</v>
      </c>
      <c r="D1725" s="20">
        <v>10</v>
      </c>
      <c r="E1725" s="20">
        <v>10</v>
      </c>
      <c r="F1725" s="20">
        <v>10</v>
      </c>
      <c r="G1725" s="19">
        <f t="shared" si="128"/>
        <v>172</v>
      </c>
      <c r="H1725" s="22">
        <f t="shared" si="130"/>
        <v>1724</v>
      </c>
      <c r="I1725" s="21">
        <f t="shared" ca="1" si="129"/>
        <v>0</v>
      </c>
      <c r="J1725" s="21" t="str">
        <f ca="1">IF(I1725=0,"",COUNTIF($I$2:I1725,"&gt;0"))</f>
        <v/>
      </c>
      <c r="K1725" s="21" t="str">
        <f t="shared" ca="1" si="127"/>
        <v/>
      </c>
    </row>
    <row r="1726" spans="1:11" s="18" customFormat="1" ht="14.25" x14ac:dyDescent="0.2">
      <c r="A1726" s="18" t="str">
        <f t="shared" si="131"/>
        <v>Eintrag 1725</v>
      </c>
      <c r="B1726" s="18">
        <v>100</v>
      </c>
      <c r="C1726" s="19">
        <v>100</v>
      </c>
      <c r="D1726" s="20">
        <v>10</v>
      </c>
      <c r="E1726" s="20">
        <v>10</v>
      </c>
      <c r="F1726" s="20">
        <v>10</v>
      </c>
      <c r="G1726" s="19">
        <f t="shared" si="128"/>
        <v>172</v>
      </c>
      <c r="H1726" s="22">
        <f t="shared" si="130"/>
        <v>1725</v>
      </c>
      <c r="I1726" s="21">
        <f t="shared" ca="1" si="129"/>
        <v>0</v>
      </c>
      <c r="J1726" s="21" t="str">
        <f ca="1">IF(I1726=0,"",COUNTIF($I$2:I1726,"&gt;0"))</f>
        <v/>
      </c>
      <c r="K1726" s="21" t="str">
        <f t="shared" ca="1" si="127"/>
        <v/>
      </c>
    </row>
    <row r="1727" spans="1:11" s="18" customFormat="1" ht="14.25" x14ac:dyDescent="0.2">
      <c r="A1727" s="18" t="str">
        <f t="shared" si="131"/>
        <v>Eintrag 1726</v>
      </c>
      <c r="B1727" s="18">
        <v>100</v>
      </c>
      <c r="C1727" s="19">
        <v>100</v>
      </c>
      <c r="D1727" s="20">
        <v>10</v>
      </c>
      <c r="E1727" s="20">
        <v>10</v>
      </c>
      <c r="F1727" s="20">
        <v>10</v>
      </c>
      <c r="G1727" s="19">
        <f t="shared" si="128"/>
        <v>172</v>
      </c>
      <c r="H1727" s="22">
        <f t="shared" si="130"/>
        <v>1726</v>
      </c>
      <c r="I1727" s="21">
        <f t="shared" ca="1" si="129"/>
        <v>0</v>
      </c>
      <c r="J1727" s="21" t="str">
        <f ca="1">IF(I1727=0,"",COUNTIF($I$2:I1727,"&gt;0"))</f>
        <v/>
      </c>
      <c r="K1727" s="21" t="str">
        <f t="shared" ca="1" si="127"/>
        <v/>
      </c>
    </row>
    <row r="1728" spans="1:11" s="18" customFormat="1" ht="14.25" x14ac:dyDescent="0.2">
      <c r="A1728" s="18" t="str">
        <f t="shared" si="131"/>
        <v>Eintrag 1727</v>
      </c>
      <c r="B1728" s="18">
        <v>100</v>
      </c>
      <c r="C1728" s="19">
        <v>100</v>
      </c>
      <c r="D1728" s="20">
        <v>10</v>
      </c>
      <c r="E1728" s="20">
        <v>10</v>
      </c>
      <c r="F1728" s="20">
        <v>10</v>
      </c>
      <c r="G1728" s="19">
        <f t="shared" si="128"/>
        <v>172</v>
      </c>
      <c r="H1728" s="22">
        <f t="shared" si="130"/>
        <v>1727</v>
      </c>
      <c r="I1728" s="21">
        <f t="shared" ca="1" si="129"/>
        <v>0</v>
      </c>
      <c r="J1728" s="21" t="str">
        <f ca="1">IF(I1728=0,"",COUNTIF($I$2:I1728,"&gt;0"))</f>
        <v/>
      </c>
      <c r="K1728" s="21" t="str">
        <f t="shared" ca="1" si="127"/>
        <v/>
      </c>
    </row>
    <row r="1729" spans="1:11" s="18" customFormat="1" ht="14.25" x14ac:dyDescent="0.2">
      <c r="A1729" s="18" t="str">
        <f t="shared" si="131"/>
        <v>Eintrag 1728</v>
      </c>
      <c r="B1729" s="18">
        <v>100</v>
      </c>
      <c r="C1729" s="19">
        <v>100</v>
      </c>
      <c r="D1729" s="20">
        <v>10</v>
      </c>
      <c r="E1729" s="20">
        <v>10</v>
      </c>
      <c r="F1729" s="20">
        <v>10</v>
      </c>
      <c r="G1729" s="19">
        <f t="shared" si="128"/>
        <v>172</v>
      </c>
      <c r="H1729" s="22">
        <f t="shared" si="130"/>
        <v>1728</v>
      </c>
      <c r="I1729" s="21">
        <f t="shared" ca="1" si="129"/>
        <v>0</v>
      </c>
      <c r="J1729" s="21" t="str">
        <f ca="1">IF(I1729=0,"",COUNTIF($I$2:I1729,"&gt;0"))</f>
        <v/>
      </c>
      <c r="K1729" s="21" t="str">
        <f t="shared" ca="1" si="127"/>
        <v/>
      </c>
    </row>
    <row r="1730" spans="1:11" s="18" customFormat="1" ht="14.25" x14ac:dyDescent="0.2">
      <c r="A1730" s="18" t="str">
        <f t="shared" si="131"/>
        <v>Eintrag 1729</v>
      </c>
      <c r="B1730" s="18">
        <v>100</v>
      </c>
      <c r="C1730" s="19">
        <v>100</v>
      </c>
      <c r="D1730" s="20">
        <v>10</v>
      </c>
      <c r="E1730" s="20">
        <v>10</v>
      </c>
      <c r="F1730" s="20">
        <v>10</v>
      </c>
      <c r="G1730" s="19">
        <f t="shared" si="128"/>
        <v>172</v>
      </c>
      <c r="H1730" s="22">
        <f t="shared" si="130"/>
        <v>1729</v>
      </c>
      <c r="I1730" s="21">
        <f t="shared" ca="1" si="129"/>
        <v>0</v>
      </c>
      <c r="J1730" s="21" t="str">
        <f ca="1">IF(I1730=0,"",COUNTIF($I$2:I1730,"&gt;0"))</f>
        <v/>
      </c>
      <c r="K1730" s="21" t="str">
        <f t="shared" ref="K1730:K1793" ca="1" si="132">IFERROR(INDEX(A:A,MATCH(ROW(I1729),J:J,0)),"")</f>
        <v/>
      </c>
    </row>
    <row r="1731" spans="1:11" s="18" customFormat="1" ht="14.25" x14ac:dyDescent="0.2">
      <c r="A1731" s="18" t="str">
        <f t="shared" si="131"/>
        <v>Eintrag 1730</v>
      </c>
      <c r="B1731" s="18">
        <v>100</v>
      </c>
      <c r="C1731" s="19">
        <v>100</v>
      </c>
      <c r="D1731" s="20">
        <v>10</v>
      </c>
      <c r="E1731" s="20">
        <v>10</v>
      </c>
      <c r="F1731" s="20">
        <v>10</v>
      </c>
      <c r="G1731" s="19">
        <f t="shared" ref="G1731:G1794" si="133">D1731*9+E1731*4.1+F1731*4.1</f>
        <v>172</v>
      </c>
      <c r="H1731" s="22">
        <f t="shared" si="130"/>
        <v>1730</v>
      </c>
      <c r="I1731" s="21">
        <f t="shared" ca="1" si="129"/>
        <v>0</v>
      </c>
      <c r="J1731" s="21" t="str">
        <f ca="1">IF(I1731=0,"",COUNTIF($I$2:I1731,"&gt;0"))</f>
        <v/>
      </c>
      <c r="K1731" s="21" t="str">
        <f t="shared" ca="1" si="132"/>
        <v/>
      </c>
    </row>
    <row r="1732" spans="1:11" s="18" customFormat="1" ht="14.25" x14ac:dyDescent="0.2">
      <c r="A1732" s="18" t="str">
        <f t="shared" si="131"/>
        <v>Eintrag 1731</v>
      </c>
      <c r="B1732" s="18">
        <v>100</v>
      </c>
      <c r="C1732" s="19">
        <v>100</v>
      </c>
      <c r="D1732" s="20">
        <v>10</v>
      </c>
      <c r="E1732" s="20">
        <v>10</v>
      </c>
      <c r="F1732" s="20">
        <v>10</v>
      </c>
      <c r="G1732" s="19">
        <f t="shared" si="133"/>
        <v>172</v>
      </c>
      <c r="H1732" s="22">
        <f t="shared" si="130"/>
        <v>1731</v>
      </c>
      <c r="I1732" s="21">
        <f t="shared" ca="1" si="129"/>
        <v>0</v>
      </c>
      <c r="J1732" s="21" t="str">
        <f ca="1">IF(I1732=0,"",COUNTIF($I$2:I1732,"&gt;0"))</f>
        <v/>
      </c>
      <c r="K1732" s="21" t="str">
        <f t="shared" ca="1" si="132"/>
        <v/>
      </c>
    </row>
    <row r="1733" spans="1:11" s="18" customFormat="1" ht="14.25" x14ac:dyDescent="0.2">
      <c r="A1733" s="18" t="str">
        <f t="shared" si="131"/>
        <v>Eintrag 1732</v>
      </c>
      <c r="B1733" s="18">
        <v>100</v>
      </c>
      <c r="C1733" s="19">
        <v>100</v>
      </c>
      <c r="D1733" s="20">
        <v>10</v>
      </c>
      <c r="E1733" s="20">
        <v>10</v>
      </c>
      <c r="F1733" s="20">
        <v>10</v>
      </c>
      <c r="G1733" s="19">
        <f t="shared" si="133"/>
        <v>172</v>
      </c>
      <c r="H1733" s="22">
        <f t="shared" si="130"/>
        <v>1732</v>
      </c>
      <c r="I1733" s="21">
        <f t="shared" ca="1" si="129"/>
        <v>0</v>
      </c>
      <c r="J1733" s="21" t="str">
        <f ca="1">IF(I1733=0,"",COUNTIF($I$2:I1733,"&gt;0"))</f>
        <v/>
      </c>
      <c r="K1733" s="21" t="str">
        <f t="shared" ca="1" si="132"/>
        <v/>
      </c>
    </row>
    <row r="1734" spans="1:11" s="18" customFormat="1" ht="14.25" x14ac:dyDescent="0.2">
      <c r="A1734" s="18" t="str">
        <f t="shared" si="131"/>
        <v>Eintrag 1733</v>
      </c>
      <c r="B1734" s="18">
        <v>100</v>
      </c>
      <c r="C1734" s="19">
        <v>100</v>
      </c>
      <c r="D1734" s="20">
        <v>10</v>
      </c>
      <c r="E1734" s="20">
        <v>10</v>
      </c>
      <c r="F1734" s="20">
        <v>10</v>
      </c>
      <c r="G1734" s="19">
        <f t="shared" si="133"/>
        <v>172</v>
      </c>
      <c r="H1734" s="22">
        <f t="shared" si="130"/>
        <v>1733</v>
      </c>
      <c r="I1734" s="21">
        <f t="shared" ca="1" si="129"/>
        <v>0</v>
      </c>
      <c r="J1734" s="21" t="str">
        <f ca="1">IF(I1734=0,"",COUNTIF($I$2:I1734,"&gt;0"))</f>
        <v/>
      </c>
      <c r="K1734" s="21" t="str">
        <f t="shared" ca="1" si="132"/>
        <v/>
      </c>
    </row>
    <row r="1735" spans="1:11" s="18" customFormat="1" ht="14.25" x14ac:dyDescent="0.2">
      <c r="A1735" s="18" t="str">
        <f t="shared" si="131"/>
        <v>Eintrag 1734</v>
      </c>
      <c r="B1735" s="18">
        <v>100</v>
      </c>
      <c r="C1735" s="19">
        <v>100</v>
      </c>
      <c r="D1735" s="20">
        <v>10</v>
      </c>
      <c r="E1735" s="20">
        <v>10</v>
      </c>
      <c r="F1735" s="20">
        <v>10</v>
      </c>
      <c r="G1735" s="19">
        <f t="shared" si="133"/>
        <v>172</v>
      </c>
      <c r="H1735" s="22">
        <f t="shared" si="130"/>
        <v>1734</v>
      </c>
      <c r="I1735" s="21">
        <f t="shared" ca="1" si="129"/>
        <v>0</v>
      </c>
      <c r="J1735" s="21" t="str">
        <f ca="1">IF(I1735=0,"",COUNTIF($I$2:I1735,"&gt;0"))</f>
        <v/>
      </c>
      <c r="K1735" s="21" t="str">
        <f t="shared" ca="1" si="132"/>
        <v/>
      </c>
    </row>
    <row r="1736" spans="1:11" s="18" customFormat="1" ht="14.25" x14ac:dyDescent="0.2">
      <c r="A1736" s="18" t="str">
        <f t="shared" si="131"/>
        <v>Eintrag 1735</v>
      </c>
      <c r="B1736" s="18">
        <v>100</v>
      </c>
      <c r="C1736" s="19">
        <v>100</v>
      </c>
      <c r="D1736" s="20">
        <v>10</v>
      </c>
      <c r="E1736" s="20">
        <v>10</v>
      </c>
      <c r="F1736" s="20">
        <v>10</v>
      </c>
      <c r="G1736" s="19">
        <f t="shared" si="133"/>
        <v>172</v>
      </c>
      <c r="H1736" s="22">
        <f t="shared" si="130"/>
        <v>1735</v>
      </c>
      <c r="I1736" s="21">
        <f t="shared" ca="1" si="129"/>
        <v>0</v>
      </c>
      <c r="J1736" s="21" t="str">
        <f ca="1">IF(I1736=0,"",COUNTIF($I$2:I1736,"&gt;0"))</f>
        <v/>
      </c>
      <c r="K1736" s="21" t="str">
        <f t="shared" ca="1" si="132"/>
        <v/>
      </c>
    </row>
    <row r="1737" spans="1:11" s="18" customFormat="1" ht="14.25" x14ac:dyDescent="0.2">
      <c r="A1737" s="18" t="str">
        <f t="shared" si="131"/>
        <v>Eintrag 1736</v>
      </c>
      <c r="B1737" s="18">
        <v>100</v>
      </c>
      <c r="C1737" s="19">
        <v>100</v>
      </c>
      <c r="D1737" s="20">
        <v>10</v>
      </c>
      <c r="E1737" s="20">
        <v>10</v>
      </c>
      <c r="F1737" s="20">
        <v>10</v>
      </c>
      <c r="G1737" s="19">
        <f t="shared" si="133"/>
        <v>172</v>
      </c>
      <c r="H1737" s="22">
        <f t="shared" si="130"/>
        <v>1736</v>
      </c>
      <c r="I1737" s="21">
        <f t="shared" ca="1" si="129"/>
        <v>0</v>
      </c>
      <c r="J1737" s="21" t="str">
        <f ca="1">IF(I1737=0,"",COUNTIF($I$2:I1737,"&gt;0"))</f>
        <v/>
      </c>
      <c r="K1737" s="21" t="str">
        <f t="shared" ca="1" si="132"/>
        <v/>
      </c>
    </row>
    <row r="1738" spans="1:11" s="18" customFormat="1" ht="14.25" x14ac:dyDescent="0.2">
      <c r="A1738" s="18" t="str">
        <f t="shared" si="131"/>
        <v>Eintrag 1737</v>
      </c>
      <c r="B1738" s="18">
        <v>100</v>
      </c>
      <c r="C1738" s="19">
        <v>100</v>
      </c>
      <c r="D1738" s="20">
        <v>10</v>
      </c>
      <c r="E1738" s="20">
        <v>10</v>
      </c>
      <c r="F1738" s="20">
        <v>10</v>
      </c>
      <c r="G1738" s="19">
        <f t="shared" si="133"/>
        <v>172</v>
      </c>
      <c r="H1738" s="22">
        <f t="shared" si="130"/>
        <v>1737</v>
      </c>
      <c r="I1738" s="21">
        <f t="shared" ca="1" si="129"/>
        <v>0</v>
      </c>
      <c r="J1738" s="21" t="str">
        <f ca="1">IF(I1738=0,"",COUNTIF($I$2:I1738,"&gt;0"))</f>
        <v/>
      </c>
      <c r="K1738" s="21" t="str">
        <f t="shared" ca="1" si="132"/>
        <v/>
      </c>
    </row>
    <row r="1739" spans="1:11" s="18" customFormat="1" ht="14.25" x14ac:dyDescent="0.2">
      <c r="A1739" s="18" t="str">
        <f t="shared" si="131"/>
        <v>Eintrag 1738</v>
      </c>
      <c r="B1739" s="18">
        <v>100</v>
      </c>
      <c r="C1739" s="19">
        <v>100</v>
      </c>
      <c r="D1739" s="20">
        <v>10</v>
      </c>
      <c r="E1739" s="20">
        <v>10</v>
      </c>
      <c r="F1739" s="20">
        <v>10</v>
      </c>
      <c r="G1739" s="19">
        <f t="shared" si="133"/>
        <v>172</v>
      </c>
      <c r="H1739" s="22">
        <f t="shared" si="130"/>
        <v>1738</v>
      </c>
      <c r="I1739" s="21">
        <f t="shared" ca="1" si="129"/>
        <v>0</v>
      </c>
      <c r="J1739" s="21" t="str">
        <f ca="1">IF(I1739=0,"",COUNTIF($I$2:I1739,"&gt;0"))</f>
        <v/>
      </c>
      <c r="K1739" s="21" t="str">
        <f t="shared" ca="1" si="132"/>
        <v/>
      </c>
    </row>
    <row r="1740" spans="1:11" s="18" customFormat="1" ht="14.25" x14ac:dyDescent="0.2">
      <c r="A1740" s="18" t="str">
        <f t="shared" si="131"/>
        <v>Eintrag 1739</v>
      </c>
      <c r="B1740" s="18">
        <v>100</v>
      </c>
      <c r="C1740" s="19">
        <v>100</v>
      </c>
      <c r="D1740" s="20">
        <v>10</v>
      </c>
      <c r="E1740" s="20">
        <v>10</v>
      </c>
      <c r="F1740" s="20">
        <v>10</v>
      </c>
      <c r="G1740" s="19">
        <f t="shared" si="133"/>
        <v>172</v>
      </c>
      <c r="H1740" s="22">
        <f t="shared" si="130"/>
        <v>1739</v>
      </c>
      <c r="I1740" s="21">
        <f t="shared" ca="1" si="129"/>
        <v>0</v>
      </c>
      <c r="J1740" s="21" t="str">
        <f ca="1">IF(I1740=0,"",COUNTIF($I$2:I1740,"&gt;0"))</f>
        <v/>
      </c>
      <c r="K1740" s="21" t="str">
        <f t="shared" ca="1" si="132"/>
        <v/>
      </c>
    </row>
    <row r="1741" spans="1:11" s="18" customFormat="1" ht="14.25" x14ac:dyDescent="0.2">
      <c r="A1741" s="18" t="str">
        <f t="shared" si="131"/>
        <v>Eintrag 1740</v>
      </c>
      <c r="B1741" s="18">
        <v>100</v>
      </c>
      <c r="C1741" s="19">
        <v>100</v>
      </c>
      <c r="D1741" s="20">
        <v>10</v>
      </c>
      <c r="E1741" s="20">
        <v>10</v>
      </c>
      <c r="F1741" s="20">
        <v>10</v>
      </c>
      <c r="G1741" s="19">
        <f t="shared" si="133"/>
        <v>172</v>
      </c>
      <c r="H1741" s="22">
        <f t="shared" si="130"/>
        <v>1740</v>
      </c>
      <c r="I1741" s="21">
        <f t="shared" ca="1" si="129"/>
        <v>0</v>
      </c>
      <c r="J1741" s="21" t="str">
        <f ca="1">IF(I1741=0,"",COUNTIF($I$2:I1741,"&gt;0"))</f>
        <v/>
      </c>
      <c r="K1741" s="21" t="str">
        <f t="shared" ca="1" si="132"/>
        <v/>
      </c>
    </row>
    <row r="1742" spans="1:11" s="18" customFormat="1" ht="14.25" x14ac:dyDescent="0.2">
      <c r="A1742" s="18" t="str">
        <f t="shared" si="131"/>
        <v>Eintrag 1741</v>
      </c>
      <c r="B1742" s="18">
        <v>100</v>
      </c>
      <c r="C1742" s="19">
        <v>100</v>
      </c>
      <c r="D1742" s="20">
        <v>10</v>
      </c>
      <c r="E1742" s="20">
        <v>10</v>
      </c>
      <c r="F1742" s="20">
        <v>10</v>
      </c>
      <c r="G1742" s="19">
        <f t="shared" si="133"/>
        <v>172</v>
      </c>
      <c r="H1742" s="22">
        <f t="shared" si="130"/>
        <v>1741</v>
      </c>
      <c r="I1742" s="21">
        <f t="shared" ca="1" si="129"/>
        <v>0</v>
      </c>
      <c r="J1742" s="21" t="str">
        <f ca="1">IF(I1742=0,"",COUNTIF($I$2:I1742,"&gt;0"))</f>
        <v/>
      </c>
      <c r="K1742" s="21" t="str">
        <f t="shared" ca="1" si="132"/>
        <v/>
      </c>
    </row>
    <row r="1743" spans="1:11" s="18" customFormat="1" ht="14.25" x14ac:dyDescent="0.2">
      <c r="A1743" s="18" t="str">
        <f t="shared" si="131"/>
        <v>Eintrag 1742</v>
      </c>
      <c r="B1743" s="18">
        <v>100</v>
      </c>
      <c r="C1743" s="19">
        <v>100</v>
      </c>
      <c r="D1743" s="20">
        <v>10</v>
      </c>
      <c r="E1743" s="20">
        <v>10</v>
      </c>
      <c r="F1743" s="20">
        <v>10</v>
      </c>
      <c r="G1743" s="19">
        <f t="shared" si="133"/>
        <v>172</v>
      </c>
      <c r="H1743" s="22">
        <f t="shared" si="130"/>
        <v>1742</v>
      </c>
      <c r="I1743" s="21">
        <f t="shared" ca="1" si="129"/>
        <v>0</v>
      </c>
      <c r="J1743" s="21" t="str">
        <f ca="1">IF(I1743=0,"",COUNTIF($I$2:I1743,"&gt;0"))</f>
        <v/>
      </c>
      <c r="K1743" s="21" t="str">
        <f t="shared" ca="1" si="132"/>
        <v/>
      </c>
    </row>
    <row r="1744" spans="1:11" s="18" customFormat="1" ht="14.25" x14ac:dyDescent="0.2">
      <c r="A1744" s="18" t="str">
        <f t="shared" si="131"/>
        <v>Eintrag 1743</v>
      </c>
      <c r="B1744" s="18">
        <v>100</v>
      </c>
      <c r="C1744" s="19">
        <v>100</v>
      </c>
      <c r="D1744" s="20">
        <v>10</v>
      </c>
      <c r="E1744" s="20">
        <v>10</v>
      </c>
      <c r="F1744" s="20">
        <v>10</v>
      </c>
      <c r="G1744" s="19">
        <f t="shared" si="133"/>
        <v>172</v>
      </c>
      <c r="H1744" s="22">
        <f t="shared" si="130"/>
        <v>1743</v>
      </c>
      <c r="I1744" s="21">
        <f t="shared" ca="1" si="129"/>
        <v>0</v>
      </c>
      <c r="J1744" s="21" t="str">
        <f ca="1">IF(I1744=0,"",COUNTIF($I$2:I1744,"&gt;0"))</f>
        <v/>
      </c>
      <c r="K1744" s="21" t="str">
        <f t="shared" ca="1" si="132"/>
        <v/>
      </c>
    </row>
    <row r="1745" spans="1:11" s="18" customFormat="1" ht="14.25" x14ac:dyDescent="0.2">
      <c r="A1745" s="18" t="str">
        <f t="shared" si="131"/>
        <v>Eintrag 1744</v>
      </c>
      <c r="B1745" s="18">
        <v>100</v>
      </c>
      <c r="C1745" s="19">
        <v>100</v>
      </c>
      <c r="D1745" s="20">
        <v>10</v>
      </c>
      <c r="E1745" s="20">
        <v>10</v>
      </c>
      <c r="F1745" s="20">
        <v>10</v>
      </c>
      <c r="G1745" s="19">
        <f t="shared" si="133"/>
        <v>172</v>
      </c>
      <c r="H1745" s="22">
        <f t="shared" si="130"/>
        <v>1744</v>
      </c>
      <c r="I1745" s="21">
        <f t="shared" ca="1" si="129"/>
        <v>0</v>
      </c>
      <c r="J1745" s="21" t="str">
        <f ca="1">IF(I1745=0,"",COUNTIF($I$2:I1745,"&gt;0"))</f>
        <v/>
      </c>
      <c r="K1745" s="21" t="str">
        <f t="shared" ca="1" si="132"/>
        <v/>
      </c>
    </row>
    <row r="1746" spans="1:11" s="18" customFormat="1" ht="14.25" x14ac:dyDescent="0.2">
      <c r="A1746" s="18" t="str">
        <f t="shared" si="131"/>
        <v>Eintrag 1745</v>
      </c>
      <c r="B1746" s="18">
        <v>100</v>
      </c>
      <c r="C1746" s="19">
        <v>100</v>
      </c>
      <c r="D1746" s="20">
        <v>10</v>
      </c>
      <c r="E1746" s="20">
        <v>10</v>
      </c>
      <c r="F1746" s="20">
        <v>10</v>
      </c>
      <c r="G1746" s="19">
        <f t="shared" si="133"/>
        <v>172</v>
      </c>
      <c r="H1746" s="22">
        <f t="shared" si="130"/>
        <v>1745</v>
      </c>
      <c r="I1746" s="21">
        <f t="shared" ca="1" si="129"/>
        <v>0</v>
      </c>
      <c r="J1746" s="21" t="str">
        <f ca="1">IF(I1746=0,"",COUNTIF($I$2:I1746,"&gt;0"))</f>
        <v/>
      </c>
      <c r="K1746" s="21" t="str">
        <f t="shared" ca="1" si="132"/>
        <v/>
      </c>
    </row>
    <row r="1747" spans="1:11" s="18" customFormat="1" ht="14.25" x14ac:dyDescent="0.2">
      <c r="A1747" s="18" t="str">
        <f t="shared" si="131"/>
        <v>Eintrag 1746</v>
      </c>
      <c r="B1747" s="18">
        <v>100</v>
      </c>
      <c r="C1747" s="19">
        <v>100</v>
      </c>
      <c r="D1747" s="20">
        <v>10</v>
      </c>
      <c r="E1747" s="20">
        <v>10</v>
      </c>
      <c r="F1747" s="20">
        <v>10</v>
      </c>
      <c r="G1747" s="19">
        <f t="shared" si="133"/>
        <v>172</v>
      </c>
      <c r="H1747" s="22">
        <f t="shared" si="130"/>
        <v>1746</v>
      </c>
      <c r="I1747" s="21">
        <f t="shared" ca="1" si="129"/>
        <v>0</v>
      </c>
      <c r="J1747" s="21" t="str">
        <f ca="1">IF(I1747=0,"",COUNTIF($I$2:I1747,"&gt;0"))</f>
        <v/>
      </c>
      <c r="K1747" s="21" t="str">
        <f t="shared" ca="1" si="132"/>
        <v/>
      </c>
    </row>
    <row r="1748" spans="1:11" s="18" customFormat="1" ht="14.25" x14ac:dyDescent="0.2">
      <c r="A1748" s="18" t="str">
        <f t="shared" si="131"/>
        <v>Eintrag 1747</v>
      </c>
      <c r="B1748" s="18">
        <v>100</v>
      </c>
      <c r="C1748" s="19">
        <v>100</v>
      </c>
      <c r="D1748" s="20">
        <v>10</v>
      </c>
      <c r="E1748" s="20">
        <v>10</v>
      </c>
      <c r="F1748" s="20">
        <v>10</v>
      </c>
      <c r="G1748" s="19">
        <f t="shared" si="133"/>
        <v>172</v>
      </c>
      <c r="H1748" s="22">
        <f t="shared" si="130"/>
        <v>1747</v>
      </c>
      <c r="I1748" s="21">
        <f t="shared" ca="1" si="129"/>
        <v>0</v>
      </c>
      <c r="J1748" s="21" t="str">
        <f ca="1">IF(I1748=0,"",COUNTIF($I$2:I1748,"&gt;0"))</f>
        <v/>
      </c>
      <c r="K1748" s="21" t="str">
        <f t="shared" ca="1" si="132"/>
        <v/>
      </c>
    </row>
    <row r="1749" spans="1:11" s="18" customFormat="1" ht="14.25" x14ac:dyDescent="0.2">
      <c r="A1749" s="18" t="str">
        <f t="shared" si="131"/>
        <v>Eintrag 1748</v>
      </c>
      <c r="B1749" s="18">
        <v>100</v>
      </c>
      <c r="C1749" s="19">
        <v>100</v>
      </c>
      <c r="D1749" s="20">
        <v>10</v>
      </c>
      <c r="E1749" s="20">
        <v>10</v>
      </c>
      <c r="F1749" s="20">
        <v>10</v>
      </c>
      <c r="G1749" s="19">
        <f t="shared" si="133"/>
        <v>172</v>
      </c>
      <c r="H1749" s="22">
        <f t="shared" si="130"/>
        <v>1748</v>
      </c>
      <c r="I1749" s="21">
        <f t="shared" ca="1" si="129"/>
        <v>0</v>
      </c>
      <c r="J1749" s="21" t="str">
        <f ca="1">IF(I1749=0,"",COUNTIF($I$2:I1749,"&gt;0"))</f>
        <v/>
      </c>
      <c r="K1749" s="21" t="str">
        <f t="shared" ca="1" si="132"/>
        <v/>
      </c>
    </row>
    <row r="1750" spans="1:11" s="18" customFormat="1" ht="14.25" x14ac:dyDescent="0.2">
      <c r="A1750" s="18" t="str">
        <f t="shared" si="131"/>
        <v>Eintrag 1749</v>
      </c>
      <c r="B1750" s="18">
        <v>100</v>
      </c>
      <c r="C1750" s="19">
        <v>100</v>
      </c>
      <c r="D1750" s="20">
        <v>10</v>
      </c>
      <c r="E1750" s="20">
        <v>10</v>
      </c>
      <c r="F1750" s="20">
        <v>10</v>
      </c>
      <c r="G1750" s="19">
        <f t="shared" si="133"/>
        <v>172</v>
      </c>
      <c r="H1750" s="22">
        <f t="shared" si="130"/>
        <v>1749</v>
      </c>
      <c r="I1750" s="21">
        <f t="shared" ca="1" si="129"/>
        <v>0</v>
      </c>
      <c r="J1750" s="21" t="str">
        <f ca="1">IF(I1750=0,"",COUNTIF($I$2:I1750,"&gt;0"))</f>
        <v/>
      </c>
      <c r="K1750" s="21" t="str">
        <f t="shared" ca="1" si="132"/>
        <v/>
      </c>
    </row>
    <row r="1751" spans="1:11" s="18" customFormat="1" ht="14.25" x14ac:dyDescent="0.2">
      <c r="A1751" s="18" t="str">
        <f t="shared" si="131"/>
        <v>Eintrag 1750</v>
      </c>
      <c r="B1751" s="18">
        <v>100</v>
      </c>
      <c r="C1751" s="19">
        <v>100</v>
      </c>
      <c r="D1751" s="20">
        <v>10</v>
      </c>
      <c r="E1751" s="20">
        <v>10</v>
      </c>
      <c r="F1751" s="20">
        <v>10</v>
      </c>
      <c r="G1751" s="19">
        <f t="shared" si="133"/>
        <v>172</v>
      </c>
      <c r="H1751" s="22">
        <f t="shared" si="130"/>
        <v>1750</v>
      </c>
      <c r="I1751" s="21">
        <f t="shared" ref="I1751:I1814" ca="1" si="134">IFERROR(SEARCH(INDIRECT(CELL("address")),A1751),0)</f>
        <v>0</v>
      </c>
      <c r="J1751" s="21" t="str">
        <f ca="1">IF(I1751=0,"",COUNTIF($I$2:I1751,"&gt;0"))</f>
        <v/>
      </c>
      <c r="K1751" s="21" t="str">
        <f t="shared" ca="1" si="132"/>
        <v/>
      </c>
    </row>
    <row r="1752" spans="1:11" s="18" customFormat="1" ht="14.25" x14ac:dyDescent="0.2">
      <c r="A1752" s="18" t="str">
        <f t="shared" si="131"/>
        <v>Eintrag 1751</v>
      </c>
      <c r="B1752" s="18">
        <v>100</v>
      </c>
      <c r="C1752" s="19">
        <v>100</v>
      </c>
      <c r="D1752" s="20">
        <v>10</v>
      </c>
      <c r="E1752" s="20">
        <v>10</v>
      </c>
      <c r="F1752" s="20">
        <v>10</v>
      </c>
      <c r="G1752" s="19">
        <f t="shared" si="133"/>
        <v>172</v>
      </c>
      <c r="H1752" s="22">
        <f t="shared" si="130"/>
        <v>1751</v>
      </c>
      <c r="I1752" s="21">
        <f t="shared" ca="1" si="134"/>
        <v>0</v>
      </c>
      <c r="J1752" s="21" t="str">
        <f ca="1">IF(I1752=0,"",COUNTIF($I$2:I1752,"&gt;0"))</f>
        <v/>
      </c>
      <c r="K1752" s="21" t="str">
        <f t="shared" ca="1" si="132"/>
        <v/>
      </c>
    </row>
    <row r="1753" spans="1:11" s="18" customFormat="1" ht="14.25" x14ac:dyDescent="0.2">
      <c r="A1753" s="18" t="str">
        <f t="shared" si="131"/>
        <v>Eintrag 1752</v>
      </c>
      <c r="B1753" s="18">
        <v>100</v>
      </c>
      <c r="C1753" s="19">
        <v>100</v>
      </c>
      <c r="D1753" s="20">
        <v>10</v>
      </c>
      <c r="E1753" s="20">
        <v>10</v>
      </c>
      <c r="F1753" s="20">
        <v>10</v>
      </c>
      <c r="G1753" s="19">
        <f t="shared" si="133"/>
        <v>172</v>
      </c>
      <c r="H1753" s="22">
        <f t="shared" si="130"/>
        <v>1752</v>
      </c>
      <c r="I1753" s="21">
        <f t="shared" ca="1" si="134"/>
        <v>0</v>
      </c>
      <c r="J1753" s="21" t="str">
        <f ca="1">IF(I1753=0,"",COUNTIF($I$2:I1753,"&gt;0"))</f>
        <v/>
      </c>
      <c r="K1753" s="21" t="str">
        <f t="shared" ca="1" si="132"/>
        <v/>
      </c>
    </row>
    <row r="1754" spans="1:11" s="18" customFormat="1" ht="14.25" x14ac:dyDescent="0.2">
      <c r="A1754" s="18" t="str">
        <f t="shared" si="131"/>
        <v>Eintrag 1753</v>
      </c>
      <c r="B1754" s="18">
        <v>100</v>
      </c>
      <c r="C1754" s="19">
        <v>100</v>
      </c>
      <c r="D1754" s="20">
        <v>10</v>
      </c>
      <c r="E1754" s="20">
        <v>10</v>
      </c>
      <c r="F1754" s="20">
        <v>10</v>
      </c>
      <c r="G1754" s="19">
        <f t="shared" si="133"/>
        <v>172</v>
      </c>
      <c r="H1754" s="22">
        <f t="shared" si="130"/>
        <v>1753</v>
      </c>
      <c r="I1754" s="21">
        <f t="shared" ca="1" si="134"/>
        <v>0</v>
      </c>
      <c r="J1754" s="21" t="str">
        <f ca="1">IF(I1754=0,"",COUNTIF($I$2:I1754,"&gt;0"))</f>
        <v/>
      </c>
      <c r="K1754" s="21" t="str">
        <f t="shared" ca="1" si="132"/>
        <v/>
      </c>
    </row>
    <row r="1755" spans="1:11" s="18" customFormat="1" ht="14.25" x14ac:dyDescent="0.2">
      <c r="A1755" s="18" t="str">
        <f t="shared" si="131"/>
        <v>Eintrag 1754</v>
      </c>
      <c r="B1755" s="18">
        <v>100</v>
      </c>
      <c r="C1755" s="19">
        <v>100</v>
      </c>
      <c r="D1755" s="20">
        <v>10</v>
      </c>
      <c r="E1755" s="20">
        <v>10</v>
      </c>
      <c r="F1755" s="20">
        <v>10</v>
      </c>
      <c r="G1755" s="19">
        <f t="shared" si="133"/>
        <v>172</v>
      </c>
      <c r="H1755" s="22">
        <f t="shared" si="130"/>
        <v>1754</v>
      </c>
      <c r="I1755" s="21">
        <f t="shared" ca="1" si="134"/>
        <v>0</v>
      </c>
      <c r="J1755" s="21" t="str">
        <f ca="1">IF(I1755=0,"",COUNTIF($I$2:I1755,"&gt;0"))</f>
        <v/>
      </c>
      <c r="K1755" s="21" t="str">
        <f t="shared" ca="1" si="132"/>
        <v/>
      </c>
    </row>
    <row r="1756" spans="1:11" s="18" customFormat="1" ht="14.25" x14ac:dyDescent="0.2">
      <c r="A1756" s="18" t="str">
        <f t="shared" si="131"/>
        <v>Eintrag 1755</v>
      </c>
      <c r="B1756" s="18">
        <v>100</v>
      </c>
      <c r="C1756" s="19">
        <v>100</v>
      </c>
      <c r="D1756" s="20">
        <v>10</v>
      </c>
      <c r="E1756" s="20">
        <v>10</v>
      </c>
      <c r="F1756" s="20">
        <v>10</v>
      </c>
      <c r="G1756" s="19">
        <f t="shared" si="133"/>
        <v>172</v>
      </c>
      <c r="H1756" s="22">
        <f t="shared" si="130"/>
        <v>1755</v>
      </c>
      <c r="I1756" s="21">
        <f t="shared" ca="1" si="134"/>
        <v>0</v>
      </c>
      <c r="J1756" s="21" t="str">
        <f ca="1">IF(I1756=0,"",COUNTIF($I$2:I1756,"&gt;0"))</f>
        <v/>
      </c>
      <c r="K1756" s="21" t="str">
        <f t="shared" ca="1" si="132"/>
        <v/>
      </c>
    </row>
    <row r="1757" spans="1:11" s="18" customFormat="1" ht="14.25" x14ac:dyDescent="0.2">
      <c r="A1757" s="18" t="str">
        <f t="shared" si="131"/>
        <v>Eintrag 1756</v>
      </c>
      <c r="B1757" s="18">
        <v>100</v>
      </c>
      <c r="C1757" s="19">
        <v>100</v>
      </c>
      <c r="D1757" s="20">
        <v>10</v>
      </c>
      <c r="E1757" s="20">
        <v>10</v>
      </c>
      <c r="F1757" s="20">
        <v>10</v>
      </c>
      <c r="G1757" s="19">
        <f t="shared" si="133"/>
        <v>172</v>
      </c>
      <c r="H1757" s="22">
        <f t="shared" si="130"/>
        <v>1756</v>
      </c>
      <c r="I1757" s="21">
        <f t="shared" ca="1" si="134"/>
        <v>0</v>
      </c>
      <c r="J1757" s="21" t="str">
        <f ca="1">IF(I1757=0,"",COUNTIF($I$2:I1757,"&gt;0"))</f>
        <v/>
      </c>
      <c r="K1757" s="21" t="str">
        <f t="shared" ca="1" si="132"/>
        <v/>
      </c>
    </row>
    <row r="1758" spans="1:11" s="18" customFormat="1" ht="14.25" x14ac:dyDescent="0.2">
      <c r="A1758" s="18" t="str">
        <f t="shared" si="131"/>
        <v>Eintrag 1757</v>
      </c>
      <c r="B1758" s="18">
        <v>100</v>
      </c>
      <c r="C1758" s="19">
        <v>100</v>
      </c>
      <c r="D1758" s="20">
        <v>10</v>
      </c>
      <c r="E1758" s="20">
        <v>10</v>
      </c>
      <c r="F1758" s="20">
        <v>10</v>
      </c>
      <c r="G1758" s="19">
        <f t="shared" si="133"/>
        <v>172</v>
      </c>
      <c r="H1758" s="22">
        <f t="shared" si="130"/>
        <v>1757</v>
      </c>
      <c r="I1758" s="21">
        <f t="shared" ca="1" si="134"/>
        <v>0</v>
      </c>
      <c r="J1758" s="21" t="str">
        <f ca="1">IF(I1758=0,"",COUNTIF($I$2:I1758,"&gt;0"))</f>
        <v/>
      </c>
      <c r="K1758" s="21" t="str">
        <f t="shared" ca="1" si="132"/>
        <v/>
      </c>
    </row>
    <row r="1759" spans="1:11" s="18" customFormat="1" ht="14.25" x14ac:dyDescent="0.2">
      <c r="A1759" s="18" t="str">
        <f t="shared" si="131"/>
        <v>Eintrag 1758</v>
      </c>
      <c r="B1759" s="18">
        <v>100</v>
      </c>
      <c r="C1759" s="19">
        <v>100</v>
      </c>
      <c r="D1759" s="20">
        <v>10</v>
      </c>
      <c r="E1759" s="20">
        <v>10</v>
      </c>
      <c r="F1759" s="20">
        <v>10</v>
      </c>
      <c r="G1759" s="19">
        <f t="shared" si="133"/>
        <v>172</v>
      </c>
      <c r="H1759" s="22">
        <f t="shared" si="130"/>
        <v>1758</v>
      </c>
      <c r="I1759" s="21">
        <f t="shared" ca="1" si="134"/>
        <v>0</v>
      </c>
      <c r="J1759" s="21" t="str">
        <f ca="1">IF(I1759=0,"",COUNTIF($I$2:I1759,"&gt;0"))</f>
        <v/>
      </c>
      <c r="K1759" s="21" t="str">
        <f t="shared" ca="1" si="132"/>
        <v/>
      </c>
    </row>
    <row r="1760" spans="1:11" s="18" customFormat="1" ht="14.25" x14ac:dyDescent="0.2">
      <c r="A1760" s="18" t="str">
        <f t="shared" si="131"/>
        <v>Eintrag 1759</v>
      </c>
      <c r="B1760" s="18">
        <v>100</v>
      </c>
      <c r="C1760" s="19">
        <v>100</v>
      </c>
      <c r="D1760" s="20">
        <v>10</v>
      </c>
      <c r="E1760" s="20">
        <v>10</v>
      </c>
      <c r="F1760" s="20">
        <v>10</v>
      </c>
      <c r="G1760" s="19">
        <f t="shared" si="133"/>
        <v>172</v>
      </c>
      <c r="H1760" s="22">
        <f t="shared" si="130"/>
        <v>1759</v>
      </c>
      <c r="I1760" s="21">
        <f t="shared" ca="1" si="134"/>
        <v>0</v>
      </c>
      <c r="J1760" s="21" t="str">
        <f ca="1">IF(I1760=0,"",COUNTIF($I$2:I1760,"&gt;0"))</f>
        <v/>
      </c>
      <c r="K1760" s="21" t="str">
        <f t="shared" ca="1" si="132"/>
        <v/>
      </c>
    </row>
    <row r="1761" spans="1:11" s="18" customFormat="1" ht="14.25" x14ac:dyDescent="0.2">
      <c r="A1761" s="18" t="str">
        <f t="shared" si="131"/>
        <v>Eintrag 1760</v>
      </c>
      <c r="B1761" s="18">
        <v>100</v>
      </c>
      <c r="C1761" s="19">
        <v>100</v>
      </c>
      <c r="D1761" s="20">
        <v>10</v>
      </c>
      <c r="E1761" s="20">
        <v>10</v>
      </c>
      <c r="F1761" s="20">
        <v>10</v>
      </c>
      <c r="G1761" s="19">
        <f t="shared" si="133"/>
        <v>172</v>
      </c>
      <c r="H1761" s="22">
        <f t="shared" si="130"/>
        <v>1760</v>
      </c>
      <c r="I1761" s="21">
        <f t="shared" ca="1" si="134"/>
        <v>0</v>
      </c>
      <c r="J1761" s="21" t="str">
        <f ca="1">IF(I1761=0,"",COUNTIF($I$2:I1761,"&gt;0"))</f>
        <v/>
      </c>
      <c r="K1761" s="21" t="str">
        <f t="shared" ca="1" si="132"/>
        <v/>
      </c>
    </row>
    <row r="1762" spans="1:11" s="18" customFormat="1" ht="14.25" x14ac:dyDescent="0.2">
      <c r="A1762" s="18" t="str">
        <f t="shared" si="131"/>
        <v>Eintrag 1761</v>
      </c>
      <c r="B1762" s="18">
        <v>100</v>
      </c>
      <c r="C1762" s="19">
        <v>100</v>
      </c>
      <c r="D1762" s="20">
        <v>10</v>
      </c>
      <c r="E1762" s="20">
        <v>10</v>
      </c>
      <c r="F1762" s="20">
        <v>10</v>
      </c>
      <c r="G1762" s="19">
        <f t="shared" si="133"/>
        <v>172</v>
      </c>
      <c r="H1762" s="22">
        <f t="shared" si="130"/>
        <v>1761</v>
      </c>
      <c r="I1762" s="21">
        <f t="shared" ca="1" si="134"/>
        <v>0</v>
      </c>
      <c r="J1762" s="21" t="str">
        <f ca="1">IF(I1762=0,"",COUNTIF($I$2:I1762,"&gt;0"))</f>
        <v/>
      </c>
      <c r="K1762" s="21" t="str">
        <f t="shared" ca="1" si="132"/>
        <v/>
      </c>
    </row>
    <row r="1763" spans="1:11" s="18" customFormat="1" ht="14.25" x14ac:dyDescent="0.2">
      <c r="A1763" s="18" t="str">
        <f t="shared" si="131"/>
        <v>Eintrag 1762</v>
      </c>
      <c r="B1763" s="18">
        <v>100</v>
      </c>
      <c r="C1763" s="19">
        <v>100</v>
      </c>
      <c r="D1763" s="20">
        <v>10</v>
      </c>
      <c r="E1763" s="20">
        <v>10</v>
      </c>
      <c r="F1763" s="20">
        <v>10</v>
      </c>
      <c r="G1763" s="19">
        <f t="shared" si="133"/>
        <v>172</v>
      </c>
      <c r="H1763" s="22">
        <f t="shared" si="130"/>
        <v>1762</v>
      </c>
      <c r="I1763" s="21">
        <f t="shared" ca="1" si="134"/>
        <v>0</v>
      </c>
      <c r="J1763" s="21" t="str">
        <f ca="1">IF(I1763=0,"",COUNTIF($I$2:I1763,"&gt;0"))</f>
        <v/>
      </c>
      <c r="K1763" s="21" t="str">
        <f t="shared" ca="1" si="132"/>
        <v/>
      </c>
    </row>
    <row r="1764" spans="1:11" s="18" customFormat="1" ht="14.25" x14ac:dyDescent="0.2">
      <c r="A1764" s="18" t="str">
        <f t="shared" si="131"/>
        <v>Eintrag 1763</v>
      </c>
      <c r="B1764" s="18">
        <v>100</v>
      </c>
      <c r="C1764" s="19">
        <v>100</v>
      </c>
      <c r="D1764" s="20">
        <v>10</v>
      </c>
      <c r="E1764" s="20">
        <v>10</v>
      </c>
      <c r="F1764" s="20">
        <v>10</v>
      </c>
      <c r="G1764" s="19">
        <f t="shared" si="133"/>
        <v>172</v>
      </c>
      <c r="H1764" s="22">
        <f t="shared" si="130"/>
        <v>1763</v>
      </c>
      <c r="I1764" s="21">
        <f t="shared" ca="1" si="134"/>
        <v>0</v>
      </c>
      <c r="J1764" s="21" t="str">
        <f ca="1">IF(I1764=0,"",COUNTIF($I$2:I1764,"&gt;0"))</f>
        <v/>
      </c>
      <c r="K1764" s="21" t="str">
        <f t="shared" ca="1" si="132"/>
        <v/>
      </c>
    </row>
    <row r="1765" spans="1:11" s="18" customFormat="1" ht="14.25" x14ac:dyDescent="0.2">
      <c r="A1765" s="18" t="str">
        <f t="shared" si="131"/>
        <v>Eintrag 1764</v>
      </c>
      <c r="B1765" s="18">
        <v>100</v>
      </c>
      <c r="C1765" s="19">
        <v>100</v>
      </c>
      <c r="D1765" s="20">
        <v>10</v>
      </c>
      <c r="E1765" s="20">
        <v>10</v>
      </c>
      <c r="F1765" s="20">
        <v>10</v>
      </c>
      <c r="G1765" s="19">
        <f t="shared" si="133"/>
        <v>172</v>
      </c>
      <c r="H1765" s="22">
        <f t="shared" ref="H1765:H1828" si="135">H1764+1</f>
        <v>1764</v>
      </c>
      <c r="I1765" s="21">
        <f t="shared" ca="1" si="134"/>
        <v>0</v>
      </c>
      <c r="J1765" s="21" t="str">
        <f ca="1">IF(I1765=0,"",COUNTIF($I$2:I1765,"&gt;0"))</f>
        <v/>
      </c>
      <c r="K1765" s="21" t="str">
        <f t="shared" ca="1" si="132"/>
        <v/>
      </c>
    </row>
    <row r="1766" spans="1:11" s="18" customFormat="1" ht="14.25" x14ac:dyDescent="0.2">
      <c r="A1766" s="18" t="str">
        <f t="shared" si="131"/>
        <v>Eintrag 1765</v>
      </c>
      <c r="B1766" s="18">
        <v>100</v>
      </c>
      <c r="C1766" s="19">
        <v>100</v>
      </c>
      <c r="D1766" s="20">
        <v>10</v>
      </c>
      <c r="E1766" s="20">
        <v>10</v>
      </c>
      <c r="F1766" s="20">
        <v>10</v>
      </c>
      <c r="G1766" s="19">
        <f t="shared" si="133"/>
        <v>172</v>
      </c>
      <c r="H1766" s="22">
        <f t="shared" si="135"/>
        <v>1765</v>
      </c>
      <c r="I1766" s="21">
        <f t="shared" ca="1" si="134"/>
        <v>0</v>
      </c>
      <c r="J1766" s="21" t="str">
        <f ca="1">IF(I1766=0,"",COUNTIF($I$2:I1766,"&gt;0"))</f>
        <v/>
      </c>
      <c r="K1766" s="21" t="str">
        <f t="shared" ca="1" si="132"/>
        <v/>
      </c>
    </row>
    <row r="1767" spans="1:11" s="18" customFormat="1" ht="14.25" x14ac:dyDescent="0.2">
      <c r="A1767" s="18" t="str">
        <f t="shared" si="131"/>
        <v>Eintrag 1766</v>
      </c>
      <c r="B1767" s="18">
        <v>100</v>
      </c>
      <c r="C1767" s="19">
        <v>100</v>
      </c>
      <c r="D1767" s="20">
        <v>10</v>
      </c>
      <c r="E1767" s="20">
        <v>10</v>
      </c>
      <c r="F1767" s="20">
        <v>10</v>
      </c>
      <c r="G1767" s="19">
        <f t="shared" si="133"/>
        <v>172</v>
      </c>
      <c r="H1767" s="22">
        <f t="shared" si="135"/>
        <v>1766</v>
      </c>
      <c r="I1767" s="21">
        <f t="shared" ca="1" si="134"/>
        <v>0</v>
      </c>
      <c r="J1767" s="21" t="str">
        <f ca="1">IF(I1767=0,"",COUNTIF($I$2:I1767,"&gt;0"))</f>
        <v/>
      </c>
      <c r="K1767" s="21" t="str">
        <f t="shared" ca="1" si="132"/>
        <v/>
      </c>
    </row>
    <row r="1768" spans="1:11" s="18" customFormat="1" ht="14.25" x14ac:dyDescent="0.2">
      <c r="A1768" s="18" t="str">
        <f t="shared" si="131"/>
        <v>Eintrag 1767</v>
      </c>
      <c r="B1768" s="18">
        <v>100</v>
      </c>
      <c r="C1768" s="19">
        <v>100</v>
      </c>
      <c r="D1768" s="20">
        <v>10</v>
      </c>
      <c r="E1768" s="20">
        <v>10</v>
      </c>
      <c r="F1768" s="20">
        <v>10</v>
      </c>
      <c r="G1768" s="19">
        <f t="shared" si="133"/>
        <v>172</v>
      </c>
      <c r="H1768" s="22">
        <f t="shared" si="135"/>
        <v>1767</v>
      </c>
      <c r="I1768" s="21">
        <f t="shared" ca="1" si="134"/>
        <v>0</v>
      </c>
      <c r="J1768" s="21" t="str">
        <f ca="1">IF(I1768=0,"",COUNTIF($I$2:I1768,"&gt;0"))</f>
        <v/>
      </c>
      <c r="K1768" s="21" t="str">
        <f t="shared" ca="1" si="132"/>
        <v/>
      </c>
    </row>
    <row r="1769" spans="1:11" s="18" customFormat="1" ht="14.25" x14ac:dyDescent="0.2">
      <c r="A1769" s="18" t="str">
        <f t="shared" si="131"/>
        <v>Eintrag 1768</v>
      </c>
      <c r="B1769" s="18">
        <v>100</v>
      </c>
      <c r="C1769" s="19">
        <v>100</v>
      </c>
      <c r="D1769" s="20">
        <v>10</v>
      </c>
      <c r="E1769" s="20">
        <v>10</v>
      </c>
      <c r="F1769" s="20">
        <v>10</v>
      </c>
      <c r="G1769" s="19">
        <f t="shared" si="133"/>
        <v>172</v>
      </c>
      <c r="H1769" s="22">
        <f t="shared" si="135"/>
        <v>1768</v>
      </c>
      <c r="I1769" s="21">
        <f t="shared" ca="1" si="134"/>
        <v>0</v>
      </c>
      <c r="J1769" s="21" t="str">
        <f ca="1">IF(I1769=0,"",COUNTIF($I$2:I1769,"&gt;0"))</f>
        <v/>
      </c>
      <c r="K1769" s="21" t="str">
        <f t="shared" ca="1" si="132"/>
        <v/>
      </c>
    </row>
    <row r="1770" spans="1:11" s="18" customFormat="1" ht="14.25" x14ac:dyDescent="0.2">
      <c r="A1770" s="18" t="str">
        <f t="shared" si="131"/>
        <v>Eintrag 1769</v>
      </c>
      <c r="B1770" s="18">
        <v>100</v>
      </c>
      <c r="C1770" s="19">
        <v>100</v>
      </c>
      <c r="D1770" s="20">
        <v>10</v>
      </c>
      <c r="E1770" s="20">
        <v>10</v>
      </c>
      <c r="F1770" s="20">
        <v>10</v>
      </c>
      <c r="G1770" s="19">
        <f t="shared" si="133"/>
        <v>172</v>
      </c>
      <c r="H1770" s="22">
        <f t="shared" si="135"/>
        <v>1769</v>
      </c>
      <c r="I1770" s="21">
        <f t="shared" ca="1" si="134"/>
        <v>0</v>
      </c>
      <c r="J1770" s="21" t="str">
        <f ca="1">IF(I1770=0,"",COUNTIF($I$2:I1770,"&gt;0"))</f>
        <v/>
      </c>
      <c r="K1770" s="21" t="str">
        <f t="shared" ca="1" si="132"/>
        <v/>
      </c>
    </row>
    <row r="1771" spans="1:11" s="18" customFormat="1" ht="14.25" x14ac:dyDescent="0.2">
      <c r="A1771" s="18" t="str">
        <f t="shared" si="131"/>
        <v>Eintrag 1770</v>
      </c>
      <c r="B1771" s="18">
        <v>100</v>
      </c>
      <c r="C1771" s="19">
        <v>100</v>
      </c>
      <c r="D1771" s="20">
        <v>10</v>
      </c>
      <c r="E1771" s="20">
        <v>10</v>
      </c>
      <c r="F1771" s="20">
        <v>10</v>
      </c>
      <c r="G1771" s="19">
        <f t="shared" si="133"/>
        <v>172</v>
      </c>
      <c r="H1771" s="22">
        <f t="shared" si="135"/>
        <v>1770</v>
      </c>
      <c r="I1771" s="21">
        <f t="shared" ca="1" si="134"/>
        <v>0</v>
      </c>
      <c r="J1771" s="21" t="str">
        <f ca="1">IF(I1771=0,"",COUNTIF($I$2:I1771,"&gt;0"))</f>
        <v/>
      </c>
      <c r="K1771" s="21" t="str">
        <f t="shared" ca="1" si="132"/>
        <v/>
      </c>
    </row>
    <row r="1772" spans="1:11" s="18" customFormat="1" ht="14.25" x14ac:dyDescent="0.2">
      <c r="A1772" s="18" t="str">
        <f t="shared" si="131"/>
        <v>Eintrag 1771</v>
      </c>
      <c r="B1772" s="18">
        <v>100</v>
      </c>
      <c r="C1772" s="19">
        <v>100</v>
      </c>
      <c r="D1772" s="20">
        <v>10</v>
      </c>
      <c r="E1772" s="20">
        <v>10</v>
      </c>
      <c r="F1772" s="20">
        <v>10</v>
      </c>
      <c r="G1772" s="19">
        <f t="shared" si="133"/>
        <v>172</v>
      </c>
      <c r="H1772" s="22">
        <f t="shared" si="135"/>
        <v>1771</v>
      </c>
      <c r="I1772" s="21">
        <f t="shared" ca="1" si="134"/>
        <v>0</v>
      </c>
      <c r="J1772" s="21" t="str">
        <f ca="1">IF(I1772=0,"",COUNTIF($I$2:I1772,"&gt;0"))</f>
        <v/>
      </c>
      <c r="K1772" s="21" t="str">
        <f t="shared" ca="1" si="132"/>
        <v/>
      </c>
    </row>
    <row r="1773" spans="1:11" s="18" customFormat="1" ht="14.25" x14ac:dyDescent="0.2">
      <c r="A1773" s="18" t="str">
        <f t="shared" si="131"/>
        <v>Eintrag 1772</v>
      </c>
      <c r="B1773" s="18">
        <v>100</v>
      </c>
      <c r="C1773" s="19">
        <v>100</v>
      </c>
      <c r="D1773" s="20">
        <v>10</v>
      </c>
      <c r="E1773" s="20">
        <v>10</v>
      </c>
      <c r="F1773" s="20">
        <v>10</v>
      </c>
      <c r="G1773" s="19">
        <f t="shared" si="133"/>
        <v>172</v>
      </c>
      <c r="H1773" s="22">
        <f t="shared" si="135"/>
        <v>1772</v>
      </c>
      <c r="I1773" s="21">
        <f t="shared" ca="1" si="134"/>
        <v>0</v>
      </c>
      <c r="J1773" s="21" t="str">
        <f ca="1">IF(I1773=0,"",COUNTIF($I$2:I1773,"&gt;0"))</f>
        <v/>
      </c>
      <c r="K1773" s="21" t="str">
        <f t="shared" ca="1" si="132"/>
        <v/>
      </c>
    </row>
    <row r="1774" spans="1:11" s="18" customFormat="1" ht="14.25" x14ac:dyDescent="0.2">
      <c r="A1774" s="18" t="str">
        <f t="shared" si="131"/>
        <v>Eintrag 1773</v>
      </c>
      <c r="B1774" s="18">
        <v>100</v>
      </c>
      <c r="C1774" s="19">
        <v>100</v>
      </c>
      <c r="D1774" s="20">
        <v>10</v>
      </c>
      <c r="E1774" s="20">
        <v>10</v>
      </c>
      <c r="F1774" s="20">
        <v>10</v>
      </c>
      <c r="G1774" s="19">
        <f t="shared" si="133"/>
        <v>172</v>
      </c>
      <c r="H1774" s="22">
        <f t="shared" si="135"/>
        <v>1773</v>
      </c>
      <c r="I1774" s="21">
        <f t="shared" ca="1" si="134"/>
        <v>0</v>
      </c>
      <c r="J1774" s="21" t="str">
        <f ca="1">IF(I1774=0,"",COUNTIF($I$2:I1774,"&gt;0"))</f>
        <v/>
      </c>
      <c r="K1774" s="21" t="str">
        <f t="shared" ca="1" si="132"/>
        <v/>
      </c>
    </row>
    <row r="1775" spans="1:11" s="18" customFormat="1" ht="14.25" x14ac:dyDescent="0.2">
      <c r="A1775" s="18" t="str">
        <f t="shared" si="131"/>
        <v>Eintrag 1774</v>
      </c>
      <c r="B1775" s="18">
        <v>100</v>
      </c>
      <c r="C1775" s="19">
        <v>100</v>
      </c>
      <c r="D1775" s="20">
        <v>10</v>
      </c>
      <c r="E1775" s="20">
        <v>10</v>
      </c>
      <c r="F1775" s="20">
        <v>10</v>
      </c>
      <c r="G1775" s="19">
        <f t="shared" si="133"/>
        <v>172</v>
      </c>
      <c r="H1775" s="22">
        <f t="shared" si="135"/>
        <v>1774</v>
      </c>
      <c r="I1775" s="21">
        <f t="shared" ca="1" si="134"/>
        <v>0</v>
      </c>
      <c r="J1775" s="21" t="str">
        <f ca="1">IF(I1775=0,"",COUNTIF($I$2:I1775,"&gt;0"))</f>
        <v/>
      </c>
      <c r="K1775" s="21" t="str">
        <f t="shared" ca="1" si="132"/>
        <v/>
      </c>
    </row>
    <row r="1776" spans="1:11" s="18" customFormat="1" ht="14.25" x14ac:dyDescent="0.2">
      <c r="A1776" s="18" t="str">
        <f t="shared" si="131"/>
        <v>Eintrag 1775</v>
      </c>
      <c r="B1776" s="18">
        <v>100</v>
      </c>
      <c r="C1776" s="19">
        <v>100</v>
      </c>
      <c r="D1776" s="20">
        <v>10</v>
      </c>
      <c r="E1776" s="20">
        <v>10</v>
      </c>
      <c r="F1776" s="20">
        <v>10</v>
      </c>
      <c r="G1776" s="19">
        <f t="shared" si="133"/>
        <v>172</v>
      </c>
      <c r="H1776" s="22">
        <f t="shared" si="135"/>
        <v>1775</v>
      </c>
      <c r="I1776" s="21">
        <f t="shared" ca="1" si="134"/>
        <v>0</v>
      </c>
      <c r="J1776" s="21" t="str">
        <f ca="1">IF(I1776=0,"",COUNTIF($I$2:I1776,"&gt;0"))</f>
        <v/>
      </c>
      <c r="K1776" s="21" t="str">
        <f t="shared" ca="1" si="132"/>
        <v/>
      </c>
    </row>
    <row r="1777" spans="1:11" s="18" customFormat="1" ht="14.25" x14ac:dyDescent="0.2">
      <c r="A1777" s="18" t="str">
        <f t="shared" si="131"/>
        <v>Eintrag 1776</v>
      </c>
      <c r="B1777" s="18">
        <v>100</v>
      </c>
      <c r="C1777" s="19">
        <v>100</v>
      </c>
      <c r="D1777" s="20">
        <v>10</v>
      </c>
      <c r="E1777" s="20">
        <v>10</v>
      </c>
      <c r="F1777" s="20">
        <v>10</v>
      </c>
      <c r="G1777" s="19">
        <f t="shared" si="133"/>
        <v>172</v>
      </c>
      <c r="H1777" s="22">
        <f t="shared" si="135"/>
        <v>1776</v>
      </c>
      <c r="I1777" s="21">
        <f t="shared" ca="1" si="134"/>
        <v>0</v>
      </c>
      <c r="J1777" s="21" t="str">
        <f ca="1">IF(I1777=0,"",COUNTIF($I$2:I1777,"&gt;0"))</f>
        <v/>
      </c>
      <c r="K1777" s="21" t="str">
        <f t="shared" ca="1" si="132"/>
        <v/>
      </c>
    </row>
    <row r="1778" spans="1:11" s="18" customFormat="1" ht="14.25" x14ac:dyDescent="0.2">
      <c r="A1778" s="18" t="str">
        <f t="shared" si="131"/>
        <v>Eintrag 1777</v>
      </c>
      <c r="B1778" s="18">
        <v>100</v>
      </c>
      <c r="C1778" s="19">
        <v>100</v>
      </c>
      <c r="D1778" s="20">
        <v>10</v>
      </c>
      <c r="E1778" s="20">
        <v>10</v>
      </c>
      <c r="F1778" s="20">
        <v>10</v>
      </c>
      <c r="G1778" s="19">
        <f t="shared" si="133"/>
        <v>172</v>
      </c>
      <c r="H1778" s="22">
        <f t="shared" si="135"/>
        <v>1777</v>
      </c>
      <c r="I1778" s="21">
        <f t="shared" ca="1" si="134"/>
        <v>0</v>
      </c>
      <c r="J1778" s="21" t="str">
        <f ca="1">IF(I1778=0,"",COUNTIF($I$2:I1778,"&gt;0"))</f>
        <v/>
      </c>
      <c r="K1778" s="21" t="str">
        <f t="shared" ca="1" si="132"/>
        <v/>
      </c>
    </row>
    <row r="1779" spans="1:11" s="18" customFormat="1" ht="14.25" x14ac:dyDescent="0.2">
      <c r="A1779" s="18" t="str">
        <f t="shared" si="131"/>
        <v>Eintrag 1778</v>
      </c>
      <c r="B1779" s="18">
        <v>100</v>
      </c>
      <c r="C1779" s="19">
        <v>100</v>
      </c>
      <c r="D1779" s="20">
        <v>10</v>
      </c>
      <c r="E1779" s="20">
        <v>10</v>
      </c>
      <c r="F1779" s="20">
        <v>10</v>
      </c>
      <c r="G1779" s="19">
        <f t="shared" si="133"/>
        <v>172</v>
      </c>
      <c r="H1779" s="22">
        <f t="shared" si="135"/>
        <v>1778</v>
      </c>
      <c r="I1779" s="21">
        <f t="shared" ca="1" si="134"/>
        <v>0</v>
      </c>
      <c r="J1779" s="21" t="str">
        <f ca="1">IF(I1779=0,"",COUNTIF($I$2:I1779,"&gt;0"))</f>
        <v/>
      </c>
      <c r="K1779" s="21" t="str">
        <f t="shared" ca="1" si="132"/>
        <v/>
      </c>
    </row>
    <row r="1780" spans="1:11" s="18" customFormat="1" ht="14.25" x14ac:dyDescent="0.2">
      <c r="A1780" s="18" t="str">
        <f t="shared" si="131"/>
        <v>Eintrag 1779</v>
      </c>
      <c r="B1780" s="18">
        <v>100</v>
      </c>
      <c r="C1780" s="19">
        <v>100</v>
      </c>
      <c r="D1780" s="20">
        <v>10</v>
      </c>
      <c r="E1780" s="20">
        <v>10</v>
      </c>
      <c r="F1780" s="20">
        <v>10</v>
      </c>
      <c r="G1780" s="19">
        <f t="shared" si="133"/>
        <v>172</v>
      </c>
      <c r="H1780" s="22">
        <f t="shared" si="135"/>
        <v>1779</v>
      </c>
      <c r="I1780" s="21">
        <f t="shared" ca="1" si="134"/>
        <v>0</v>
      </c>
      <c r="J1780" s="21" t="str">
        <f ca="1">IF(I1780=0,"",COUNTIF($I$2:I1780,"&gt;0"))</f>
        <v/>
      </c>
      <c r="K1780" s="21" t="str">
        <f t="shared" ca="1" si="132"/>
        <v/>
      </c>
    </row>
    <row r="1781" spans="1:11" s="18" customFormat="1" ht="14.25" x14ac:dyDescent="0.2">
      <c r="A1781" s="18" t="str">
        <f t="shared" si="131"/>
        <v>Eintrag 1780</v>
      </c>
      <c r="B1781" s="18">
        <v>100</v>
      </c>
      <c r="C1781" s="19">
        <v>100</v>
      </c>
      <c r="D1781" s="20">
        <v>10</v>
      </c>
      <c r="E1781" s="20">
        <v>10</v>
      </c>
      <c r="F1781" s="20">
        <v>10</v>
      </c>
      <c r="G1781" s="19">
        <f t="shared" si="133"/>
        <v>172</v>
      </c>
      <c r="H1781" s="22">
        <f t="shared" si="135"/>
        <v>1780</v>
      </c>
      <c r="I1781" s="21">
        <f t="shared" ca="1" si="134"/>
        <v>0</v>
      </c>
      <c r="J1781" s="21" t="str">
        <f ca="1">IF(I1781=0,"",COUNTIF($I$2:I1781,"&gt;0"))</f>
        <v/>
      </c>
      <c r="K1781" s="21" t="str">
        <f t="shared" ca="1" si="132"/>
        <v/>
      </c>
    </row>
    <row r="1782" spans="1:11" s="18" customFormat="1" ht="14.25" x14ac:dyDescent="0.2">
      <c r="A1782" s="18" t="str">
        <f t="shared" si="131"/>
        <v>Eintrag 1781</v>
      </c>
      <c r="B1782" s="18">
        <v>100</v>
      </c>
      <c r="C1782" s="19">
        <v>100</v>
      </c>
      <c r="D1782" s="20">
        <v>10</v>
      </c>
      <c r="E1782" s="20">
        <v>10</v>
      </c>
      <c r="F1782" s="20">
        <v>10</v>
      </c>
      <c r="G1782" s="19">
        <f t="shared" si="133"/>
        <v>172</v>
      </c>
      <c r="H1782" s="22">
        <f t="shared" si="135"/>
        <v>1781</v>
      </c>
      <c r="I1782" s="21">
        <f t="shared" ca="1" si="134"/>
        <v>0</v>
      </c>
      <c r="J1782" s="21" t="str">
        <f ca="1">IF(I1782=0,"",COUNTIF($I$2:I1782,"&gt;0"))</f>
        <v/>
      </c>
      <c r="K1782" s="21" t="str">
        <f t="shared" ca="1" si="132"/>
        <v/>
      </c>
    </row>
    <row r="1783" spans="1:11" s="18" customFormat="1" ht="14.25" x14ac:dyDescent="0.2">
      <c r="A1783" s="18" t="str">
        <f t="shared" si="131"/>
        <v>Eintrag 1782</v>
      </c>
      <c r="B1783" s="18">
        <v>100</v>
      </c>
      <c r="C1783" s="19">
        <v>100</v>
      </c>
      <c r="D1783" s="20">
        <v>10</v>
      </c>
      <c r="E1783" s="20">
        <v>10</v>
      </c>
      <c r="F1783" s="20">
        <v>10</v>
      </c>
      <c r="G1783" s="19">
        <f t="shared" si="133"/>
        <v>172</v>
      </c>
      <c r="H1783" s="22">
        <f t="shared" si="135"/>
        <v>1782</v>
      </c>
      <c r="I1783" s="21">
        <f t="shared" ca="1" si="134"/>
        <v>0</v>
      </c>
      <c r="J1783" s="21" t="str">
        <f ca="1">IF(I1783=0,"",COUNTIF($I$2:I1783,"&gt;0"))</f>
        <v/>
      </c>
      <c r="K1783" s="21" t="str">
        <f t="shared" ca="1" si="132"/>
        <v/>
      </c>
    </row>
    <row r="1784" spans="1:11" s="18" customFormat="1" ht="14.25" x14ac:dyDescent="0.2">
      <c r="A1784" s="18" t="str">
        <f t="shared" si="131"/>
        <v>Eintrag 1783</v>
      </c>
      <c r="B1784" s="18">
        <v>100</v>
      </c>
      <c r="C1784" s="19">
        <v>100</v>
      </c>
      <c r="D1784" s="20">
        <v>10</v>
      </c>
      <c r="E1784" s="20">
        <v>10</v>
      </c>
      <c r="F1784" s="20">
        <v>10</v>
      </c>
      <c r="G1784" s="19">
        <f t="shared" si="133"/>
        <v>172</v>
      </c>
      <c r="H1784" s="22">
        <f t="shared" si="135"/>
        <v>1783</v>
      </c>
      <c r="I1784" s="21">
        <f t="shared" ca="1" si="134"/>
        <v>0</v>
      </c>
      <c r="J1784" s="21" t="str">
        <f ca="1">IF(I1784=0,"",COUNTIF($I$2:I1784,"&gt;0"))</f>
        <v/>
      </c>
      <c r="K1784" s="21" t="str">
        <f t="shared" ca="1" si="132"/>
        <v/>
      </c>
    </row>
    <row r="1785" spans="1:11" s="18" customFormat="1" ht="14.25" x14ac:dyDescent="0.2">
      <c r="A1785" s="18" t="str">
        <f t="shared" si="131"/>
        <v>Eintrag 1784</v>
      </c>
      <c r="B1785" s="18">
        <v>100</v>
      </c>
      <c r="C1785" s="19">
        <v>100</v>
      </c>
      <c r="D1785" s="20">
        <v>10</v>
      </c>
      <c r="E1785" s="20">
        <v>10</v>
      </c>
      <c r="F1785" s="20">
        <v>10</v>
      </c>
      <c r="G1785" s="19">
        <f t="shared" si="133"/>
        <v>172</v>
      </c>
      <c r="H1785" s="22">
        <f t="shared" si="135"/>
        <v>1784</v>
      </c>
      <c r="I1785" s="21">
        <f t="shared" ca="1" si="134"/>
        <v>0</v>
      </c>
      <c r="J1785" s="21" t="str">
        <f ca="1">IF(I1785=0,"",COUNTIF($I$2:I1785,"&gt;0"))</f>
        <v/>
      </c>
      <c r="K1785" s="21" t="str">
        <f t="shared" ca="1" si="132"/>
        <v/>
      </c>
    </row>
    <row r="1786" spans="1:11" s="18" customFormat="1" ht="14.25" x14ac:dyDescent="0.2">
      <c r="A1786" s="18" t="str">
        <f t="shared" si="131"/>
        <v>Eintrag 1785</v>
      </c>
      <c r="B1786" s="18">
        <v>100</v>
      </c>
      <c r="C1786" s="19">
        <v>100</v>
      </c>
      <c r="D1786" s="20">
        <v>10</v>
      </c>
      <c r="E1786" s="20">
        <v>10</v>
      </c>
      <c r="F1786" s="20">
        <v>10</v>
      </c>
      <c r="G1786" s="19">
        <f t="shared" si="133"/>
        <v>172</v>
      </c>
      <c r="H1786" s="22">
        <f t="shared" si="135"/>
        <v>1785</v>
      </c>
      <c r="I1786" s="21">
        <f t="shared" ca="1" si="134"/>
        <v>0</v>
      </c>
      <c r="J1786" s="21" t="str">
        <f ca="1">IF(I1786=0,"",COUNTIF($I$2:I1786,"&gt;0"))</f>
        <v/>
      </c>
      <c r="K1786" s="21" t="str">
        <f t="shared" ca="1" si="132"/>
        <v/>
      </c>
    </row>
    <row r="1787" spans="1:11" s="18" customFormat="1" ht="14.25" x14ac:dyDescent="0.2">
      <c r="A1787" s="18" t="str">
        <f t="shared" si="131"/>
        <v>Eintrag 1786</v>
      </c>
      <c r="B1787" s="18">
        <v>100</v>
      </c>
      <c r="C1787" s="19">
        <v>100</v>
      </c>
      <c r="D1787" s="20">
        <v>10</v>
      </c>
      <c r="E1787" s="20">
        <v>10</v>
      </c>
      <c r="F1787" s="20">
        <v>10</v>
      </c>
      <c r="G1787" s="19">
        <f t="shared" si="133"/>
        <v>172</v>
      </c>
      <c r="H1787" s="22">
        <f t="shared" si="135"/>
        <v>1786</v>
      </c>
      <c r="I1787" s="21">
        <f t="shared" ca="1" si="134"/>
        <v>0</v>
      </c>
      <c r="J1787" s="21" t="str">
        <f ca="1">IF(I1787=0,"",COUNTIF($I$2:I1787,"&gt;0"))</f>
        <v/>
      </c>
      <c r="K1787" s="21" t="str">
        <f t="shared" ca="1" si="132"/>
        <v/>
      </c>
    </row>
    <row r="1788" spans="1:11" s="18" customFormat="1" ht="14.25" x14ac:dyDescent="0.2">
      <c r="A1788" s="18" t="str">
        <f t="shared" si="131"/>
        <v>Eintrag 1787</v>
      </c>
      <c r="B1788" s="18">
        <v>100</v>
      </c>
      <c r="C1788" s="19">
        <v>100</v>
      </c>
      <c r="D1788" s="20">
        <v>10</v>
      </c>
      <c r="E1788" s="20">
        <v>10</v>
      </c>
      <c r="F1788" s="20">
        <v>10</v>
      </c>
      <c r="G1788" s="19">
        <f t="shared" si="133"/>
        <v>172</v>
      </c>
      <c r="H1788" s="22">
        <f t="shared" si="135"/>
        <v>1787</v>
      </c>
      <c r="I1788" s="21">
        <f t="shared" ca="1" si="134"/>
        <v>0</v>
      </c>
      <c r="J1788" s="21" t="str">
        <f ca="1">IF(I1788=0,"",COUNTIF($I$2:I1788,"&gt;0"))</f>
        <v/>
      </c>
      <c r="K1788" s="21" t="str">
        <f t="shared" ca="1" si="132"/>
        <v/>
      </c>
    </row>
    <row r="1789" spans="1:11" s="18" customFormat="1" ht="14.25" x14ac:dyDescent="0.2">
      <c r="A1789" s="18" t="str">
        <f t="shared" ref="A1789:A1952" si="136">CONCATENATE("Eintrag ",H1789)</f>
        <v>Eintrag 1788</v>
      </c>
      <c r="B1789" s="18">
        <v>100</v>
      </c>
      <c r="C1789" s="19">
        <v>100</v>
      </c>
      <c r="D1789" s="20">
        <v>10</v>
      </c>
      <c r="E1789" s="20">
        <v>10</v>
      </c>
      <c r="F1789" s="20">
        <v>10</v>
      </c>
      <c r="G1789" s="19">
        <f t="shared" si="133"/>
        <v>172</v>
      </c>
      <c r="H1789" s="22">
        <f t="shared" si="135"/>
        <v>1788</v>
      </c>
      <c r="I1789" s="21">
        <f t="shared" ca="1" si="134"/>
        <v>0</v>
      </c>
      <c r="J1789" s="21" t="str">
        <f ca="1">IF(I1789=0,"",COUNTIF($I$2:I1789,"&gt;0"))</f>
        <v/>
      </c>
      <c r="K1789" s="21" t="str">
        <f t="shared" ca="1" si="132"/>
        <v/>
      </c>
    </row>
    <row r="1790" spans="1:11" s="18" customFormat="1" ht="14.25" x14ac:dyDescent="0.2">
      <c r="A1790" s="18" t="str">
        <f t="shared" si="136"/>
        <v>Eintrag 1789</v>
      </c>
      <c r="B1790" s="18">
        <v>100</v>
      </c>
      <c r="C1790" s="19">
        <v>100</v>
      </c>
      <c r="D1790" s="20">
        <v>10</v>
      </c>
      <c r="E1790" s="20">
        <v>10</v>
      </c>
      <c r="F1790" s="20">
        <v>10</v>
      </c>
      <c r="G1790" s="19">
        <f t="shared" si="133"/>
        <v>172</v>
      </c>
      <c r="H1790" s="22">
        <f t="shared" si="135"/>
        <v>1789</v>
      </c>
      <c r="I1790" s="21">
        <f t="shared" ca="1" si="134"/>
        <v>0</v>
      </c>
      <c r="J1790" s="21" t="str">
        <f ca="1">IF(I1790=0,"",COUNTIF($I$2:I1790,"&gt;0"))</f>
        <v/>
      </c>
      <c r="K1790" s="21" t="str">
        <f t="shared" ca="1" si="132"/>
        <v/>
      </c>
    </row>
    <row r="1791" spans="1:11" s="18" customFormat="1" ht="14.25" x14ac:dyDescent="0.2">
      <c r="A1791" s="18" t="str">
        <f t="shared" si="136"/>
        <v>Eintrag 1790</v>
      </c>
      <c r="B1791" s="18">
        <v>100</v>
      </c>
      <c r="C1791" s="19">
        <v>100</v>
      </c>
      <c r="D1791" s="20">
        <v>10</v>
      </c>
      <c r="E1791" s="20">
        <v>10</v>
      </c>
      <c r="F1791" s="20">
        <v>10</v>
      </c>
      <c r="G1791" s="19">
        <f t="shared" si="133"/>
        <v>172</v>
      </c>
      <c r="H1791" s="22">
        <f t="shared" si="135"/>
        <v>1790</v>
      </c>
      <c r="I1791" s="21">
        <f t="shared" ca="1" si="134"/>
        <v>0</v>
      </c>
      <c r="J1791" s="21" t="str">
        <f ca="1">IF(I1791=0,"",COUNTIF($I$2:I1791,"&gt;0"))</f>
        <v/>
      </c>
      <c r="K1791" s="21" t="str">
        <f t="shared" ca="1" si="132"/>
        <v/>
      </c>
    </row>
    <row r="1792" spans="1:11" s="18" customFormat="1" ht="14.25" x14ac:dyDescent="0.2">
      <c r="A1792" s="18" t="str">
        <f t="shared" si="136"/>
        <v>Eintrag 1791</v>
      </c>
      <c r="B1792" s="18">
        <v>100</v>
      </c>
      <c r="C1792" s="19">
        <v>100</v>
      </c>
      <c r="D1792" s="20">
        <v>10</v>
      </c>
      <c r="E1792" s="20">
        <v>10</v>
      </c>
      <c r="F1792" s="20">
        <v>10</v>
      </c>
      <c r="G1792" s="19">
        <f t="shared" si="133"/>
        <v>172</v>
      </c>
      <c r="H1792" s="22">
        <f t="shared" si="135"/>
        <v>1791</v>
      </c>
      <c r="I1792" s="21">
        <f t="shared" ca="1" si="134"/>
        <v>0</v>
      </c>
      <c r="J1792" s="21" t="str">
        <f ca="1">IF(I1792=0,"",COUNTIF($I$2:I1792,"&gt;0"))</f>
        <v/>
      </c>
      <c r="K1792" s="21" t="str">
        <f t="shared" ca="1" si="132"/>
        <v/>
      </c>
    </row>
    <row r="1793" spans="1:11" s="18" customFormat="1" ht="14.25" x14ac:dyDescent="0.2">
      <c r="A1793" s="18" t="str">
        <f t="shared" si="136"/>
        <v>Eintrag 1792</v>
      </c>
      <c r="B1793" s="18">
        <v>100</v>
      </c>
      <c r="C1793" s="19">
        <v>100</v>
      </c>
      <c r="D1793" s="20">
        <v>10</v>
      </c>
      <c r="E1793" s="20">
        <v>10</v>
      </c>
      <c r="F1793" s="20">
        <v>10</v>
      </c>
      <c r="G1793" s="19">
        <f t="shared" si="133"/>
        <v>172</v>
      </c>
      <c r="H1793" s="22">
        <f t="shared" si="135"/>
        <v>1792</v>
      </c>
      <c r="I1793" s="21">
        <f t="shared" ca="1" si="134"/>
        <v>0</v>
      </c>
      <c r="J1793" s="21" t="str">
        <f ca="1">IF(I1793=0,"",COUNTIF($I$2:I1793,"&gt;0"))</f>
        <v/>
      </c>
      <c r="K1793" s="21" t="str">
        <f t="shared" ca="1" si="132"/>
        <v/>
      </c>
    </row>
    <row r="1794" spans="1:11" s="18" customFormat="1" ht="14.25" x14ac:dyDescent="0.2">
      <c r="A1794" s="18" t="str">
        <f t="shared" si="136"/>
        <v>Eintrag 1793</v>
      </c>
      <c r="B1794" s="18">
        <v>100</v>
      </c>
      <c r="C1794" s="19">
        <v>100</v>
      </c>
      <c r="D1794" s="20">
        <v>10</v>
      </c>
      <c r="E1794" s="20">
        <v>10</v>
      </c>
      <c r="F1794" s="20">
        <v>10</v>
      </c>
      <c r="G1794" s="19">
        <f t="shared" si="133"/>
        <v>172</v>
      </c>
      <c r="H1794" s="22">
        <f t="shared" si="135"/>
        <v>1793</v>
      </c>
      <c r="I1794" s="21">
        <f t="shared" ca="1" si="134"/>
        <v>0</v>
      </c>
      <c r="J1794" s="21" t="str">
        <f ca="1">IF(I1794=0,"",COUNTIF($I$2:I1794,"&gt;0"))</f>
        <v/>
      </c>
      <c r="K1794" s="21" t="str">
        <f t="shared" ref="K1794:K1857" ca="1" si="137">IFERROR(INDEX(A:A,MATCH(ROW(I1793),J:J,0)),"")</f>
        <v/>
      </c>
    </row>
    <row r="1795" spans="1:11" s="18" customFormat="1" ht="14.25" x14ac:dyDescent="0.2">
      <c r="A1795" s="18" t="str">
        <f t="shared" si="136"/>
        <v>Eintrag 1794</v>
      </c>
      <c r="B1795" s="18">
        <v>100</v>
      </c>
      <c r="C1795" s="19">
        <v>100</v>
      </c>
      <c r="D1795" s="20">
        <v>10</v>
      </c>
      <c r="E1795" s="20">
        <v>10</v>
      </c>
      <c r="F1795" s="20">
        <v>10</v>
      </c>
      <c r="G1795" s="19">
        <f t="shared" ref="G1795:G1858" si="138">D1795*9+E1795*4.1+F1795*4.1</f>
        <v>172</v>
      </c>
      <c r="H1795" s="22">
        <f t="shared" si="135"/>
        <v>1794</v>
      </c>
      <c r="I1795" s="21">
        <f t="shared" ca="1" si="134"/>
        <v>0</v>
      </c>
      <c r="J1795" s="21" t="str">
        <f ca="1">IF(I1795=0,"",COUNTIF($I$2:I1795,"&gt;0"))</f>
        <v/>
      </c>
      <c r="K1795" s="21" t="str">
        <f t="shared" ca="1" si="137"/>
        <v/>
      </c>
    </row>
    <row r="1796" spans="1:11" s="18" customFormat="1" ht="14.25" x14ac:dyDescent="0.2">
      <c r="A1796" s="18" t="str">
        <f t="shared" si="136"/>
        <v>Eintrag 1795</v>
      </c>
      <c r="B1796" s="18">
        <v>100</v>
      </c>
      <c r="C1796" s="19">
        <v>100</v>
      </c>
      <c r="D1796" s="20">
        <v>10</v>
      </c>
      <c r="E1796" s="20">
        <v>10</v>
      </c>
      <c r="F1796" s="20">
        <v>10</v>
      </c>
      <c r="G1796" s="19">
        <f t="shared" si="138"/>
        <v>172</v>
      </c>
      <c r="H1796" s="22">
        <f t="shared" si="135"/>
        <v>1795</v>
      </c>
      <c r="I1796" s="21">
        <f t="shared" ca="1" si="134"/>
        <v>0</v>
      </c>
      <c r="J1796" s="21" t="str">
        <f ca="1">IF(I1796=0,"",COUNTIF($I$2:I1796,"&gt;0"))</f>
        <v/>
      </c>
      <c r="K1796" s="21" t="str">
        <f t="shared" ca="1" si="137"/>
        <v/>
      </c>
    </row>
    <row r="1797" spans="1:11" s="18" customFormat="1" ht="14.25" x14ac:dyDescent="0.2">
      <c r="A1797" s="18" t="str">
        <f t="shared" si="136"/>
        <v>Eintrag 1796</v>
      </c>
      <c r="B1797" s="18">
        <v>100</v>
      </c>
      <c r="C1797" s="19">
        <v>100</v>
      </c>
      <c r="D1797" s="20">
        <v>10</v>
      </c>
      <c r="E1797" s="20">
        <v>10</v>
      </c>
      <c r="F1797" s="20">
        <v>10</v>
      </c>
      <c r="G1797" s="19">
        <f t="shared" si="138"/>
        <v>172</v>
      </c>
      <c r="H1797" s="22">
        <f t="shared" si="135"/>
        <v>1796</v>
      </c>
      <c r="I1797" s="21">
        <f t="shared" ca="1" si="134"/>
        <v>0</v>
      </c>
      <c r="J1797" s="21" t="str">
        <f ca="1">IF(I1797=0,"",COUNTIF($I$2:I1797,"&gt;0"))</f>
        <v/>
      </c>
      <c r="K1797" s="21" t="str">
        <f t="shared" ca="1" si="137"/>
        <v/>
      </c>
    </row>
    <row r="1798" spans="1:11" s="18" customFormat="1" ht="14.25" x14ac:dyDescent="0.2">
      <c r="A1798" s="18" t="str">
        <f t="shared" si="136"/>
        <v>Eintrag 1797</v>
      </c>
      <c r="B1798" s="18">
        <v>100</v>
      </c>
      <c r="C1798" s="19">
        <v>100</v>
      </c>
      <c r="D1798" s="20">
        <v>10</v>
      </c>
      <c r="E1798" s="20">
        <v>10</v>
      </c>
      <c r="F1798" s="20">
        <v>10</v>
      </c>
      <c r="G1798" s="19">
        <f t="shared" si="138"/>
        <v>172</v>
      </c>
      <c r="H1798" s="22">
        <f t="shared" si="135"/>
        <v>1797</v>
      </c>
      <c r="I1798" s="21">
        <f t="shared" ca="1" si="134"/>
        <v>0</v>
      </c>
      <c r="J1798" s="21" t="str">
        <f ca="1">IF(I1798=0,"",COUNTIF($I$2:I1798,"&gt;0"))</f>
        <v/>
      </c>
      <c r="K1798" s="21" t="str">
        <f t="shared" ca="1" si="137"/>
        <v/>
      </c>
    </row>
    <row r="1799" spans="1:11" s="18" customFormat="1" ht="14.25" x14ac:dyDescent="0.2">
      <c r="A1799" s="18" t="str">
        <f t="shared" si="136"/>
        <v>Eintrag 1798</v>
      </c>
      <c r="B1799" s="18">
        <v>100</v>
      </c>
      <c r="C1799" s="19">
        <v>100</v>
      </c>
      <c r="D1799" s="20">
        <v>10</v>
      </c>
      <c r="E1799" s="20">
        <v>10</v>
      </c>
      <c r="F1799" s="20">
        <v>10</v>
      </c>
      <c r="G1799" s="19">
        <f t="shared" si="138"/>
        <v>172</v>
      </c>
      <c r="H1799" s="22">
        <f t="shared" si="135"/>
        <v>1798</v>
      </c>
      <c r="I1799" s="21">
        <f t="shared" ca="1" si="134"/>
        <v>0</v>
      </c>
      <c r="J1799" s="21" t="str">
        <f ca="1">IF(I1799=0,"",COUNTIF($I$2:I1799,"&gt;0"))</f>
        <v/>
      </c>
      <c r="K1799" s="21" t="str">
        <f t="shared" ca="1" si="137"/>
        <v/>
      </c>
    </row>
    <row r="1800" spans="1:11" s="18" customFormat="1" ht="14.25" x14ac:dyDescent="0.2">
      <c r="A1800" s="18" t="str">
        <f t="shared" si="136"/>
        <v>Eintrag 1799</v>
      </c>
      <c r="B1800" s="18">
        <v>100</v>
      </c>
      <c r="C1800" s="19">
        <v>100</v>
      </c>
      <c r="D1800" s="20">
        <v>10</v>
      </c>
      <c r="E1800" s="20">
        <v>10</v>
      </c>
      <c r="F1800" s="20">
        <v>10</v>
      </c>
      <c r="G1800" s="19">
        <f t="shared" si="138"/>
        <v>172</v>
      </c>
      <c r="H1800" s="22">
        <f t="shared" si="135"/>
        <v>1799</v>
      </c>
      <c r="I1800" s="21">
        <f t="shared" ca="1" si="134"/>
        <v>0</v>
      </c>
      <c r="J1800" s="21" t="str">
        <f ca="1">IF(I1800=0,"",COUNTIF($I$2:I1800,"&gt;0"))</f>
        <v/>
      </c>
      <c r="K1800" s="21" t="str">
        <f t="shared" ca="1" si="137"/>
        <v/>
      </c>
    </row>
    <row r="1801" spans="1:11" s="18" customFormat="1" ht="14.25" x14ac:dyDescent="0.2">
      <c r="A1801" s="18" t="str">
        <f t="shared" si="136"/>
        <v>Eintrag 1800</v>
      </c>
      <c r="B1801" s="18">
        <v>100</v>
      </c>
      <c r="C1801" s="19">
        <v>100</v>
      </c>
      <c r="D1801" s="20">
        <v>10</v>
      </c>
      <c r="E1801" s="20">
        <v>10</v>
      </c>
      <c r="F1801" s="20">
        <v>10</v>
      </c>
      <c r="G1801" s="19">
        <f t="shared" si="138"/>
        <v>172</v>
      </c>
      <c r="H1801" s="22">
        <f t="shared" si="135"/>
        <v>1800</v>
      </c>
      <c r="I1801" s="21">
        <f t="shared" ca="1" si="134"/>
        <v>0</v>
      </c>
      <c r="J1801" s="21" t="str">
        <f ca="1">IF(I1801=0,"",COUNTIF($I$2:I1801,"&gt;0"))</f>
        <v/>
      </c>
      <c r="K1801" s="21" t="str">
        <f t="shared" ca="1" si="137"/>
        <v/>
      </c>
    </row>
    <row r="1802" spans="1:11" s="18" customFormat="1" ht="14.25" x14ac:dyDescent="0.2">
      <c r="A1802" s="18" t="str">
        <f t="shared" si="136"/>
        <v>Eintrag 1801</v>
      </c>
      <c r="B1802" s="18">
        <v>100</v>
      </c>
      <c r="C1802" s="19">
        <v>100</v>
      </c>
      <c r="D1802" s="20">
        <v>10</v>
      </c>
      <c r="E1802" s="20">
        <v>10</v>
      </c>
      <c r="F1802" s="20">
        <v>10</v>
      </c>
      <c r="G1802" s="19">
        <f t="shared" si="138"/>
        <v>172</v>
      </c>
      <c r="H1802" s="22">
        <f t="shared" si="135"/>
        <v>1801</v>
      </c>
      <c r="I1802" s="21">
        <f t="shared" ca="1" si="134"/>
        <v>0</v>
      </c>
      <c r="J1802" s="21" t="str">
        <f ca="1">IF(I1802=0,"",COUNTIF($I$2:I1802,"&gt;0"))</f>
        <v/>
      </c>
      <c r="K1802" s="21" t="str">
        <f t="shared" ca="1" si="137"/>
        <v/>
      </c>
    </row>
    <row r="1803" spans="1:11" s="18" customFormat="1" ht="14.25" x14ac:dyDescent="0.2">
      <c r="A1803" s="18" t="str">
        <f t="shared" si="136"/>
        <v>Eintrag 1802</v>
      </c>
      <c r="B1803" s="18">
        <v>100</v>
      </c>
      <c r="C1803" s="19">
        <v>100</v>
      </c>
      <c r="D1803" s="20">
        <v>10</v>
      </c>
      <c r="E1803" s="20">
        <v>10</v>
      </c>
      <c r="F1803" s="20">
        <v>10</v>
      </c>
      <c r="G1803" s="19">
        <f t="shared" si="138"/>
        <v>172</v>
      </c>
      <c r="H1803" s="22">
        <f t="shared" si="135"/>
        <v>1802</v>
      </c>
      <c r="I1803" s="21">
        <f t="shared" ca="1" si="134"/>
        <v>0</v>
      </c>
      <c r="J1803" s="21" t="str">
        <f ca="1">IF(I1803=0,"",COUNTIF($I$2:I1803,"&gt;0"))</f>
        <v/>
      </c>
      <c r="K1803" s="21" t="str">
        <f t="shared" ca="1" si="137"/>
        <v/>
      </c>
    </row>
    <row r="1804" spans="1:11" s="18" customFormat="1" ht="14.25" x14ac:dyDescent="0.2">
      <c r="A1804" s="18" t="str">
        <f t="shared" si="136"/>
        <v>Eintrag 1803</v>
      </c>
      <c r="B1804" s="18">
        <v>100</v>
      </c>
      <c r="C1804" s="19">
        <v>100</v>
      </c>
      <c r="D1804" s="20">
        <v>10</v>
      </c>
      <c r="E1804" s="20">
        <v>10</v>
      </c>
      <c r="F1804" s="20">
        <v>10</v>
      </c>
      <c r="G1804" s="19">
        <f t="shared" si="138"/>
        <v>172</v>
      </c>
      <c r="H1804" s="22">
        <f t="shared" si="135"/>
        <v>1803</v>
      </c>
      <c r="I1804" s="21">
        <f t="shared" ca="1" si="134"/>
        <v>0</v>
      </c>
      <c r="J1804" s="21" t="str">
        <f ca="1">IF(I1804=0,"",COUNTIF($I$2:I1804,"&gt;0"))</f>
        <v/>
      </c>
      <c r="K1804" s="21" t="str">
        <f t="shared" ca="1" si="137"/>
        <v/>
      </c>
    </row>
    <row r="1805" spans="1:11" s="18" customFormat="1" ht="14.25" x14ac:dyDescent="0.2">
      <c r="A1805" s="18" t="str">
        <f t="shared" si="136"/>
        <v>Eintrag 1804</v>
      </c>
      <c r="B1805" s="18">
        <v>100</v>
      </c>
      <c r="C1805" s="19">
        <v>100</v>
      </c>
      <c r="D1805" s="20">
        <v>10</v>
      </c>
      <c r="E1805" s="20">
        <v>10</v>
      </c>
      <c r="F1805" s="20">
        <v>10</v>
      </c>
      <c r="G1805" s="19">
        <f t="shared" si="138"/>
        <v>172</v>
      </c>
      <c r="H1805" s="22">
        <f t="shared" si="135"/>
        <v>1804</v>
      </c>
      <c r="I1805" s="21">
        <f t="shared" ca="1" si="134"/>
        <v>0</v>
      </c>
      <c r="J1805" s="21" t="str">
        <f ca="1">IF(I1805=0,"",COUNTIF($I$2:I1805,"&gt;0"))</f>
        <v/>
      </c>
      <c r="K1805" s="21" t="str">
        <f t="shared" ca="1" si="137"/>
        <v/>
      </c>
    </row>
    <row r="1806" spans="1:11" s="18" customFormat="1" ht="14.25" x14ac:dyDescent="0.2">
      <c r="A1806" s="18" t="str">
        <f t="shared" si="136"/>
        <v>Eintrag 1805</v>
      </c>
      <c r="B1806" s="18">
        <v>100</v>
      </c>
      <c r="C1806" s="19">
        <v>100</v>
      </c>
      <c r="D1806" s="20">
        <v>10</v>
      </c>
      <c r="E1806" s="20">
        <v>10</v>
      </c>
      <c r="F1806" s="20">
        <v>10</v>
      </c>
      <c r="G1806" s="19">
        <f t="shared" si="138"/>
        <v>172</v>
      </c>
      <c r="H1806" s="22">
        <f t="shared" si="135"/>
        <v>1805</v>
      </c>
      <c r="I1806" s="21">
        <f t="shared" ca="1" si="134"/>
        <v>0</v>
      </c>
      <c r="J1806" s="21" t="str">
        <f ca="1">IF(I1806=0,"",COUNTIF($I$2:I1806,"&gt;0"))</f>
        <v/>
      </c>
      <c r="K1806" s="21" t="str">
        <f t="shared" ca="1" si="137"/>
        <v/>
      </c>
    </row>
    <row r="1807" spans="1:11" s="18" customFormat="1" ht="14.25" x14ac:dyDescent="0.2">
      <c r="A1807" s="18" t="str">
        <f t="shared" si="136"/>
        <v>Eintrag 1806</v>
      </c>
      <c r="B1807" s="18">
        <v>100</v>
      </c>
      <c r="C1807" s="19">
        <v>100</v>
      </c>
      <c r="D1807" s="20">
        <v>10</v>
      </c>
      <c r="E1807" s="20">
        <v>10</v>
      </c>
      <c r="F1807" s="20">
        <v>10</v>
      </c>
      <c r="G1807" s="19">
        <f t="shared" si="138"/>
        <v>172</v>
      </c>
      <c r="H1807" s="22">
        <f t="shared" si="135"/>
        <v>1806</v>
      </c>
      <c r="I1807" s="21">
        <f t="shared" ca="1" si="134"/>
        <v>0</v>
      </c>
      <c r="J1807" s="21" t="str">
        <f ca="1">IF(I1807=0,"",COUNTIF($I$2:I1807,"&gt;0"))</f>
        <v/>
      </c>
      <c r="K1807" s="21" t="str">
        <f t="shared" ca="1" si="137"/>
        <v/>
      </c>
    </row>
    <row r="1808" spans="1:11" s="18" customFormat="1" ht="14.25" x14ac:dyDescent="0.2">
      <c r="A1808" s="18" t="str">
        <f t="shared" si="136"/>
        <v>Eintrag 1807</v>
      </c>
      <c r="B1808" s="18">
        <v>100</v>
      </c>
      <c r="C1808" s="19">
        <v>100</v>
      </c>
      <c r="D1808" s="20">
        <v>10</v>
      </c>
      <c r="E1808" s="20">
        <v>10</v>
      </c>
      <c r="F1808" s="20">
        <v>10</v>
      </c>
      <c r="G1808" s="19">
        <f t="shared" si="138"/>
        <v>172</v>
      </c>
      <c r="H1808" s="22">
        <f t="shared" si="135"/>
        <v>1807</v>
      </c>
      <c r="I1808" s="21">
        <f t="shared" ca="1" si="134"/>
        <v>0</v>
      </c>
      <c r="J1808" s="21" t="str">
        <f ca="1">IF(I1808=0,"",COUNTIF($I$2:I1808,"&gt;0"))</f>
        <v/>
      </c>
      <c r="K1808" s="21" t="str">
        <f t="shared" ca="1" si="137"/>
        <v/>
      </c>
    </row>
    <row r="1809" spans="1:11" s="18" customFormat="1" ht="14.25" x14ac:dyDescent="0.2">
      <c r="A1809" s="18" t="str">
        <f t="shared" si="136"/>
        <v>Eintrag 1808</v>
      </c>
      <c r="B1809" s="18">
        <v>100</v>
      </c>
      <c r="C1809" s="19">
        <v>100</v>
      </c>
      <c r="D1809" s="20">
        <v>10</v>
      </c>
      <c r="E1809" s="20">
        <v>10</v>
      </c>
      <c r="F1809" s="20">
        <v>10</v>
      </c>
      <c r="G1809" s="19">
        <f t="shared" si="138"/>
        <v>172</v>
      </c>
      <c r="H1809" s="22">
        <f t="shared" si="135"/>
        <v>1808</v>
      </c>
      <c r="I1809" s="21">
        <f t="shared" ca="1" si="134"/>
        <v>0</v>
      </c>
      <c r="J1809" s="21" t="str">
        <f ca="1">IF(I1809=0,"",COUNTIF($I$2:I1809,"&gt;0"))</f>
        <v/>
      </c>
      <c r="K1809" s="21" t="str">
        <f t="shared" ca="1" si="137"/>
        <v/>
      </c>
    </row>
    <row r="1810" spans="1:11" s="18" customFormat="1" ht="14.25" x14ac:dyDescent="0.2">
      <c r="A1810" s="18" t="str">
        <f t="shared" si="136"/>
        <v>Eintrag 1809</v>
      </c>
      <c r="B1810" s="18">
        <v>100</v>
      </c>
      <c r="C1810" s="19">
        <v>100</v>
      </c>
      <c r="D1810" s="20">
        <v>10</v>
      </c>
      <c r="E1810" s="20">
        <v>10</v>
      </c>
      <c r="F1810" s="20">
        <v>10</v>
      </c>
      <c r="G1810" s="19">
        <f t="shared" si="138"/>
        <v>172</v>
      </c>
      <c r="H1810" s="22">
        <f t="shared" si="135"/>
        <v>1809</v>
      </c>
      <c r="I1810" s="21">
        <f t="shared" ca="1" si="134"/>
        <v>0</v>
      </c>
      <c r="J1810" s="21" t="str">
        <f ca="1">IF(I1810=0,"",COUNTIF($I$2:I1810,"&gt;0"))</f>
        <v/>
      </c>
      <c r="K1810" s="21" t="str">
        <f t="shared" ca="1" si="137"/>
        <v/>
      </c>
    </row>
    <row r="1811" spans="1:11" s="18" customFormat="1" ht="14.25" x14ac:dyDescent="0.2">
      <c r="A1811" s="18" t="str">
        <f t="shared" si="136"/>
        <v>Eintrag 1810</v>
      </c>
      <c r="B1811" s="18">
        <v>100</v>
      </c>
      <c r="C1811" s="19">
        <v>100</v>
      </c>
      <c r="D1811" s="20">
        <v>10</v>
      </c>
      <c r="E1811" s="20">
        <v>10</v>
      </c>
      <c r="F1811" s="20">
        <v>10</v>
      </c>
      <c r="G1811" s="19">
        <f t="shared" si="138"/>
        <v>172</v>
      </c>
      <c r="H1811" s="22">
        <f t="shared" si="135"/>
        <v>1810</v>
      </c>
      <c r="I1811" s="21">
        <f t="shared" ca="1" si="134"/>
        <v>0</v>
      </c>
      <c r="J1811" s="21" t="str">
        <f ca="1">IF(I1811=0,"",COUNTIF($I$2:I1811,"&gt;0"))</f>
        <v/>
      </c>
      <c r="K1811" s="21" t="str">
        <f t="shared" ca="1" si="137"/>
        <v/>
      </c>
    </row>
    <row r="1812" spans="1:11" s="18" customFormat="1" ht="14.25" x14ac:dyDescent="0.2">
      <c r="A1812" s="18" t="str">
        <f t="shared" si="136"/>
        <v>Eintrag 1811</v>
      </c>
      <c r="B1812" s="18">
        <v>100</v>
      </c>
      <c r="C1812" s="19">
        <v>100</v>
      </c>
      <c r="D1812" s="20">
        <v>10</v>
      </c>
      <c r="E1812" s="20">
        <v>10</v>
      </c>
      <c r="F1812" s="20">
        <v>10</v>
      </c>
      <c r="G1812" s="19">
        <f t="shared" si="138"/>
        <v>172</v>
      </c>
      <c r="H1812" s="22">
        <f t="shared" si="135"/>
        <v>1811</v>
      </c>
      <c r="I1812" s="21">
        <f t="shared" ca="1" si="134"/>
        <v>0</v>
      </c>
      <c r="J1812" s="21" t="str">
        <f ca="1">IF(I1812=0,"",COUNTIF($I$2:I1812,"&gt;0"))</f>
        <v/>
      </c>
      <c r="K1812" s="21" t="str">
        <f t="shared" ca="1" si="137"/>
        <v/>
      </c>
    </row>
    <row r="1813" spans="1:11" s="18" customFormat="1" ht="14.25" x14ac:dyDescent="0.2">
      <c r="A1813" s="18" t="str">
        <f t="shared" si="136"/>
        <v>Eintrag 1812</v>
      </c>
      <c r="B1813" s="18">
        <v>100</v>
      </c>
      <c r="C1813" s="19">
        <v>100</v>
      </c>
      <c r="D1813" s="20">
        <v>10</v>
      </c>
      <c r="E1813" s="20">
        <v>10</v>
      </c>
      <c r="F1813" s="20">
        <v>10</v>
      </c>
      <c r="G1813" s="19">
        <f t="shared" si="138"/>
        <v>172</v>
      </c>
      <c r="H1813" s="22">
        <f t="shared" si="135"/>
        <v>1812</v>
      </c>
      <c r="I1813" s="21">
        <f t="shared" ca="1" si="134"/>
        <v>0</v>
      </c>
      <c r="J1813" s="21" t="str">
        <f ca="1">IF(I1813=0,"",COUNTIF($I$2:I1813,"&gt;0"))</f>
        <v/>
      </c>
      <c r="K1813" s="21" t="str">
        <f t="shared" ca="1" si="137"/>
        <v/>
      </c>
    </row>
    <row r="1814" spans="1:11" s="18" customFormat="1" ht="14.25" x14ac:dyDescent="0.2">
      <c r="A1814" s="18" t="str">
        <f t="shared" si="136"/>
        <v>Eintrag 1813</v>
      </c>
      <c r="B1814" s="18">
        <v>100</v>
      </c>
      <c r="C1814" s="19">
        <v>100</v>
      </c>
      <c r="D1814" s="20">
        <v>10</v>
      </c>
      <c r="E1814" s="20">
        <v>10</v>
      </c>
      <c r="F1814" s="20">
        <v>10</v>
      </c>
      <c r="G1814" s="19">
        <f t="shared" si="138"/>
        <v>172</v>
      </c>
      <c r="H1814" s="22">
        <f t="shared" si="135"/>
        <v>1813</v>
      </c>
      <c r="I1814" s="21">
        <f t="shared" ca="1" si="134"/>
        <v>0</v>
      </c>
      <c r="J1814" s="21" t="str">
        <f ca="1">IF(I1814=0,"",COUNTIF($I$2:I1814,"&gt;0"))</f>
        <v/>
      </c>
      <c r="K1814" s="21" t="str">
        <f t="shared" ca="1" si="137"/>
        <v/>
      </c>
    </row>
    <row r="1815" spans="1:11" s="18" customFormat="1" ht="14.25" x14ac:dyDescent="0.2">
      <c r="A1815" s="18" t="str">
        <f t="shared" si="136"/>
        <v>Eintrag 1814</v>
      </c>
      <c r="B1815" s="18">
        <v>100</v>
      </c>
      <c r="C1815" s="19">
        <v>100</v>
      </c>
      <c r="D1815" s="20">
        <v>10</v>
      </c>
      <c r="E1815" s="20">
        <v>10</v>
      </c>
      <c r="F1815" s="20">
        <v>10</v>
      </c>
      <c r="G1815" s="19">
        <f t="shared" si="138"/>
        <v>172</v>
      </c>
      <c r="H1815" s="22">
        <f t="shared" si="135"/>
        <v>1814</v>
      </c>
      <c r="I1815" s="21">
        <f t="shared" ref="I1815:I1878" ca="1" si="139">IFERROR(SEARCH(INDIRECT(CELL("address")),A1815),0)</f>
        <v>0</v>
      </c>
      <c r="J1815" s="21" t="str">
        <f ca="1">IF(I1815=0,"",COUNTIF($I$2:I1815,"&gt;0"))</f>
        <v/>
      </c>
      <c r="K1815" s="21" t="str">
        <f t="shared" ca="1" si="137"/>
        <v/>
      </c>
    </row>
    <row r="1816" spans="1:11" s="18" customFormat="1" ht="14.25" x14ac:dyDescent="0.2">
      <c r="A1816" s="18" t="str">
        <f t="shared" si="136"/>
        <v>Eintrag 1815</v>
      </c>
      <c r="B1816" s="18">
        <v>100</v>
      </c>
      <c r="C1816" s="19">
        <v>100</v>
      </c>
      <c r="D1816" s="20">
        <v>10</v>
      </c>
      <c r="E1816" s="20">
        <v>10</v>
      </c>
      <c r="F1816" s="20">
        <v>10</v>
      </c>
      <c r="G1816" s="19">
        <f t="shared" si="138"/>
        <v>172</v>
      </c>
      <c r="H1816" s="22">
        <f t="shared" si="135"/>
        <v>1815</v>
      </c>
      <c r="I1816" s="21">
        <f t="shared" ca="1" si="139"/>
        <v>0</v>
      </c>
      <c r="J1816" s="21" t="str">
        <f ca="1">IF(I1816=0,"",COUNTIF($I$2:I1816,"&gt;0"))</f>
        <v/>
      </c>
      <c r="K1816" s="21" t="str">
        <f t="shared" ca="1" si="137"/>
        <v/>
      </c>
    </row>
    <row r="1817" spans="1:11" s="18" customFormat="1" ht="14.25" x14ac:dyDescent="0.2">
      <c r="A1817" s="18" t="str">
        <f t="shared" si="136"/>
        <v>Eintrag 1816</v>
      </c>
      <c r="B1817" s="18">
        <v>100</v>
      </c>
      <c r="C1817" s="19">
        <v>100</v>
      </c>
      <c r="D1817" s="20">
        <v>10</v>
      </c>
      <c r="E1817" s="20">
        <v>10</v>
      </c>
      <c r="F1817" s="20">
        <v>10</v>
      </c>
      <c r="G1817" s="19">
        <f t="shared" si="138"/>
        <v>172</v>
      </c>
      <c r="H1817" s="22">
        <f t="shared" si="135"/>
        <v>1816</v>
      </c>
      <c r="I1817" s="21">
        <f t="shared" ca="1" si="139"/>
        <v>0</v>
      </c>
      <c r="J1817" s="21" t="str">
        <f ca="1">IF(I1817=0,"",COUNTIF($I$2:I1817,"&gt;0"))</f>
        <v/>
      </c>
      <c r="K1817" s="21" t="str">
        <f t="shared" ca="1" si="137"/>
        <v/>
      </c>
    </row>
    <row r="1818" spans="1:11" s="18" customFormat="1" ht="14.25" x14ac:dyDescent="0.2">
      <c r="A1818" s="18" t="str">
        <f t="shared" si="136"/>
        <v>Eintrag 1817</v>
      </c>
      <c r="B1818" s="18">
        <v>100</v>
      </c>
      <c r="C1818" s="19">
        <v>100</v>
      </c>
      <c r="D1818" s="20">
        <v>10</v>
      </c>
      <c r="E1818" s="20">
        <v>10</v>
      </c>
      <c r="F1818" s="20">
        <v>10</v>
      </c>
      <c r="G1818" s="19">
        <f t="shared" si="138"/>
        <v>172</v>
      </c>
      <c r="H1818" s="22">
        <f t="shared" si="135"/>
        <v>1817</v>
      </c>
      <c r="I1818" s="21">
        <f t="shared" ca="1" si="139"/>
        <v>0</v>
      </c>
      <c r="J1818" s="21" t="str">
        <f ca="1">IF(I1818=0,"",COUNTIF($I$2:I1818,"&gt;0"))</f>
        <v/>
      </c>
      <c r="K1818" s="21" t="str">
        <f t="shared" ca="1" si="137"/>
        <v/>
      </c>
    </row>
    <row r="1819" spans="1:11" s="18" customFormat="1" ht="14.25" x14ac:dyDescent="0.2">
      <c r="A1819" s="18" t="str">
        <f t="shared" si="136"/>
        <v>Eintrag 1818</v>
      </c>
      <c r="B1819" s="18">
        <v>100</v>
      </c>
      <c r="C1819" s="19">
        <v>100</v>
      </c>
      <c r="D1819" s="20">
        <v>10</v>
      </c>
      <c r="E1819" s="20">
        <v>10</v>
      </c>
      <c r="F1819" s="20">
        <v>10</v>
      </c>
      <c r="G1819" s="19">
        <f t="shared" si="138"/>
        <v>172</v>
      </c>
      <c r="H1819" s="22">
        <f t="shared" si="135"/>
        <v>1818</v>
      </c>
      <c r="I1819" s="21">
        <f t="shared" ca="1" si="139"/>
        <v>0</v>
      </c>
      <c r="J1819" s="21" t="str">
        <f ca="1">IF(I1819=0,"",COUNTIF($I$2:I1819,"&gt;0"))</f>
        <v/>
      </c>
      <c r="K1819" s="21" t="str">
        <f t="shared" ca="1" si="137"/>
        <v/>
      </c>
    </row>
    <row r="1820" spans="1:11" s="18" customFormat="1" ht="14.25" x14ac:dyDescent="0.2">
      <c r="A1820" s="18" t="str">
        <f t="shared" si="136"/>
        <v>Eintrag 1819</v>
      </c>
      <c r="B1820" s="18">
        <v>100</v>
      </c>
      <c r="C1820" s="19">
        <v>100</v>
      </c>
      <c r="D1820" s="20">
        <v>10</v>
      </c>
      <c r="E1820" s="20">
        <v>10</v>
      </c>
      <c r="F1820" s="20">
        <v>10</v>
      </c>
      <c r="G1820" s="19">
        <f t="shared" si="138"/>
        <v>172</v>
      </c>
      <c r="H1820" s="22">
        <f t="shared" si="135"/>
        <v>1819</v>
      </c>
      <c r="I1820" s="21">
        <f t="shared" ca="1" si="139"/>
        <v>0</v>
      </c>
      <c r="J1820" s="21" t="str">
        <f ca="1">IF(I1820=0,"",COUNTIF($I$2:I1820,"&gt;0"))</f>
        <v/>
      </c>
      <c r="K1820" s="21" t="str">
        <f t="shared" ca="1" si="137"/>
        <v/>
      </c>
    </row>
    <row r="1821" spans="1:11" s="18" customFormat="1" ht="14.25" x14ac:dyDescent="0.2">
      <c r="A1821" s="18" t="str">
        <f t="shared" si="136"/>
        <v>Eintrag 1820</v>
      </c>
      <c r="B1821" s="18">
        <v>100</v>
      </c>
      <c r="C1821" s="19">
        <v>100</v>
      </c>
      <c r="D1821" s="20">
        <v>10</v>
      </c>
      <c r="E1821" s="20">
        <v>10</v>
      </c>
      <c r="F1821" s="20">
        <v>10</v>
      </c>
      <c r="G1821" s="19">
        <f t="shared" si="138"/>
        <v>172</v>
      </c>
      <c r="H1821" s="22">
        <f t="shared" si="135"/>
        <v>1820</v>
      </c>
      <c r="I1821" s="21">
        <f t="shared" ca="1" si="139"/>
        <v>0</v>
      </c>
      <c r="J1821" s="21" t="str">
        <f ca="1">IF(I1821=0,"",COUNTIF($I$2:I1821,"&gt;0"))</f>
        <v/>
      </c>
      <c r="K1821" s="21" t="str">
        <f t="shared" ca="1" si="137"/>
        <v/>
      </c>
    </row>
    <row r="1822" spans="1:11" s="18" customFormat="1" ht="14.25" x14ac:dyDescent="0.2">
      <c r="A1822" s="18" t="str">
        <f t="shared" si="136"/>
        <v>Eintrag 1821</v>
      </c>
      <c r="B1822" s="18">
        <v>100</v>
      </c>
      <c r="C1822" s="19">
        <v>100</v>
      </c>
      <c r="D1822" s="20">
        <v>10</v>
      </c>
      <c r="E1822" s="20">
        <v>10</v>
      </c>
      <c r="F1822" s="20">
        <v>10</v>
      </c>
      <c r="G1822" s="19">
        <f t="shared" si="138"/>
        <v>172</v>
      </c>
      <c r="H1822" s="22">
        <f t="shared" si="135"/>
        <v>1821</v>
      </c>
      <c r="I1822" s="21">
        <f t="shared" ca="1" si="139"/>
        <v>0</v>
      </c>
      <c r="J1822" s="21" t="str">
        <f ca="1">IF(I1822=0,"",COUNTIF($I$2:I1822,"&gt;0"))</f>
        <v/>
      </c>
      <c r="K1822" s="21" t="str">
        <f t="shared" ca="1" si="137"/>
        <v/>
      </c>
    </row>
    <row r="1823" spans="1:11" s="18" customFormat="1" ht="14.25" x14ac:dyDescent="0.2">
      <c r="A1823" s="18" t="str">
        <f t="shared" si="136"/>
        <v>Eintrag 1822</v>
      </c>
      <c r="B1823" s="18">
        <v>100</v>
      </c>
      <c r="C1823" s="19">
        <v>100</v>
      </c>
      <c r="D1823" s="20">
        <v>10</v>
      </c>
      <c r="E1823" s="20">
        <v>10</v>
      </c>
      <c r="F1823" s="20">
        <v>10</v>
      </c>
      <c r="G1823" s="19">
        <f t="shared" si="138"/>
        <v>172</v>
      </c>
      <c r="H1823" s="22">
        <f t="shared" si="135"/>
        <v>1822</v>
      </c>
      <c r="I1823" s="21">
        <f t="shared" ca="1" si="139"/>
        <v>0</v>
      </c>
      <c r="J1823" s="21" t="str">
        <f ca="1">IF(I1823=0,"",COUNTIF($I$2:I1823,"&gt;0"))</f>
        <v/>
      </c>
      <c r="K1823" s="21" t="str">
        <f t="shared" ca="1" si="137"/>
        <v/>
      </c>
    </row>
    <row r="1824" spans="1:11" s="18" customFormat="1" ht="14.25" x14ac:dyDescent="0.2">
      <c r="A1824" s="18" t="str">
        <f t="shared" si="136"/>
        <v>Eintrag 1823</v>
      </c>
      <c r="B1824" s="18">
        <v>100</v>
      </c>
      <c r="C1824" s="19">
        <v>100</v>
      </c>
      <c r="D1824" s="20">
        <v>10</v>
      </c>
      <c r="E1824" s="20">
        <v>10</v>
      </c>
      <c r="F1824" s="20">
        <v>10</v>
      </c>
      <c r="G1824" s="19">
        <f t="shared" si="138"/>
        <v>172</v>
      </c>
      <c r="H1824" s="22">
        <f t="shared" si="135"/>
        <v>1823</v>
      </c>
      <c r="I1824" s="21">
        <f t="shared" ca="1" si="139"/>
        <v>0</v>
      </c>
      <c r="J1824" s="21" t="str">
        <f ca="1">IF(I1824=0,"",COUNTIF($I$2:I1824,"&gt;0"))</f>
        <v/>
      </c>
      <c r="K1824" s="21" t="str">
        <f t="shared" ca="1" si="137"/>
        <v/>
      </c>
    </row>
    <row r="1825" spans="1:11" s="18" customFormat="1" ht="14.25" x14ac:dyDescent="0.2">
      <c r="A1825" s="18" t="str">
        <f t="shared" si="136"/>
        <v>Eintrag 1824</v>
      </c>
      <c r="B1825" s="18">
        <v>100</v>
      </c>
      <c r="C1825" s="19">
        <v>100</v>
      </c>
      <c r="D1825" s="20">
        <v>10</v>
      </c>
      <c r="E1825" s="20">
        <v>10</v>
      </c>
      <c r="F1825" s="20">
        <v>10</v>
      </c>
      <c r="G1825" s="19">
        <f t="shared" si="138"/>
        <v>172</v>
      </c>
      <c r="H1825" s="22">
        <f t="shared" si="135"/>
        <v>1824</v>
      </c>
      <c r="I1825" s="21">
        <f t="shared" ca="1" si="139"/>
        <v>0</v>
      </c>
      <c r="J1825" s="21" t="str">
        <f ca="1">IF(I1825=0,"",COUNTIF($I$2:I1825,"&gt;0"))</f>
        <v/>
      </c>
      <c r="K1825" s="21" t="str">
        <f t="shared" ca="1" si="137"/>
        <v/>
      </c>
    </row>
    <row r="1826" spans="1:11" s="18" customFormat="1" ht="14.25" x14ac:dyDescent="0.2">
      <c r="A1826" s="18" t="str">
        <f t="shared" si="136"/>
        <v>Eintrag 1825</v>
      </c>
      <c r="B1826" s="18">
        <v>100</v>
      </c>
      <c r="C1826" s="19">
        <v>100</v>
      </c>
      <c r="D1826" s="20">
        <v>10</v>
      </c>
      <c r="E1826" s="20">
        <v>10</v>
      </c>
      <c r="F1826" s="20">
        <v>10</v>
      </c>
      <c r="G1826" s="19">
        <f t="shared" si="138"/>
        <v>172</v>
      </c>
      <c r="H1826" s="22">
        <f t="shared" si="135"/>
        <v>1825</v>
      </c>
      <c r="I1826" s="21">
        <f t="shared" ca="1" si="139"/>
        <v>0</v>
      </c>
      <c r="J1826" s="21" t="str">
        <f ca="1">IF(I1826=0,"",COUNTIF($I$2:I1826,"&gt;0"))</f>
        <v/>
      </c>
      <c r="K1826" s="21" t="str">
        <f t="shared" ca="1" si="137"/>
        <v/>
      </c>
    </row>
    <row r="1827" spans="1:11" s="18" customFormat="1" ht="14.25" x14ac:dyDescent="0.2">
      <c r="A1827" s="18" t="str">
        <f t="shared" si="136"/>
        <v>Eintrag 1826</v>
      </c>
      <c r="B1827" s="18">
        <v>100</v>
      </c>
      <c r="C1827" s="19">
        <v>100</v>
      </c>
      <c r="D1827" s="20">
        <v>10</v>
      </c>
      <c r="E1827" s="20">
        <v>10</v>
      </c>
      <c r="F1827" s="20">
        <v>10</v>
      </c>
      <c r="G1827" s="19">
        <f t="shared" si="138"/>
        <v>172</v>
      </c>
      <c r="H1827" s="22">
        <f t="shared" si="135"/>
        <v>1826</v>
      </c>
      <c r="I1827" s="21">
        <f t="shared" ca="1" si="139"/>
        <v>0</v>
      </c>
      <c r="J1827" s="21" t="str">
        <f ca="1">IF(I1827=0,"",COUNTIF($I$2:I1827,"&gt;0"))</f>
        <v/>
      </c>
      <c r="K1827" s="21" t="str">
        <f t="shared" ca="1" si="137"/>
        <v/>
      </c>
    </row>
    <row r="1828" spans="1:11" s="18" customFormat="1" ht="14.25" x14ac:dyDescent="0.2">
      <c r="A1828" s="18" t="str">
        <f t="shared" si="136"/>
        <v>Eintrag 1827</v>
      </c>
      <c r="B1828" s="18">
        <v>100</v>
      </c>
      <c r="C1828" s="19">
        <v>100</v>
      </c>
      <c r="D1828" s="20">
        <v>10</v>
      </c>
      <c r="E1828" s="20">
        <v>10</v>
      </c>
      <c r="F1828" s="20">
        <v>10</v>
      </c>
      <c r="G1828" s="19">
        <f t="shared" si="138"/>
        <v>172</v>
      </c>
      <c r="H1828" s="22">
        <f t="shared" si="135"/>
        <v>1827</v>
      </c>
      <c r="I1828" s="21">
        <f t="shared" ca="1" si="139"/>
        <v>0</v>
      </c>
      <c r="J1828" s="21" t="str">
        <f ca="1">IF(I1828=0,"",COUNTIF($I$2:I1828,"&gt;0"))</f>
        <v/>
      </c>
      <c r="K1828" s="21" t="str">
        <f t="shared" ca="1" si="137"/>
        <v/>
      </c>
    </row>
    <row r="1829" spans="1:11" s="18" customFormat="1" ht="14.25" x14ac:dyDescent="0.2">
      <c r="A1829" s="18" t="str">
        <f t="shared" si="136"/>
        <v>Eintrag 1828</v>
      </c>
      <c r="B1829" s="18">
        <v>100</v>
      </c>
      <c r="C1829" s="19">
        <v>100</v>
      </c>
      <c r="D1829" s="20">
        <v>10</v>
      </c>
      <c r="E1829" s="20">
        <v>10</v>
      </c>
      <c r="F1829" s="20">
        <v>10</v>
      </c>
      <c r="G1829" s="19">
        <f t="shared" si="138"/>
        <v>172</v>
      </c>
      <c r="H1829" s="22">
        <f t="shared" ref="H1829:H1892" si="140">H1828+1</f>
        <v>1828</v>
      </c>
      <c r="I1829" s="21">
        <f t="shared" ca="1" si="139"/>
        <v>0</v>
      </c>
      <c r="J1829" s="21" t="str">
        <f ca="1">IF(I1829=0,"",COUNTIF($I$2:I1829,"&gt;0"))</f>
        <v/>
      </c>
      <c r="K1829" s="21" t="str">
        <f t="shared" ca="1" si="137"/>
        <v/>
      </c>
    </row>
    <row r="1830" spans="1:11" s="18" customFormat="1" ht="14.25" x14ac:dyDescent="0.2">
      <c r="A1830" s="18" t="str">
        <f t="shared" si="136"/>
        <v>Eintrag 1829</v>
      </c>
      <c r="B1830" s="18">
        <v>100</v>
      </c>
      <c r="C1830" s="19">
        <v>100</v>
      </c>
      <c r="D1830" s="20">
        <v>10</v>
      </c>
      <c r="E1830" s="20">
        <v>10</v>
      </c>
      <c r="F1830" s="20">
        <v>10</v>
      </c>
      <c r="G1830" s="19">
        <f t="shared" si="138"/>
        <v>172</v>
      </c>
      <c r="H1830" s="22">
        <f t="shared" si="140"/>
        <v>1829</v>
      </c>
      <c r="I1830" s="21">
        <f t="shared" ca="1" si="139"/>
        <v>0</v>
      </c>
      <c r="J1830" s="21" t="str">
        <f ca="1">IF(I1830=0,"",COUNTIF($I$2:I1830,"&gt;0"))</f>
        <v/>
      </c>
      <c r="K1830" s="21" t="str">
        <f t="shared" ca="1" si="137"/>
        <v/>
      </c>
    </row>
    <row r="1831" spans="1:11" s="18" customFormat="1" ht="14.25" x14ac:dyDescent="0.2">
      <c r="A1831" s="18" t="str">
        <f t="shared" si="136"/>
        <v>Eintrag 1830</v>
      </c>
      <c r="B1831" s="18">
        <v>100</v>
      </c>
      <c r="C1831" s="19">
        <v>100</v>
      </c>
      <c r="D1831" s="20">
        <v>10</v>
      </c>
      <c r="E1831" s="20">
        <v>10</v>
      </c>
      <c r="F1831" s="20">
        <v>10</v>
      </c>
      <c r="G1831" s="19">
        <f t="shared" si="138"/>
        <v>172</v>
      </c>
      <c r="H1831" s="22">
        <f t="shared" si="140"/>
        <v>1830</v>
      </c>
      <c r="I1831" s="21">
        <f t="shared" ca="1" si="139"/>
        <v>0</v>
      </c>
      <c r="J1831" s="21" t="str">
        <f ca="1">IF(I1831=0,"",COUNTIF($I$2:I1831,"&gt;0"))</f>
        <v/>
      </c>
      <c r="K1831" s="21" t="str">
        <f t="shared" ca="1" si="137"/>
        <v/>
      </c>
    </row>
    <row r="1832" spans="1:11" s="18" customFormat="1" ht="14.25" x14ac:dyDescent="0.2">
      <c r="A1832" s="18" t="str">
        <f t="shared" si="136"/>
        <v>Eintrag 1831</v>
      </c>
      <c r="B1832" s="18">
        <v>100</v>
      </c>
      <c r="C1832" s="19">
        <v>100</v>
      </c>
      <c r="D1832" s="20">
        <v>10</v>
      </c>
      <c r="E1832" s="20">
        <v>10</v>
      </c>
      <c r="F1832" s="20">
        <v>10</v>
      </c>
      <c r="G1832" s="19">
        <f t="shared" si="138"/>
        <v>172</v>
      </c>
      <c r="H1832" s="22">
        <f t="shared" si="140"/>
        <v>1831</v>
      </c>
      <c r="I1832" s="21">
        <f t="shared" ca="1" si="139"/>
        <v>0</v>
      </c>
      <c r="J1832" s="21" t="str">
        <f ca="1">IF(I1832=0,"",COUNTIF($I$2:I1832,"&gt;0"))</f>
        <v/>
      </c>
      <c r="K1832" s="21" t="str">
        <f t="shared" ca="1" si="137"/>
        <v/>
      </c>
    </row>
    <row r="1833" spans="1:11" s="18" customFormat="1" ht="14.25" x14ac:dyDescent="0.2">
      <c r="A1833" s="18" t="str">
        <f t="shared" si="136"/>
        <v>Eintrag 1832</v>
      </c>
      <c r="B1833" s="18">
        <v>100</v>
      </c>
      <c r="C1833" s="19">
        <v>100</v>
      </c>
      <c r="D1833" s="20">
        <v>10</v>
      </c>
      <c r="E1833" s="20">
        <v>10</v>
      </c>
      <c r="F1833" s="20">
        <v>10</v>
      </c>
      <c r="G1833" s="19">
        <f t="shared" si="138"/>
        <v>172</v>
      </c>
      <c r="H1833" s="22">
        <f t="shared" si="140"/>
        <v>1832</v>
      </c>
      <c r="I1833" s="21">
        <f t="shared" ca="1" si="139"/>
        <v>0</v>
      </c>
      <c r="J1833" s="21" t="str">
        <f ca="1">IF(I1833=0,"",COUNTIF($I$2:I1833,"&gt;0"))</f>
        <v/>
      </c>
      <c r="K1833" s="21" t="str">
        <f t="shared" ca="1" si="137"/>
        <v/>
      </c>
    </row>
    <row r="1834" spans="1:11" s="18" customFormat="1" ht="14.25" x14ac:dyDescent="0.2">
      <c r="A1834" s="18" t="str">
        <f t="shared" si="136"/>
        <v>Eintrag 1833</v>
      </c>
      <c r="B1834" s="18">
        <v>100</v>
      </c>
      <c r="C1834" s="19">
        <v>100</v>
      </c>
      <c r="D1834" s="20">
        <v>10</v>
      </c>
      <c r="E1834" s="20">
        <v>10</v>
      </c>
      <c r="F1834" s="20">
        <v>10</v>
      </c>
      <c r="G1834" s="19">
        <f t="shared" si="138"/>
        <v>172</v>
      </c>
      <c r="H1834" s="22">
        <f t="shared" si="140"/>
        <v>1833</v>
      </c>
      <c r="I1834" s="21">
        <f t="shared" ca="1" si="139"/>
        <v>0</v>
      </c>
      <c r="J1834" s="21" t="str">
        <f ca="1">IF(I1834=0,"",COUNTIF($I$2:I1834,"&gt;0"))</f>
        <v/>
      </c>
      <c r="K1834" s="21" t="str">
        <f t="shared" ca="1" si="137"/>
        <v/>
      </c>
    </row>
    <row r="1835" spans="1:11" s="18" customFormat="1" ht="14.25" x14ac:dyDescent="0.2">
      <c r="A1835" s="18" t="str">
        <f t="shared" si="136"/>
        <v>Eintrag 1834</v>
      </c>
      <c r="B1835" s="18">
        <v>100</v>
      </c>
      <c r="C1835" s="19">
        <v>100</v>
      </c>
      <c r="D1835" s="20">
        <v>10</v>
      </c>
      <c r="E1835" s="20">
        <v>10</v>
      </c>
      <c r="F1835" s="20">
        <v>10</v>
      </c>
      <c r="G1835" s="19">
        <f t="shared" si="138"/>
        <v>172</v>
      </c>
      <c r="H1835" s="22">
        <f t="shared" si="140"/>
        <v>1834</v>
      </c>
      <c r="I1835" s="21">
        <f t="shared" ca="1" si="139"/>
        <v>0</v>
      </c>
      <c r="J1835" s="21" t="str">
        <f ca="1">IF(I1835=0,"",COUNTIF($I$2:I1835,"&gt;0"))</f>
        <v/>
      </c>
      <c r="K1835" s="21" t="str">
        <f t="shared" ca="1" si="137"/>
        <v/>
      </c>
    </row>
    <row r="1836" spans="1:11" s="18" customFormat="1" ht="14.25" x14ac:dyDescent="0.2">
      <c r="A1836" s="18" t="str">
        <f t="shared" si="136"/>
        <v>Eintrag 1835</v>
      </c>
      <c r="B1836" s="18">
        <v>100</v>
      </c>
      <c r="C1836" s="19">
        <v>100</v>
      </c>
      <c r="D1836" s="20">
        <v>10</v>
      </c>
      <c r="E1836" s="20">
        <v>10</v>
      </c>
      <c r="F1836" s="20">
        <v>10</v>
      </c>
      <c r="G1836" s="19">
        <f t="shared" si="138"/>
        <v>172</v>
      </c>
      <c r="H1836" s="22">
        <f t="shared" si="140"/>
        <v>1835</v>
      </c>
      <c r="I1836" s="21">
        <f t="shared" ca="1" si="139"/>
        <v>0</v>
      </c>
      <c r="J1836" s="21" t="str">
        <f ca="1">IF(I1836=0,"",COUNTIF($I$2:I1836,"&gt;0"))</f>
        <v/>
      </c>
      <c r="K1836" s="21" t="str">
        <f t="shared" ca="1" si="137"/>
        <v/>
      </c>
    </row>
    <row r="1837" spans="1:11" s="18" customFormat="1" ht="14.25" x14ac:dyDescent="0.2">
      <c r="A1837" s="18" t="str">
        <f t="shared" si="136"/>
        <v>Eintrag 1836</v>
      </c>
      <c r="B1837" s="18">
        <v>100</v>
      </c>
      <c r="C1837" s="19">
        <v>100</v>
      </c>
      <c r="D1837" s="20">
        <v>10</v>
      </c>
      <c r="E1837" s="20">
        <v>10</v>
      </c>
      <c r="F1837" s="20">
        <v>10</v>
      </c>
      <c r="G1837" s="19">
        <f t="shared" si="138"/>
        <v>172</v>
      </c>
      <c r="H1837" s="22">
        <f t="shared" si="140"/>
        <v>1836</v>
      </c>
      <c r="I1837" s="21">
        <f t="shared" ca="1" si="139"/>
        <v>0</v>
      </c>
      <c r="J1837" s="21" t="str">
        <f ca="1">IF(I1837=0,"",COUNTIF($I$2:I1837,"&gt;0"))</f>
        <v/>
      </c>
      <c r="K1837" s="21" t="str">
        <f t="shared" ca="1" si="137"/>
        <v/>
      </c>
    </row>
    <row r="1838" spans="1:11" s="18" customFormat="1" ht="14.25" x14ac:dyDescent="0.2">
      <c r="A1838" s="18" t="str">
        <f t="shared" si="136"/>
        <v>Eintrag 1837</v>
      </c>
      <c r="B1838" s="18">
        <v>100</v>
      </c>
      <c r="C1838" s="19">
        <v>100</v>
      </c>
      <c r="D1838" s="20">
        <v>10</v>
      </c>
      <c r="E1838" s="20">
        <v>10</v>
      </c>
      <c r="F1838" s="20">
        <v>10</v>
      </c>
      <c r="G1838" s="19">
        <f t="shared" si="138"/>
        <v>172</v>
      </c>
      <c r="H1838" s="22">
        <f t="shared" si="140"/>
        <v>1837</v>
      </c>
      <c r="I1838" s="21">
        <f t="shared" ca="1" si="139"/>
        <v>0</v>
      </c>
      <c r="J1838" s="21" t="str">
        <f ca="1">IF(I1838=0,"",COUNTIF($I$2:I1838,"&gt;0"))</f>
        <v/>
      </c>
      <c r="K1838" s="21" t="str">
        <f t="shared" ca="1" si="137"/>
        <v/>
      </c>
    </row>
    <row r="1839" spans="1:11" s="18" customFormat="1" ht="14.25" x14ac:dyDescent="0.2">
      <c r="A1839" s="18" t="str">
        <f t="shared" si="136"/>
        <v>Eintrag 1838</v>
      </c>
      <c r="B1839" s="18">
        <v>100</v>
      </c>
      <c r="C1839" s="19">
        <v>100</v>
      </c>
      <c r="D1839" s="20">
        <v>10</v>
      </c>
      <c r="E1839" s="20">
        <v>10</v>
      </c>
      <c r="F1839" s="20">
        <v>10</v>
      </c>
      <c r="G1839" s="19">
        <f t="shared" si="138"/>
        <v>172</v>
      </c>
      <c r="H1839" s="22">
        <f t="shared" si="140"/>
        <v>1838</v>
      </c>
      <c r="I1839" s="21">
        <f t="shared" ca="1" si="139"/>
        <v>0</v>
      </c>
      <c r="J1839" s="21" t="str">
        <f ca="1">IF(I1839=0,"",COUNTIF($I$2:I1839,"&gt;0"))</f>
        <v/>
      </c>
      <c r="K1839" s="21" t="str">
        <f t="shared" ca="1" si="137"/>
        <v/>
      </c>
    </row>
    <row r="1840" spans="1:11" s="18" customFormat="1" ht="14.25" x14ac:dyDescent="0.2">
      <c r="A1840" s="18" t="str">
        <f t="shared" si="136"/>
        <v>Eintrag 1839</v>
      </c>
      <c r="B1840" s="18">
        <v>100</v>
      </c>
      <c r="C1840" s="19">
        <v>100</v>
      </c>
      <c r="D1840" s="20">
        <v>10</v>
      </c>
      <c r="E1840" s="20">
        <v>10</v>
      </c>
      <c r="F1840" s="20">
        <v>10</v>
      </c>
      <c r="G1840" s="19">
        <f t="shared" si="138"/>
        <v>172</v>
      </c>
      <c r="H1840" s="22">
        <f t="shared" si="140"/>
        <v>1839</v>
      </c>
      <c r="I1840" s="21">
        <f t="shared" ca="1" si="139"/>
        <v>0</v>
      </c>
      <c r="J1840" s="21" t="str">
        <f ca="1">IF(I1840=0,"",COUNTIF($I$2:I1840,"&gt;0"))</f>
        <v/>
      </c>
      <c r="K1840" s="21" t="str">
        <f t="shared" ca="1" si="137"/>
        <v/>
      </c>
    </row>
    <row r="1841" spans="1:11" s="18" customFormat="1" ht="14.25" x14ac:dyDescent="0.2">
      <c r="A1841" s="18" t="str">
        <f t="shared" si="136"/>
        <v>Eintrag 1840</v>
      </c>
      <c r="B1841" s="18">
        <v>100</v>
      </c>
      <c r="C1841" s="19">
        <v>100</v>
      </c>
      <c r="D1841" s="20">
        <v>10</v>
      </c>
      <c r="E1841" s="20">
        <v>10</v>
      </c>
      <c r="F1841" s="20">
        <v>10</v>
      </c>
      <c r="G1841" s="19">
        <f t="shared" si="138"/>
        <v>172</v>
      </c>
      <c r="H1841" s="22">
        <f t="shared" si="140"/>
        <v>1840</v>
      </c>
      <c r="I1841" s="21">
        <f t="shared" ca="1" si="139"/>
        <v>0</v>
      </c>
      <c r="J1841" s="21" t="str">
        <f ca="1">IF(I1841=0,"",COUNTIF($I$2:I1841,"&gt;0"))</f>
        <v/>
      </c>
      <c r="K1841" s="21" t="str">
        <f t="shared" ca="1" si="137"/>
        <v/>
      </c>
    </row>
    <row r="1842" spans="1:11" s="18" customFormat="1" ht="14.25" x14ac:dyDescent="0.2">
      <c r="A1842" s="18" t="str">
        <f t="shared" si="136"/>
        <v>Eintrag 1841</v>
      </c>
      <c r="B1842" s="18">
        <v>100</v>
      </c>
      <c r="C1842" s="19">
        <v>100</v>
      </c>
      <c r="D1842" s="20">
        <v>10</v>
      </c>
      <c r="E1842" s="20">
        <v>10</v>
      </c>
      <c r="F1842" s="20">
        <v>10</v>
      </c>
      <c r="G1842" s="19">
        <f t="shared" si="138"/>
        <v>172</v>
      </c>
      <c r="H1842" s="22">
        <f t="shared" si="140"/>
        <v>1841</v>
      </c>
      <c r="I1842" s="21">
        <f t="shared" ca="1" si="139"/>
        <v>0</v>
      </c>
      <c r="J1842" s="21" t="str">
        <f ca="1">IF(I1842=0,"",COUNTIF($I$2:I1842,"&gt;0"))</f>
        <v/>
      </c>
      <c r="K1842" s="21" t="str">
        <f t="shared" ca="1" si="137"/>
        <v/>
      </c>
    </row>
    <row r="1843" spans="1:11" s="18" customFormat="1" ht="14.25" x14ac:dyDescent="0.2">
      <c r="A1843" s="18" t="str">
        <f t="shared" si="136"/>
        <v>Eintrag 1842</v>
      </c>
      <c r="B1843" s="18">
        <v>100</v>
      </c>
      <c r="C1843" s="19">
        <v>100</v>
      </c>
      <c r="D1843" s="20">
        <v>10</v>
      </c>
      <c r="E1843" s="20">
        <v>10</v>
      </c>
      <c r="F1843" s="20">
        <v>10</v>
      </c>
      <c r="G1843" s="19">
        <f t="shared" si="138"/>
        <v>172</v>
      </c>
      <c r="H1843" s="22">
        <f t="shared" si="140"/>
        <v>1842</v>
      </c>
      <c r="I1843" s="21">
        <f t="shared" ca="1" si="139"/>
        <v>0</v>
      </c>
      <c r="J1843" s="21" t="str">
        <f ca="1">IF(I1843=0,"",COUNTIF($I$2:I1843,"&gt;0"))</f>
        <v/>
      </c>
      <c r="K1843" s="21" t="str">
        <f t="shared" ca="1" si="137"/>
        <v/>
      </c>
    </row>
    <row r="1844" spans="1:11" s="18" customFormat="1" ht="14.25" x14ac:dyDescent="0.2">
      <c r="A1844" s="18" t="str">
        <f t="shared" si="136"/>
        <v>Eintrag 1843</v>
      </c>
      <c r="B1844" s="18">
        <v>100</v>
      </c>
      <c r="C1844" s="19">
        <v>100</v>
      </c>
      <c r="D1844" s="20">
        <v>10</v>
      </c>
      <c r="E1844" s="20">
        <v>10</v>
      </c>
      <c r="F1844" s="20">
        <v>10</v>
      </c>
      <c r="G1844" s="19">
        <f t="shared" si="138"/>
        <v>172</v>
      </c>
      <c r="H1844" s="22">
        <f t="shared" si="140"/>
        <v>1843</v>
      </c>
      <c r="I1844" s="21">
        <f t="shared" ca="1" si="139"/>
        <v>0</v>
      </c>
      <c r="J1844" s="21" t="str">
        <f ca="1">IF(I1844=0,"",COUNTIF($I$2:I1844,"&gt;0"))</f>
        <v/>
      </c>
      <c r="K1844" s="21" t="str">
        <f t="shared" ca="1" si="137"/>
        <v/>
      </c>
    </row>
    <row r="1845" spans="1:11" s="18" customFormat="1" ht="14.25" x14ac:dyDescent="0.2">
      <c r="A1845" s="18" t="str">
        <f t="shared" si="136"/>
        <v>Eintrag 1844</v>
      </c>
      <c r="B1845" s="18">
        <v>100</v>
      </c>
      <c r="C1845" s="19">
        <v>100</v>
      </c>
      <c r="D1845" s="20">
        <v>10</v>
      </c>
      <c r="E1845" s="20">
        <v>10</v>
      </c>
      <c r="F1845" s="20">
        <v>10</v>
      </c>
      <c r="G1845" s="19">
        <f t="shared" si="138"/>
        <v>172</v>
      </c>
      <c r="H1845" s="22">
        <f t="shared" si="140"/>
        <v>1844</v>
      </c>
      <c r="I1845" s="21">
        <f t="shared" ca="1" si="139"/>
        <v>0</v>
      </c>
      <c r="J1845" s="21" t="str">
        <f ca="1">IF(I1845=0,"",COUNTIF($I$2:I1845,"&gt;0"))</f>
        <v/>
      </c>
      <c r="K1845" s="21" t="str">
        <f t="shared" ca="1" si="137"/>
        <v/>
      </c>
    </row>
    <row r="1846" spans="1:11" s="18" customFormat="1" ht="14.25" x14ac:dyDescent="0.2">
      <c r="A1846" s="18" t="str">
        <f t="shared" si="136"/>
        <v>Eintrag 1845</v>
      </c>
      <c r="B1846" s="18">
        <v>100</v>
      </c>
      <c r="C1846" s="19">
        <v>100</v>
      </c>
      <c r="D1846" s="20">
        <v>10</v>
      </c>
      <c r="E1846" s="20">
        <v>10</v>
      </c>
      <c r="F1846" s="20">
        <v>10</v>
      </c>
      <c r="G1846" s="19">
        <f t="shared" si="138"/>
        <v>172</v>
      </c>
      <c r="H1846" s="22">
        <f t="shared" si="140"/>
        <v>1845</v>
      </c>
      <c r="I1846" s="21">
        <f t="shared" ca="1" si="139"/>
        <v>0</v>
      </c>
      <c r="J1846" s="21" t="str">
        <f ca="1">IF(I1846=0,"",COUNTIF($I$2:I1846,"&gt;0"))</f>
        <v/>
      </c>
      <c r="K1846" s="21" t="str">
        <f t="shared" ca="1" si="137"/>
        <v/>
      </c>
    </row>
    <row r="1847" spans="1:11" s="18" customFormat="1" ht="14.25" x14ac:dyDescent="0.2">
      <c r="A1847" s="18" t="str">
        <f t="shared" si="136"/>
        <v>Eintrag 1846</v>
      </c>
      <c r="B1847" s="18">
        <v>100</v>
      </c>
      <c r="C1847" s="19">
        <v>100</v>
      </c>
      <c r="D1847" s="20">
        <v>10</v>
      </c>
      <c r="E1847" s="20">
        <v>10</v>
      </c>
      <c r="F1847" s="20">
        <v>10</v>
      </c>
      <c r="G1847" s="19">
        <f t="shared" si="138"/>
        <v>172</v>
      </c>
      <c r="H1847" s="22">
        <f t="shared" si="140"/>
        <v>1846</v>
      </c>
      <c r="I1847" s="21">
        <f t="shared" ca="1" si="139"/>
        <v>0</v>
      </c>
      <c r="J1847" s="21" t="str">
        <f ca="1">IF(I1847=0,"",COUNTIF($I$2:I1847,"&gt;0"))</f>
        <v/>
      </c>
      <c r="K1847" s="21" t="str">
        <f t="shared" ca="1" si="137"/>
        <v/>
      </c>
    </row>
    <row r="1848" spans="1:11" s="18" customFormat="1" ht="14.25" x14ac:dyDescent="0.2">
      <c r="A1848" s="18" t="str">
        <f t="shared" si="136"/>
        <v>Eintrag 1847</v>
      </c>
      <c r="B1848" s="18">
        <v>100</v>
      </c>
      <c r="C1848" s="19">
        <v>100</v>
      </c>
      <c r="D1848" s="20">
        <v>10</v>
      </c>
      <c r="E1848" s="20">
        <v>10</v>
      </c>
      <c r="F1848" s="20">
        <v>10</v>
      </c>
      <c r="G1848" s="19">
        <f t="shared" si="138"/>
        <v>172</v>
      </c>
      <c r="H1848" s="22">
        <f t="shared" si="140"/>
        <v>1847</v>
      </c>
      <c r="I1848" s="21">
        <f t="shared" ca="1" si="139"/>
        <v>0</v>
      </c>
      <c r="J1848" s="21" t="str">
        <f ca="1">IF(I1848=0,"",COUNTIF($I$2:I1848,"&gt;0"))</f>
        <v/>
      </c>
      <c r="K1848" s="21" t="str">
        <f t="shared" ca="1" si="137"/>
        <v/>
      </c>
    </row>
    <row r="1849" spans="1:11" s="18" customFormat="1" ht="14.25" x14ac:dyDescent="0.2">
      <c r="A1849" s="18" t="str">
        <f t="shared" si="136"/>
        <v>Eintrag 1848</v>
      </c>
      <c r="B1849" s="18">
        <v>100</v>
      </c>
      <c r="C1849" s="19">
        <v>100</v>
      </c>
      <c r="D1849" s="20">
        <v>10</v>
      </c>
      <c r="E1849" s="20">
        <v>10</v>
      </c>
      <c r="F1849" s="20">
        <v>10</v>
      </c>
      <c r="G1849" s="19">
        <f t="shared" si="138"/>
        <v>172</v>
      </c>
      <c r="H1849" s="22">
        <f t="shared" si="140"/>
        <v>1848</v>
      </c>
      <c r="I1849" s="21">
        <f t="shared" ca="1" si="139"/>
        <v>0</v>
      </c>
      <c r="J1849" s="21" t="str">
        <f ca="1">IF(I1849=0,"",COUNTIF($I$2:I1849,"&gt;0"))</f>
        <v/>
      </c>
      <c r="K1849" s="21" t="str">
        <f t="shared" ca="1" si="137"/>
        <v/>
      </c>
    </row>
    <row r="1850" spans="1:11" s="18" customFormat="1" ht="14.25" x14ac:dyDescent="0.2">
      <c r="A1850" s="18" t="str">
        <f t="shared" si="136"/>
        <v>Eintrag 1849</v>
      </c>
      <c r="B1850" s="18">
        <v>100</v>
      </c>
      <c r="C1850" s="19">
        <v>100</v>
      </c>
      <c r="D1850" s="20">
        <v>10</v>
      </c>
      <c r="E1850" s="20">
        <v>10</v>
      </c>
      <c r="F1850" s="20">
        <v>10</v>
      </c>
      <c r="G1850" s="19">
        <f t="shared" si="138"/>
        <v>172</v>
      </c>
      <c r="H1850" s="22">
        <f t="shared" si="140"/>
        <v>1849</v>
      </c>
      <c r="I1850" s="21">
        <f t="shared" ca="1" si="139"/>
        <v>0</v>
      </c>
      <c r="J1850" s="21" t="str">
        <f ca="1">IF(I1850=0,"",COUNTIF($I$2:I1850,"&gt;0"))</f>
        <v/>
      </c>
      <c r="K1850" s="21" t="str">
        <f t="shared" ca="1" si="137"/>
        <v/>
      </c>
    </row>
    <row r="1851" spans="1:11" s="18" customFormat="1" ht="14.25" x14ac:dyDescent="0.2">
      <c r="A1851" s="18" t="str">
        <f t="shared" si="136"/>
        <v>Eintrag 1850</v>
      </c>
      <c r="B1851" s="18">
        <v>100</v>
      </c>
      <c r="C1851" s="19">
        <v>100</v>
      </c>
      <c r="D1851" s="20">
        <v>10</v>
      </c>
      <c r="E1851" s="20">
        <v>10</v>
      </c>
      <c r="F1851" s="20">
        <v>10</v>
      </c>
      <c r="G1851" s="19">
        <f t="shared" si="138"/>
        <v>172</v>
      </c>
      <c r="H1851" s="22">
        <f t="shared" si="140"/>
        <v>1850</v>
      </c>
      <c r="I1851" s="21">
        <f t="shared" ca="1" si="139"/>
        <v>0</v>
      </c>
      <c r="J1851" s="21" t="str">
        <f ca="1">IF(I1851=0,"",COUNTIF($I$2:I1851,"&gt;0"))</f>
        <v/>
      </c>
      <c r="K1851" s="21" t="str">
        <f t="shared" ca="1" si="137"/>
        <v/>
      </c>
    </row>
    <row r="1852" spans="1:11" s="18" customFormat="1" ht="14.25" x14ac:dyDescent="0.2">
      <c r="A1852" s="18" t="str">
        <f t="shared" si="136"/>
        <v>Eintrag 1851</v>
      </c>
      <c r="B1852" s="18">
        <v>100</v>
      </c>
      <c r="C1852" s="19">
        <v>100</v>
      </c>
      <c r="D1852" s="20">
        <v>10</v>
      </c>
      <c r="E1852" s="20">
        <v>10</v>
      </c>
      <c r="F1852" s="20">
        <v>10</v>
      </c>
      <c r="G1852" s="19">
        <f t="shared" si="138"/>
        <v>172</v>
      </c>
      <c r="H1852" s="22">
        <f t="shared" si="140"/>
        <v>1851</v>
      </c>
      <c r="I1852" s="21">
        <f t="shared" ca="1" si="139"/>
        <v>0</v>
      </c>
      <c r="J1852" s="21" t="str">
        <f ca="1">IF(I1852=0,"",COUNTIF($I$2:I1852,"&gt;0"))</f>
        <v/>
      </c>
      <c r="K1852" s="21" t="str">
        <f t="shared" ca="1" si="137"/>
        <v/>
      </c>
    </row>
    <row r="1853" spans="1:11" s="18" customFormat="1" ht="14.25" x14ac:dyDescent="0.2">
      <c r="A1853" s="18" t="str">
        <f t="shared" si="136"/>
        <v>Eintrag 1852</v>
      </c>
      <c r="B1853" s="18">
        <v>100</v>
      </c>
      <c r="C1853" s="19">
        <v>100</v>
      </c>
      <c r="D1853" s="20">
        <v>10</v>
      </c>
      <c r="E1853" s="20">
        <v>10</v>
      </c>
      <c r="F1853" s="20">
        <v>10</v>
      </c>
      <c r="G1853" s="19">
        <f t="shared" si="138"/>
        <v>172</v>
      </c>
      <c r="H1853" s="22">
        <f t="shared" si="140"/>
        <v>1852</v>
      </c>
      <c r="I1853" s="21">
        <f t="shared" ca="1" si="139"/>
        <v>0</v>
      </c>
      <c r="J1853" s="21" t="str">
        <f ca="1">IF(I1853=0,"",COUNTIF($I$2:I1853,"&gt;0"))</f>
        <v/>
      </c>
      <c r="K1853" s="21" t="str">
        <f t="shared" ca="1" si="137"/>
        <v/>
      </c>
    </row>
    <row r="1854" spans="1:11" s="18" customFormat="1" ht="14.25" x14ac:dyDescent="0.2">
      <c r="A1854" s="18" t="str">
        <f t="shared" si="136"/>
        <v>Eintrag 1853</v>
      </c>
      <c r="B1854" s="18">
        <v>100</v>
      </c>
      <c r="C1854" s="19">
        <v>100</v>
      </c>
      <c r="D1854" s="20">
        <v>10</v>
      </c>
      <c r="E1854" s="20">
        <v>10</v>
      </c>
      <c r="F1854" s="20">
        <v>10</v>
      </c>
      <c r="G1854" s="19">
        <f t="shared" si="138"/>
        <v>172</v>
      </c>
      <c r="H1854" s="22">
        <f t="shared" si="140"/>
        <v>1853</v>
      </c>
      <c r="I1854" s="21">
        <f t="shared" ca="1" si="139"/>
        <v>0</v>
      </c>
      <c r="J1854" s="21" t="str">
        <f ca="1">IF(I1854=0,"",COUNTIF($I$2:I1854,"&gt;0"))</f>
        <v/>
      </c>
      <c r="K1854" s="21" t="str">
        <f t="shared" ca="1" si="137"/>
        <v/>
      </c>
    </row>
    <row r="1855" spans="1:11" s="18" customFormat="1" ht="14.25" x14ac:dyDescent="0.2">
      <c r="A1855" s="18" t="str">
        <f t="shared" si="136"/>
        <v>Eintrag 1854</v>
      </c>
      <c r="B1855" s="18">
        <v>100</v>
      </c>
      <c r="C1855" s="19">
        <v>100</v>
      </c>
      <c r="D1855" s="20">
        <v>10</v>
      </c>
      <c r="E1855" s="20">
        <v>10</v>
      </c>
      <c r="F1855" s="20">
        <v>10</v>
      </c>
      <c r="G1855" s="19">
        <f t="shared" si="138"/>
        <v>172</v>
      </c>
      <c r="H1855" s="22">
        <f t="shared" si="140"/>
        <v>1854</v>
      </c>
      <c r="I1855" s="21">
        <f t="shared" ca="1" si="139"/>
        <v>0</v>
      </c>
      <c r="J1855" s="21" t="str">
        <f ca="1">IF(I1855=0,"",COUNTIF($I$2:I1855,"&gt;0"))</f>
        <v/>
      </c>
      <c r="K1855" s="21" t="str">
        <f t="shared" ca="1" si="137"/>
        <v/>
      </c>
    </row>
    <row r="1856" spans="1:11" s="18" customFormat="1" ht="14.25" x14ac:dyDescent="0.2">
      <c r="A1856" s="18" t="str">
        <f t="shared" si="136"/>
        <v>Eintrag 1855</v>
      </c>
      <c r="B1856" s="18">
        <v>100</v>
      </c>
      <c r="C1856" s="19">
        <v>100</v>
      </c>
      <c r="D1856" s="20">
        <v>10</v>
      </c>
      <c r="E1856" s="20">
        <v>10</v>
      </c>
      <c r="F1856" s="20">
        <v>10</v>
      </c>
      <c r="G1856" s="19">
        <f t="shared" si="138"/>
        <v>172</v>
      </c>
      <c r="H1856" s="22">
        <f t="shared" si="140"/>
        <v>1855</v>
      </c>
      <c r="I1856" s="21">
        <f t="shared" ca="1" si="139"/>
        <v>0</v>
      </c>
      <c r="J1856" s="21" t="str">
        <f ca="1">IF(I1856=0,"",COUNTIF($I$2:I1856,"&gt;0"))</f>
        <v/>
      </c>
      <c r="K1856" s="21" t="str">
        <f t="shared" ca="1" si="137"/>
        <v/>
      </c>
    </row>
    <row r="1857" spans="1:11" s="18" customFormat="1" ht="14.25" x14ac:dyDescent="0.2">
      <c r="A1857" s="18" t="str">
        <f t="shared" si="136"/>
        <v>Eintrag 1856</v>
      </c>
      <c r="B1857" s="18">
        <v>100</v>
      </c>
      <c r="C1857" s="19">
        <v>100</v>
      </c>
      <c r="D1857" s="20">
        <v>10</v>
      </c>
      <c r="E1857" s="20">
        <v>10</v>
      </c>
      <c r="F1857" s="20">
        <v>10</v>
      </c>
      <c r="G1857" s="19">
        <f t="shared" si="138"/>
        <v>172</v>
      </c>
      <c r="H1857" s="22">
        <f t="shared" si="140"/>
        <v>1856</v>
      </c>
      <c r="I1857" s="21">
        <f t="shared" ca="1" si="139"/>
        <v>0</v>
      </c>
      <c r="J1857" s="21" t="str">
        <f ca="1">IF(I1857=0,"",COUNTIF($I$2:I1857,"&gt;0"))</f>
        <v/>
      </c>
      <c r="K1857" s="21" t="str">
        <f t="shared" ca="1" si="137"/>
        <v/>
      </c>
    </row>
    <row r="1858" spans="1:11" s="18" customFormat="1" ht="14.25" x14ac:dyDescent="0.2">
      <c r="A1858" s="18" t="str">
        <f t="shared" si="136"/>
        <v>Eintrag 1857</v>
      </c>
      <c r="B1858" s="18">
        <v>100</v>
      </c>
      <c r="C1858" s="19">
        <v>100</v>
      </c>
      <c r="D1858" s="20">
        <v>10</v>
      </c>
      <c r="E1858" s="20">
        <v>10</v>
      </c>
      <c r="F1858" s="20">
        <v>10</v>
      </c>
      <c r="G1858" s="19">
        <f t="shared" si="138"/>
        <v>172</v>
      </c>
      <c r="H1858" s="22">
        <f t="shared" si="140"/>
        <v>1857</v>
      </c>
      <c r="I1858" s="21">
        <f t="shared" ca="1" si="139"/>
        <v>0</v>
      </c>
      <c r="J1858" s="21" t="str">
        <f ca="1">IF(I1858=0,"",COUNTIF($I$2:I1858,"&gt;0"))</f>
        <v/>
      </c>
      <c r="K1858" s="21" t="str">
        <f t="shared" ref="K1858:K1921" ca="1" si="141">IFERROR(INDEX(A:A,MATCH(ROW(I1857),J:J,0)),"")</f>
        <v/>
      </c>
    </row>
    <row r="1859" spans="1:11" s="18" customFormat="1" ht="14.25" x14ac:dyDescent="0.2">
      <c r="A1859" s="18" t="str">
        <f t="shared" si="136"/>
        <v>Eintrag 1858</v>
      </c>
      <c r="B1859" s="18">
        <v>100</v>
      </c>
      <c r="C1859" s="19">
        <v>100</v>
      </c>
      <c r="D1859" s="20">
        <v>10</v>
      </c>
      <c r="E1859" s="20">
        <v>10</v>
      </c>
      <c r="F1859" s="20">
        <v>10</v>
      </c>
      <c r="G1859" s="19">
        <f t="shared" ref="G1859:G1922" si="142">D1859*9+E1859*4.1+F1859*4.1</f>
        <v>172</v>
      </c>
      <c r="H1859" s="22">
        <f t="shared" si="140"/>
        <v>1858</v>
      </c>
      <c r="I1859" s="21">
        <f t="shared" ca="1" si="139"/>
        <v>0</v>
      </c>
      <c r="J1859" s="21" t="str">
        <f ca="1">IF(I1859=0,"",COUNTIF($I$2:I1859,"&gt;0"))</f>
        <v/>
      </c>
      <c r="K1859" s="21" t="str">
        <f t="shared" ca="1" si="141"/>
        <v/>
      </c>
    </row>
    <row r="1860" spans="1:11" s="18" customFormat="1" ht="14.25" x14ac:dyDescent="0.2">
      <c r="A1860" s="18" t="str">
        <f t="shared" si="136"/>
        <v>Eintrag 1859</v>
      </c>
      <c r="B1860" s="18">
        <v>100</v>
      </c>
      <c r="C1860" s="19">
        <v>100</v>
      </c>
      <c r="D1860" s="20">
        <v>10</v>
      </c>
      <c r="E1860" s="20">
        <v>10</v>
      </c>
      <c r="F1860" s="20">
        <v>10</v>
      </c>
      <c r="G1860" s="19">
        <f t="shared" si="142"/>
        <v>172</v>
      </c>
      <c r="H1860" s="22">
        <f t="shared" si="140"/>
        <v>1859</v>
      </c>
      <c r="I1860" s="21">
        <f t="shared" ca="1" si="139"/>
        <v>0</v>
      </c>
      <c r="J1860" s="21" t="str">
        <f ca="1">IF(I1860=0,"",COUNTIF($I$2:I1860,"&gt;0"))</f>
        <v/>
      </c>
      <c r="K1860" s="21" t="str">
        <f t="shared" ca="1" si="141"/>
        <v/>
      </c>
    </row>
    <row r="1861" spans="1:11" s="18" customFormat="1" ht="14.25" x14ac:dyDescent="0.2">
      <c r="A1861" s="18" t="str">
        <f t="shared" si="136"/>
        <v>Eintrag 1860</v>
      </c>
      <c r="B1861" s="18">
        <v>100</v>
      </c>
      <c r="C1861" s="19">
        <v>100</v>
      </c>
      <c r="D1861" s="20">
        <v>10</v>
      </c>
      <c r="E1861" s="20">
        <v>10</v>
      </c>
      <c r="F1861" s="20">
        <v>10</v>
      </c>
      <c r="G1861" s="19">
        <f t="shared" si="142"/>
        <v>172</v>
      </c>
      <c r="H1861" s="22">
        <f t="shared" si="140"/>
        <v>1860</v>
      </c>
      <c r="I1861" s="21">
        <f t="shared" ca="1" si="139"/>
        <v>0</v>
      </c>
      <c r="J1861" s="21" t="str">
        <f ca="1">IF(I1861=0,"",COUNTIF($I$2:I1861,"&gt;0"))</f>
        <v/>
      </c>
      <c r="K1861" s="21" t="str">
        <f t="shared" ca="1" si="141"/>
        <v/>
      </c>
    </row>
    <row r="1862" spans="1:11" s="18" customFormat="1" ht="14.25" x14ac:dyDescent="0.2">
      <c r="A1862" s="18" t="str">
        <f t="shared" si="136"/>
        <v>Eintrag 1861</v>
      </c>
      <c r="B1862" s="18">
        <v>100</v>
      </c>
      <c r="C1862" s="19">
        <v>100</v>
      </c>
      <c r="D1862" s="20">
        <v>10</v>
      </c>
      <c r="E1862" s="20">
        <v>10</v>
      </c>
      <c r="F1862" s="20">
        <v>10</v>
      </c>
      <c r="G1862" s="19">
        <f t="shared" si="142"/>
        <v>172</v>
      </c>
      <c r="H1862" s="22">
        <f t="shared" si="140"/>
        <v>1861</v>
      </c>
      <c r="I1862" s="21">
        <f t="shared" ca="1" si="139"/>
        <v>0</v>
      </c>
      <c r="J1862" s="21" t="str">
        <f ca="1">IF(I1862=0,"",COUNTIF($I$2:I1862,"&gt;0"))</f>
        <v/>
      </c>
      <c r="K1862" s="21" t="str">
        <f t="shared" ca="1" si="141"/>
        <v/>
      </c>
    </row>
    <row r="1863" spans="1:11" s="18" customFormat="1" ht="14.25" x14ac:dyDescent="0.2">
      <c r="A1863" s="18" t="str">
        <f t="shared" si="136"/>
        <v>Eintrag 1862</v>
      </c>
      <c r="B1863" s="18">
        <v>100</v>
      </c>
      <c r="C1863" s="19">
        <v>100</v>
      </c>
      <c r="D1863" s="20">
        <v>10</v>
      </c>
      <c r="E1863" s="20">
        <v>10</v>
      </c>
      <c r="F1863" s="20">
        <v>10</v>
      </c>
      <c r="G1863" s="19">
        <f t="shared" si="142"/>
        <v>172</v>
      </c>
      <c r="H1863" s="22">
        <f t="shared" si="140"/>
        <v>1862</v>
      </c>
      <c r="I1863" s="21">
        <f t="shared" ca="1" si="139"/>
        <v>0</v>
      </c>
      <c r="J1863" s="21" t="str">
        <f ca="1">IF(I1863=0,"",COUNTIF($I$2:I1863,"&gt;0"))</f>
        <v/>
      </c>
      <c r="K1863" s="21" t="str">
        <f t="shared" ca="1" si="141"/>
        <v/>
      </c>
    </row>
    <row r="1864" spans="1:11" s="18" customFormat="1" ht="14.25" x14ac:dyDescent="0.2">
      <c r="A1864" s="18" t="str">
        <f t="shared" si="136"/>
        <v>Eintrag 1863</v>
      </c>
      <c r="B1864" s="18">
        <v>100</v>
      </c>
      <c r="C1864" s="19">
        <v>100</v>
      </c>
      <c r="D1864" s="20">
        <v>10</v>
      </c>
      <c r="E1864" s="20">
        <v>10</v>
      </c>
      <c r="F1864" s="20">
        <v>10</v>
      </c>
      <c r="G1864" s="19">
        <f t="shared" si="142"/>
        <v>172</v>
      </c>
      <c r="H1864" s="22">
        <f t="shared" si="140"/>
        <v>1863</v>
      </c>
      <c r="I1864" s="21">
        <f t="shared" ca="1" si="139"/>
        <v>0</v>
      </c>
      <c r="J1864" s="21" t="str">
        <f ca="1">IF(I1864=0,"",COUNTIF($I$2:I1864,"&gt;0"))</f>
        <v/>
      </c>
      <c r="K1864" s="21" t="str">
        <f t="shared" ca="1" si="141"/>
        <v/>
      </c>
    </row>
    <row r="1865" spans="1:11" s="18" customFormat="1" ht="14.25" x14ac:dyDescent="0.2">
      <c r="A1865" s="18" t="str">
        <f t="shared" si="136"/>
        <v>Eintrag 1864</v>
      </c>
      <c r="B1865" s="18">
        <v>100</v>
      </c>
      <c r="C1865" s="19">
        <v>100</v>
      </c>
      <c r="D1865" s="20">
        <v>10</v>
      </c>
      <c r="E1865" s="20">
        <v>10</v>
      </c>
      <c r="F1865" s="20">
        <v>10</v>
      </c>
      <c r="G1865" s="19">
        <f t="shared" si="142"/>
        <v>172</v>
      </c>
      <c r="H1865" s="22">
        <f t="shared" si="140"/>
        <v>1864</v>
      </c>
      <c r="I1865" s="21">
        <f t="shared" ca="1" si="139"/>
        <v>0</v>
      </c>
      <c r="J1865" s="21" t="str">
        <f ca="1">IF(I1865=0,"",COUNTIF($I$2:I1865,"&gt;0"))</f>
        <v/>
      </c>
      <c r="K1865" s="21" t="str">
        <f t="shared" ca="1" si="141"/>
        <v/>
      </c>
    </row>
    <row r="1866" spans="1:11" s="18" customFormat="1" ht="14.25" x14ac:dyDescent="0.2">
      <c r="A1866" s="18" t="str">
        <f t="shared" si="136"/>
        <v>Eintrag 1865</v>
      </c>
      <c r="B1866" s="18">
        <v>100</v>
      </c>
      <c r="C1866" s="19">
        <v>100</v>
      </c>
      <c r="D1866" s="20">
        <v>10</v>
      </c>
      <c r="E1866" s="20">
        <v>10</v>
      </c>
      <c r="F1866" s="20">
        <v>10</v>
      </c>
      <c r="G1866" s="19">
        <f t="shared" si="142"/>
        <v>172</v>
      </c>
      <c r="H1866" s="22">
        <f t="shared" si="140"/>
        <v>1865</v>
      </c>
      <c r="I1866" s="21">
        <f t="shared" ca="1" si="139"/>
        <v>0</v>
      </c>
      <c r="J1866" s="21" t="str">
        <f ca="1">IF(I1866=0,"",COUNTIF($I$2:I1866,"&gt;0"))</f>
        <v/>
      </c>
      <c r="K1866" s="21" t="str">
        <f t="shared" ca="1" si="141"/>
        <v/>
      </c>
    </row>
    <row r="1867" spans="1:11" s="18" customFormat="1" ht="14.25" x14ac:dyDescent="0.2">
      <c r="A1867" s="18" t="str">
        <f t="shared" si="136"/>
        <v>Eintrag 1866</v>
      </c>
      <c r="B1867" s="18">
        <v>100</v>
      </c>
      <c r="C1867" s="19">
        <v>100</v>
      </c>
      <c r="D1867" s="20">
        <v>10</v>
      </c>
      <c r="E1867" s="20">
        <v>10</v>
      </c>
      <c r="F1867" s="20">
        <v>10</v>
      </c>
      <c r="G1867" s="19">
        <f t="shared" si="142"/>
        <v>172</v>
      </c>
      <c r="H1867" s="22">
        <f t="shared" si="140"/>
        <v>1866</v>
      </c>
      <c r="I1867" s="21">
        <f t="shared" ca="1" si="139"/>
        <v>0</v>
      </c>
      <c r="J1867" s="21" t="str">
        <f ca="1">IF(I1867=0,"",COUNTIF($I$2:I1867,"&gt;0"))</f>
        <v/>
      </c>
      <c r="K1867" s="21" t="str">
        <f t="shared" ca="1" si="141"/>
        <v/>
      </c>
    </row>
    <row r="1868" spans="1:11" s="18" customFormat="1" ht="14.25" x14ac:dyDescent="0.2">
      <c r="A1868" s="18" t="str">
        <f t="shared" si="136"/>
        <v>Eintrag 1867</v>
      </c>
      <c r="B1868" s="18">
        <v>100</v>
      </c>
      <c r="C1868" s="19">
        <v>100</v>
      </c>
      <c r="D1868" s="20">
        <v>10</v>
      </c>
      <c r="E1868" s="20">
        <v>10</v>
      </c>
      <c r="F1868" s="20">
        <v>10</v>
      </c>
      <c r="G1868" s="19">
        <f t="shared" si="142"/>
        <v>172</v>
      </c>
      <c r="H1868" s="22">
        <f t="shared" si="140"/>
        <v>1867</v>
      </c>
      <c r="I1868" s="21">
        <f t="shared" ca="1" si="139"/>
        <v>0</v>
      </c>
      <c r="J1868" s="21" t="str">
        <f ca="1">IF(I1868=0,"",COUNTIF($I$2:I1868,"&gt;0"))</f>
        <v/>
      </c>
      <c r="K1868" s="21" t="str">
        <f t="shared" ca="1" si="141"/>
        <v/>
      </c>
    </row>
    <row r="1869" spans="1:11" s="18" customFormat="1" ht="14.25" x14ac:dyDescent="0.2">
      <c r="A1869" s="18" t="str">
        <f t="shared" si="136"/>
        <v>Eintrag 1868</v>
      </c>
      <c r="B1869" s="18">
        <v>100</v>
      </c>
      <c r="C1869" s="19">
        <v>100</v>
      </c>
      <c r="D1869" s="20">
        <v>10</v>
      </c>
      <c r="E1869" s="20">
        <v>10</v>
      </c>
      <c r="F1869" s="20">
        <v>10</v>
      </c>
      <c r="G1869" s="19">
        <f t="shared" si="142"/>
        <v>172</v>
      </c>
      <c r="H1869" s="22">
        <f t="shared" si="140"/>
        <v>1868</v>
      </c>
      <c r="I1869" s="21">
        <f t="shared" ca="1" si="139"/>
        <v>0</v>
      </c>
      <c r="J1869" s="21" t="str">
        <f ca="1">IF(I1869=0,"",COUNTIF($I$2:I1869,"&gt;0"))</f>
        <v/>
      </c>
      <c r="K1869" s="21" t="str">
        <f t="shared" ca="1" si="141"/>
        <v/>
      </c>
    </row>
    <row r="1870" spans="1:11" s="18" customFormat="1" ht="14.25" x14ac:dyDescent="0.2">
      <c r="A1870" s="18" t="str">
        <f t="shared" si="136"/>
        <v>Eintrag 1869</v>
      </c>
      <c r="B1870" s="18">
        <v>100</v>
      </c>
      <c r="C1870" s="19">
        <v>100</v>
      </c>
      <c r="D1870" s="20">
        <v>10</v>
      </c>
      <c r="E1870" s="20">
        <v>10</v>
      </c>
      <c r="F1870" s="20">
        <v>10</v>
      </c>
      <c r="G1870" s="19">
        <f t="shared" si="142"/>
        <v>172</v>
      </c>
      <c r="H1870" s="22">
        <f t="shared" si="140"/>
        <v>1869</v>
      </c>
      <c r="I1870" s="21">
        <f t="shared" ca="1" si="139"/>
        <v>0</v>
      </c>
      <c r="J1870" s="21" t="str">
        <f ca="1">IF(I1870=0,"",COUNTIF($I$2:I1870,"&gt;0"))</f>
        <v/>
      </c>
      <c r="K1870" s="21" t="str">
        <f t="shared" ca="1" si="141"/>
        <v/>
      </c>
    </row>
    <row r="1871" spans="1:11" s="18" customFormat="1" ht="14.25" x14ac:dyDescent="0.2">
      <c r="A1871" s="18" t="str">
        <f t="shared" si="136"/>
        <v>Eintrag 1870</v>
      </c>
      <c r="B1871" s="18">
        <v>100</v>
      </c>
      <c r="C1871" s="19">
        <v>100</v>
      </c>
      <c r="D1871" s="20">
        <v>10</v>
      </c>
      <c r="E1871" s="20">
        <v>10</v>
      </c>
      <c r="F1871" s="20">
        <v>10</v>
      </c>
      <c r="G1871" s="19">
        <f t="shared" si="142"/>
        <v>172</v>
      </c>
      <c r="H1871" s="22">
        <f t="shared" si="140"/>
        <v>1870</v>
      </c>
      <c r="I1871" s="21">
        <f t="shared" ca="1" si="139"/>
        <v>0</v>
      </c>
      <c r="J1871" s="21" t="str">
        <f ca="1">IF(I1871=0,"",COUNTIF($I$2:I1871,"&gt;0"))</f>
        <v/>
      </c>
      <c r="K1871" s="21" t="str">
        <f t="shared" ca="1" si="141"/>
        <v/>
      </c>
    </row>
    <row r="1872" spans="1:11" s="18" customFormat="1" ht="14.25" x14ac:dyDescent="0.2">
      <c r="A1872" s="18" t="str">
        <f t="shared" si="136"/>
        <v>Eintrag 1871</v>
      </c>
      <c r="B1872" s="18">
        <v>100</v>
      </c>
      <c r="C1872" s="19">
        <v>100</v>
      </c>
      <c r="D1872" s="20">
        <v>10</v>
      </c>
      <c r="E1872" s="20">
        <v>10</v>
      </c>
      <c r="F1872" s="20">
        <v>10</v>
      </c>
      <c r="G1872" s="19">
        <f t="shared" si="142"/>
        <v>172</v>
      </c>
      <c r="H1872" s="22">
        <f t="shared" si="140"/>
        <v>1871</v>
      </c>
      <c r="I1872" s="21">
        <f t="shared" ca="1" si="139"/>
        <v>0</v>
      </c>
      <c r="J1872" s="21" t="str">
        <f ca="1">IF(I1872=0,"",COUNTIF($I$2:I1872,"&gt;0"))</f>
        <v/>
      </c>
      <c r="K1872" s="21" t="str">
        <f t="shared" ca="1" si="141"/>
        <v/>
      </c>
    </row>
    <row r="1873" spans="1:11" s="18" customFormat="1" ht="14.25" x14ac:dyDescent="0.2">
      <c r="A1873" s="18" t="str">
        <f t="shared" si="136"/>
        <v>Eintrag 1872</v>
      </c>
      <c r="B1873" s="18">
        <v>100</v>
      </c>
      <c r="C1873" s="19">
        <v>100</v>
      </c>
      <c r="D1873" s="20">
        <v>10</v>
      </c>
      <c r="E1873" s="20">
        <v>10</v>
      </c>
      <c r="F1873" s="20">
        <v>10</v>
      </c>
      <c r="G1873" s="19">
        <f t="shared" si="142"/>
        <v>172</v>
      </c>
      <c r="H1873" s="22">
        <f t="shared" si="140"/>
        <v>1872</v>
      </c>
      <c r="I1873" s="21">
        <f t="shared" ca="1" si="139"/>
        <v>0</v>
      </c>
      <c r="J1873" s="21" t="str">
        <f ca="1">IF(I1873=0,"",COUNTIF($I$2:I1873,"&gt;0"))</f>
        <v/>
      </c>
      <c r="K1873" s="21" t="str">
        <f t="shared" ca="1" si="141"/>
        <v/>
      </c>
    </row>
    <row r="1874" spans="1:11" s="18" customFormat="1" ht="14.25" x14ac:dyDescent="0.2">
      <c r="A1874" s="18" t="str">
        <f t="shared" si="136"/>
        <v>Eintrag 1873</v>
      </c>
      <c r="B1874" s="18">
        <v>100</v>
      </c>
      <c r="C1874" s="19">
        <v>100</v>
      </c>
      <c r="D1874" s="20">
        <v>10</v>
      </c>
      <c r="E1874" s="20">
        <v>10</v>
      </c>
      <c r="F1874" s="20">
        <v>10</v>
      </c>
      <c r="G1874" s="19">
        <f t="shared" si="142"/>
        <v>172</v>
      </c>
      <c r="H1874" s="22">
        <f t="shared" si="140"/>
        <v>1873</v>
      </c>
      <c r="I1874" s="21">
        <f t="shared" ca="1" si="139"/>
        <v>0</v>
      </c>
      <c r="J1874" s="21" t="str">
        <f ca="1">IF(I1874=0,"",COUNTIF($I$2:I1874,"&gt;0"))</f>
        <v/>
      </c>
      <c r="K1874" s="21" t="str">
        <f t="shared" ca="1" si="141"/>
        <v/>
      </c>
    </row>
    <row r="1875" spans="1:11" s="18" customFormat="1" ht="14.25" x14ac:dyDescent="0.2">
      <c r="A1875" s="18" t="str">
        <f t="shared" si="136"/>
        <v>Eintrag 1874</v>
      </c>
      <c r="B1875" s="18">
        <v>100</v>
      </c>
      <c r="C1875" s="19">
        <v>100</v>
      </c>
      <c r="D1875" s="20">
        <v>10</v>
      </c>
      <c r="E1875" s="20">
        <v>10</v>
      </c>
      <c r="F1875" s="20">
        <v>10</v>
      </c>
      <c r="G1875" s="19">
        <f t="shared" si="142"/>
        <v>172</v>
      </c>
      <c r="H1875" s="22">
        <f t="shared" si="140"/>
        <v>1874</v>
      </c>
      <c r="I1875" s="21">
        <f t="shared" ca="1" si="139"/>
        <v>0</v>
      </c>
      <c r="J1875" s="21" t="str">
        <f ca="1">IF(I1875=0,"",COUNTIF($I$2:I1875,"&gt;0"))</f>
        <v/>
      </c>
      <c r="K1875" s="21" t="str">
        <f t="shared" ca="1" si="141"/>
        <v/>
      </c>
    </row>
    <row r="1876" spans="1:11" s="18" customFormat="1" ht="14.25" x14ac:dyDescent="0.2">
      <c r="A1876" s="18" t="str">
        <f t="shared" si="136"/>
        <v>Eintrag 1875</v>
      </c>
      <c r="B1876" s="18">
        <v>100</v>
      </c>
      <c r="C1876" s="19">
        <v>100</v>
      </c>
      <c r="D1876" s="20">
        <v>10</v>
      </c>
      <c r="E1876" s="20">
        <v>10</v>
      </c>
      <c r="F1876" s="20">
        <v>10</v>
      </c>
      <c r="G1876" s="19">
        <f t="shared" si="142"/>
        <v>172</v>
      </c>
      <c r="H1876" s="22">
        <f t="shared" si="140"/>
        <v>1875</v>
      </c>
      <c r="I1876" s="21">
        <f t="shared" ca="1" si="139"/>
        <v>0</v>
      </c>
      <c r="J1876" s="21" t="str">
        <f ca="1">IF(I1876=0,"",COUNTIF($I$2:I1876,"&gt;0"))</f>
        <v/>
      </c>
      <c r="K1876" s="21" t="str">
        <f t="shared" ca="1" si="141"/>
        <v/>
      </c>
    </row>
    <row r="1877" spans="1:11" s="18" customFormat="1" ht="14.25" x14ac:dyDescent="0.2">
      <c r="A1877" s="18" t="str">
        <f t="shared" si="136"/>
        <v>Eintrag 1876</v>
      </c>
      <c r="B1877" s="18">
        <v>100</v>
      </c>
      <c r="C1877" s="19">
        <v>100</v>
      </c>
      <c r="D1877" s="20">
        <v>10</v>
      </c>
      <c r="E1877" s="20">
        <v>10</v>
      </c>
      <c r="F1877" s="20">
        <v>10</v>
      </c>
      <c r="G1877" s="19">
        <f t="shared" si="142"/>
        <v>172</v>
      </c>
      <c r="H1877" s="22">
        <f t="shared" si="140"/>
        <v>1876</v>
      </c>
      <c r="I1877" s="21">
        <f t="shared" ca="1" si="139"/>
        <v>0</v>
      </c>
      <c r="J1877" s="21" t="str">
        <f ca="1">IF(I1877=0,"",COUNTIF($I$2:I1877,"&gt;0"))</f>
        <v/>
      </c>
      <c r="K1877" s="21" t="str">
        <f t="shared" ca="1" si="141"/>
        <v/>
      </c>
    </row>
    <row r="1878" spans="1:11" s="18" customFormat="1" ht="14.25" x14ac:dyDescent="0.2">
      <c r="A1878" s="18" t="str">
        <f t="shared" si="136"/>
        <v>Eintrag 1877</v>
      </c>
      <c r="B1878" s="18">
        <v>100</v>
      </c>
      <c r="C1878" s="19">
        <v>100</v>
      </c>
      <c r="D1878" s="20">
        <v>10</v>
      </c>
      <c r="E1878" s="20">
        <v>10</v>
      </c>
      <c r="F1878" s="20">
        <v>10</v>
      </c>
      <c r="G1878" s="19">
        <f t="shared" si="142"/>
        <v>172</v>
      </c>
      <c r="H1878" s="22">
        <f t="shared" si="140"/>
        <v>1877</v>
      </c>
      <c r="I1878" s="21">
        <f t="shared" ca="1" si="139"/>
        <v>0</v>
      </c>
      <c r="J1878" s="21" t="str">
        <f ca="1">IF(I1878=0,"",COUNTIF($I$2:I1878,"&gt;0"))</f>
        <v/>
      </c>
      <c r="K1878" s="21" t="str">
        <f t="shared" ca="1" si="141"/>
        <v/>
      </c>
    </row>
    <row r="1879" spans="1:11" s="18" customFormat="1" ht="14.25" x14ac:dyDescent="0.2">
      <c r="A1879" s="18" t="str">
        <f t="shared" si="136"/>
        <v>Eintrag 1878</v>
      </c>
      <c r="B1879" s="18">
        <v>100</v>
      </c>
      <c r="C1879" s="19">
        <v>100</v>
      </c>
      <c r="D1879" s="20">
        <v>10</v>
      </c>
      <c r="E1879" s="20">
        <v>10</v>
      </c>
      <c r="F1879" s="20">
        <v>10</v>
      </c>
      <c r="G1879" s="19">
        <f t="shared" si="142"/>
        <v>172</v>
      </c>
      <c r="H1879" s="22">
        <f t="shared" si="140"/>
        <v>1878</v>
      </c>
      <c r="I1879" s="21">
        <f t="shared" ref="I1879:I1942" ca="1" si="143">IFERROR(SEARCH(INDIRECT(CELL("address")),A1879),0)</f>
        <v>0</v>
      </c>
      <c r="J1879" s="21" t="str">
        <f ca="1">IF(I1879=0,"",COUNTIF($I$2:I1879,"&gt;0"))</f>
        <v/>
      </c>
      <c r="K1879" s="21" t="str">
        <f t="shared" ca="1" si="141"/>
        <v/>
      </c>
    </row>
    <row r="1880" spans="1:11" s="18" customFormat="1" ht="14.25" x14ac:dyDescent="0.2">
      <c r="A1880" s="18" t="str">
        <f t="shared" si="136"/>
        <v>Eintrag 1879</v>
      </c>
      <c r="B1880" s="18">
        <v>100</v>
      </c>
      <c r="C1880" s="19">
        <v>100</v>
      </c>
      <c r="D1880" s="20">
        <v>10</v>
      </c>
      <c r="E1880" s="20">
        <v>10</v>
      </c>
      <c r="F1880" s="20">
        <v>10</v>
      </c>
      <c r="G1880" s="19">
        <f t="shared" si="142"/>
        <v>172</v>
      </c>
      <c r="H1880" s="22">
        <f t="shared" si="140"/>
        <v>1879</v>
      </c>
      <c r="I1880" s="21">
        <f t="shared" ca="1" si="143"/>
        <v>0</v>
      </c>
      <c r="J1880" s="21" t="str">
        <f ca="1">IF(I1880=0,"",COUNTIF($I$2:I1880,"&gt;0"))</f>
        <v/>
      </c>
      <c r="K1880" s="21" t="str">
        <f t="shared" ca="1" si="141"/>
        <v/>
      </c>
    </row>
    <row r="1881" spans="1:11" s="18" customFormat="1" ht="14.25" x14ac:dyDescent="0.2">
      <c r="A1881" s="18" t="str">
        <f t="shared" si="136"/>
        <v>Eintrag 1880</v>
      </c>
      <c r="B1881" s="18">
        <v>100</v>
      </c>
      <c r="C1881" s="19">
        <v>100</v>
      </c>
      <c r="D1881" s="20">
        <v>10</v>
      </c>
      <c r="E1881" s="20">
        <v>10</v>
      </c>
      <c r="F1881" s="20">
        <v>10</v>
      </c>
      <c r="G1881" s="19">
        <f t="shared" si="142"/>
        <v>172</v>
      </c>
      <c r="H1881" s="22">
        <f t="shared" si="140"/>
        <v>1880</v>
      </c>
      <c r="I1881" s="21">
        <f t="shared" ca="1" si="143"/>
        <v>0</v>
      </c>
      <c r="J1881" s="21" t="str">
        <f ca="1">IF(I1881=0,"",COUNTIF($I$2:I1881,"&gt;0"))</f>
        <v/>
      </c>
      <c r="K1881" s="21" t="str">
        <f t="shared" ca="1" si="141"/>
        <v/>
      </c>
    </row>
    <row r="1882" spans="1:11" s="18" customFormat="1" ht="14.25" x14ac:dyDescent="0.2">
      <c r="A1882" s="18" t="str">
        <f t="shared" si="136"/>
        <v>Eintrag 1881</v>
      </c>
      <c r="B1882" s="18">
        <v>100</v>
      </c>
      <c r="C1882" s="19">
        <v>100</v>
      </c>
      <c r="D1882" s="20">
        <v>10</v>
      </c>
      <c r="E1882" s="20">
        <v>10</v>
      </c>
      <c r="F1882" s="20">
        <v>10</v>
      </c>
      <c r="G1882" s="19">
        <f t="shared" si="142"/>
        <v>172</v>
      </c>
      <c r="H1882" s="22">
        <f t="shared" si="140"/>
        <v>1881</v>
      </c>
      <c r="I1882" s="21">
        <f t="shared" ca="1" si="143"/>
        <v>0</v>
      </c>
      <c r="J1882" s="21" t="str">
        <f ca="1">IF(I1882=0,"",COUNTIF($I$2:I1882,"&gt;0"))</f>
        <v/>
      </c>
      <c r="K1882" s="21" t="str">
        <f t="shared" ca="1" si="141"/>
        <v/>
      </c>
    </row>
    <row r="1883" spans="1:11" s="18" customFormat="1" ht="14.25" x14ac:dyDescent="0.2">
      <c r="A1883" s="18" t="str">
        <f t="shared" si="136"/>
        <v>Eintrag 1882</v>
      </c>
      <c r="B1883" s="18">
        <v>100</v>
      </c>
      <c r="C1883" s="19">
        <v>100</v>
      </c>
      <c r="D1883" s="20">
        <v>10</v>
      </c>
      <c r="E1883" s="20">
        <v>10</v>
      </c>
      <c r="F1883" s="20">
        <v>10</v>
      </c>
      <c r="G1883" s="19">
        <f t="shared" si="142"/>
        <v>172</v>
      </c>
      <c r="H1883" s="22">
        <f t="shared" si="140"/>
        <v>1882</v>
      </c>
      <c r="I1883" s="21">
        <f t="shared" ca="1" si="143"/>
        <v>0</v>
      </c>
      <c r="J1883" s="21" t="str">
        <f ca="1">IF(I1883=0,"",COUNTIF($I$2:I1883,"&gt;0"))</f>
        <v/>
      </c>
      <c r="K1883" s="21" t="str">
        <f t="shared" ca="1" si="141"/>
        <v/>
      </c>
    </row>
    <row r="1884" spans="1:11" s="18" customFormat="1" ht="14.25" x14ac:dyDescent="0.2">
      <c r="A1884" s="18" t="str">
        <f t="shared" si="136"/>
        <v>Eintrag 1883</v>
      </c>
      <c r="B1884" s="18">
        <v>100</v>
      </c>
      <c r="C1884" s="19">
        <v>100</v>
      </c>
      <c r="D1884" s="20">
        <v>10</v>
      </c>
      <c r="E1884" s="20">
        <v>10</v>
      </c>
      <c r="F1884" s="20">
        <v>10</v>
      </c>
      <c r="G1884" s="19">
        <f t="shared" si="142"/>
        <v>172</v>
      </c>
      <c r="H1884" s="22">
        <f t="shared" si="140"/>
        <v>1883</v>
      </c>
      <c r="I1884" s="21">
        <f t="shared" ca="1" si="143"/>
        <v>0</v>
      </c>
      <c r="J1884" s="21" t="str">
        <f ca="1">IF(I1884=0,"",COUNTIF($I$2:I1884,"&gt;0"))</f>
        <v/>
      </c>
      <c r="K1884" s="21" t="str">
        <f t="shared" ca="1" si="141"/>
        <v/>
      </c>
    </row>
    <row r="1885" spans="1:11" s="18" customFormat="1" ht="14.25" x14ac:dyDescent="0.2">
      <c r="A1885" s="18" t="str">
        <f t="shared" si="136"/>
        <v>Eintrag 1884</v>
      </c>
      <c r="B1885" s="18">
        <v>100</v>
      </c>
      <c r="C1885" s="19">
        <v>100</v>
      </c>
      <c r="D1885" s="20">
        <v>10</v>
      </c>
      <c r="E1885" s="20">
        <v>10</v>
      </c>
      <c r="F1885" s="20">
        <v>10</v>
      </c>
      <c r="G1885" s="19">
        <f t="shared" si="142"/>
        <v>172</v>
      </c>
      <c r="H1885" s="22">
        <f t="shared" si="140"/>
        <v>1884</v>
      </c>
      <c r="I1885" s="21">
        <f t="shared" ca="1" si="143"/>
        <v>0</v>
      </c>
      <c r="J1885" s="21" t="str">
        <f ca="1">IF(I1885=0,"",COUNTIF($I$2:I1885,"&gt;0"))</f>
        <v/>
      </c>
      <c r="K1885" s="21" t="str">
        <f t="shared" ca="1" si="141"/>
        <v/>
      </c>
    </row>
    <row r="1886" spans="1:11" s="18" customFormat="1" ht="14.25" x14ac:dyDescent="0.2">
      <c r="A1886" s="18" t="str">
        <f t="shared" si="136"/>
        <v>Eintrag 1885</v>
      </c>
      <c r="B1886" s="18">
        <v>100</v>
      </c>
      <c r="C1886" s="19">
        <v>100</v>
      </c>
      <c r="D1886" s="20">
        <v>10</v>
      </c>
      <c r="E1886" s="20">
        <v>10</v>
      </c>
      <c r="F1886" s="20">
        <v>10</v>
      </c>
      <c r="G1886" s="19">
        <f t="shared" si="142"/>
        <v>172</v>
      </c>
      <c r="H1886" s="22">
        <f t="shared" si="140"/>
        <v>1885</v>
      </c>
      <c r="I1886" s="21">
        <f t="shared" ca="1" si="143"/>
        <v>0</v>
      </c>
      <c r="J1886" s="21" t="str">
        <f ca="1">IF(I1886=0,"",COUNTIF($I$2:I1886,"&gt;0"))</f>
        <v/>
      </c>
      <c r="K1886" s="21" t="str">
        <f t="shared" ca="1" si="141"/>
        <v/>
      </c>
    </row>
    <row r="1887" spans="1:11" s="18" customFormat="1" ht="14.25" x14ac:dyDescent="0.2">
      <c r="A1887" s="18" t="str">
        <f t="shared" si="136"/>
        <v>Eintrag 1886</v>
      </c>
      <c r="B1887" s="18">
        <v>100</v>
      </c>
      <c r="C1887" s="19">
        <v>100</v>
      </c>
      <c r="D1887" s="20">
        <v>10</v>
      </c>
      <c r="E1887" s="20">
        <v>10</v>
      </c>
      <c r="F1887" s="20">
        <v>10</v>
      </c>
      <c r="G1887" s="19">
        <f t="shared" si="142"/>
        <v>172</v>
      </c>
      <c r="H1887" s="22">
        <f t="shared" si="140"/>
        <v>1886</v>
      </c>
      <c r="I1887" s="21">
        <f t="shared" ca="1" si="143"/>
        <v>0</v>
      </c>
      <c r="J1887" s="21" t="str">
        <f ca="1">IF(I1887=0,"",COUNTIF($I$2:I1887,"&gt;0"))</f>
        <v/>
      </c>
      <c r="K1887" s="21" t="str">
        <f t="shared" ca="1" si="141"/>
        <v/>
      </c>
    </row>
    <row r="1888" spans="1:11" s="18" customFormat="1" ht="14.25" x14ac:dyDescent="0.2">
      <c r="A1888" s="18" t="str">
        <f t="shared" si="136"/>
        <v>Eintrag 1887</v>
      </c>
      <c r="B1888" s="18">
        <v>100</v>
      </c>
      <c r="C1888" s="19">
        <v>100</v>
      </c>
      <c r="D1888" s="20">
        <v>10</v>
      </c>
      <c r="E1888" s="20">
        <v>10</v>
      </c>
      <c r="F1888" s="20">
        <v>10</v>
      </c>
      <c r="G1888" s="19">
        <f t="shared" si="142"/>
        <v>172</v>
      </c>
      <c r="H1888" s="22">
        <f t="shared" si="140"/>
        <v>1887</v>
      </c>
      <c r="I1888" s="21">
        <f t="shared" ca="1" si="143"/>
        <v>0</v>
      </c>
      <c r="J1888" s="21" t="str">
        <f ca="1">IF(I1888=0,"",COUNTIF($I$2:I1888,"&gt;0"))</f>
        <v/>
      </c>
      <c r="K1888" s="21" t="str">
        <f t="shared" ca="1" si="141"/>
        <v/>
      </c>
    </row>
    <row r="1889" spans="1:11" s="18" customFormat="1" ht="14.25" x14ac:dyDescent="0.2">
      <c r="A1889" s="18" t="str">
        <f t="shared" si="136"/>
        <v>Eintrag 1888</v>
      </c>
      <c r="B1889" s="18">
        <v>100</v>
      </c>
      <c r="C1889" s="19">
        <v>100</v>
      </c>
      <c r="D1889" s="20">
        <v>10</v>
      </c>
      <c r="E1889" s="20">
        <v>10</v>
      </c>
      <c r="F1889" s="20">
        <v>10</v>
      </c>
      <c r="G1889" s="19">
        <f t="shared" si="142"/>
        <v>172</v>
      </c>
      <c r="H1889" s="22">
        <f t="shared" si="140"/>
        <v>1888</v>
      </c>
      <c r="I1889" s="21">
        <f t="shared" ca="1" si="143"/>
        <v>0</v>
      </c>
      <c r="J1889" s="21" t="str">
        <f ca="1">IF(I1889=0,"",COUNTIF($I$2:I1889,"&gt;0"))</f>
        <v/>
      </c>
      <c r="K1889" s="21" t="str">
        <f t="shared" ca="1" si="141"/>
        <v/>
      </c>
    </row>
    <row r="1890" spans="1:11" s="18" customFormat="1" ht="14.25" x14ac:dyDescent="0.2">
      <c r="A1890" s="18" t="str">
        <f t="shared" si="136"/>
        <v>Eintrag 1889</v>
      </c>
      <c r="B1890" s="18">
        <v>100</v>
      </c>
      <c r="C1890" s="19">
        <v>100</v>
      </c>
      <c r="D1890" s="20">
        <v>10</v>
      </c>
      <c r="E1890" s="20">
        <v>10</v>
      </c>
      <c r="F1890" s="20">
        <v>10</v>
      </c>
      <c r="G1890" s="19">
        <f t="shared" si="142"/>
        <v>172</v>
      </c>
      <c r="H1890" s="22">
        <f t="shared" si="140"/>
        <v>1889</v>
      </c>
      <c r="I1890" s="21">
        <f t="shared" ca="1" si="143"/>
        <v>0</v>
      </c>
      <c r="J1890" s="21" t="str">
        <f ca="1">IF(I1890=0,"",COUNTIF($I$2:I1890,"&gt;0"))</f>
        <v/>
      </c>
      <c r="K1890" s="21" t="str">
        <f t="shared" ca="1" si="141"/>
        <v/>
      </c>
    </row>
    <row r="1891" spans="1:11" s="18" customFormat="1" ht="14.25" x14ac:dyDescent="0.2">
      <c r="A1891" s="18" t="str">
        <f t="shared" si="136"/>
        <v>Eintrag 1890</v>
      </c>
      <c r="B1891" s="18">
        <v>100</v>
      </c>
      <c r="C1891" s="19">
        <v>100</v>
      </c>
      <c r="D1891" s="20">
        <v>10</v>
      </c>
      <c r="E1891" s="20">
        <v>10</v>
      </c>
      <c r="F1891" s="20">
        <v>10</v>
      </c>
      <c r="G1891" s="19">
        <f t="shared" si="142"/>
        <v>172</v>
      </c>
      <c r="H1891" s="22">
        <f t="shared" si="140"/>
        <v>1890</v>
      </c>
      <c r="I1891" s="21">
        <f t="shared" ca="1" si="143"/>
        <v>0</v>
      </c>
      <c r="J1891" s="21" t="str">
        <f ca="1">IF(I1891=0,"",COUNTIF($I$2:I1891,"&gt;0"))</f>
        <v/>
      </c>
      <c r="K1891" s="21" t="str">
        <f t="shared" ca="1" si="141"/>
        <v/>
      </c>
    </row>
    <row r="1892" spans="1:11" s="18" customFormat="1" ht="14.25" x14ac:dyDescent="0.2">
      <c r="A1892" s="18" t="str">
        <f t="shared" si="136"/>
        <v>Eintrag 1891</v>
      </c>
      <c r="B1892" s="18">
        <v>100</v>
      </c>
      <c r="C1892" s="19">
        <v>100</v>
      </c>
      <c r="D1892" s="20">
        <v>10</v>
      </c>
      <c r="E1892" s="20">
        <v>10</v>
      </c>
      <c r="F1892" s="20">
        <v>10</v>
      </c>
      <c r="G1892" s="19">
        <f t="shared" si="142"/>
        <v>172</v>
      </c>
      <c r="H1892" s="22">
        <f t="shared" si="140"/>
        <v>1891</v>
      </c>
      <c r="I1892" s="21">
        <f t="shared" ca="1" si="143"/>
        <v>0</v>
      </c>
      <c r="J1892" s="21" t="str">
        <f ca="1">IF(I1892=0,"",COUNTIF($I$2:I1892,"&gt;0"))</f>
        <v/>
      </c>
      <c r="K1892" s="21" t="str">
        <f t="shared" ca="1" si="141"/>
        <v/>
      </c>
    </row>
    <row r="1893" spans="1:11" s="18" customFormat="1" ht="14.25" x14ac:dyDescent="0.2">
      <c r="A1893" s="18" t="str">
        <f t="shared" si="136"/>
        <v>Eintrag 1892</v>
      </c>
      <c r="B1893" s="18">
        <v>100</v>
      </c>
      <c r="C1893" s="19">
        <v>100</v>
      </c>
      <c r="D1893" s="20">
        <v>10</v>
      </c>
      <c r="E1893" s="20">
        <v>10</v>
      </c>
      <c r="F1893" s="20">
        <v>10</v>
      </c>
      <c r="G1893" s="19">
        <f t="shared" si="142"/>
        <v>172</v>
      </c>
      <c r="H1893" s="22">
        <f t="shared" ref="H1893:H1956" si="144">H1892+1</f>
        <v>1892</v>
      </c>
      <c r="I1893" s="21">
        <f t="shared" ca="1" si="143"/>
        <v>0</v>
      </c>
      <c r="J1893" s="21" t="str">
        <f ca="1">IF(I1893=0,"",COUNTIF($I$2:I1893,"&gt;0"))</f>
        <v/>
      </c>
      <c r="K1893" s="21" t="str">
        <f t="shared" ca="1" si="141"/>
        <v/>
      </c>
    </row>
    <row r="1894" spans="1:11" s="18" customFormat="1" ht="14.25" x14ac:dyDescent="0.2">
      <c r="A1894" s="18" t="str">
        <f t="shared" si="136"/>
        <v>Eintrag 1893</v>
      </c>
      <c r="B1894" s="18">
        <v>100</v>
      </c>
      <c r="C1894" s="19">
        <v>100</v>
      </c>
      <c r="D1894" s="20">
        <v>10</v>
      </c>
      <c r="E1894" s="20">
        <v>10</v>
      </c>
      <c r="F1894" s="20">
        <v>10</v>
      </c>
      <c r="G1894" s="19">
        <f t="shared" si="142"/>
        <v>172</v>
      </c>
      <c r="H1894" s="22">
        <f t="shared" si="144"/>
        <v>1893</v>
      </c>
      <c r="I1894" s="21">
        <f t="shared" ca="1" si="143"/>
        <v>0</v>
      </c>
      <c r="J1894" s="21" t="str">
        <f ca="1">IF(I1894=0,"",COUNTIF($I$2:I1894,"&gt;0"))</f>
        <v/>
      </c>
      <c r="K1894" s="21" t="str">
        <f t="shared" ca="1" si="141"/>
        <v/>
      </c>
    </row>
    <row r="1895" spans="1:11" s="18" customFormat="1" ht="14.25" x14ac:dyDescent="0.2">
      <c r="A1895" s="18" t="str">
        <f t="shared" si="136"/>
        <v>Eintrag 1894</v>
      </c>
      <c r="B1895" s="18">
        <v>100</v>
      </c>
      <c r="C1895" s="19">
        <v>100</v>
      </c>
      <c r="D1895" s="20">
        <v>10</v>
      </c>
      <c r="E1895" s="20">
        <v>10</v>
      </c>
      <c r="F1895" s="20">
        <v>10</v>
      </c>
      <c r="G1895" s="19">
        <f t="shared" si="142"/>
        <v>172</v>
      </c>
      <c r="H1895" s="22">
        <f t="shared" si="144"/>
        <v>1894</v>
      </c>
      <c r="I1895" s="21">
        <f t="shared" ca="1" si="143"/>
        <v>0</v>
      </c>
      <c r="J1895" s="21" t="str">
        <f ca="1">IF(I1895=0,"",COUNTIF($I$2:I1895,"&gt;0"))</f>
        <v/>
      </c>
      <c r="K1895" s="21" t="str">
        <f t="shared" ca="1" si="141"/>
        <v/>
      </c>
    </row>
    <row r="1896" spans="1:11" s="18" customFormat="1" ht="14.25" x14ac:dyDescent="0.2">
      <c r="A1896" s="18" t="str">
        <f t="shared" si="136"/>
        <v>Eintrag 1895</v>
      </c>
      <c r="B1896" s="18">
        <v>100</v>
      </c>
      <c r="C1896" s="19">
        <v>100</v>
      </c>
      <c r="D1896" s="20">
        <v>10</v>
      </c>
      <c r="E1896" s="20">
        <v>10</v>
      </c>
      <c r="F1896" s="20">
        <v>10</v>
      </c>
      <c r="G1896" s="19">
        <f t="shared" si="142"/>
        <v>172</v>
      </c>
      <c r="H1896" s="22">
        <f t="shared" si="144"/>
        <v>1895</v>
      </c>
      <c r="I1896" s="21">
        <f t="shared" ca="1" si="143"/>
        <v>0</v>
      </c>
      <c r="J1896" s="21" t="str">
        <f ca="1">IF(I1896=0,"",COUNTIF($I$2:I1896,"&gt;0"))</f>
        <v/>
      </c>
      <c r="K1896" s="21" t="str">
        <f t="shared" ca="1" si="141"/>
        <v/>
      </c>
    </row>
    <row r="1897" spans="1:11" s="18" customFormat="1" ht="14.25" x14ac:dyDescent="0.2">
      <c r="A1897" s="18" t="str">
        <f t="shared" si="136"/>
        <v>Eintrag 1896</v>
      </c>
      <c r="B1897" s="18">
        <v>100</v>
      </c>
      <c r="C1897" s="19">
        <v>100</v>
      </c>
      <c r="D1897" s="20">
        <v>10</v>
      </c>
      <c r="E1897" s="20">
        <v>10</v>
      </c>
      <c r="F1897" s="20">
        <v>10</v>
      </c>
      <c r="G1897" s="19">
        <f t="shared" si="142"/>
        <v>172</v>
      </c>
      <c r="H1897" s="22">
        <f t="shared" si="144"/>
        <v>1896</v>
      </c>
      <c r="I1897" s="21">
        <f t="shared" ca="1" si="143"/>
        <v>0</v>
      </c>
      <c r="J1897" s="21" t="str">
        <f ca="1">IF(I1897=0,"",COUNTIF($I$2:I1897,"&gt;0"))</f>
        <v/>
      </c>
      <c r="K1897" s="21" t="str">
        <f t="shared" ca="1" si="141"/>
        <v/>
      </c>
    </row>
    <row r="1898" spans="1:11" s="18" customFormat="1" ht="14.25" x14ac:dyDescent="0.2">
      <c r="A1898" s="18" t="str">
        <f t="shared" si="136"/>
        <v>Eintrag 1897</v>
      </c>
      <c r="B1898" s="18">
        <v>100</v>
      </c>
      <c r="C1898" s="19">
        <v>100</v>
      </c>
      <c r="D1898" s="20">
        <v>10</v>
      </c>
      <c r="E1898" s="20">
        <v>10</v>
      </c>
      <c r="F1898" s="20">
        <v>10</v>
      </c>
      <c r="G1898" s="19">
        <f t="shared" si="142"/>
        <v>172</v>
      </c>
      <c r="H1898" s="22">
        <f t="shared" si="144"/>
        <v>1897</v>
      </c>
      <c r="I1898" s="21">
        <f t="shared" ca="1" si="143"/>
        <v>0</v>
      </c>
      <c r="J1898" s="21" t="str">
        <f ca="1">IF(I1898=0,"",COUNTIF($I$2:I1898,"&gt;0"))</f>
        <v/>
      </c>
      <c r="K1898" s="21" t="str">
        <f t="shared" ca="1" si="141"/>
        <v/>
      </c>
    </row>
    <row r="1899" spans="1:11" s="18" customFormat="1" ht="14.25" x14ac:dyDescent="0.2">
      <c r="A1899" s="18" t="str">
        <f t="shared" si="136"/>
        <v>Eintrag 1898</v>
      </c>
      <c r="B1899" s="18">
        <v>100</v>
      </c>
      <c r="C1899" s="19">
        <v>100</v>
      </c>
      <c r="D1899" s="20">
        <v>10</v>
      </c>
      <c r="E1899" s="20">
        <v>10</v>
      </c>
      <c r="F1899" s="20">
        <v>10</v>
      </c>
      <c r="G1899" s="19">
        <f t="shared" si="142"/>
        <v>172</v>
      </c>
      <c r="H1899" s="22">
        <f t="shared" si="144"/>
        <v>1898</v>
      </c>
      <c r="I1899" s="21">
        <f t="shared" ca="1" si="143"/>
        <v>0</v>
      </c>
      <c r="J1899" s="21" t="str">
        <f ca="1">IF(I1899=0,"",COUNTIF($I$2:I1899,"&gt;0"))</f>
        <v/>
      </c>
      <c r="K1899" s="21" t="str">
        <f t="shared" ca="1" si="141"/>
        <v/>
      </c>
    </row>
    <row r="1900" spans="1:11" s="18" customFormat="1" ht="14.25" x14ac:dyDescent="0.2">
      <c r="A1900" s="18" t="str">
        <f t="shared" si="136"/>
        <v>Eintrag 1899</v>
      </c>
      <c r="B1900" s="18">
        <v>100</v>
      </c>
      <c r="C1900" s="19">
        <v>100</v>
      </c>
      <c r="D1900" s="20">
        <v>10</v>
      </c>
      <c r="E1900" s="20">
        <v>10</v>
      </c>
      <c r="F1900" s="20">
        <v>10</v>
      </c>
      <c r="G1900" s="19">
        <f t="shared" si="142"/>
        <v>172</v>
      </c>
      <c r="H1900" s="22">
        <f t="shared" si="144"/>
        <v>1899</v>
      </c>
      <c r="I1900" s="21">
        <f t="shared" ca="1" si="143"/>
        <v>0</v>
      </c>
      <c r="J1900" s="21" t="str">
        <f ca="1">IF(I1900=0,"",COUNTIF($I$2:I1900,"&gt;0"))</f>
        <v/>
      </c>
      <c r="K1900" s="21" t="str">
        <f t="shared" ca="1" si="141"/>
        <v/>
      </c>
    </row>
    <row r="1901" spans="1:11" s="18" customFormat="1" ht="14.25" x14ac:dyDescent="0.2">
      <c r="A1901" s="18" t="str">
        <f t="shared" si="136"/>
        <v>Eintrag 1900</v>
      </c>
      <c r="B1901" s="18">
        <v>100</v>
      </c>
      <c r="C1901" s="19">
        <v>100</v>
      </c>
      <c r="D1901" s="20">
        <v>10</v>
      </c>
      <c r="E1901" s="20">
        <v>10</v>
      </c>
      <c r="F1901" s="20">
        <v>10</v>
      </c>
      <c r="G1901" s="19">
        <f t="shared" si="142"/>
        <v>172</v>
      </c>
      <c r="H1901" s="22">
        <f t="shared" si="144"/>
        <v>1900</v>
      </c>
      <c r="I1901" s="21">
        <f t="shared" ca="1" si="143"/>
        <v>0</v>
      </c>
      <c r="J1901" s="21" t="str">
        <f ca="1">IF(I1901=0,"",COUNTIF($I$2:I1901,"&gt;0"))</f>
        <v/>
      </c>
      <c r="K1901" s="21" t="str">
        <f t="shared" ca="1" si="141"/>
        <v/>
      </c>
    </row>
    <row r="1902" spans="1:11" s="18" customFormat="1" ht="14.25" x14ac:dyDescent="0.2">
      <c r="A1902" s="18" t="str">
        <f t="shared" si="136"/>
        <v>Eintrag 1901</v>
      </c>
      <c r="B1902" s="18">
        <v>100</v>
      </c>
      <c r="C1902" s="19">
        <v>100</v>
      </c>
      <c r="D1902" s="20">
        <v>10</v>
      </c>
      <c r="E1902" s="20">
        <v>10</v>
      </c>
      <c r="F1902" s="20">
        <v>10</v>
      </c>
      <c r="G1902" s="19">
        <f t="shared" si="142"/>
        <v>172</v>
      </c>
      <c r="H1902" s="22">
        <f t="shared" si="144"/>
        <v>1901</v>
      </c>
      <c r="I1902" s="21">
        <f t="shared" ca="1" si="143"/>
        <v>0</v>
      </c>
      <c r="J1902" s="21" t="str">
        <f ca="1">IF(I1902=0,"",COUNTIF($I$2:I1902,"&gt;0"))</f>
        <v/>
      </c>
      <c r="K1902" s="21" t="str">
        <f t="shared" ca="1" si="141"/>
        <v/>
      </c>
    </row>
    <row r="1903" spans="1:11" s="18" customFormat="1" ht="14.25" x14ac:dyDescent="0.2">
      <c r="A1903" s="18" t="str">
        <f t="shared" si="136"/>
        <v>Eintrag 1902</v>
      </c>
      <c r="B1903" s="18">
        <v>100</v>
      </c>
      <c r="C1903" s="19">
        <v>100</v>
      </c>
      <c r="D1903" s="20">
        <v>10</v>
      </c>
      <c r="E1903" s="20">
        <v>10</v>
      </c>
      <c r="F1903" s="20">
        <v>10</v>
      </c>
      <c r="G1903" s="19">
        <f t="shared" si="142"/>
        <v>172</v>
      </c>
      <c r="H1903" s="22">
        <f t="shared" si="144"/>
        <v>1902</v>
      </c>
      <c r="I1903" s="21">
        <f t="shared" ca="1" si="143"/>
        <v>0</v>
      </c>
      <c r="J1903" s="21" t="str">
        <f ca="1">IF(I1903=0,"",COUNTIF($I$2:I1903,"&gt;0"))</f>
        <v/>
      </c>
      <c r="K1903" s="21" t="str">
        <f t="shared" ca="1" si="141"/>
        <v/>
      </c>
    </row>
    <row r="1904" spans="1:11" s="18" customFormat="1" ht="14.25" x14ac:dyDescent="0.2">
      <c r="A1904" s="18" t="str">
        <f t="shared" si="136"/>
        <v>Eintrag 1903</v>
      </c>
      <c r="B1904" s="18">
        <v>100</v>
      </c>
      <c r="C1904" s="19">
        <v>100</v>
      </c>
      <c r="D1904" s="20">
        <v>10</v>
      </c>
      <c r="E1904" s="20">
        <v>10</v>
      </c>
      <c r="F1904" s="20">
        <v>10</v>
      </c>
      <c r="G1904" s="19">
        <f t="shared" si="142"/>
        <v>172</v>
      </c>
      <c r="H1904" s="22">
        <f t="shared" si="144"/>
        <v>1903</v>
      </c>
      <c r="I1904" s="21">
        <f t="shared" ca="1" si="143"/>
        <v>0</v>
      </c>
      <c r="J1904" s="21" t="str">
        <f ca="1">IF(I1904=0,"",COUNTIF($I$2:I1904,"&gt;0"))</f>
        <v/>
      </c>
      <c r="K1904" s="21" t="str">
        <f t="shared" ca="1" si="141"/>
        <v/>
      </c>
    </row>
    <row r="1905" spans="1:11" s="18" customFormat="1" ht="14.25" x14ac:dyDescent="0.2">
      <c r="A1905" s="18" t="str">
        <f t="shared" si="136"/>
        <v>Eintrag 1904</v>
      </c>
      <c r="B1905" s="18">
        <v>100</v>
      </c>
      <c r="C1905" s="19">
        <v>100</v>
      </c>
      <c r="D1905" s="20">
        <v>10</v>
      </c>
      <c r="E1905" s="20">
        <v>10</v>
      </c>
      <c r="F1905" s="20">
        <v>10</v>
      </c>
      <c r="G1905" s="19">
        <f t="shared" si="142"/>
        <v>172</v>
      </c>
      <c r="H1905" s="22">
        <f t="shared" si="144"/>
        <v>1904</v>
      </c>
      <c r="I1905" s="21">
        <f t="shared" ca="1" si="143"/>
        <v>0</v>
      </c>
      <c r="J1905" s="21" t="str">
        <f ca="1">IF(I1905=0,"",COUNTIF($I$2:I1905,"&gt;0"))</f>
        <v/>
      </c>
      <c r="K1905" s="21" t="str">
        <f t="shared" ca="1" si="141"/>
        <v/>
      </c>
    </row>
    <row r="1906" spans="1:11" s="18" customFormat="1" ht="14.25" x14ac:dyDescent="0.2">
      <c r="A1906" s="18" t="str">
        <f t="shared" si="136"/>
        <v>Eintrag 1905</v>
      </c>
      <c r="B1906" s="18">
        <v>100</v>
      </c>
      <c r="C1906" s="19">
        <v>100</v>
      </c>
      <c r="D1906" s="20">
        <v>10</v>
      </c>
      <c r="E1906" s="20">
        <v>10</v>
      </c>
      <c r="F1906" s="20">
        <v>10</v>
      </c>
      <c r="G1906" s="19">
        <f t="shared" si="142"/>
        <v>172</v>
      </c>
      <c r="H1906" s="22">
        <f t="shared" si="144"/>
        <v>1905</v>
      </c>
      <c r="I1906" s="21">
        <f t="shared" ca="1" si="143"/>
        <v>0</v>
      </c>
      <c r="J1906" s="21" t="str">
        <f ca="1">IF(I1906=0,"",COUNTIF($I$2:I1906,"&gt;0"))</f>
        <v/>
      </c>
      <c r="K1906" s="21" t="str">
        <f t="shared" ca="1" si="141"/>
        <v/>
      </c>
    </row>
    <row r="1907" spans="1:11" s="18" customFormat="1" ht="14.25" x14ac:dyDescent="0.2">
      <c r="A1907" s="18" t="str">
        <f t="shared" si="136"/>
        <v>Eintrag 1906</v>
      </c>
      <c r="B1907" s="18">
        <v>100</v>
      </c>
      <c r="C1907" s="19">
        <v>100</v>
      </c>
      <c r="D1907" s="20">
        <v>10</v>
      </c>
      <c r="E1907" s="20">
        <v>10</v>
      </c>
      <c r="F1907" s="20">
        <v>10</v>
      </c>
      <c r="G1907" s="19">
        <f t="shared" si="142"/>
        <v>172</v>
      </c>
      <c r="H1907" s="22">
        <f t="shared" si="144"/>
        <v>1906</v>
      </c>
      <c r="I1907" s="21">
        <f t="shared" ca="1" si="143"/>
        <v>0</v>
      </c>
      <c r="J1907" s="21" t="str">
        <f ca="1">IF(I1907=0,"",COUNTIF($I$2:I1907,"&gt;0"))</f>
        <v/>
      </c>
      <c r="K1907" s="21" t="str">
        <f t="shared" ca="1" si="141"/>
        <v/>
      </c>
    </row>
    <row r="1908" spans="1:11" s="18" customFormat="1" ht="14.25" x14ac:dyDescent="0.2">
      <c r="A1908" s="18" t="str">
        <f t="shared" si="136"/>
        <v>Eintrag 1907</v>
      </c>
      <c r="B1908" s="18">
        <v>100</v>
      </c>
      <c r="C1908" s="19">
        <v>100</v>
      </c>
      <c r="D1908" s="20">
        <v>10</v>
      </c>
      <c r="E1908" s="20">
        <v>10</v>
      </c>
      <c r="F1908" s="20">
        <v>10</v>
      </c>
      <c r="G1908" s="19">
        <f t="shared" si="142"/>
        <v>172</v>
      </c>
      <c r="H1908" s="22">
        <f t="shared" si="144"/>
        <v>1907</v>
      </c>
      <c r="I1908" s="21">
        <f t="shared" ca="1" si="143"/>
        <v>0</v>
      </c>
      <c r="J1908" s="21" t="str">
        <f ca="1">IF(I1908=0,"",COUNTIF($I$2:I1908,"&gt;0"))</f>
        <v/>
      </c>
      <c r="K1908" s="21" t="str">
        <f t="shared" ca="1" si="141"/>
        <v/>
      </c>
    </row>
    <row r="1909" spans="1:11" s="18" customFormat="1" ht="14.25" x14ac:dyDescent="0.2">
      <c r="A1909" s="18" t="str">
        <f t="shared" si="136"/>
        <v>Eintrag 1908</v>
      </c>
      <c r="B1909" s="18">
        <v>100</v>
      </c>
      <c r="C1909" s="19">
        <v>100</v>
      </c>
      <c r="D1909" s="20">
        <v>10</v>
      </c>
      <c r="E1909" s="20">
        <v>10</v>
      </c>
      <c r="F1909" s="20">
        <v>10</v>
      </c>
      <c r="G1909" s="19">
        <f t="shared" si="142"/>
        <v>172</v>
      </c>
      <c r="H1909" s="22">
        <f t="shared" si="144"/>
        <v>1908</v>
      </c>
      <c r="I1909" s="21">
        <f t="shared" ca="1" si="143"/>
        <v>0</v>
      </c>
      <c r="J1909" s="21" t="str">
        <f ca="1">IF(I1909=0,"",COUNTIF($I$2:I1909,"&gt;0"))</f>
        <v/>
      </c>
      <c r="K1909" s="21" t="str">
        <f t="shared" ca="1" si="141"/>
        <v/>
      </c>
    </row>
    <row r="1910" spans="1:11" s="18" customFormat="1" ht="14.25" x14ac:dyDescent="0.2">
      <c r="A1910" s="18" t="str">
        <f t="shared" si="136"/>
        <v>Eintrag 1909</v>
      </c>
      <c r="B1910" s="18">
        <v>100</v>
      </c>
      <c r="C1910" s="19">
        <v>100</v>
      </c>
      <c r="D1910" s="20">
        <v>10</v>
      </c>
      <c r="E1910" s="20">
        <v>10</v>
      </c>
      <c r="F1910" s="20">
        <v>10</v>
      </c>
      <c r="G1910" s="19">
        <f t="shared" si="142"/>
        <v>172</v>
      </c>
      <c r="H1910" s="22">
        <f t="shared" si="144"/>
        <v>1909</v>
      </c>
      <c r="I1910" s="21">
        <f t="shared" ca="1" si="143"/>
        <v>0</v>
      </c>
      <c r="J1910" s="21" t="str">
        <f ca="1">IF(I1910=0,"",COUNTIF($I$2:I1910,"&gt;0"))</f>
        <v/>
      </c>
      <c r="K1910" s="21" t="str">
        <f t="shared" ca="1" si="141"/>
        <v/>
      </c>
    </row>
    <row r="1911" spans="1:11" s="18" customFormat="1" ht="14.25" x14ac:dyDescent="0.2">
      <c r="A1911" s="18" t="str">
        <f t="shared" si="136"/>
        <v>Eintrag 1910</v>
      </c>
      <c r="B1911" s="18">
        <v>100</v>
      </c>
      <c r="C1911" s="19">
        <v>100</v>
      </c>
      <c r="D1911" s="20">
        <v>10</v>
      </c>
      <c r="E1911" s="20">
        <v>10</v>
      </c>
      <c r="F1911" s="20">
        <v>10</v>
      </c>
      <c r="G1911" s="19">
        <f t="shared" si="142"/>
        <v>172</v>
      </c>
      <c r="H1911" s="22">
        <f t="shared" si="144"/>
        <v>1910</v>
      </c>
      <c r="I1911" s="21">
        <f t="shared" ca="1" si="143"/>
        <v>0</v>
      </c>
      <c r="J1911" s="21" t="str">
        <f ca="1">IF(I1911=0,"",COUNTIF($I$2:I1911,"&gt;0"))</f>
        <v/>
      </c>
      <c r="K1911" s="21" t="str">
        <f t="shared" ca="1" si="141"/>
        <v/>
      </c>
    </row>
    <row r="1912" spans="1:11" s="18" customFormat="1" ht="14.25" x14ac:dyDescent="0.2">
      <c r="A1912" s="18" t="str">
        <f t="shared" si="136"/>
        <v>Eintrag 1911</v>
      </c>
      <c r="B1912" s="18">
        <v>100</v>
      </c>
      <c r="C1912" s="19">
        <v>100</v>
      </c>
      <c r="D1912" s="20">
        <v>10</v>
      </c>
      <c r="E1912" s="20">
        <v>10</v>
      </c>
      <c r="F1912" s="20">
        <v>10</v>
      </c>
      <c r="G1912" s="19">
        <f t="shared" si="142"/>
        <v>172</v>
      </c>
      <c r="H1912" s="22">
        <f t="shared" si="144"/>
        <v>1911</v>
      </c>
      <c r="I1912" s="21">
        <f t="shared" ca="1" si="143"/>
        <v>0</v>
      </c>
      <c r="J1912" s="21" t="str">
        <f ca="1">IF(I1912=0,"",COUNTIF($I$2:I1912,"&gt;0"))</f>
        <v/>
      </c>
      <c r="K1912" s="21" t="str">
        <f t="shared" ca="1" si="141"/>
        <v/>
      </c>
    </row>
    <row r="1913" spans="1:11" s="18" customFormat="1" ht="14.25" x14ac:dyDescent="0.2">
      <c r="A1913" s="18" t="str">
        <f t="shared" si="136"/>
        <v>Eintrag 1912</v>
      </c>
      <c r="B1913" s="18">
        <v>100</v>
      </c>
      <c r="C1913" s="19">
        <v>100</v>
      </c>
      <c r="D1913" s="20">
        <v>10</v>
      </c>
      <c r="E1913" s="20">
        <v>10</v>
      </c>
      <c r="F1913" s="20">
        <v>10</v>
      </c>
      <c r="G1913" s="19">
        <f t="shared" si="142"/>
        <v>172</v>
      </c>
      <c r="H1913" s="22">
        <f t="shared" si="144"/>
        <v>1912</v>
      </c>
      <c r="I1913" s="21">
        <f t="shared" ca="1" si="143"/>
        <v>0</v>
      </c>
      <c r="J1913" s="21" t="str">
        <f ca="1">IF(I1913=0,"",COUNTIF($I$2:I1913,"&gt;0"))</f>
        <v/>
      </c>
      <c r="K1913" s="21" t="str">
        <f t="shared" ca="1" si="141"/>
        <v/>
      </c>
    </row>
    <row r="1914" spans="1:11" s="18" customFormat="1" ht="14.25" x14ac:dyDescent="0.2">
      <c r="A1914" s="18" t="str">
        <f t="shared" si="136"/>
        <v>Eintrag 1913</v>
      </c>
      <c r="B1914" s="18">
        <v>100</v>
      </c>
      <c r="C1914" s="19">
        <v>100</v>
      </c>
      <c r="D1914" s="20">
        <v>10</v>
      </c>
      <c r="E1914" s="20">
        <v>10</v>
      </c>
      <c r="F1914" s="20">
        <v>10</v>
      </c>
      <c r="G1914" s="19">
        <f t="shared" si="142"/>
        <v>172</v>
      </c>
      <c r="H1914" s="22">
        <f t="shared" si="144"/>
        <v>1913</v>
      </c>
      <c r="I1914" s="21">
        <f t="shared" ca="1" si="143"/>
        <v>0</v>
      </c>
      <c r="J1914" s="21" t="str">
        <f ca="1">IF(I1914=0,"",COUNTIF($I$2:I1914,"&gt;0"))</f>
        <v/>
      </c>
      <c r="K1914" s="21" t="str">
        <f t="shared" ca="1" si="141"/>
        <v/>
      </c>
    </row>
    <row r="1915" spans="1:11" s="18" customFormat="1" ht="14.25" x14ac:dyDescent="0.2">
      <c r="A1915" s="18" t="str">
        <f t="shared" si="136"/>
        <v>Eintrag 1914</v>
      </c>
      <c r="B1915" s="18">
        <v>100</v>
      </c>
      <c r="C1915" s="19">
        <v>100</v>
      </c>
      <c r="D1915" s="20">
        <v>10</v>
      </c>
      <c r="E1915" s="20">
        <v>10</v>
      </c>
      <c r="F1915" s="20">
        <v>10</v>
      </c>
      <c r="G1915" s="19">
        <f t="shared" si="142"/>
        <v>172</v>
      </c>
      <c r="H1915" s="22">
        <f t="shared" si="144"/>
        <v>1914</v>
      </c>
      <c r="I1915" s="21">
        <f t="shared" ca="1" si="143"/>
        <v>0</v>
      </c>
      <c r="J1915" s="21" t="str">
        <f ca="1">IF(I1915=0,"",COUNTIF($I$2:I1915,"&gt;0"))</f>
        <v/>
      </c>
      <c r="K1915" s="21" t="str">
        <f t="shared" ca="1" si="141"/>
        <v/>
      </c>
    </row>
    <row r="1916" spans="1:11" s="18" customFormat="1" ht="14.25" x14ac:dyDescent="0.2">
      <c r="A1916" s="18" t="str">
        <f t="shared" si="136"/>
        <v>Eintrag 1915</v>
      </c>
      <c r="B1916" s="18">
        <v>100</v>
      </c>
      <c r="C1916" s="19">
        <v>100</v>
      </c>
      <c r="D1916" s="20">
        <v>10</v>
      </c>
      <c r="E1916" s="20">
        <v>10</v>
      </c>
      <c r="F1916" s="20">
        <v>10</v>
      </c>
      <c r="G1916" s="19">
        <f t="shared" si="142"/>
        <v>172</v>
      </c>
      <c r="H1916" s="22">
        <f t="shared" si="144"/>
        <v>1915</v>
      </c>
      <c r="I1916" s="21">
        <f t="shared" ca="1" si="143"/>
        <v>0</v>
      </c>
      <c r="J1916" s="21" t="str">
        <f ca="1">IF(I1916=0,"",COUNTIF($I$2:I1916,"&gt;0"))</f>
        <v/>
      </c>
      <c r="K1916" s="21" t="str">
        <f t="shared" ca="1" si="141"/>
        <v/>
      </c>
    </row>
    <row r="1917" spans="1:11" s="18" customFormat="1" ht="14.25" x14ac:dyDescent="0.2">
      <c r="A1917" s="18" t="str">
        <f t="shared" si="136"/>
        <v>Eintrag 1916</v>
      </c>
      <c r="B1917" s="18">
        <v>100</v>
      </c>
      <c r="C1917" s="19">
        <v>100</v>
      </c>
      <c r="D1917" s="20">
        <v>10</v>
      </c>
      <c r="E1917" s="20">
        <v>10</v>
      </c>
      <c r="F1917" s="20">
        <v>10</v>
      </c>
      <c r="G1917" s="19">
        <f t="shared" si="142"/>
        <v>172</v>
      </c>
      <c r="H1917" s="22">
        <f t="shared" si="144"/>
        <v>1916</v>
      </c>
      <c r="I1917" s="21">
        <f t="shared" ca="1" si="143"/>
        <v>0</v>
      </c>
      <c r="J1917" s="21" t="str">
        <f ca="1">IF(I1917=0,"",COUNTIF($I$2:I1917,"&gt;0"))</f>
        <v/>
      </c>
      <c r="K1917" s="21" t="str">
        <f t="shared" ca="1" si="141"/>
        <v/>
      </c>
    </row>
    <row r="1918" spans="1:11" s="18" customFormat="1" ht="14.25" x14ac:dyDescent="0.2">
      <c r="A1918" s="18" t="str">
        <f t="shared" si="136"/>
        <v>Eintrag 1917</v>
      </c>
      <c r="B1918" s="18">
        <v>100</v>
      </c>
      <c r="C1918" s="19">
        <v>100</v>
      </c>
      <c r="D1918" s="20">
        <v>10</v>
      </c>
      <c r="E1918" s="20">
        <v>10</v>
      </c>
      <c r="F1918" s="20">
        <v>10</v>
      </c>
      <c r="G1918" s="19">
        <f t="shared" si="142"/>
        <v>172</v>
      </c>
      <c r="H1918" s="22">
        <f t="shared" si="144"/>
        <v>1917</v>
      </c>
      <c r="I1918" s="21">
        <f t="shared" ca="1" si="143"/>
        <v>0</v>
      </c>
      <c r="J1918" s="21" t="str">
        <f ca="1">IF(I1918=0,"",COUNTIF($I$2:I1918,"&gt;0"))</f>
        <v/>
      </c>
      <c r="K1918" s="21" t="str">
        <f t="shared" ca="1" si="141"/>
        <v/>
      </c>
    </row>
    <row r="1919" spans="1:11" s="18" customFormat="1" ht="14.25" x14ac:dyDescent="0.2">
      <c r="A1919" s="18" t="str">
        <f t="shared" si="136"/>
        <v>Eintrag 1918</v>
      </c>
      <c r="B1919" s="18">
        <v>100</v>
      </c>
      <c r="C1919" s="19">
        <v>100</v>
      </c>
      <c r="D1919" s="20">
        <v>10</v>
      </c>
      <c r="E1919" s="20">
        <v>10</v>
      </c>
      <c r="F1919" s="20">
        <v>10</v>
      </c>
      <c r="G1919" s="19">
        <f t="shared" si="142"/>
        <v>172</v>
      </c>
      <c r="H1919" s="22">
        <f t="shared" si="144"/>
        <v>1918</v>
      </c>
      <c r="I1919" s="21">
        <f t="shared" ca="1" si="143"/>
        <v>0</v>
      </c>
      <c r="J1919" s="21" t="str">
        <f ca="1">IF(I1919=0,"",COUNTIF($I$2:I1919,"&gt;0"))</f>
        <v/>
      </c>
      <c r="K1919" s="21" t="str">
        <f t="shared" ca="1" si="141"/>
        <v/>
      </c>
    </row>
    <row r="1920" spans="1:11" s="18" customFormat="1" ht="14.25" x14ac:dyDescent="0.2">
      <c r="A1920" s="18" t="str">
        <f t="shared" si="136"/>
        <v>Eintrag 1919</v>
      </c>
      <c r="B1920" s="18">
        <v>100</v>
      </c>
      <c r="C1920" s="19">
        <v>100</v>
      </c>
      <c r="D1920" s="20">
        <v>10</v>
      </c>
      <c r="E1920" s="20">
        <v>10</v>
      </c>
      <c r="F1920" s="20">
        <v>10</v>
      </c>
      <c r="G1920" s="19">
        <f t="shared" si="142"/>
        <v>172</v>
      </c>
      <c r="H1920" s="22">
        <f t="shared" si="144"/>
        <v>1919</v>
      </c>
      <c r="I1920" s="21">
        <f t="shared" ca="1" si="143"/>
        <v>0</v>
      </c>
      <c r="J1920" s="21" t="str">
        <f ca="1">IF(I1920=0,"",COUNTIF($I$2:I1920,"&gt;0"))</f>
        <v/>
      </c>
      <c r="K1920" s="21" t="str">
        <f t="shared" ca="1" si="141"/>
        <v/>
      </c>
    </row>
    <row r="1921" spans="1:11" s="18" customFormat="1" ht="14.25" x14ac:dyDescent="0.2">
      <c r="A1921" s="18" t="str">
        <f t="shared" si="136"/>
        <v>Eintrag 1920</v>
      </c>
      <c r="B1921" s="18">
        <v>100</v>
      </c>
      <c r="C1921" s="19">
        <v>100</v>
      </c>
      <c r="D1921" s="20">
        <v>10</v>
      </c>
      <c r="E1921" s="20">
        <v>10</v>
      </c>
      <c r="F1921" s="20">
        <v>10</v>
      </c>
      <c r="G1921" s="19">
        <f t="shared" si="142"/>
        <v>172</v>
      </c>
      <c r="H1921" s="22">
        <f t="shared" si="144"/>
        <v>1920</v>
      </c>
      <c r="I1921" s="21">
        <f t="shared" ca="1" si="143"/>
        <v>0</v>
      </c>
      <c r="J1921" s="21" t="str">
        <f ca="1">IF(I1921=0,"",COUNTIF($I$2:I1921,"&gt;0"))</f>
        <v/>
      </c>
      <c r="K1921" s="21" t="str">
        <f t="shared" ca="1" si="141"/>
        <v/>
      </c>
    </row>
    <row r="1922" spans="1:11" s="18" customFormat="1" ht="14.25" x14ac:dyDescent="0.2">
      <c r="A1922" s="18" t="str">
        <f t="shared" si="136"/>
        <v>Eintrag 1921</v>
      </c>
      <c r="B1922" s="18">
        <v>100</v>
      </c>
      <c r="C1922" s="19">
        <v>100</v>
      </c>
      <c r="D1922" s="20">
        <v>10</v>
      </c>
      <c r="E1922" s="20">
        <v>10</v>
      </c>
      <c r="F1922" s="20">
        <v>10</v>
      </c>
      <c r="G1922" s="19">
        <f t="shared" si="142"/>
        <v>172</v>
      </c>
      <c r="H1922" s="22">
        <f t="shared" si="144"/>
        <v>1921</v>
      </c>
      <c r="I1922" s="21">
        <f t="shared" ca="1" si="143"/>
        <v>0</v>
      </c>
      <c r="J1922" s="21" t="str">
        <f ca="1">IF(I1922=0,"",COUNTIF($I$2:I1922,"&gt;0"))</f>
        <v/>
      </c>
      <c r="K1922" s="21" t="str">
        <f t="shared" ref="K1922:K1985" ca="1" si="145">IFERROR(INDEX(A:A,MATCH(ROW(I1921),J:J,0)),"")</f>
        <v/>
      </c>
    </row>
    <row r="1923" spans="1:11" s="18" customFormat="1" ht="14.25" x14ac:dyDescent="0.2">
      <c r="A1923" s="18" t="str">
        <f t="shared" si="136"/>
        <v>Eintrag 1922</v>
      </c>
      <c r="B1923" s="18">
        <v>100</v>
      </c>
      <c r="C1923" s="19">
        <v>100</v>
      </c>
      <c r="D1923" s="20">
        <v>10</v>
      </c>
      <c r="E1923" s="20">
        <v>10</v>
      </c>
      <c r="F1923" s="20">
        <v>10</v>
      </c>
      <c r="G1923" s="19">
        <f t="shared" ref="G1923:G1986" si="146">D1923*9+E1923*4.1+F1923*4.1</f>
        <v>172</v>
      </c>
      <c r="H1923" s="22">
        <f t="shared" si="144"/>
        <v>1922</v>
      </c>
      <c r="I1923" s="21">
        <f t="shared" ca="1" si="143"/>
        <v>0</v>
      </c>
      <c r="J1923" s="21" t="str">
        <f ca="1">IF(I1923=0,"",COUNTIF($I$2:I1923,"&gt;0"))</f>
        <v/>
      </c>
      <c r="K1923" s="21" t="str">
        <f t="shared" ca="1" si="145"/>
        <v/>
      </c>
    </row>
    <row r="1924" spans="1:11" s="18" customFormat="1" ht="14.25" x14ac:dyDescent="0.2">
      <c r="A1924" s="18" t="str">
        <f t="shared" si="136"/>
        <v>Eintrag 1923</v>
      </c>
      <c r="B1924" s="18">
        <v>100</v>
      </c>
      <c r="C1924" s="19">
        <v>100</v>
      </c>
      <c r="D1924" s="20">
        <v>10</v>
      </c>
      <c r="E1924" s="20">
        <v>10</v>
      </c>
      <c r="F1924" s="20">
        <v>10</v>
      </c>
      <c r="G1924" s="19">
        <f t="shared" si="146"/>
        <v>172</v>
      </c>
      <c r="H1924" s="22">
        <f t="shared" si="144"/>
        <v>1923</v>
      </c>
      <c r="I1924" s="21">
        <f t="shared" ca="1" si="143"/>
        <v>0</v>
      </c>
      <c r="J1924" s="21" t="str">
        <f ca="1">IF(I1924=0,"",COUNTIF($I$2:I1924,"&gt;0"))</f>
        <v/>
      </c>
      <c r="K1924" s="21" t="str">
        <f t="shared" ca="1" si="145"/>
        <v/>
      </c>
    </row>
    <row r="1925" spans="1:11" s="18" customFormat="1" ht="14.25" x14ac:dyDescent="0.2">
      <c r="A1925" s="18" t="str">
        <f t="shared" si="136"/>
        <v>Eintrag 1924</v>
      </c>
      <c r="B1925" s="18">
        <v>100</v>
      </c>
      <c r="C1925" s="19">
        <v>100</v>
      </c>
      <c r="D1925" s="20">
        <v>10</v>
      </c>
      <c r="E1925" s="20">
        <v>10</v>
      </c>
      <c r="F1925" s="20">
        <v>10</v>
      </c>
      <c r="G1925" s="19">
        <f t="shared" si="146"/>
        <v>172</v>
      </c>
      <c r="H1925" s="22">
        <f t="shared" si="144"/>
        <v>1924</v>
      </c>
      <c r="I1925" s="21">
        <f t="shared" ca="1" si="143"/>
        <v>0</v>
      </c>
      <c r="J1925" s="21" t="str">
        <f ca="1">IF(I1925=0,"",COUNTIF($I$2:I1925,"&gt;0"))</f>
        <v/>
      </c>
      <c r="K1925" s="21" t="str">
        <f t="shared" ca="1" si="145"/>
        <v/>
      </c>
    </row>
    <row r="1926" spans="1:11" s="18" customFormat="1" ht="14.25" x14ac:dyDescent="0.2">
      <c r="A1926" s="18" t="str">
        <f t="shared" si="136"/>
        <v>Eintrag 1925</v>
      </c>
      <c r="B1926" s="18">
        <v>100</v>
      </c>
      <c r="C1926" s="19">
        <v>100</v>
      </c>
      <c r="D1926" s="20">
        <v>10</v>
      </c>
      <c r="E1926" s="20">
        <v>10</v>
      </c>
      <c r="F1926" s="20">
        <v>10</v>
      </c>
      <c r="G1926" s="19">
        <f t="shared" si="146"/>
        <v>172</v>
      </c>
      <c r="H1926" s="22">
        <f t="shared" si="144"/>
        <v>1925</v>
      </c>
      <c r="I1926" s="21">
        <f t="shared" ca="1" si="143"/>
        <v>0</v>
      </c>
      <c r="J1926" s="21" t="str">
        <f ca="1">IF(I1926=0,"",COUNTIF($I$2:I1926,"&gt;0"))</f>
        <v/>
      </c>
      <c r="K1926" s="21" t="str">
        <f t="shared" ca="1" si="145"/>
        <v/>
      </c>
    </row>
    <row r="1927" spans="1:11" s="18" customFormat="1" ht="14.25" x14ac:dyDescent="0.2">
      <c r="A1927" s="18" t="str">
        <f t="shared" si="136"/>
        <v>Eintrag 1926</v>
      </c>
      <c r="B1927" s="18">
        <v>100</v>
      </c>
      <c r="C1927" s="19">
        <v>100</v>
      </c>
      <c r="D1927" s="20">
        <v>10</v>
      </c>
      <c r="E1927" s="20">
        <v>10</v>
      </c>
      <c r="F1927" s="20">
        <v>10</v>
      </c>
      <c r="G1927" s="19">
        <f t="shared" si="146"/>
        <v>172</v>
      </c>
      <c r="H1927" s="22">
        <f t="shared" si="144"/>
        <v>1926</v>
      </c>
      <c r="I1927" s="21">
        <f t="shared" ca="1" si="143"/>
        <v>0</v>
      </c>
      <c r="J1927" s="21" t="str">
        <f ca="1">IF(I1927=0,"",COUNTIF($I$2:I1927,"&gt;0"))</f>
        <v/>
      </c>
      <c r="K1927" s="21" t="str">
        <f t="shared" ca="1" si="145"/>
        <v/>
      </c>
    </row>
    <row r="1928" spans="1:11" s="18" customFormat="1" ht="14.25" x14ac:dyDescent="0.2">
      <c r="A1928" s="18" t="str">
        <f t="shared" si="136"/>
        <v>Eintrag 1927</v>
      </c>
      <c r="B1928" s="18">
        <v>100</v>
      </c>
      <c r="C1928" s="19">
        <v>100</v>
      </c>
      <c r="D1928" s="20">
        <v>10</v>
      </c>
      <c r="E1928" s="20">
        <v>10</v>
      </c>
      <c r="F1928" s="20">
        <v>10</v>
      </c>
      <c r="G1928" s="19">
        <f t="shared" si="146"/>
        <v>172</v>
      </c>
      <c r="H1928" s="22">
        <f t="shared" si="144"/>
        <v>1927</v>
      </c>
      <c r="I1928" s="21">
        <f t="shared" ca="1" si="143"/>
        <v>0</v>
      </c>
      <c r="J1928" s="21" t="str">
        <f ca="1">IF(I1928=0,"",COUNTIF($I$2:I1928,"&gt;0"))</f>
        <v/>
      </c>
      <c r="K1928" s="21" t="str">
        <f t="shared" ca="1" si="145"/>
        <v/>
      </c>
    </row>
    <row r="1929" spans="1:11" s="18" customFormat="1" ht="14.25" x14ac:dyDescent="0.2">
      <c r="A1929" s="18" t="str">
        <f t="shared" si="136"/>
        <v>Eintrag 1928</v>
      </c>
      <c r="B1929" s="18">
        <v>100</v>
      </c>
      <c r="C1929" s="19">
        <v>100</v>
      </c>
      <c r="D1929" s="20">
        <v>10</v>
      </c>
      <c r="E1929" s="20">
        <v>10</v>
      </c>
      <c r="F1929" s="20">
        <v>10</v>
      </c>
      <c r="G1929" s="19">
        <f t="shared" si="146"/>
        <v>172</v>
      </c>
      <c r="H1929" s="22">
        <f t="shared" si="144"/>
        <v>1928</v>
      </c>
      <c r="I1929" s="21">
        <f t="shared" ca="1" si="143"/>
        <v>0</v>
      </c>
      <c r="J1929" s="21" t="str">
        <f ca="1">IF(I1929=0,"",COUNTIF($I$2:I1929,"&gt;0"))</f>
        <v/>
      </c>
      <c r="K1929" s="21" t="str">
        <f t="shared" ca="1" si="145"/>
        <v/>
      </c>
    </row>
    <row r="1930" spans="1:11" s="18" customFormat="1" ht="14.25" x14ac:dyDescent="0.2">
      <c r="A1930" s="18" t="str">
        <f t="shared" si="136"/>
        <v>Eintrag 1929</v>
      </c>
      <c r="B1930" s="18">
        <v>100</v>
      </c>
      <c r="C1930" s="19">
        <v>100</v>
      </c>
      <c r="D1930" s="20">
        <v>10</v>
      </c>
      <c r="E1930" s="20">
        <v>10</v>
      </c>
      <c r="F1930" s="20">
        <v>10</v>
      </c>
      <c r="G1930" s="19">
        <f t="shared" si="146"/>
        <v>172</v>
      </c>
      <c r="H1930" s="22">
        <f t="shared" si="144"/>
        <v>1929</v>
      </c>
      <c r="I1930" s="21">
        <f t="shared" ca="1" si="143"/>
        <v>0</v>
      </c>
      <c r="J1930" s="21" t="str">
        <f ca="1">IF(I1930=0,"",COUNTIF($I$2:I1930,"&gt;0"))</f>
        <v/>
      </c>
      <c r="K1930" s="21" t="str">
        <f t="shared" ca="1" si="145"/>
        <v/>
      </c>
    </row>
    <row r="1931" spans="1:11" s="18" customFormat="1" ht="14.25" x14ac:dyDescent="0.2">
      <c r="A1931" s="18" t="str">
        <f t="shared" si="136"/>
        <v>Eintrag 1930</v>
      </c>
      <c r="B1931" s="18">
        <v>100</v>
      </c>
      <c r="C1931" s="19">
        <v>100</v>
      </c>
      <c r="D1931" s="20">
        <v>10</v>
      </c>
      <c r="E1931" s="20">
        <v>10</v>
      </c>
      <c r="F1931" s="20">
        <v>10</v>
      </c>
      <c r="G1931" s="19">
        <f t="shared" si="146"/>
        <v>172</v>
      </c>
      <c r="H1931" s="22">
        <f t="shared" si="144"/>
        <v>1930</v>
      </c>
      <c r="I1931" s="21">
        <f t="shared" ca="1" si="143"/>
        <v>0</v>
      </c>
      <c r="J1931" s="21" t="str">
        <f ca="1">IF(I1931=0,"",COUNTIF($I$2:I1931,"&gt;0"))</f>
        <v/>
      </c>
      <c r="K1931" s="21" t="str">
        <f t="shared" ca="1" si="145"/>
        <v/>
      </c>
    </row>
    <row r="1932" spans="1:11" s="18" customFormat="1" ht="14.25" x14ac:dyDescent="0.2">
      <c r="A1932" s="18" t="str">
        <f t="shared" si="136"/>
        <v>Eintrag 1931</v>
      </c>
      <c r="B1932" s="18">
        <v>100</v>
      </c>
      <c r="C1932" s="19">
        <v>100</v>
      </c>
      <c r="D1932" s="20">
        <v>10</v>
      </c>
      <c r="E1932" s="20">
        <v>10</v>
      </c>
      <c r="F1932" s="20">
        <v>10</v>
      </c>
      <c r="G1932" s="19">
        <f t="shared" si="146"/>
        <v>172</v>
      </c>
      <c r="H1932" s="22">
        <f t="shared" si="144"/>
        <v>1931</v>
      </c>
      <c r="I1932" s="21">
        <f t="shared" ca="1" si="143"/>
        <v>0</v>
      </c>
      <c r="J1932" s="21" t="str">
        <f ca="1">IF(I1932=0,"",COUNTIF($I$2:I1932,"&gt;0"))</f>
        <v/>
      </c>
      <c r="K1932" s="21" t="str">
        <f t="shared" ca="1" si="145"/>
        <v/>
      </c>
    </row>
    <row r="1933" spans="1:11" s="18" customFormat="1" ht="14.25" x14ac:dyDescent="0.2">
      <c r="A1933" s="18" t="str">
        <f t="shared" si="136"/>
        <v>Eintrag 1932</v>
      </c>
      <c r="B1933" s="18">
        <v>100</v>
      </c>
      <c r="C1933" s="19">
        <v>100</v>
      </c>
      <c r="D1933" s="20">
        <v>10</v>
      </c>
      <c r="E1933" s="20">
        <v>10</v>
      </c>
      <c r="F1933" s="20">
        <v>10</v>
      </c>
      <c r="G1933" s="19">
        <f t="shared" si="146"/>
        <v>172</v>
      </c>
      <c r="H1933" s="22">
        <f t="shared" si="144"/>
        <v>1932</v>
      </c>
      <c r="I1933" s="21">
        <f t="shared" ca="1" si="143"/>
        <v>0</v>
      </c>
      <c r="J1933" s="21" t="str">
        <f ca="1">IF(I1933=0,"",COUNTIF($I$2:I1933,"&gt;0"))</f>
        <v/>
      </c>
      <c r="K1933" s="21" t="str">
        <f t="shared" ca="1" si="145"/>
        <v/>
      </c>
    </row>
    <row r="1934" spans="1:11" s="18" customFormat="1" ht="14.25" x14ac:dyDescent="0.2">
      <c r="A1934" s="18" t="str">
        <f t="shared" si="136"/>
        <v>Eintrag 1933</v>
      </c>
      <c r="B1934" s="18">
        <v>100</v>
      </c>
      <c r="C1934" s="19">
        <v>100</v>
      </c>
      <c r="D1934" s="20">
        <v>10</v>
      </c>
      <c r="E1934" s="20">
        <v>10</v>
      </c>
      <c r="F1934" s="20">
        <v>10</v>
      </c>
      <c r="G1934" s="19">
        <f t="shared" si="146"/>
        <v>172</v>
      </c>
      <c r="H1934" s="22">
        <f t="shared" si="144"/>
        <v>1933</v>
      </c>
      <c r="I1934" s="21">
        <f t="shared" ca="1" si="143"/>
        <v>0</v>
      </c>
      <c r="J1934" s="21" t="str">
        <f ca="1">IF(I1934=0,"",COUNTIF($I$2:I1934,"&gt;0"))</f>
        <v/>
      </c>
      <c r="K1934" s="21" t="str">
        <f t="shared" ca="1" si="145"/>
        <v/>
      </c>
    </row>
    <row r="1935" spans="1:11" s="18" customFormat="1" ht="14.25" x14ac:dyDescent="0.2">
      <c r="A1935" s="18" t="str">
        <f t="shared" si="136"/>
        <v>Eintrag 1934</v>
      </c>
      <c r="B1935" s="18">
        <v>100</v>
      </c>
      <c r="C1935" s="19">
        <v>100</v>
      </c>
      <c r="D1935" s="20">
        <v>10</v>
      </c>
      <c r="E1935" s="20">
        <v>10</v>
      </c>
      <c r="F1935" s="20">
        <v>10</v>
      </c>
      <c r="G1935" s="19">
        <f t="shared" si="146"/>
        <v>172</v>
      </c>
      <c r="H1935" s="22">
        <f t="shared" si="144"/>
        <v>1934</v>
      </c>
      <c r="I1935" s="21">
        <f t="shared" ca="1" si="143"/>
        <v>0</v>
      </c>
      <c r="J1935" s="21" t="str">
        <f ca="1">IF(I1935=0,"",COUNTIF($I$2:I1935,"&gt;0"))</f>
        <v/>
      </c>
      <c r="K1935" s="21" t="str">
        <f t="shared" ca="1" si="145"/>
        <v/>
      </c>
    </row>
    <row r="1936" spans="1:11" s="18" customFormat="1" ht="14.25" x14ac:dyDescent="0.2">
      <c r="A1936" s="18" t="str">
        <f t="shared" si="136"/>
        <v>Eintrag 1935</v>
      </c>
      <c r="B1936" s="18">
        <v>100</v>
      </c>
      <c r="C1936" s="19">
        <v>100</v>
      </c>
      <c r="D1936" s="20">
        <v>10</v>
      </c>
      <c r="E1936" s="20">
        <v>10</v>
      </c>
      <c r="F1936" s="20">
        <v>10</v>
      </c>
      <c r="G1936" s="19">
        <f t="shared" si="146"/>
        <v>172</v>
      </c>
      <c r="H1936" s="22">
        <f t="shared" si="144"/>
        <v>1935</v>
      </c>
      <c r="I1936" s="21">
        <f t="shared" ca="1" si="143"/>
        <v>0</v>
      </c>
      <c r="J1936" s="21" t="str">
        <f ca="1">IF(I1936=0,"",COUNTIF($I$2:I1936,"&gt;0"))</f>
        <v/>
      </c>
      <c r="K1936" s="21" t="str">
        <f t="shared" ca="1" si="145"/>
        <v/>
      </c>
    </row>
    <row r="1937" spans="1:11" s="18" customFormat="1" ht="14.25" x14ac:dyDescent="0.2">
      <c r="A1937" s="18" t="str">
        <f t="shared" si="136"/>
        <v>Eintrag 1936</v>
      </c>
      <c r="B1937" s="18">
        <v>100</v>
      </c>
      <c r="C1937" s="19">
        <v>100</v>
      </c>
      <c r="D1937" s="20">
        <v>10</v>
      </c>
      <c r="E1937" s="20">
        <v>10</v>
      </c>
      <c r="F1937" s="20">
        <v>10</v>
      </c>
      <c r="G1937" s="19">
        <f t="shared" si="146"/>
        <v>172</v>
      </c>
      <c r="H1937" s="22">
        <f t="shared" si="144"/>
        <v>1936</v>
      </c>
      <c r="I1937" s="21">
        <f t="shared" ca="1" si="143"/>
        <v>0</v>
      </c>
      <c r="J1937" s="21" t="str">
        <f ca="1">IF(I1937=0,"",COUNTIF($I$2:I1937,"&gt;0"))</f>
        <v/>
      </c>
      <c r="K1937" s="21" t="str">
        <f t="shared" ca="1" si="145"/>
        <v/>
      </c>
    </row>
    <row r="1938" spans="1:11" s="18" customFormat="1" ht="14.25" x14ac:dyDescent="0.2">
      <c r="A1938" s="18" t="str">
        <f t="shared" si="136"/>
        <v>Eintrag 1937</v>
      </c>
      <c r="B1938" s="18">
        <v>100</v>
      </c>
      <c r="C1938" s="19">
        <v>100</v>
      </c>
      <c r="D1938" s="20">
        <v>10</v>
      </c>
      <c r="E1938" s="20">
        <v>10</v>
      </c>
      <c r="F1938" s="20">
        <v>10</v>
      </c>
      <c r="G1938" s="19">
        <f t="shared" si="146"/>
        <v>172</v>
      </c>
      <c r="H1938" s="22">
        <f t="shared" si="144"/>
        <v>1937</v>
      </c>
      <c r="I1938" s="21">
        <f t="shared" ca="1" si="143"/>
        <v>0</v>
      </c>
      <c r="J1938" s="21" t="str">
        <f ca="1">IF(I1938=0,"",COUNTIF($I$2:I1938,"&gt;0"))</f>
        <v/>
      </c>
      <c r="K1938" s="21" t="str">
        <f t="shared" ca="1" si="145"/>
        <v/>
      </c>
    </row>
    <row r="1939" spans="1:11" s="18" customFormat="1" ht="14.25" x14ac:dyDescent="0.2">
      <c r="A1939" s="18" t="str">
        <f t="shared" si="136"/>
        <v>Eintrag 1938</v>
      </c>
      <c r="B1939" s="18">
        <v>100</v>
      </c>
      <c r="C1939" s="19">
        <v>100</v>
      </c>
      <c r="D1939" s="20">
        <v>10</v>
      </c>
      <c r="E1939" s="20">
        <v>10</v>
      </c>
      <c r="F1939" s="20">
        <v>10</v>
      </c>
      <c r="G1939" s="19">
        <f t="shared" si="146"/>
        <v>172</v>
      </c>
      <c r="H1939" s="22">
        <f t="shared" si="144"/>
        <v>1938</v>
      </c>
      <c r="I1939" s="21">
        <f t="shared" ca="1" si="143"/>
        <v>0</v>
      </c>
      <c r="J1939" s="21" t="str">
        <f ca="1">IF(I1939=0,"",COUNTIF($I$2:I1939,"&gt;0"))</f>
        <v/>
      </c>
      <c r="K1939" s="21" t="str">
        <f t="shared" ca="1" si="145"/>
        <v/>
      </c>
    </row>
    <row r="1940" spans="1:11" s="18" customFormat="1" ht="14.25" x14ac:dyDescent="0.2">
      <c r="A1940" s="18" t="str">
        <f t="shared" si="136"/>
        <v>Eintrag 1939</v>
      </c>
      <c r="B1940" s="18">
        <v>100</v>
      </c>
      <c r="C1940" s="19">
        <v>100</v>
      </c>
      <c r="D1940" s="20">
        <v>10</v>
      </c>
      <c r="E1940" s="20">
        <v>10</v>
      </c>
      <c r="F1940" s="20">
        <v>10</v>
      </c>
      <c r="G1940" s="19">
        <f t="shared" si="146"/>
        <v>172</v>
      </c>
      <c r="H1940" s="22">
        <f t="shared" si="144"/>
        <v>1939</v>
      </c>
      <c r="I1940" s="21">
        <f t="shared" ca="1" si="143"/>
        <v>0</v>
      </c>
      <c r="J1940" s="21" t="str">
        <f ca="1">IF(I1940=0,"",COUNTIF($I$2:I1940,"&gt;0"))</f>
        <v/>
      </c>
      <c r="K1940" s="21" t="str">
        <f t="shared" ca="1" si="145"/>
        <v/>
      </c>
    </row>
    <row r="1941" spans="1:11" s="18" customFormat="1" ht="14.25" x14ac:dyDescent="0.2">
      <c r="A1941" s="18" t="str">
        <f t="shared" si="136"/>
        <v>Eintrag 1940</v>
      </c>
      <c r="B1941" s="18">
        <v>100</v>
      </c>
      <c r="C1941" s="19">
        <v>100</v>
      </c>
      <c r="D1941" s="20">
        <v>10</v>
      </c>
      <c r="E1941" s="20">
        <v>10</v>
      </c>
      <c r="F1941" s="20">
        <v>10</v>
      </c>
      <c r="G1941" s="19">
        <f t="shared" si="146"/>
        <v>172</v>
      </c>
      <c r="H1941" s="22">
        <f t="shared" si="144"/>
        <v>1940</v>
      </c>
      <c r="I1941" s="21">
        <f t="shared" ca="1" si="143"/>
        <v>0</v>
      </c>
      <c r="J1941" s="21" t="str">
        <f ca="1">IF(I1941=0,"",COUNTIF($I$2:I1941,"&gt;0"))</f>
        <v/>
      </c>
      <c r="K1941" s="21" t="str">
        <f t="shared" ca="1" si="145"/>
        <v/>
      </c>
    </row>
    <row r="1942" spans="1:11" s="18" customFormat="1" ht="14.25" x14ac:dyDescent="0.2">
      <c r="A1942" s="18" t="str">
        <f t="shared" si="136"/>
        <v>Eintrag 1941</v>
      </c>
      <c r="B1942" s="18">
        <v>100</v>
      </c>
      <c r="C1942" s="19">
        <v>100</v>
      </c>
      <c r="D1942" s="20">
        <v>10</v>
      </c>
      <c r="E1942" s="20">
        <v>10</v>
      </c>
      <c r="F1942" s="20">
        <v>10</v>
      </c>
      <c r="G1942" s="19">
        <f t="shared" si="146"/>
        <v>172</v>
      </c>
      <c r="H1942" s="22">
        <f t="shared" si="144"/>
        <v>1941</v>
      </c>
      <c r="I1942" s="21">
        <f t="shared" ca="1" si="143"/>
        <v>0</v>
      </c>
      <c r="J1942" s="21" t="str">
        <f ca="1">IF(I1942=0,"",COUNTIF($I$2:I1942,"&gt;0"))</f>
        <v/>
      </c>
      <c r="K1942" s="21" t="str">
        <f t="shared" ca="1" si="145"/>
        <v/>
      </c>
    </row>
    <row r="1943" spans="1:11" s="18" customFormat="1" ht="14.25" x14ac:dyDescent="0.2">
      <c r="A1943" s="18" t="str">
        <f t="shared" si="136"/>
        <v>Eintrag 1942</v>
      </c>
      <c r="B1943" s="18">
        <v>100</v>
      </c>
      <c r="C1943" s="19">
        <v>100</v>
      </c>
      <c r="D1943" s="20">
        <v>10</v>
      </c>
      <c r="E1943" s="20">
        <v>10</v>
      </c>
      <c r="F1943" s="20">
        <v>10</v>
      </c>
      <c r="G1943" s="19">
        <f t="shared" si="146"/>
        <v>172</v>
      </c>
      <c r="H1943" s="22">
        <f t="shared" si="144"/>
        <v>1942</v>
      </c>
      <c r="I1943" s="21">
        <f t="shared" ref="I1943:I2006" ca="1" si="147">IFERROR(SEARCH(INDIRECT(CELL("address")),A1943),0)</f>
        <v>0</v>
      </c>
      <c r="J1943" s="21" t="str">
        <f ca="1">IF(I1943=0,"",COUNTIF($I$2:I1943,"&gt;0"))</f>
        <v/>
      </c>
      <c r="K1943" s="21" t="str">
        <f t="shared" ca="1" si="145"/>
        <v/>
      </c>
    </row>
    <row r="1944" spans="1:11" s="18" customFormat="1" ht="14.25" x14ac:dyDescent="0.2">
      <c r="A1944" s="18" t="str">
        <f t="shared" si="136"/>
        <v>Eintrag 1943</v>
      </c>
      <c r="B1944" s="18">
        <v>100</v>
      </c>
      <c r="C1944" s="19">
        <v>100</v>
      </c>
      <c r="D1944" s="20">
        <v>10</v>
      </c>
      <c r="E1944" s="20">
        <v>10</v>
      </c>
      <c r="F1944" s="20">
        <v>10</v>
      </c>
      <c r="G1944" s="19">
        <f t="shared" si="146"/>
        <v>172</v>
      </c>
      <c r="H1944" s="22">
        <f t="shared" si="144"/>
        <v>1943</v>
      </c>
      <c r="I1944" s="21">
        <f t="shared" ca="1" si="147"/>
        <v>0</v>
      </c>
      <c r="J1944" s="21" t="str">
        <f ca="1">IF(I1944=0,"",COUNTIF($I$2:I1944,"&gt;0"))</f>
        <v/>
      </c>
      <c r="K1944" s="21" t="str">
        <f t="shared" ca="1" si="145"/>
        <v/>
      </c>
    </row>
    <row r="1945" spans="1:11" s="18" customFormat="1" ht="14.25" x14ac:dyDescent="0.2">
      <c r="A1945" s="18" t="str">
        <f t="shared" si="136"/>
        <v>Eintrag 1944</v>
      </c>
      <c r="B1945" s="18">
        <v>100</v>
      </c>
      <c r="C1945" s="19">
        <v>100</v>
      </c>
      <c r="D1945" s="20">
        <v>10</v>
      </c>
      <c r="E1945" s="20">
        <v>10</v>
      </c>
      <c r="F1945" s="20">
        <v>10</v>
      </c>
      <c r="G1945" s="19">
        <f t="shared" si="146"/>
        <v>172</v>
      </c>
      <c r="H1945" s="22">
        <f t="shared" si="144"/>
        <v>1944</v>
      </c>
      <c r="I1945" s="21">
        <f t="shared" ca="1" si="147"/>
        <v>0</v>
      </c>
      <c r="J1945" s="21" t="str">
        <f ca="1">IF(I1945=0,"",COUNTIF($I$2:I1945,"&gt;0"))</f>
        <v/>
      </c>
      <c r="K1945" s="21" t="str">
        <f t="shared" ca="1" si="145"/>
        <v/>
      </c>
    </row>
    <row r="1946" spans="1:11" s="18" customFormat="1" ht="14.25" x14ac:dyDescent="0.2">
      <c r="A1946" s="18" t="str">
        <f t="shared" si="136"/>
        <v>Eintrag 1945</v>
      </c>
      <c r="B1946" s="18">
        <v>100</v>
      </c>
      <c r="C1946" s="19">
        <v>100</v>
      </c>
      <c r="D1946" s="20">
        <v>10</v>
      </c>
      <c r="E1946" s="20">
        <v>10</v>
      </c>
      <c r="F1946" s="20">
        <v>10</v>
      </c>
      <c r="G1946" s="19">
        <f t="shared" si="146"/>
        <v>172</v>
      </c>
      <c r="H1946" s="22">
        <f t="shared" si="144"/>
        <v>1945</v>
      </c>
      <c r="I1946" s="21">
        <f t="shared" ca="1" si="147"/>
        <v>0</v>
      </c>
      <c r="J1946" s="21" t="str">
        <f ca="1">IF(I1946=0,"",COUNTIF($I$2:I1946,"&gt;0"))</f>
        <v/>
      </c>
      <c r="K1946" s="21" t="str">
        <f t="shared" ca="1" si="145"/>
        <v/>
      </c>
    </row>
    <row r="1947" spans="1:11" s="18" customFormat="1" ht="14.25" x14ac:dyDescent="0.2">
      <c r="A1947" s="18" t="str">
        <f t="shared" si="136"/>
        <v>Eintrag 1946</v>
      </c>
      <c r="B1947" s="18">
        <v>100</v>
      </c>
      <c r="C1947" s="19">
        <v>100</v>
      </c>
      <c r="D1947" s="20">
        <v>10</v>
      </c>
      <c r="E1947" s="20">
        <v>10</v>
      </c>
      <c r="F1947" s="20">
        <v>10</v>
      </c>
      <c r="G1947" s="19">
        <f t="shared" si="146"/>
        <v>172</v>
      </c>
      <c r="H1947" s="22">
        <f t="shared" si="144"/>
        <v>1946</v>
      </c>
      <c r="I1947" s="21">
        <f t="shared" ca="1" si="147"/>
        <v>0</v>
      </c>
      <c r="J1947" s="21" t="str">
        <f ca="1">IF(I1947=0,"",COUNTIF($I$2:I1947,"&gt;0"))</f>
        <v/>
      </c>
      <c r="K1947" s="21" t="str">
        <f t="shared" ca="1" si="145"/>
        <v/>
      </c>
    </row>
    <row r="1948" spans="1:11" s="18" customFormat="1" ht="14.25" x14ac:dyDescent="0.2">
      <c r="A1948" s="18" t="str">
        <f t="shared" si="136"/>
        <v>Eintrag 1947</v>
      </c>
      <c r="B1948" s="18">
        <v>100</v>
      </c>
      <c r="C1948" s="19">
        <v>100</v>
      </c>
      <c r="D1948" s="20">
        <v>10</v>
      </c>
      <c r="E1948" s="20">
        <v>10</v>
      </c>
      <c r="F1948" s="20">
        <v>10</v>
      </c>
      <c r="G1948" s="19">
        <f t="shared" si="146"/>
        <v>172</v>
      </c>
      <c r="H1948" s="22">
        <f t="shared" si="144"/>
        <v>1947</v>
      </c>
      <c r="I1948" s="21">
        <f t="shared" ca="1" si="147"/>
        <v>0</v>
      </c>
      <c r="J1948" s="21" t="str">
        <f ca="1">IF(I1948=0,"",COUNTIF($I$2:I1948,"&gt;0"))</f>
        <v/>
      </c>
      <c r="K1948" s="21" t="str">
        <f t="shared" ca="1" si="145"/>
        <v/>
      </c>
    </row>
    <row r="1949" spans="1:11" s="18" customFormat="1" ht="14.25" x14ac:dyDescent="0.2">
      <c r="A1949" s="18" t="str">
        <f t="shared" si="136"/>
        <v>Eintrag 1948</v>
      </c>
      <c r="B1949" s="18">
        <v>100</v>
      </c>
      <c r="C1949" s="19">
        <v>100</v>
      </c>
      <c r="D1949" s="20">
        <v>10</v>
      </c>
      <c r="E1949" s="20">
        <v>10</v>
      </c>
      <c r="F1949" s="20">
        <v>10</v>
      </c>
      <c r="G1949" s="19">
        <f t="shared" si="146"/>
        <v>172</v>
      </c>
      <c r="H1949" s="22">
        <f t="shared" si="144"/>
        <v>1948</v>
      </c>
      <c r="I1949" s="21">
        <f t="shared" ca="1" si="147"/>
        <v>0</v>
      </c>
      <c r="J1949" s="21" t="str">
        <f ca="1">IF(I1949=0,"",COUNTIF($I$2:I1949,"&gt;0"))</f>
        <v/>
      </c>
      <c r="K1949" s="21" t="str">
        <f t="shared" ca="1" si="145"/>
        <v/>
      </c>
    </row>
    <row r="1950" spans="1:11" s="18" customFormat="1" ht="14.25" x14ac:dyDescent="0.2">
      <c r="A1950" s="18" t="str">
        <f t="shared" si="136"/>
        <v>Eintrag 1949</v>
      </c>
      <c r="B1950" s="18">
        <v>100</v>
      </c>
      <c r="C1950" s="19">
        <v>100</v>
      </c>
      <c r="D1950" s="20">
        <v>10</v>
      </c>
      <c r="E1950" s="20">
        <v>10</v>
      </c>
      <c r="F1950" s="20">
        <v>10</v>
      </c>
      <c r="G1950" s="19">
        <f t="shared" si="146"/>
        <v>172</v>
      </c>
      <c r="H1950" s="22">
        <f t="shared" si="144"/>
        <v>1949</v>
      </c>
      <c r="I1950" s="21">
        <f t="shared" ca="1" si="147"/>
        <v>0</v>
      </c>
      <c r="J1950" s="21" t="str">
        <f ca="1">IF(I1950=0,"",COUNTIF($I$2:I1950,"&gt;0"))</f>
        <v/>
      </c>
      <c r="K1950" s="21" t="str">
        <f t="shared" ca="1" si="145"/>
        <v/>
      </c>
    </row>
    <row r="1951" spans="1:11" s="18" customFormat="1" ht="14.25" x14ac:dyDescent="0.2">
      <c r="A1951" s="18" t="str">
        <f t="shared" si="136"/>
        <v>Eintrag 1950</v>
      </c>
      <c r="B1951" s="18">
        <v>100</v>
      </c>
      <c r="C1951" s="19">
        <v>100</v>
      </c>
      <c r="D1951" s="20">
        <v>10</v>
      </c>
      <c r="E1951" s="20">
        <v>10</v>
      </c>
      <c r="F1951" s="20">
        <v>10</v>
      </c>
      <c r="G1951" s="19">
        <f t="shared" si="146"/>
        <v>172</v>
      </c>
      <c r="H1951" s="22">
        <f t="shared" si="144"/>
        <v>1950</v>
      </c>
      <c r="I1951" s="21">
        <f t="shared" ca="1" si="147"/>
        <v>0</v>
      </c>
      <c r="J1951" s="21" t="str">
        <f ca="1">IF(I1951=0,"",COUNTIF($I$2:I1951,"&gt;0"))</f>
        <v/>
      </c>
      <c r="K1951" s="21" t="str">
        <f t="shared" ca="1" si="145"/>
        <v/>
      </c>
    </row>
    <row r="1952" spans="1:11" s="18" customFormat="1" ht="14.25" x14ac:dyDescent="0.2">
      <c r="A1952" s="18" t="str">
        <f t="shared" si="136"/>
        <v>Eintrag 1951</v>
      </c>
      <c r="B1952" s="18">
        <v>100</v>
      </c>
      <c r="C1952" s="19">
        <v>100</v>
      </c>
      <c r="D1952" s="20">
        <v>10</v>
      </c>
      <c r="E1952" s="20">
        <v>10</v>
      </c>
      <c r="F1952" s="20">
        <v>10</v>
      </c>
      <c r="G1952" s="19">
        <f t="shared" si="146"/>
        <v>172</v>
      </c>
      <c r="H1952" s="22">
        <f t="shared" si="144"/>
        <v>1951</v>
      </c>
      <c r="I1952" s="21">
        <f t="shared" ca="1" si="147"/>
        <v>0</v>
      </c>
      <c r="J1952" s="21" t="str">
        <f ca="1">IF(I1952=0,"",COUNTIF($I$2:I1952,"&gt;0"))</f>
        <v/>
      </c>
      <c r="K1952" s="21" t="str">
        <f t="shared" ca="1" si="145"/>
        <v/>
      </c>
    </row>
    <row r="1953" spans="1:11" s="18" customFormat="1" ht="14.25" x14ac:dyDescent="0.2">
      <c r="A1953" s="18" t="str">
        <f t="shared" ref="A1953:A2016" si="148">CONCATENATE("Eintrag ",H1953)</f>
        <v>Eintrag 1952</v>
      </c>
      <c r="B1953" s="18">
        <v>100</v>
      </c>
      <c r="C1953" s="19">
        <v>100</v>
      </c>
      <c r="D1953" s="20">
        <v>10</v>
      </c>
      <c r="E1953" s="20">
        <v>10</v>
      </c>
      <c r="F1953" s="20">
        <v>10</v>
      </c>
      <c r="G1953" s="19">
        <f t="shared" si="146"/>
        <v>172</v>
      </c>
      <c r="H1953" s="22">
        <f t="shared" si="144"/>
        <v>1952</v>
      </c>
      <c r="I1953" s="21">
        <f t="shared" ca="1" si="147"/>
        <v>0</v>
      </c>
      <c r="J1953" s="21" t="str">
        <f ca="1">IF(I1953=0,"",COUNTIF($I$2:I1953,"&gt;0"))</f>
        <v/>
      </c>
      <c r="K1953" s="21" t="str">
        <f t="shared" ca="1" si="145"/>
        <v/>
      </c>
    </row>
    <row r="1954" spans="1:11" s="18" customFormat="1" ht="14.25" x14ac:dyDescent="0.2">
      <c r="A1954" s="18" t="str">
        <f t="shared" si="148"/>
        <v>Eintrag 1953</v>
      </c>
      <c r="B1954" s="18">
        <v>100</v>
      </c>
      <c r="C1954" s="19">
        <v>100</v>
      </c>
      <c r="D1954" s="20">
        <v>10</v>
      </c>
      <c r="E1954" s="20">
        <v>10</v>
      </c>
      <c r="F1954" s="20">
        <v>10</v>
      </c>
      <c r="G1954" s="19">
        <f t="shared" si="146"/>
        <v>172</v>
      </c>
      <c r="H1954" s="22">
        <f t="shared" si="144"/>
        <v>1953</v>
      </c>
      <c r="I1954" s="21">
        <f t="shared" ca="1" si="147"/>
        <v>0</v>
      </c>
      <c r="J1954" s="21" t="str">
        <f ca="1">IF(I1954=0,"",COUNTIF($I$2:I1954,"&gt;0"))</f>
        <v/>
      </c>
      <c r="K1954" s="21" t="str">
        <f t="shared" ca="1" si="145"/>
        <v/>
      </c>
    </row>
    <row r="1955" spans="1:11" s="18" customFormat="1" ht="14.25" x14ac:dyDescent="0.2">
      <c r="A1955" s="18" t="str">
        <f t="shared" si="148"/>
        <v>Eintrag 1954</v>
      </c>
      <c r="B1955" s="18">
        <v>100</v>
      </c>
      <c r="C1955" s="19">
        <v>100</v>
      </c>
      <c r="D1955" s="20">
        <v>10</v>
      </c>
      <c r="E1955" s="20">
        <v>10</v>
      </c>
      <c r="F1955" s="20">
        <v>10</v>
      </c>
      <c r="G1955" s="19">
        <f t="shared" si="146"/>
        <v>172</v>
      </c>
      <c r="H1955" s="22">
        <f t="shared" si="144"/>
        <v>1954</v>
      </c>
      <c r="I1955" s="21">
        <f t="shared" ca="1" si="147"/>
        <v>0</v>
      </c>
      <c r="J1955" s="21" t="str">
        <f ca="1">IF(I1955=0,"",COUNTIF($I$2:I1955,"&gt;0"))</f>
        <v/>
      </c>
      <c r="K1955" s="21" t="str">
        <f t="shared" ca="1" si="145"/>
        <v/>
      </c>
    </row>
    <row r="1956" spans="1:11" s="18" customFormat="1" ht="14.25" x14ac:dyDescent="0.2">
      <c r="A1956" s="18" t="str">
        <f t="shared" si="148"/>
        <v>Eintrag 1955</v>
      </c>
      <c r="B1956" s="18">
        <v>100</v>
      </c>
      <c r="C1956" s="19">
        <v>100</v>
      </c>
      <c r="D1956" s="20">
        <v>10</v>
      </c>
      <c r="E1956" s="20">
        <v>10</v>
      </c>
      <c r="F1956" s="20">
        <v>10</v>
      </c>
      <c r="G1956" s="19">
        <f t="shared" si="146"/>
        <v>172</v>
      </c>
      <c r="H1956" s="22">
        <f t="shared" si="144"/>
        <v>1955</v>
      </c>
      <c r="I1956" s="21">
        <f t="shared" ca="1" si="147"/>
        <v>0</v>
      </c>
      <c r="J1956" s="21" t="str">
        <f ca="1">IF(I1956=0,"",COUNTIF($I$2:I1956,"&gt;0"))</f>
        <v/>
      </c>
      <c r="K1956" s="21" t="str">
        <f t="shared" ca="1" si="145"/>
        <v/>
      </c>
    </row>
    <row r="1957" spans="1:11" s="18" customFormat="1" ht="14.25" x14ac:dyDescent="0.2">
      <c r="A1957" s="18" t="str">
        <f t="shared" si="148"/>
        <v>Eintrag 1956</v>
      </c>
      <c r="B1957" s="18">
        <v>100</v>
      </c>
      <c r="C1957" s="19">
        <v>100</v>
      </c>
      <c r="D1957" s="20">
        <v>10</v>
      </c>
      <c r="E1957" s="20">
        <v>10</v>
      </c>
      <c r="F1957" s="20">
        <v>10</v>
      </c>
      <c r="G1957" s="19">
        <f t="shared" si="146"/>
        <v>172</v>
      </c>
      <c r="H1957" s="22">
        <f t="shared" ref="H1957:H2020" si="149">H1956+1</f>
        <v>1956</v>
      </c>
      <c r="I1957" s="21">
        <f t="shared" ca="1" si="147"/>
        <v>0</v>
      </c>
      <c r="J1957" s="21" t="str">
        <f ca="1">IF(I1957=0,"",COUNTIF($I$2:I1957,"&gt;0"))</f>
        <v/>
      </c>
      <c r="K1957" s="21" t="str">
        <f t="shared" ca="1" si="145"/>
        <v/>
      </c>
    </row>
    <row r="1958" spans="1:11" s="18" customFormat="1" ht="14.25" x14ac:dyDescent="0.2">
      <c r="A1958" s="18" t="str">
        <f t="shared" si="148"/>
        <v>Eintrag 1957</v>
      </c>
      <c r="B1958" s="18">
        <v>100</v>
      </c>
      <c r="C1958" s="19">
        <v>100</v>
      </c>
      <c r="D1958" s="20">
        <v>10</v>
      </c>
      <c r="E1958" s="20">
        <v>10</v>
      </c>
      <c r="F1958" s="20">
        <v>10</v>
      </c>
      <c r="G1958" s="19">
        <f t="shared" si="146"/>
        <v>172</v>
      </c>
      <c r="H1958" s="22">
        <f t="shared" si="149"/>
        <v>1957</v>
      </c>
      <c r="I1958" s="21">
        <f t="shared" ca="1" si="147"/>
        <v>0</v>
      </c>
      <c r="J1958" s="21" t="str">
        <f ca="1">IF(I1958=0,"",COUNTIF($I$2:I1958,"&gt;0"))</f>
        <v/>
      </c>
      <c r="K1958" s="21" t="str">
        <f t="shared" ca="1" si="145"/>
        <v/>
      </c>
    </row>
    <row r="1959" spans="1:11" s="18" customFormat="1" ht="14.25" x14ac:dyDescent="0.2">
      <c r="A1959" s="18" t="str">
        <f t="shared" si="148"/>
        <v>Eintrag 1958</v>
      </c>
      <c r="B1959" s="18">
        <v>100</v>
      </c>
      <c r="C1959" s="19">
        <v>100</v>
      </c>
      <c r="D1959" s="20">
        <v>10</v>
      </c>
      <c r="E1959" s="20">
        <v>10</v>
      </c>
      <c r="F1959" s="20">
        <v>10</v>
      </c>
      <c r="G1959" s="19">
        <f t="shared" si="146"/>
        <v>172</v>
      </c>
      <c r="H1959" s="22">
        <f t="shared" si="149"/>
        <v>1958</v>
      </c>
      <c r="I1959" s="21">
        <f t="shared" ca="1" si="147"/>
        <v>0</v>
      </c>
      <c r="J1959" s="21" t="str">
        <f ca="1">IF(I1959=0,"",COUNTIF($I$2:I1959,"&gt;0"))</f>
        <v/>
      </c>
      <c r="K1959" s="21" t="str">
        <f t="shared" ca="1" si="145"/>
        <v/>
      </c>
    </row>
    <row r="1960" spans="1:11" s="18" customFormat="1" ht="14.25" x14ac:dyDescent="0.2">
      <c r="A1960" s="18" t="str">
        <f t="shared" si="148"/>
        <v>Eintrag 1959</v>
      </c>
      <c r="B1960" s="18">
        <v>100</v>
      </c>
      <c r="C1960" s="19">
        <v>100</v>
      </c>
      <c r="D1960" s="20">
        <v>10</v>
      </c>
      <c r="E1960" s="20">
        <v>10</v>
      </c>
      <c r="F1960" s="20">
        <v>10</v>
      </c>
      <c r="G1960" s="19">
        <f t="shared" si="146"/>
        <v>172</v>
      </c>
      <c r="H1960" s="22">
        <f t="shared" si="149"/>
        <v>1959</v>
      </c>
      <c r="I1960" s="21">
        <f t="shared" ca="1" si="147"/>
        <v>0</v>
      </c>
      <c r="J1960" s="21" t="str">
        <f ca="1">IF(I1960=0,"",COUNTIF($I$2:I1960,"&gt;0"))</f>
        <v/>
      </c>
      <c r="K1960" s="21" t="str">
        <f t="shared" ca="1" si="145"/>
        <v/>
      </c>
    </row>
    <row r="1961" spans="1:11" s="18" customFormat="1" ht="14.25" x14ac:dyDescent="0.2">
      <c r="A1961" s="18" t="str">
        <f t="shared" si="148"/>
        <v>Eintrag 1960</v>
      </c>
      <c r="B1961" s="18">
        <v>100</v>
      </c>
      <c r="C1961" s="19">
        <v>100</v>
      </c>
      <c r="D1961" s="20">
        <v>10</v>
      </c>
      <c r="E1961" s="20">
        <v>10</v>
      </c>
      <c r="F1961" s="20">
        <v>10</v>
      </c>
      <c r="G1961" s="19">
        <f t="shared" si="146"/>
        <v>172</v>
      </c>
      <c r="H1961" s="22">
        <f t="shared" si="149"/>
        <v>1960</v>
      </c>
      <c r="I1961" s="21">
        <f t="shared" ca="1" si="147"/>
        <v>0</v>
      </c>
      <c r="J1961" s="21" t="str">
        <f ca="1">IF(I1961=0,"",COUNTIF($I$2:I1961,"&gt;0"))</f>
        <v/>
      </c>
      <c r="K1961" s="21" t="str">
        <f t="shared" ca="1" si="145"/>
        <v/>
      </c>
    </row>
    <row r="1962" spans="1:11" s="18" customFormat="1" ht="14.25" x14ac:dyDescent="0.2">
      <c r="A1962" s="18" t="str">
        <f t="shared" si="148"/>
        <v>Eintrag 1961</v>
      </c>
      <c r="B1962" s="18">
        <v>100</v>
      </c>
      <c r="C1962" s="19">
        <v>100</v>
      </c>
      <c r="D1962" s="20">
        <v>10</v>
      </c>
      <c r="E1962" s="20">
        <v>10</v>
      </c>
      <c r="F1962" s="20">
        <v>10</v>
      </c>
      <c r="G1962" s="19">
        <f t="shared" si="146"/>
        <v>172</v>
      </c>
      <c r="H1962" s="22">
        <f t="shared" si="149"/>
        <v>1961</v>
      </c>
      <c r="I1962" s="21">
        <f t="shared" ca="1" si="147"/>
        <v>0</v>
      </c>
      <c r="J1962" s="21" t="str">
        <f ca="1">IF(I1962=0,"",COUNTIF($I$2:I1962,"&gt;0"))</f>
        <v/>
      </c>
      <c r="K1962" s="21" t="str">
        <f t="shared" ca="1" si="145"/>
        <v/>
      </c>
    </row>
    <row r="1963" spans="1:11" s="18" customFormat="1" ht="14.25" x14ac:dyDescent="0.2">
      <c r="A1963" s="18" t="str">
        <f t="shared" si="148"/>
        <v>Eintrag 1962</v>
      </c>
      <c r="B1963" s="18">
        <v>100</v>
      </c>
      <c r="C1963" s="19">
        <v>100</v>
      </c>
      <c r="D1963" s="20">
        <v>10</v>
      </c>
      <c r="E1963" s="20">
        <v>10</v>
      </c>
      <c r="F1963" s="20">
        <v>10</v>
      </c>
      <c r="G1963" s="19">
        <f t="shared" si="146"/>
        <v>172</v>
      </c>
      <c r="H1963" s="22">
        <f t="shared" si="149"/>
        <v>1962</v>
      </c>
      <c r="I1963" s="21">
        <f t="shared" ca="1" si="147"/>
        <v>0</v>
      </c>
      <c r="J1963" s="21" t="str">
        <f ca="1">IF(I1963=0,"",COUNTIF($I$2:I1963,"&gt;0"))</f>
        <v/>
      </c>
      <c r="K1963" s="21" t="str">
        <f t="shared" ca="1" si="145"/>
        <v/>
      </c>
    </row>
    <row r="1964" spans="1:11" s="18" customFormat="1" ht="14.25" x14ac:dyDescent="0.2">
      <c r="A1964" s="18" t="str">
        <f t="shared" si="148"/>
        <v>Eintrag 1963</v>
      </c>
      <c r="B1964" s="18">
        <v>100</v>
      </c>
      <c r="C1964" s="19">
        <v>100</v>
      </c>
      <c r="D1964" s="20">
        <v>10</v>
      </c>
      <c r="E1964" s="20">
        <v>10</v>
      </c>
      <c r="F1964" s="20">
        <v>10</v>
      </c>
      <c r="G1964" s="19">
        <f t="shared" si="146"/>
        <v>172</v>
      </c>
      <c r="H1964" s="22">
        <f t="shared" si="149"/>
        <v>1963</v>
      </c>
      <c r="I1964" s="21">
        <f t="shared" ca="1" si="147"/>
        <v>0</v>
      </c>
      <c r="J1964" s="21" t="str">
        <f ca="1">IF(I1964=0,"",COUNTIF($I$2:I1964,"&gt;0"))</f>
        <v/>
      </c>
      <c r="K1964" s="21" t="str">
        <f t="shared" ca="1" si="145"/>
        <v/>
      </c>
    </row>
    <row r="1965" spans="1:11" s="18" customFormat="1" ht="14.25" x14ac:dyDescent="0.2">
      <c r="A1965" s="18" t="str">
        <f t="shared" si="148"/>
        <v>Eintrag 1964</v>
      </c>
      <c r="B1965" s="18">
        <v>100</v>
      </c>
      <c r="C1965" s="19">
        <v>100</v>
      </c>
      <c r="D1965" s="20">
        <v>10</v>
      </c>
      <c r="E1965" s="20">
        <v>10</v>
      </c>
      <c r="F1965" s="20">
        <v>10</v>
      </c>
      <c r="G1965" s="19">
        <f t="shared" si="146"/>
        <v>172</v>
      </c>
      <c r="H1965" s="22">
        <f t="shared" si="149"/>
        <v>1964</v>
      </c>
      <c r="I1965" s="21">
        <f t="shared" ca="1" si="147"/>
        <v>0</v>
      </c>
      <c r="J1965" s="21" t="str">
        <f ca="1">IF(I1965=0,"",COUNTIF($I$2:I1965,"&gt;0"))</f>
        <v/>
      </c>
      <c r="K1965" s="21" t="str">
        <f t="shared" ca="1" si="145"/>
        <v/>
      </c>
    </row>
    <row r="1966" spans="1:11" s="18" customFormat="1" ht="14.25" x14ac:dyDescent="0.2">
      <c r="A1966" s="18" t="str">
        <f t="shared" si="148"/>
        <v>Eintrag 1965</v>
      </c>
      <c r="B1966" s="18">
        <v>100</v>
      </c>
      <c r="C1966" s="19">
        <v>100</v>
      </c>
      <c r="D1966" s="20">
        <v>10</v>
      </c>
      <c r="E1966" s="20">
        <v>10</v>
      </c>
      <c r="F1966" s="20">
        <v>10</v>
      </c>
      <c r="G1966" s="19">
        <f t="shared" si="146"/>
        <v>172</v>
      </c>
      <c r="H1966" s="22">
        <f t="shared" si="149"/>
        <v>1965</v>
      </c>
      <c r="I1966" s="21">
        <f t="shared" ca="1" si="147"/>
        <v>0</v>
      </c>
      <c r="J1966" s="21" t="str">
        <f ca="1">IF(I1966=0,"",COUNTIF($I$2:I1966,"&gt;0"))</f>
        <v/>
      </c>
      <c r="K1966" s="21" t="str">
        <f t="shared" ca="1" si="145"/>
        <v/>
      </c>
    </row>
    <row r="1967" spans="1:11" s="18" customFormat="1" ht="14.25" x14ac:dyDescent="0.2">
      <c r="A1967" s="18" t="str">
        <f t="shared" si="148"/>
        <v>Eintrag 1966</v>
      </c>
      <c r="B1967" s="18">
        <v>100</v>
      </c>
      <c r="C1967" s="19">
        <v>100</v>
      </c>
      <c r="D1967" s="20">
        <v>10</v>
      </c>
      <c r="E1967" s="20">
        <v>10</v>
      </c>
      <c r="F1967" s="20">
        <v>10</v>
      </c>
      <c r="G1967" s="19">
        <f t="shared" si="146"/>
        <v>172</v>
      </c>
      <c r="H1967" s="22">
        <f t="shared" si="149"/>
        <v>1966</v>
      </c>
      <c r="I1967" s="21">
        <f t="shared" ca="1" si="147"/>
        <v>0</v>
      </c>
      <c r="J1967" s="21" t="str">
        <f ca="1">IF(I1967=0,"",COUNTIF($I$2:I1967,"&gt;0"))</f>
        <v/>
      </c>
      <c r="K1967" s="21" t="str">
        <f t="shared" ca="1" si="145"/>
        <v/>
      </c>
    </row>
    <row r="1968" spans="1:11" s="18" customFormat="1" ht="14.25" x14ac:dyDescent="0.2">
      <c r="A1968" s="18" t="str">
        <f t="shared" si="148"/>
        <v>Eintrag 1967</v>
      </c>
      <c r="B1968" s="18">
        <v>100</v>
      </c>
      <c r="C1968" s="19">
        <v>100</v>
      </c>
      <c r="D1968" s="20">
        <v>10</v>
      </c>
      <c r="E1968" s="20">
        <v>10</v>
      </c>
      <c r="F1968" s="20">
        <v>10</v>
      </c>
      <c r="G1968" s="19">
        <f t="shared" si="146"/>
        <v>172</v>
      </c>
      <c r="H1968" s="22">
        <f t="shared" si="149"/>
        <v>1967</v>
      </c>
      <c r="I1968" s="21">
        <f t="shared" ca="1" si="147"/>
        <v>0</v>
      </c>
      <c r="J1968" s="21" t="str">
        <f ca="1">IF(I1968=0,"",COUNTIF($I$2:I1968,"&gt;0"))</f>
        <v/>
      </c>
      <c r="K1968" s="21" t="str">
        <f t="shared" ca="1" si="145"/>
        <v/>
      </c>
    </row>
    <row r="1969" spans="1:11" s="18" customFormat="1" ht="14.25" x14ac:dyDescent="0.2">
      <c r="A1969" s="18" t="str">
        <f t="shared" si="148"/>
        <v>Eintrag 1968</v>
      </c>
      <c r="B1969" s="18">
        <v>100</v>
      </c>
      <c r="C1969" s="19">
        <v>100</v>
      </c>
      <c r="D1969" s="20">
        <v>10</v>
      </c>
      <c r="E1969" s="20">
        <v>10</v>
      </c>
      <c r="F1969" s="20">
        <v>10</v>
      </c>
      <c r="G1969" s="19">
        <f t="shared" si="146"/>
        <v>172</v>
      </c>
      <c r="H1969" s="22">
        <f t="shared" si="149"/>
        <v>1968</v>
      </c>
      <c r="I1969" s="21">
        <f t="shared" ca="1" si="147"/>
        <v>0</v>
      </c>
      <c r="J1969" s="21" t="str">
        <f ca="1">IF(I1969=0,"",COUNTIF($I$2:I1969,"&gt;0"))</f>
        <v/>
      </c>
      <c r="K1969" s="21" t="str">
        <f t="shared" ca="1" si="145"/>
        <v/>
      </c>
    </row>
    <row r="1970" spans="1:11" s="18" customFormat="1" ht="14.25" x14ac:dyDescent="0.2">
      <c r="A1970" s="18" t="str">
        <f t="shared" si="148"/>
        <v>Eintrag 1969</v>
      </c>
      <c r="B1970" s="18">
        <v>100</v>
      </c>
      <c r="C1970" s="19">
        <v>100</v>
      </c>
      <c r="D1970" s="20">
        <v>10</v>
      </c>
      <c r="E1970" s="20">
        <v>10</v>
      </c>
      <c r="F1970" s="20">
        <v>10</v>
      </c>
      <c r="G1970" s="19">
        <f t="shared" si="146"/>
        <v>172</v>
      </c>
      <c r="H1970" s="22">
        <f t="shared" si="149"/>
        <v>1969</v>
      </c>
      <c r="I1970" s="21">
        <f t="shared" ca="1" si="147"/>
        <v>0</v>
      </c>
      <c r="J1970" s="21" t="str">
        <f ca="1">IF(I1970=0,"",COUNTIF($I$2:I1970,"&gt;0"))</f>
        <v/>
      </c>
      <c r="K1970" s="21" t="str">
        <f t="shared" ca="1" si="145"/>
        <v/>
      </c>
    </row>
    <row r="1971" spans="1:11" s="18" customFormat="1" ht="14.25" x14ac:dyDescent="0.2">
      <c r="A1971" s="18" t="str">
        <f t="shared" si="148"/>
        <v>Eintrag 1970</v>
      </c>
      <c r="B1971" s="18">
        <v>100</v>
      </c>
      <c r="C1971" s="19">
        <v>100</v>
      </c>
      <c r="D1971" s="20">
        <v>10</v>
      </c>
      <c r="E1971" s="20">
        <v>10</v>
      </c>
      <c r="F1971" s="20">
        <v>10</v>
      </c>
      <c r="G1971" s="19">
        <f t="shared" si="146"/>
        <v>172</v>
      </c>
      <c r="H1971" s="22">
        <f t="shared" si="149"/>
        <v>1970</v>
      </c>
      <c r="I1971" s="21">
        <f t="shared" ca="1" si="147"/>
        <v>0</v>
      </c>
      <c r="J1971" s="21" t="str">
        <f ca="1">IF(I1971=0,"",COUNTIF($I$2:I1971,"&gt;0"))</f>
        <v/>
      </c>
      <c r="K1971" s="21" t="str">
        <f t="shared" ca="1" si="145"/>
        <v/>
      </c>
    </row>
    <row r="1972" spans="1:11" s="18" customFormat="1" ht="14.25" x14ac:dyDescent="0.2">
      <c r="A1972" s="18" t="str">
        <f t="shared" si="148"/>
        <v>Eintrag 1971</v>
      </c>
      <c r="B1972" s="18">
        <v>100</v>
      </c>
      <c r="C1972" s="19">
        <v>100</v>
      </c>
      <c r="D1972" s="20">
        <v>10</v>
      </c>
      <c r="E1972" s="20">
        <v>10</v>
      </c>
      <c r="F1972" s="20">
        <v>10</v>
      </c>
      <c r="G1972" s="19">
        <f t="shared" si="146"/>
        <v>172</v>
      </c>
      <c r="H1972" s="22">
        <f t="shared" si="149"/>
        <v>1971</v>
      </c>
      <c r="I1972" s="21">
        <f t="shared" ca="1" si="147"/>
        <v>0</v>
      </c>
      <c r="J1972" s="21" t="str">
        <f ca="1">IF(I1972=0,"",COUNTIF($I$2:I1972,"&gt;0"))</f>
        <v/>
      </c>
      <c r="K1972" s="21" t="str">
        <f t="shared" ca="1" si="145"/>
        <v/>
      </c>
    </row>
    <row r="1973" spans="1:11" s="18" customFormat="1" ht="14.25" x14ac:dyDescent="0.2">
      <c r="A1973" s="18" t="str">
        <f t="shared" si="148"/>
        <v>Eintrag 1972</v>
      </c>
      <c r="B1973" s="18">
        <v>100</v>
      </c>
      <c r="C1973" s="19">
        <v>100</v>
      </c>
      <c r="D1973" s="20">
        <v>10</v>
      </c>
      <c r="E1973" s="20">
        <v>10</v>
      </c>
      <c r="F1973" s="20">
        <v>10</v>
      </c>
      <c r="G1973" s="19">
        <f t="shared" si="146"/>
        <v>172</v>
      </c>
      <c r="H1973" s="22">
        <f t="shared" si="149"/>
        <v>1972</v>
      </c>
      <c r="I1973" s="21">
        <f t="shared" ca="1" si="147"/>
        <v>0</v>
      </c>
      <c r="J1973" s="21" t="str">
        <f ca="1">IF(I1973=0,"",COUNTIF($I$2:I1973,"&gt;0"))</f>
        <v/>
      </c>
      <c r="K1973" s="21" t="str">
        <f t="shared" ca="1" si="145"/>
        <v/>
      </c>
    </row>
    <row r="1974" spans="1:11" s="18" customFormat="1" ht="14.25" x14ac:dyDescent="0.2">
      <c r="A1974" s="18" t="str">
        <f t="shared" si="148"/>
        <v>Eintrag 1973</v>
      </c>
      <c r="B1974" s="18">
        <v>100</v>
      </c>
      <c r="C1974" s="19">
        <v>100</v>
      </c>
      <c r="D1974" s="20">
        <v>10</v>
      </c>
      <c r="E1974" s="20">
        <v>10</v>
      </c>
      <c r="F1974" s="20">
        <v>10</v>
      </c>
      <c r="G1974" s="19">
        <f t="shared" si="146"/>
        <v>172</v>
      </c>
      <c r="H1974" s="22">
        <f t="shared" si="149"/>
        <v>1973</v>
      </c>
      <c r="I1974" s="21">
        <f t="shared" ca="1" si="147"/>
        <v>0</v>
      </c>
      <c r="J1974" s="21" t="str">
        <f ca="1">IF(I1974=0,"",COUNTIF($I$2:I1974,"&gt;0"))</f>
        <v/>
      </c>
      <c r="K1974" s="21" t="str">
        <f t="shared" ca="1" si="145"/>
        <v/>
      </c>
    </row>
    <row r="1975" spans="1:11" s="18" customFormat="1" ht="14.25" x14ac:dyDescent="0.2">
      <c r="A1975" s="18" t="str">
        <f t="shared" si="148"/>
        <v>Eintrag 1974</v>
      </c>
      <c r="B1975" s="18">
        <v>100</v>
      </c>
      <c r="C1975" s="19">
        <v>100</v>
      </c>
      <c r="D1975" s="20">
        <v>10</v>
      </c>
      <c r="E1975" s="20">
        <v>10</v>
      </c>
      <c r="F1975" s="20">
        <v>10</v>
      </c>
      <c r="G1975" s="19">
        <f t="shared" si="146"/>
        <v>172</v>
      </c>
      <c r="H1975" s="22">
        <f t="shared" si="149"/>
        <v>1974</v>
      </c>
      <c r="I1975" s="21">
        <f t="shared" ca="1" si="147"/>
        <v>0</v>
      </c>
      <c r="J1975" s="21" t="str">
        <f ca="1">IF(I1975=0,"",COUNTIF($I$2:I1975,"&gt;0"))</f>
        <v/>
      </c>
      <c r="K1975" s="21" t="str">
        <f t="shared" ca="1" si="145"/>
        <v/>
      </c>
    </row>
    <row r="1976" spans="1:11" s="18" customFormat="1" ht="14.25" x14ac:dyDescent="0.2">
      <c r="A1976" s="18" t="str">
        <f t="shared" si="148"/>
        <v>Eintrag 1975</v>
      </c>
      <c r="B1976" s="18">
        <v>100</v>
      </c>
      <c r="C1976" s="19">
        <v>100</v>
      </c>
      <c r="D1976" s="20">
        <v>10</v>
      </c>
      <c r="E1976" s="20">
        <v>10</v>
      </c>
      <c r="F1976" s="20">
        <v>10</v>
      </c>
      <c r="G1976" s="19">
        <f t="shared" si="146"/>
        <v>172</v>
      </c>
      <c r="H1976" s="22">
        <f t="shared" si="149"/>
        <v>1975</v>
      </c>
      <c r="I1976" s="21">
        <f t="shared" ca="1" si="147"/>
        <v>0</v>
      </c>
      <c r="J1976" s="21" t="str">
        <f ca="1">IF(I1976=0,"",COUNTIF($I$2:I1976,"&gt;0"))</f>
        <v/>
      </c>
      <c r="K1976" s="21" t="str">
        <f t="shared" ca="1" si="145"/>
        <v/>
      </c>
    </row>
    <row r="1977" spans="1:11" s="18" customFormat="1" ht="14.25" x14ac:dyDescent="0.2">
      <c r="A1977" s="18" t="str">
        <f t="shared" si="148"/>
        <v>Eintrag 1976</v>
      </c>
      <c r="B1977" s="18">
        <v>100</v>
      </c>
      <c r="C1977" s="19">
        <v>100</v>
      </c>
      <c r="D1977" s="20">
        <v>10</v>
      </c>
      <c r="E1977" s="20">
        <v>10</v>
      </c>
      <c r="F1977" s="20">
        <v>10</v>
      </c>
      <c r="G1977" s="19">
        <f t="shared" si="146"/>
        <v>172</v>
      </c>
      <c r="H1977" s="22">
        <f t="shared" si="149"/>
        <v>1976</v>
      </c>
      <c r="I1977" s="21">
        <f t="shared" ca="1" si="147"/>
        <v>0</v>
      </c>
      <c r="J1977" s="21" t="str">
        <f ca="1">IF(I1977=0,"",COUNTIF($I$2:I1977,"&gt;0"))</f>
        <v/>
      </c>
      <c r="K1977" s="21" t="str">
        <f t="shared" ca="1" si="145"/>
        <v/>
      </c>
    </row>
    <row r="1978" spans="1:11" s="18" customFormat="1" ht="14.25" x14ac:dyDescent="0.2">
      <c r="A1978" s="18" t="str">
        <f t="shared" si="148"/>
        <v>Eintrag 1977</v>
      </c>
      <c r="B1978" s="18">
        <v>100</v>
      </c>
      <c r="C1978" s="19">
        <v>100</v>
      </c>
      <c r="D1978" s="20">
        <v>10</v>
      </c>
      <c r="E1978" s="20">
        <v>10</v>
      </c>
      <c r="F1978" s="20">
        <v>10</v>
      </c>
      <c r="G1978" s="19">
        <f t="shared" si="146"/>
        <v>172</v>
      </c>
      <c r="H1978" s="22">
        <f t="shared" si="149"/>
        <v>1977</v>
      </c>
      <c r="I1978" s="21">
        <f t="shared" ca="1" si="147"/>
        <v>0</v>
      </c>
      <c r="J1978" s="21" t="str">
        <f ca="1">IF(I1978=0,"",COUNTIF($I$2:I1978,"&gt;0"))</f>
        <v/>
      </c>
      <c r="K1978" s="21" t="str">
        <f t="shared" ca="1" si="145"/>
        <v/>
      </c>
    </row>
    <row r="1979" spans="1:11" s="18" customFormat="1" ht="14.25" x14ac:dyDescent="0.2">
      <c r="A1979" s="18" t="str">
        <f t="shared" si="148"/>
        <v>Eintrag 1978</v>
      </c>
      <c r="B1979" s="18">
        <v>100</v>
      </c>
      <c r="C1979" s="19">
        <v>100</v>
      </c>
      <c r="D1979" s="20">
        <v>10</v>
      </c>
      <c r="E1979" s="20">
        <v>10</v>
      </c>
      <c r="F1979" s="20">
        <v>10</v>
      </c>
      <c r="G1979" s="19">
        <f t="shared" si="146"/>
        <v>172</v>
      </c>
      <c r="H1979" s="22">
        <f t="shared" si="149"/>
        <v>1978</v>
      </c>
      <c r="I1979" s="21">
        <f t="shared" ca="1" si="147"/>
        <v>0</v>
      </c>
      <c r="J1979" s="21" t="str">
        <f ca="1">IF(I1979=0,"",COUNTIF($I$2:I1979,"&gt;0"))</f>
        <v/>
      </c>
      <c r="K1979" s="21" t="str">
        <f t="shared" ca="1" si="145"/>
        <v/>
      </c>
    </row>
    <row r="1980" spans="1:11" s="18" customFormat="1" ht="14.25" x14ac:dyDescent="0.2">
      <c r="A1980" s="18" t="str">
        <f t="shared" si="148"/>
        <v>Eintrag 1979</v>
      </c>
      <c r="B1980" s="18">
        <v>100</v>
      </c>
      <c r="C1980" s="19">
        <v>100</v>
      </c>
      <c r="D1980" s="20">
        <v>10</v>
      </c>
      <c r="E1980" s="20">
        <v>10</v>
      </c>
      <c r="F1980" s="20">
        <v>10</v>
      </c>
      <c r="G1980" s="19">
        <f t="shared" si="146"/>
        <v>172</v>
      </c>
      <c r="H1980" s="22">
        <f t="shared" si="149"/>
        <v>1979</v>
      </c>
      <c r="I1980" s="21">
        <f t="shared" ca="1" si="147"/>
        <v>0</v>
      </c>
      <c r="J1980" s="21" t="str">
        <f ca="1">IF(I1980=0,"",COUNTIF($I$2:I1980,"&gt;0"))</f>
        <v/>
      </c>
      <c r="K1980" s="21" t="str">
        <f t="shared" ca="1" si="145"/>
        <v/>
      </c>
    </row>
    <row r="1981" spans="1:11" s="18" customFormat="1" ht="14.25" x14ac:dyDescent="0.2">
      <c r="A1981" s="18" t="str">
        <f t="shared" si="148"/>
        <v>Eintrag 1980</v>
      </c>
      <c r="B1981" s="18">
        <v>100</v>
      </c>
      <c r="C1981" s="19">
        <v>100</v>
      </c>
      <c r="D1981" s="20">
        <v>10</v>
      </c>
      <c r="E1981" s="20">
        <v>10</v>
      </c>
      <c r="F1981" s="20">
        <v>10</v>
      </c>
      <c r="G1981" s="19">
        <f t="shared" si="146"/>
        <v>172</v>
      </c>
      <c r="H1981" s="22">
        <f t="shared" si="149"/>
        <v>1980</v>
      </c>
      <c r="I1981" s="21">
        <f t="shared" ca="1" si="147"/>
        <v>0</v>
      </c>
      <c r="J1981" s="21" t="str">
        <f ca="1">IF(I1981=0,"",COUNTIF($I$2:I1981,"&gt;0"))</f>
        <v/>
      </c>
      <c r="K1981" s="21" t="str">
        <f t="shared" ca="1" si="145"/>
        <v/>
      </c>
    </row>
    <row r="1982" spans="1:11" s="18" customFormat="1" ht="14.25" x14ac:dyDescent="0.2">
      <c r="A1982" s="18" t="str">
        <f t="shared" si="148"/>
        <v>Eintrag 1981</v>
      </c>
      <c r="B1982" s="18">
        <v>100</v>
      </c>
      <c r="C1982" s="19">
        <v>100</v>
      </c>
      <c r="D1982" s="20">
        <v>10</v>
      </c>
      <c r="E1982" s="20">
        <v>10</v>
      </c>
      <c r="F1982" s="20">
        <v>10</v>
      </c>
      <c r="G1982" s="19">
        <f t="shared" si="146"/>
        <v>172</v>
      </c>
      <c r="H1982" s="22">
        <f t="shared" si="149"/>
        <v>1981</v>
      </c>
      <c r="I1982" s="21">
        <f t="shared" ca="1" si="147"/>
        <v>0</v>
      </c>
      <c r="J1982" s="21" t="str">
        <f ca="1">IF(I1982=0,"",COUNTIF($I$2:I1982,"&gt;0"))</f>
        <v/>
      </c>
      <c r="K1982" s="21" t="str">
        <f t="shared" ca="1" si="145"/>
        <v/>
      </c>
    </row>
    <row r="1983" spans="1:11" s="18" customFormat="1" ht="14.25" x14ac:dyDescent="0.2">
      <c r="A1983" s="18" t="str">
        <f t="shared" si="148"/>
        <v>Eintrag 1982</v>
      </c>
      <c r="B1983" s="18">
        <v>100</v>
      </c>
      <c r="C1983" s="19">
        <v>100</v>
      </c>
      <c r="D1983" s="20">
        <v>10</v>
      </c>
      <c r="E1983" s="20">
        <v>10</v>
      </c>
      <c r="F1983" s="20">
        <v>10</v>
      </c>
      <c r="G1983" s="19">
        <f t="shared" si="146"/>
        <v>172</v>
      </c>
      <c r="H1983" s="22">
        <f t="shared" si="149"/>
        <v>1982</v>
      </c>
      <c r="I1983" s="21">
        <f t="shared" ca="1" si="147"/>
        <v>0</v>
      </c>
      <c r="J1983" s="21" t="str">
        <f ca="1">IF(I1983=0,"",COUNTIF($I$2:I1983,"&gt;0"))</f>
        <v/>
      </c>
      <c r="K1983" s="21" t="str">
        <f t="shared" ca="1" si="145"/>
        <v/>
      </c>
    </row>
    <row r="1984" spans="1:11" s="18" customFormat="1" ht="14.25" x14ac:dyDescent="0.2">
      <c r="A1984" s="18" t="str">
        <f t="shared" si="148"/>
        <v>Eintrag 1983</v>
      </c>
      <c r="B1984" s="18">
        <v>100</v>
      </c>
      <c r="C1984" s="19">
        <v>100</v>
      </c>
      <c r="D1984" s="20">
        <v>10</v>
      </c>
      <c r="E1984" s="20">
        <v>10</v>
      </c>
      <c r="F1984" s="20">
        <v>10</v>
      </c>
      <c r="G1984" s="19">
        <f t="shared" si="146"/>
        <v>172</v>
      </c>
      <c r="H1984" s="22">
        <f t="shared" si="149"/>
        <v>1983</v>
      </c>
      <c r="I1984" s="21">
        <f t="shared" ca="1" si="147"/>
        <v>0</v>
      </c>
      <c r="J1984" s="21" t="str">
        <f ca="1">IF(I1984=0,"",COUNTIF($I$2:I1984,"&gt;0"))</f>
        <v/>
      </c>
      <c r="K1984" s="21" t="str">
        <f t="shared" ca="1" si="145"/>
        <v/>
      </c>
    </row>
    <row r="1985" spans="1:11" s="18" customFormat="1" ht="14.25" x14ac:dyDescent="0.2">
      <c r="A1985" s="18" t="str">
        <f t="shared" si="148"/>
        <v>Eintrag 1984</v>
      </c>
      <c r="B1985" s="18">
        <v>100</v>
      </c>
      <c r="C1985" s="19">
        <v>100</v>
      </c>
      <c r="D1985" s="20">
        <v>10</v>
      </c>
      <c r="E1985" s="20">
        <v>10</v>
      </c>
      <c r="F1985" s="20">
        <v>10</v>
      </c>
      <c r="G1985" s="19">
        <f t="shared" si="146"/>
        <v>172</v>
      </c>
      <c r="H1985" s="22">
        <f t="shared" si="149"/>
        <v>1984</v>
      </c>
      <c r="I1985" s="21">
        <f t="shared" ca="1" si="147"/>
        <v>0</v>
      </c>
      <c r="J1985" s="21" t="str">
        <f ca="1">IF(I1985=0,"",COUNTIF($I$2:I1985,"&gt;0"))</f>
        <v/>
      </c>
      <c r="K1985" s="21" t="str">
        <f t="shared" ca="1" si="145"/>
        <v/>
      </c>
    </row>
    <row r="1986" spans="1:11" s="18" customFormat="1" ht="14.25" x14ac:dyDescent="0.2">
      <c r="A1986" s="18" t="str">
        <f t="shared" si="148"/>
        <v>Eintrag 1985</v>
      </c>
      <c r="B1986" s="18">
        <v>100</v>
      </c>
      <c r="C1986" s="19">
        <v>100</v>
      </c>
      <c r="D1986" s="20">
        <v>10</v>
      </c>
      <c r="E1986" s="20">
        <v>10</v>
      </c>
      <c r="F1986" s="20">
        <v>10</v>
      </c>
      <c r="G1986" s="19">
        <f t="shared" si="146"/>
        <v>172</v>
      </c>
      <c r="H1986" s="22">
        <f t="shared" si="149"/>
        <v>1985</v>
      </c>
      <c r="I1986" s="21">
        <f t="shared" ca="1" si="147"/>
        <v>0</v>
      </c>
      <c r="J1986" s="21" t="str">
        <f ca="1">IF(I1986=0,"",COUNTIF($I$2:I1986,"&gt;0"))</f>
        <v/>
      </c>
      <c r="K1986" s="21" t="str">
        <f t="shared" ref="K1986:K2049" ca="1" si="150">IFERROR(INDEX(A:A,MATCH(ROW(I1985),J:J,0)),"")</f>
        <v/>
      </c>
    </row>
    <row r="1987" spans="1:11" s="18" customFormat="1" ht="14.25" x14ac:dyDescent="0.2">
      <c r="A1987" s="18" t="str">
        <f t="shared" si="148"/>
        <v>Eintrag 1986</v>
      </c>
      <c r="B1987" s="18">
        <v>100</v>
      </c>
      <c r="C1987" s="19">
        <v>100</v>
      </c>
      <c r="D1987" s="20">
        <v>10</v>
      </c>
      <c r="E1987" s="20">
        <v>10</v>
      </c>
      <c r="F1987" s="20">
        <v>10</v>
      </c>
      <c r="G1987" s="19">
        <f t="shared" ref="G1987:G2050" si="151">D1987*9+E1987*4.1+F1987*4.1</f>
        <v>172</v>
      </c>
      <c r="H1987" s="22">
        <f t="shared" si="149"/>
        <v>1986</v>
      </c>
      <c r="I1987" s="21">
        <f t="shared" ca="1" si="147"/>
        <v>0</v>
      </c>
      <c r="J1987" s="21" t="str">
        <f ca="1">IF(I1987=0,"",COUNTIF($I$2:I1987,"&gt;0"))</f>
        <v/>
      </c>
      <c r="K1987" s="21" t="str">
        <f t="shared" ca="1" si="150"/>
        <v/>
      </c>
    </row>
    <row r="1988" spans="1:11" s="18" customFormat="1" ht="14.25" x14ac:dyDescent="0.2">
      <c r="A1988" s="18" t="str">
        <f t="shared" si="148"/>
        <v>Eintrag 1987</v>
      </c>
      <c r="B1988" s="18">
        <v>100</v>
      </c>
      <c r="C1988" s="19">
        <v>100</v>
      </c>
      <c r="D1988" s="20">
        <v>10</v>
      </c>
      <c r="E1988" s="20">
        <v>10</v>
      </c>
      <c r="F1988" s="20">
        <v>10</v>
      </c>
      <c r="G1988" s="19">
        <f t="shared" si="151"/>
        <v>172</v>
      </c>
      <c r="H1988" s="22">
        <f t="shared" si="149"/>
        <v>1987</v>
      </c>
      <c r="I1988" s="21">
        <f t="shared" ca="1" si="147"/>
        <v>0</v>
      </c>
      <c r="J1988" s="21" t="str">
        <f ca="1">IF(I1988=0,"",COUNTIF($I$2:I1988,"&gt;0"))</f>
        <v/>
      </c>
      <c r="K1988" s="21" t="str">
        <f t="shared" ca="1" si="150"/>
        <v/>
      </c>
    </row>
    <row r="1989" spans="1:11" s="18" customFormat="1" ht="14.25" x14ac:dyDescent="0.2">
      <c r="A1989" s="18" t="str">
        <f t="shared" si="148"/>
        <v>Eintrag 1988</v>
      </c>
      <c r="B1989" s="18">
        <v>100</v>
      </c>
      <c r="C1989" s="19">
        <v>100</v>
      </c>
      <c r="D1989" s="20">
        <v>10</v>
      </c>
      <c r="E1989" s="20">
        <v>10</v>
      </c>
      <c r="F1989" s="20">
        <v>10</v>
      </c>
      <c r="G1989" s="19">
        <f t="shared" si="151"/>
        <v>172</v>
      </c>
      <c r="H1989" s="22">
        <f t="shared" si="149"/>
        <v>1988</v>
      </c>
      <c r="I1989" s="21">
        <f t="shared" ca="1" si="147"/>
        <v>0</v>
      </c>
      <c r="J1989" s="21" t="str">
        <f ca="1">IF(I1989=0,"",COUNTIF($I$2:I1989,"&gt;0"))</f>
        <v/>
      </c>
      <c r="K1989" s="21" t="str">
        <f t="shared" ca="1" si="150"/>
        <v/>
      </c>
    </row>
    <row r="1990" spans="1:11" s="18" customFormat="1" ht="14.25" x14ac:dyDescent="0.2">
      <c r="A1990" s="18" t="str">
        <f t="shared" si="148"/>
        <v>Eintrag 1989</v>
      </c>
      <c r="B1990" s="18">
        <v>100</v>
      </c>
      <c r="C1990" s="19">
        <v>100</v>
      </c>
      <c r="D1990" s="20">
        <v>10</v>
      </c>
      <c r="E1990" s="20">
        <v>10</v>
      </c>
      <c r="F1990" s="20">
        <v>10</v>
      </c>
      <c r="G1990" s="19">
        <f t="shared" si="151"/>
        <v>172</v>
      </c>
      <c r="H1990" s="22">
        <f t="shared" si="149"/>
        <v>1989</v>
      </c>
      <c r="I1990" s="21">
        <f t="shared" ca="1" si="147"/>
        <v>0</v>
      </c>
      <c r="J1990" s="21" t="str">
        <f ca="1">IF(I1990=0,"",COUNTIF($I$2:I1990,"&gt;0"))</f>
        <v/>
      </c>
      <c r="K1990" s="21" t="str">
        <f t="shared" ca="1" si="150"/>
        <v/>
      </c>
    </row>
    <row r="1991" spans="1:11" s="18" customFormat="1" ht="14.25" x14ac:dyDescent="0.2">
      <c r="A1991" s="18" t="str">
        <f t="shared" si="148"/>
        <v>Eintrag 1990</v>
      </c>
      <c r="B1991" s="18">
        <v>100</v>
      </c>
      <c r="C1991" s="19">
        <v>100</v>
      </c>
      <c r="D1991" s="20">
        <v>10</v>
      </c>
      <c r="E1991" s="20">
        <v>10</v>
      </c>
      <c r="F1991" s="20">
        <v>10</v>
      </c>
      <c r="G1991" s="19">
        <f t="shared" si="151"/>
        <v>172</v>
      </c>
      <c r="H1991" s="22">
        <f t="shared" si="149"/>
        <v>1990</v>
      </c>
      <c r="I1991" s="21">
        <f t="shared" ca="1" si="147"/>
        <v>0</v>
      </c>
      <c r="J1991" s="21" t="str">
        <f ca="1">IF(I1991=0,"",COUNTIF($I$2:I1991,"&gt;0"))</f>
        <v/>
      </c>
      <c r="K1991" s="21" t="str">
        <f t="shared" ca="1" si="150"/>
        <v/>
      </c>
    </row>
    <row r="1992" spans="1:11" s="18" customFormat="1" ht="14.25" x14ac:dyDescent="0.2">
      <c r="A1992" s="18" t="str">
        <f t="shared" si="148"/>
        <v>Eintrag 1991</v>
      </c>
      <c r="B1992" s="18">
        <v>100</v>
      </c>
      <c r="C1992" s="19">
        <v>100</v>
      </c>
      <c r="D1992" s="20">
        <v>10</v>
      </c>
      <c r="E1992" s="20">
        <v>10</v>
      </c>
      <c r="F1992" s="20">
        <v>10</v>
      </c>
      <c r="G1992" s="19">
        <f t="shared" si="151"/>
        <v>172</v>
      </c>
      <c r="H1992" s="22">
        <f t="shared" si="149"/>
        <v>1991</v>
      </c>
      <c r="I1992" s="21">
        <f t="shared" ca="1" si="147"/>
        <v>0</v>
      </c>
      <c r="J1992" s="21" t="str">
        <f ca="1">IF(I1992=0,"",COUNTIF($I$2:I1992,"&gt;0"))</f>
        <v/>
      </c>
      <c r="K1992" s="21" t="str">
        <f t="shared" ca="1" si="150"/>
        <v/>
      </c>
    </row>
    <row r="1993" spans="1:11" s="18" customFormat="1" ht="14.25" x14ac:dyDescent="0.2">
      <c r="A1993" s="18" t="str">
        <f t="shared" si="148"/>
        <v>Eintrag 1992</v>
      </c>
      <c r="B1993" s="18">
        <v>100</v>
      </c>
      <c r="C1993" s="19">
        <v>100</v>
      </c>
      <c r="D1993" s="20">
        <v>10</v>
      </c>
      <c r="E1993" s="20">
        <v>10</v>
      </c>
      <c r="F1993" s="20">
        <v>10</v>
      </c>
      <c r="G1993" s="19">
        <f t="shared" si="151"/>
        <v>172</v>
      </c>
      <c r="H1993" s="22">
        <f t="shared" si="149"/>
        <v>1992</v>
      </c>
      <c r="I1993" s="21">
        <f t="shared" ca="1" si="147"/>
        <v>0</v>
      </c>
      <c r="J1993" s="21" t="str">
        <f ca="1">IF(I1993=0,"",COUNTIF($I$2:I1993,"&gt;0"))</f>
        <v/>
      </c>
      <c r="K1993" s="21" t="str">
        <f t="shared" ca="1" si="150"/>
        <v/>
      </c>
    </row>
    <row r="1994" spans="1:11" s="18" customFormat="1" ht="14.25" x14ac:dyDescent="0.2">
      <c r="A1994" s="18" t="str">
        <f t="shared" si="148"/>
        <v>Eintrag 1993</v>
      </c>
      <c r="B1994" s="18">
        <v>100</v>
      </c>
      <c r="C1994" s="19">
        <v>100</v>
      </c>
      <c r="D1994" s="20">
        <v>10</v>
      </c>
      <c r="E1994" s="20">
        <v>10</v>
      </c>
      <c r="F1994" s="20">
        <v>10</v>
      </c>
      <c r="G1994" s="19">
        <f t="shared" si="151"/>
        <v>172</v>
      </c>
      <c r="H1994" s="22">
        <f t="shared" si="149"/>
        <v>1993</v>
      </c>
      <c r="I1994" s="21">
        <f t="shared" ca="1" si="147"/>
        <v>0</v>
      </c>
      <c r="J1994" s="21" t="str">
        <f ca="1">IF(I1994=0,"",COUNTIF($I$2:I1994,"&gt;0"))</f>
        <v/>
      </c>
      <c r="K1994" s="21" t="str">
        <f t="shared" ca="1" si="150"/>
        <v/>
      </c>
    </row>
    <row r="1995" spans="1:11" s="18" customFormat="1" ht="14.25" x14ac:dyDescent="0.2">
      <c r="A1995" s="18" t="str">
        <f t="shared" si="148"/>
        <v>Eintrag 1994</v>
      </c>
      <c r="B1995" s="18">
        <v>100</v>
      </c>
      <c r="C1995" s="19">
        <v>100</v>
      </c>
      <c r="D1995" s="20">
        <v>10</v>
      </c>
      <c r="E1995" s="20">
        <v>10</v>
      </c>
      <c r="F1995" s="20">
        <v>10</v>
      </c>
      <c r="G1995" s="19">
        <f t="shared" si="151"/>
        <v>172</v>
      </c>
      <c r="H1995" s="22">
        <f t="shared" si="149"/>
        <v>1994</v>
      </c>
      <c r="I1995" s="21">
        <f t="shared" ca="1" si="147"/>
        <v>0</v>
      </c>
      <c r="J1995" s="21" t="str">
        <f ca="1">IF(I1995=0,"",COUNTIF($I$2:I1995,"&gt;0"))</f>
        <v/>
      </c>
      <c r="K1995" s="21" t="str">
        <f t="shared" ca="1" si="150"/>
        <v/>
      </c>
    </row>
    <row r="1996" spans="1:11" s="18" customFormat="1" ht="14.25" x14ac:dyDescent="0.2">
      <c r="A1996" s="18" t="str">
        <f t="shared" si="148"/>
        <v>Eintrag 1995</v>
      </c>
      <c r="B1996" s="18">
        <v>100</v>
      </c>
      <c r="C1996" s="19">
        <v>100</v>
      </c>
      <c r="D1996" s="20">
        <v>10</v>
      </c>
      <c r="E1996" s="20">
        <v>10</v>
      </c>
      <c r="F1996" s="20">
        <v>10</v>
      </c>
      <c r="G1996" s="19">
        <f t="shared" si="151"/>
        <v>172</v>
      </c>
      <c r="H1996" s="22">
        <f t="shared" si="149"/>
        <v>1995</v>
      </c>
      <c r="I1996" s="21">
        <f t="shared" ca="1" si="147"/>
        <v>0</v>
      </c>
      <c r="J1996" s="21" t="str">
        <f ca="1">IF(I1996=0,"",COUNTIF($I$2:I1996,"&gt;0"))</f>
        <v/>
      </c>
      <c r="K1996" s="21" t="str">
        <f t="shared" ca="1" si="150"/>
        <v/>
      </c>
    </row>
    <row r="1997" spans="1:11" s="18" customFormat="1" ht="14.25" x14ac:dyDescent="0.2">
      <c r="A1997" s="18" t="str">
        <f t="shared" si="148"/>
        <v>Eintrag 1996</v>
      </c>
      <c r="B1997" s="18">
        <v>100</v>
      </c>
      <c r="C1997" s="19">
        <v>100</v>
      </c>
      <c r="D1997" s="20">
        <v>10</v>
      </c>
      <c r="E1997" s="20">
        <v>10</v>
      </c>
      <c r="F1997" s="20">
        <v>10</v>
      </c>
      <c r="G1997" s="19">
        <f t="shared" si="151"/>
        <v>172</v>
      </c>
      <c r="H1997" s="22">
        <f t="shared" si="149"/>
        <v>1996</v>
      </c>
      <c r="I1997" s="21">
        <f t="shared" ca="1" si="147"/>
        <v>0</v>
      </c>
      <c r="J1997" s="21" t="str">
        <f ca="1">IF(I1997=0,"",COUNTIF($I$2:I1997,"&gt;0"))</f>
        <v/>
      </c>
      <c r="K1997" s="21" t="str">
        <f t="shared" ca="1" si="150"/>
        <v/>
      </c>
    </row>
    <row r="1998" spans="1:11" s="18" customFormat="1" ht="14.25" x14ac:dyDescent="0.2">
      <c r="A1998" s="18" t="str">
        <f t="shared" si="148"/>
        <v>Eintrag 1997</v>
      </c>
      <c r="B1998" s="18">
        <v>100</v>
      </c>
      <c r="C1998" s="19">
        <v>100</v>
      </c>
      <c r="D1998" s="20">
        <v>10</v>
      </c>
      <c r="E1998" s="20">
        <v>10</v>
      </c>
      <c r="F1998" s="20">
        <v>10</v>
      </c>
      <c r="G1998" s="19">
        <f t="shared" si="151"/>
        <v>172</v>
      </c>
      <c r="H1998" s="22">
        <f t="shared" si="149"/>
        <v>1997</v>
      </c>
      <c r="I1998" s="21">
        <f t="shared" ca="1" si="147"/>
        <v>0</v>
      </c>
      <c r="J1998" s="21" t="str">
        <f ca="1">IF(I1998=0,"",COUNTIF($I$2:I1998,"&gt;0"))</f>
        <v/>
      </c>
      <c r="K1998" s="21" t="str">
        <f t="shared" ca="1" si="150"/>
        <v/>
      </c>
    </row>
    <row r="1999" spans="1:11" s="18" customFormat="1" ht="14.25" x14ac:dyDescent="0.2">
      <c r="A1999" s="18" t="str">
        <f t="shared" si="148"/>
        <v>Eintrag 1998</v>
      </c>
      <c r="B1999" s="18">
        <v>100</v>
      </c>
      <c r="C1999" s="19">
        <v>100</v>
      </c>
      <c r="D1999" s="20">
        <v>10</v>
      </c>
      <c r="E1999" s="20">
        <v>10</v>
      </c>
      <c r="F1999" s="20">
        <v>10</v>
      </c>
      <c r="G1999" s="19">
        <f t="shared" si="151"/>
        <v>172</v>
      </c>
      <c r="H1999" s="22">
        <f t="shared" si="149"/>
        <v>1998</v>
      </c>
      <c r="I1999" s="21">
        <f t="shared" ca="1" si="147"/>
        <v>0</v>
      </c>
      <c r="J1999" s="21" t="str">
        <f ca="1">IF(I1999=0,"",COUNTIF($I$2:I1999,"&gt;0"))</f>
        <v/>
      </c>
      <c r="K1999" s="21" t="str">
        <f t="shared" ca="1" si="150"/>
        <v/>
      </c>
    </row>
    <row r="2000" spans="1:11" s="18" customFormat="1" ht="14.25" x14ac:dyDescent="0.2">
      <c r="A2000" s="18" t="str">
        <f t="shared" si="148"/>
        <v>Eintrag 1999</v>
      </c>
      <c r="B2000" s="18">
        <v>100</v>
      </c>
      <c r="C2000" s="19">
        <v>100</v>
      </c>
      <c r="D2000" s="20">
        <v>10</v>
      </c>
      <c r="E2000" s="20">
        <v>10</v>
      </c>
      <c r="F2000" s="20">
        <v>10</v>
      </c>
      <c r="G2000" s="19">
        <f t="shared" si="151"/>
        <v>172</v>
      </c>
      <c r="H2000" s="22">
        <f t="shared" si="149"/>
        <v>1999</v>
      </c>
      <c r="I2000" s="21">
        <f t="shared" ca="1" si="147"/>
        <v>0</v>
      </c>
      <c r="J2000" s="21" t="str">
        <f ca="1">IF(I2000=0,"",COUNTIF($I$2:I2000,"&gt;0"))</f>
        <v/>
      </c>
      <c r="K2000" s="21" t="str">
        <f t="shared" ca="1" si="150"/>
        <v/>
      </c>
    </row>
    <row r="2001" spans="1:11" s="18" customFormat="1" ht="14.25" x14ac:dyDescent="0.2">
      <c r="A2001" s="18" t="str">
        <f t="shared" si="148"/>
        <v>Eintrag 2000</v>
      </c>
      <c r="B2001" s="18">
        <v>100</v>
      </c>
      <c r="C2001" s="19">
        <v>100</v>
      </c>
      <c r="D2001" s="20">
        <v>10</v>
      </c>
      <c r="E2001" s="20">
        <v>10</v>
      </c>
      <c r="F2001" s="20">
        <v>10</v>
      </c>
      <c r="G2001" s="19">
        <f t="shared" si="151"/>
        <v>172</v>
      </c>
      <c r="H2001" s="22">
        <f t="shared" si="149"/>
        <v>2000</v>
      </c>
      <c r="I2001" s="21">
        <f t="shared" ca="1" si="147"/>
        <v>0</v>
      </c>
      <c r="J2001" s="21" t="str">
        <f ca="1">IF(I2001=0,"",COUNTIF($I$2:I2001,"&gt;0"))</f>
        <v/>
      </c>
      <c r="K2001" s="21" t="str">
        <f t="shared" ca="1" si="150"/>
        <v/>
      </c>
    </row>
    <row r="2002" spans="1:11" s="18" customFormat="1" ht="14.25" x14ac:dyDescent="0.2">
      <c r="A2002" s="18" t="str">
        <f t="shared" si="148"/>
        <v>Eintrag 2001</v>
      </c>
      <c r="B2002" s="18">
        <v>100</v>
      </c>
      <c r="C2002" s="19">
        <v>100</v>
      </c>
      <c r="D2002" s="20">
        <v>10</v>
      </c>
      <c r="E2002" s="20">
        <v>10</v>
      </c>
      <c r="F2002" s="20">
        <v>10</v>
      </c>
      <c r="G2002" s="19">
        <f t="shared" si="151"/>
        <v>172</v>
      </c>
      <c r="H2002" s="22">
        <f t="shared" si="149"/>
        <v>2001</v>
      </c>
      <c r="I2002" s="21">
        <f t="shared" ca="1" si="147"/>
        <v>0</v>
      </c>
      <c r="J2002" s="21" t="str">
        <f ca="1">IF(I2002=0,"",COUNTIF($I$2:I2002,"&gt;0"))</f>
        <v/>
      </c>
      <c r="K2002" s="21" t="str">
        <f t="shared" ca="1" si="150"/>
        <v/>
      </c>
    </row>
    <row r="2003" spans="1:11" s="18" customFormat="1" ht="14.25" x14ac:dyDescent="0.2">
      <c r="A2003" s="18" t="str">
        <f t="shared" si="148"/>
        <v>Eintrag 2002</v>
      </c>
      <c r="B2003" s="18">
        <v>100</v>
      </c>
      <c r="C2003" s="19">
        <v>100</v>
      </c>
      <c r="D2003" s="20">
        <v>10</v>
      </c>
      <c r="E2003" s="20">
        <v>10</v>
      </c>
      <c r="F2003" s="20">
        <v>10</v>
      </c>
      <c r="G2003" s="19">
        <f t="shared" si="151"/>
        <v>172</v>
      </c>
      <c r="H2003" s="22">
        <f t="shared" si="149"/>
        <v>2002</v>
      </c>
      <c r="I2003" s="21">
        <f t="shared" ca="1" si="147"/>
        <v>0</v>
      </c>
      <c r="J2003" s="21" t="str">
        <f ca="1">IF(I2003=0,"",COUNTIF($I$2:I2003,"&gt;0"))</f>
        <v/>
      </c>
      <c r="K2003" s="21" t="str">
        <f t="shared" ca="1" si="150"/>
        <v/>
      </c>
    </row>
    <row r="2004" spans="1:11" s="18" customFormat="1" ht="14.25" x14ac:dyDescent="0.2">
      <c r="A2004" s="18" t="str">
        <f t="shared" si="148"/>
        <v>Eintrag 2003</v>
      </c>
      <c r="B2004" s="18">
        <v>100</v>
      </c>
      <c r="C2004" s="19">
        <v>100</v>
      </c>
      <c r="D2004" s="20">
        <v>10</v>
      </c>
      <c r="E2004" s="20">
        <v>10</v>
      </c>
      <c r="F2004" s="20">
        <v>10</v>
      </c>
      <c r="G2004" s="19">
        <f t="shared" si="151"/>
        <v>172</v>
      </c>
      <c r="H2004" s="22">
        <f t="shared" si="149"/>
        <v>2003</v>
      </c>
      <c r="I2004" s="21">
        <f t="shared" ca="1" si="147"/>
        <v>0</v>
      </c>
      <c r="J2004" s="21" t="str">
        <f ca="1">IF(I2004=0,"",COUNTIF($I$2:I2004,"&gt;0"))</f>
        <v/>
      </c>
      <c r="K2004" s="21" t="str">
        <f t="shared" ca="1" si="150"/>
        <v/>
      </c>
    </row>
    <row r="2005" spans="1:11" s="18" customFormat="1" ht="14.25" x14ac:dyDescent="0.2">
      <c r="A2005" s="18" t="str">
        <f t="shared" si="148"/>
        <v>Eintrag 2004</v>
      </c>
      <c r="B2005" s="18">
        <v>100</v>
      </c>
      <c r="C2005" s="19">
        <v>100</v>
      </c>
      <c r="D2005" s="20">
        <v>10</v>
      </c>
      <c r="E2005" s="20">
        <v>10</v>
      </c>
      <c r="F2005" s="20">
        <v>10</v>
      </c>
      <c r="G2005" s="19">
        <f t="shared" si="151"/>
        <v>172</v>
      </c>
      <c r="H2005" s="22">
        <f t="shared" si="149"/>
        <v>2004</v>
      </c>
      <c r="I2005" s="21">
        <f t="shared" ca="1" si="147"/>
        <v>0</v>
      </c>
      <c r="J2005" s="21" t="str">
        <f ca="1">IF(I2005=0,"",COUNTIF($I$2:I2005,"&gt;0"))</f>
        <v/>
      </c>
      <c r="K2005" s="21" t="str">
        <f t="shared" ca="1" si="150"/>
        <v/>
      </c>
    </row>
    <row r="2006" spans="1:11" s="18" customFormat="1" ht="14.25" x14ac:dyDescent="0.2">
      <c r="A2006" s="18" t="str">
        <f t="shared" si="148"/>
        <v>Eintrag 2005</v>
      </c>
      <c r="B2006" s="18">
        <v>100</v>
      </c>
      <c r="C2006" s="19">
        <v>100</v>
      </c>
      <c r="D2006" s="20">
        <v>10</v>
      </c>
      <c r="E2006" s="20">
        <v>10</v>
      </c>
      <c r="F2006" s="20">
        <v>10</v>
      </c>
      <c r="G2006" s="19">
        <f t="shared" si="151"/>
        <v>172</v>
      </c>
      <c r="H2006" s="22">
        <f t="shared" si="149"/>
        <v>2005</v>
      </c>
      <c r="I2006" s="21">
        <f t="shared" ca="1" si="147"/>
        <v>0</v>
      </c>
      <c r="J2006" s="21" t="str">
        <f ca="1">IF(I2006=0,"",COUNTIF($I$2:I2006,"&gt;0"))</f>
        <v/>
      </c>
      <c r="K2006" s="21" t="str">
        <f t="shared" ca="1" si="150"/>
        <v/>
      </c>
    </row>
    <row r="2007" spans="1:11" s="18" customFormat="1" ht="14.25" x14ac:dyDescent="0.2">
      <c r="A2007" s="18" t="str">
        <f t="shared" si="148"/>
        <v>Eintrag 2006</v>
      </c>
      <c r="B2007" s="18">
        <v>100</v>
      </c>
      <c r="C2007" s="19">
        <v>100</v>
      </c>
      <c r="D2007" s="20">
        <v>10</v>
      </c>
      <c r="E2007" s="20">
        <v>10</v>
      </c>
      <c r="F2007" s="20">
        <v>10</v>
      </c>
      <c r="G2007" s="19">
        <f t="shared" si="151"/>
        <v>172</v>
      </c>
      <c r="H2007" s="22">
        <f t="shared" si="149"/>
        <v>2006</v>
      </c>
      <c r="I2007" s="21">
        <f t="shared" ref="I2007:I2070" ca="1" si="152">IFERROR(SEARCH(INDIRECT(CELL("address")),A2007),0)</f>
        <v>0</v>
      </c>
      <c r="J2007" s="21" t="str">
        <f ca="1">IF(I2007=0,"",COUNTIF($I$2:I2007,"&gt;0"))</f>
        <v/>
      </c>
      <c r="K2007" s="21" t="str">
        <f t="shared" ca="1" si="150"/>
        <v/>
      </c>
    </row>
    <row r="2008" spans="1:11" s="18" customFormat="1" ht="14.25" x14ac:dyDescent="0.2">
      <c r="A2008" s="18" t="str">
        <f t="shared" si="148"/>
        <v>Eintrag 2007</v>
      </c>
      <c r="B2008" s="18">
        <v>100</v>
      </c>
      <c r="C2008" s="19">
        <v>100</v>
      </c>
      <c r="D2008" s="20">
        <v>10</v>
      </c>
      <c r="E2008" s="20">
        <v>10</v>
      </c>
      <c r="F2008" s="20">
        <v>10</v>
      </c>
      <c r="G2008" s="19">
        <f t="shared" si="151"/>
        <v>172</v>
      </c>
      <c r="H2008" s="22">
        <f t="shared" si="149"/>
        <v>2007</v>
      </c>
      <c r="I2008" s="21">
        <f t="shared" ca="1" si="152"/>
        <v>0</v>
      </c>
      <c r="J2008" s="21" t="str">
        <f ca="1">IF(I2008=0,"",COUNTIF($I$2:I2008,"&gt;0"))</f>
        <v/>
      </c>
      <c r="K2008" s="21" t="str">
        <f t="shared" ca="1" si="150"/>
        <v/>
      </c>
    </row>
    <row r="2009" spans="1:11" s="18" customFormat="1" ht="14.25" x14ac:dyDescent="0.2">
      <c r="A2009" s="18" t="str">
        <f t="shared" si="148"/>
        <v>Eintrag 2008</v>
      </c>
      <c r="B2009" s="18">
        <v>100</v>
      </c>
      <c r="C2009" s="19">
        <v>100</v>
      </c>
      <c r="D2009" s="20">
        <v>10</v>
      </c>
      <c r="E2009" s="20">
        <v>10</v>
      </c>
      <c r="F2009" s="20">
        <v>10</v>
      </c>
      <c r="G2009" s="19">
        <f t="shared" si="151"/>
        <v>172</v>
      </c>
      <c r="H2009" s="22">
        <f t="shared" si="149"/>
        <v>2008</v>
      </c>
      <c r="I2009" s="21">
        <f t="shared" ca="1" si="152"/>
        <v>0</v>
      </c>
      <c r="J2009" s="21" t="str">
        <f ca="1">IF(I2009=0,"",COUNTIF($I$2:I2009,"&gt;0"))</f>
        <v/>
      </c>
      <c r="K2009" s="21" t="str">
        <f t="shared" ca="1" si="150"/>
        <v/>
      </c>
    </row>
    <row r="2010" spans="1:11" s="18" customFormat="1" ht="14.25" x14ac:dyDescent="0.2">
      <c r="A2010" s="18" t="str">
        <f t="shared" si="148"/>
        <v>Eintrag 2009</v>
      </c>
      <c r="B2010" s="18">
        <v>100</v>
      </c>
      <c r="C2010" s="19">
        <v>100</v>
      </c>
      <c r="D2010" s="20">
        <v>10</v>
      </c>
      <c r="E2010" s="20">
        <v>10</v>
      </c>
      <c r="F2010" s="20">
        <v>10</v>
      </c>
      <c r="G2010" s="19">
        <f t="shared" si="151"/>
        <v>172</v>
      </c>
      <c r="H2010" s="22">
        <f t="shared" si="149"/>
        <v>2009</v>
      </c>
      <c r="I2010" s="21">
        <f t="shared" ca="1" si="152"/>
        <v>0</v>
      </c>
      <c r="J2010" s="21" t="str">
        <f ca="1">IF(I2010=0,"",COUNTIF($I$2:I2010,"&gt;0"))</f>
        <v/>
      </c>
      <c r="K2010" s="21" t="str">
        <f t="shared" ca="1" si="150"/>
        <v/>
      </c>
    </row>
    <row r="2011" spans="1:11" s="18" customFormat="1" ht="14.25" x14ac:dyDescent="0.2">
      <c r="A2011" s="18" t="str">
        <f t="shared" si="148"/>
        <v>Eintrag 2010</v>
      </c>
      <c r="B2011" s="18">
        <v>100</v>
      </c>
      <c r="C2011" s="19">
        <v>100</v>
      </c>
      <c r="D2011" s="20">
        <v>10</v>
      </c>
      <c r="E2011" s="20">
        <v>10</v>
      </c>
      <c r="F2011" s="20">
        <v>10</v>
      </c>
      <c r="G2011" s="19">
        <f t="shared" si="151"/>
        <v>172</v>
      </c>
      <c r="H2011" s="22">
        <f t="shared" si="149"/>
        <v>2010</v>
      </c>
      <c r="I2011" s="21">
        <f t="shared" ca="1" si="152"/>
        <v>0</v>
      </c>
      <c r="J2011" s="21" t="str">
        <f ca="1">IF(I2011=0,"",COUNTIF($I$2:I2011,"&gt;0"))</f>
        <v/>
      </c>
      <c r="K2011" s="21" t="str">
        <f t="shared" ca="1" si="150"/>
        <v/>
      </c>
    </row>
    <row r="2012" spans="1:11" s="18" customFormat="1" ht="14.25" x14ac:dyDescent="0.2">
      <c r="A2012" s="18" t="str">
        <f t="shared" si="148"/>
        <v>Eintrag 2011</v>
      </c>
      <c r="B2012" s="18">
        <v>100</v>
      </c>
      <c r="C2012" s="19">
        <v>100</v>
      </c>
      <c r="D2012" s="20">
        <v>10</v>
      </c>
      <c r="E2012" s="20">
        <v>10</v>
      </c>
      <c r="F2012" s="20">
        <v>10</v>
      </c>
      <c r="G2012" s="19">
        <f t="shared" si="151"/>
        <v>172</v>
      </c>
      <c r="H2012" s="22">
        <f t="shared" si="149"/>
        <v>2011</v>
      </c>
      <c r="I2012" s="21">
        <f t="shared" ca="1" si="152"/>
        <v>0</v>
      </c>
      <c r="J2012" s="21" t="str">
        <f ca="1">IF(I2012=0,"",COUNTIF($I$2:I2012,"&gt;0"))</f>
        <v/>
      </c>
      <c r="K2012" s="21" t="str">
        <f t="shared" ca="1" si="150"/>
        <v/>
      </c>
    </row>
    <row r="2013" spans="1:11" s="18" customFormat="1" ht="14.25" x14ac:dyDescent="0.2">
      <c r="A2013" s="18" t="str">
        <f t="shared" si="148"/>
        <v>Eintrag 2012</v>
      </c>
      <c r="B2013" s="18">
        <v>100</v>
      </c>
      <c r="C2013" s="19">
        <v>100</v>
      </c>
      <c r="D2013" s="20">
        <v>10</v>
      </c>
      <c r="E2013" s="20">
        <v>10</v>
      </c>
      <c r="F2013" s="20">
        <v>10</v>
      </c>
      <c r="G2013" s="19">
        <f t="shared" si="151"/>
        <v>172</v>
      </c>
      <c r="H2013" s="22">
        <f t="shared" si="149"/>
        <v>2012</v>
      </c>
      <c r="I2013" s="21">
        <f t="shared" ca="1" si="152"/>
        <v>0</v>
      </c>
      <c r="J2013" s="21" t="str">
        <f ca="1">IF(I2013=0,"",COUNTIF($I$2:I2013,"&gt;0"))</f>
        <v/>
      </c>
      <c r="K2013" s="21" t="str">
        <f t="shared" ca="1" si="150"/>
        <v/>
      </c>
    </row>
    <row r="2014" spans="1:11" s="18" customFormat="1" ht="14.25" x14ac:dyDescent="0.2">
      <c r="A2014" s="18" t="str">
        <f t="shared" si="148"/>
        <v>Eintrag 2013</v>
      </c>
      <c r="B2014" s="18">
        <v>100</v>
      </c>
      <c r="C2014" s="19">
        <v>100</v>
      </c>
      <c r="D2014" s="20">
        <v>10</v>
      </c>
      <c r="E2014" s="20">
        <v>10</v>
      </c>
      <c r="F2014" s="20">
        <v>10</v>
      </c>
      <c r="G2014" s="19">
        <f t="shared" si="151"/>
        <v>172</v>
      </c>
      <c r="H2014" s="22">
        <f t="shared" si="149"/>
        <v>2013</v>
      </c>
      <c r="I2014" s="21">
        <f t="shared" ca="1" si="152"/>
        <v>0</v>
      </c>
      <c r="J2014" s="21" t="str">
        <f ca="1">IF(I2014=0,"",COUNTIF($I$2:I2014,"&gt;0"))</f>
        <v/>
      </c>
      <c r="K2014" s="21" t="str">
        <f t="shared" ca="1" si="150"/>
        <v/>
      </c>
    </row>
    <row r="2015" spans="1:11" s="18" customFormat="1" ht="14.25" x14ac:dyDescent="0.2">
      <c r="A2015" s="18" t="str">
        <f t="shared" si="148"/>
        <v>Eintrag 2014</v>
      </c>
      <c r="B2015" s="18">
        <v>100</v>
      </c>
      <c r="C2015" s="19">
        <v>100</v>
      </c>
      <c r="D2015" s="20">
        <v>10</v>
      </c>
      <c r="E2015" s="20">
        <v>10</v>
      </c>
      <c r="F2015" s="20">
        <v>10</v>
      </c>
      <c r="G2015" s="19">
        <f t="shared" si="151"/>
        <v>172</v>
      </c>
      <c r="H2015" s="22">
        <f t="shared" si="149"/>
        <v>2014</v>
      </c>
      <c r="I2015" s="21">
        <f t="shared" ca="1" si="152"/>
        <v>0</v>
      </c>
      <c r="J2015" s="21" t="str">
        <f ca="1">IF(I2015=0,"",COUNTIF($I$2:I2015,"&gt;0"))</f>
        <v/>
      </c>
      <c r="K2015" s="21" t="str">
        <f t="shared" ca="1" si="150"/>
        <v/>
      </c>
    </row>
    <row r="2016" spans="1:11" s="18" customFormat="1" ht="14.25" x14ac:dyDescent="0.2">
      <c r="A2016" s="18" t="str">
        <f t="shared" si="148"/>
        <v>Eintrag 2015</v>
      </c>
      <c r="B2016" s="18">
        <v>100</v>
      </c>
      <c r="C2016" s="19">
        <v>100</v>
      </c>
      <c r="D2016" s="20">
        <v>10</v>
      </c>
      <c r="E2016" s="20">
        <v>10</v>
      </c>
      <c r="F2016" s="20">
        <v>10</v>
      </c>
      <c r="G2016" s="19">
        <f t="shared" si="151"/>
        <v>172</v>
      </c>
      <c r="H2016" s="22">
        <f t="shared" si="149"/>
        <v>2015</v>
      </c>
      <c r="I2016" s="21">
        <f t="shared" ca="1" si="152"/>
        <v>0</v>
      </c>
      <c r="J2016" s="21" t="str">
        <f ca="1">IF(I2016=0,"",COUNTIF($I$2:I2016,"&gt;0"))</f>
        <v/>
      </c>
      <c r="K2016" s="21" t="str">
        <f t="shared" ca="1" si="150"/>
        <v/>
      </c>
    </row>
    <row r="2017" spans="1:11" s="18" customFormat="1" ht="14.25" x14ac:dyDescent="0.2">
      <c r="A2017" s="18" t="str">
        <f t="shared" ref="A2017:A2080" si="153">CONCATENATE("Eintrag ",H2017)</f>
        <v>Eintrag 2016</v>
      </c>
      <c r="B2017" s="18">
        <v>100</v>
      </c>
      <c r="C2017" s="19">
        <v>100</v>
      </c>
      <c r="D2017" s="20">
        <v>10</v>
      </c>
      <c r="E2017" s="20">
        <v>10</v>
      </c>
      <c r="F2017" s="20">
        <v>10</v>
      </c>
      <c r="G2017" s="19">
        <f t="shared" si="151"/>
        <v>172</v>
      </c>
      <c r="H2017" s="22">
        <f t="shared" si="149"/>
        <v>2016</v>
      </c>
      <c r="I2017" s="21">
        <f t="shared" ca="1" si="152"/>
        <v>0</v>
      </c>
      <c r="J2017" s="21" t="str">
        <f ca="1">IF(I2017=0,"",COUNTIF($I$2:I2017,"&gt;0"))</f>
        <v/>
      </c>
      <c r="K2017" s="21" t="str">
        <f t="shared" ca="1" si="150"/>
        <v/>
      </c>
    </row>
    <row r="2018" spans="1:11" s="18" customFormat="1" ht="14.25" x14ac:dyDescent="0.2">
      <c r="A2018" s="18" t="str">
        <f t="shared" si="153"/>
        <v>Eintrag 2017</v>
      </c>
      <c r="B2018" s="18">
        <v>100</v>
      </c>
      <c r="C2018" s="19">
        <v>100</v>
      </c>
      <c r="D2018" s="20">
        <v>10</v>
      </c>
      <c r="E2018" s="20">
        <v>10</v>
      </c>
      <c r="F2018" s="20">
        <v>10</v>
      </c>
      <c r="G2018" s="19">
        <f t="shared" si="151"/>
        <v>172</v>
      </c>
      <c r="H2018" s="22">
        <f t="shared" si="149"/>
        <v>2017</v>
      </c>
      <c r="I2018" s="21">
        <f t="shared" ca="1" si="152"/>
        <v>0</v>
      </c>
      <c r="J2018" s="21" t="str">
        <f ca="1">IF(I2018=0,"",COUNTIF($I$2:I2018,"&gt;0"))</f>
        <v/>
      </c>
      <c r="K2018" s="21" t="str">
        <f t="shared" ca="1" si="150"/>
        <v/>
      </c>
    </row>
    <row r="2019" spans="1:11" s="18" customFormat="1" ht="14.25" x14ac:dyDescent="0.2">
      <c r="A2019" s="18" t="str">
        <f t="shared" si="153"/>
        <v>Eintrag 2018</v>
      </c>
      <c r="B2019" s="18">
        <v>100</v>
      </c>
      <c r="C2019" s="19">
        <v>100</v>
      </c>
      <c r="D2019" s="20">
        <v>10</v>
      </c>
      <c r="E2019" s="20">
        <v>10</v>
      </c>
      <c r="F2019" s="20">
        <v>10</v>
      </c>
      <c r="G2019" s="19">
        <f t="shared" si="151"/>
        <v>172</v>
      </c>
      <c r="H2019" s="22">
        <f t="shared" si="149"/>
        <v>2018</v>
      </c>
      <c r="I2019" s="21">
        <f t="shared" ca="1" si="152"/>
        <v>0</v>
      </c>
      <c r="J2019" s="21" t="str">
        <f ca="1">IF(I2019=0,"",COUNTIF($I$2:I2019,"&gt;0"))</f>
        <v/>
      </c>
      <c r="K2019" s="21" t="str">
        <f t="shared" ca="1" si="150"/>
        <v/>
      </c>
    </row>
    <row r="2020" spans="1:11" s="18" customFormat="1" ht="14.25" x14ac:dyDescent="0.2">
      <c r="A2020" s="18" t="str">
        <f t="shared" si="153"/>
        <v>Eintrag 2019</v>
      </c>
      <c r="B2020" s="18">
        <v>100</v>
      </c>
      <c r="C2020" s="19">
        <v>100</v>
      </c>
      <c r="D2020" s="20">
        <v>10</v>
      </c>
      <c r="E2020" s="20">
        <v>10</v>
      </c>
      <c r="F2020" s="20">
        <v>10</v>
      </c>
      <c r="G2020" s="19">
        <f t="shared" si="151"/>
        <v>172</v>
      </c>
      <c r="H2020" s="22">
        <f t="shared" si="149"/>
        <v>2019</v>
      </c>
      <c r="I2020" s="21">
        <f t="shared" ca="1" si="152"/>
        <v>0</v>
      </c>
      <c r="J2020" s="21" t="str">
        <f ca="1">IF(I2020=0,"",COUNTIF($I$2:I2020,"&gt;0"))</f>
        <v/>
      </c>
      <c r="K2020" s="21" t="str">
        <f t="shared" ca="1" si="150"/>
        <v/>
      </c>
    </row>
    <row r="2021" spans="1:11" s="18" customFormat="1" ht="14.25" x14ac:dyDescent="0.2">
      <c r="A2021" s="18" t="str">
        <f t="shared" si="153"/>
        <v>Eintrag 2020</v>
      </c>
      <c r="B2021" s="18">
        <v>100</v>
      </c>
      <c r="C2021" s="19">
        <v>100</v>
      </c>
      <c r="D2021" s="20">
        <v>10</v>
      </c>
      <c r="E2021" s="20">
        <v>10</v>
      </c>
      <c r="F2021" s="20">
        <v>10</v>
      </c>
      <c r="G2021" s="19">
        <f t="shared" si="151"/>
        <v>172</v>
      </c>
      <c r="H2021" s="22">
        <f t="shared" ref="H2021:H2084" si="154">H2020+1</f>
        <v>2020</v>
      </c>
      <c r="I2021" s="21">
        <f t="shared" ca="1" si="152"/>
        <v>0</v>
      </c>
      <c r="J2021" s="21" t="str">
        <f ca="1">IF(I2021=0,"",COUNTIF($I$2:I2021,"&gt;0"))</f>
        <v/>
      </c>
      <c r="K2021" s="21" t="str">
        <f t="shared" ca="1" si="150"/>
        <v/>
      </c>
    </row>
    <row r="2022" spans="1:11" s="18" customFormat="1" ht="14.25" x14ac:dyDescent="0.2">
      <c r="A2022" s="18" t="str">
        <f t="shared" si="153"/>
        <v>Eintrag 2021</v>
      </c>
      <c r="B2022" s="18">
        <v>100</v>
      </c>
      <c r="C2022" s="19">
        <v>100</v>
      </c>
      <c r="D2022" s="20">
        <v>10</v>
      </c>
      <c r="E2022" s="20">
        <v>10</v>
      </c>
      <c r="F2022" s="20">
        <v>10</v>
      </c>
      <c r="G2022" s="19">
        <f t="shared" si="151"/>
        <v>172</v>
      </c>
      <c r="H2022" s="22">
        <f t="shared" si="154"/>
        <v>2021</v>
      </c>
      <c r="I2022" s="21">
        <f t="shared" ca="1" si="152"/>
        <v>0</v>
      </c>
      <c r="J2022" s="21" t="str">
        <f ca="1">IF(I2022=0,"",COUNTIF($I$2:I2022,"&gt;0"))</f>
        <v/>
      </c>
      <c r="K2022" s="21" t="str">
        <f t="shared" ca="1" si="150"/>
        <v/>
      </c>
    </row>
    <row r="2023" spans="1:11" s="18" customFormat="1" ht="14.25" x14ac:dyDescent="0.2">
      <c r="A2023" s="18" t="str">
        <f t="shared" si="153"/>
        <v>Eintrag 2022</v>
      </c>
      <c r="B2023" s="18">
        <v>100</v>
      </c>
      <c r="C2023" s="19">
        <v>100</v>
      </c>
      <c r="D2023" s="20">
        <v>10</v>
      </c>
      <c r="E2023" s="20">
        <v>10</v>
      </c>
      <c r="F2023" s="20">
        <v>10</v>
      </c>
      <c r="G2023" s="19">
        <f t="shared" si="151"/>
        <v>172</v>
      </c>
      <c r="H2023" s="22">
        <f t="shared" si="154"/>
        <v>2022</v>
      </c>
      <c r="I2023" s="21">
        <f t="shared" ca="1" si="152"/>
        <v>0</v>
      </c>
      <c r="J2023" s="21" t="str">
        <f ca="1">IF(I2023=0,"",COUNTIF($I$2:I2023,"&gt;0"))</f>
        <v/>
      </c>
      <c r="K2023" s="21" t="str">
        <f t="shared" ca="1" si="150"/>
        <v/>
      </c>
    </row>
    <row r="2024" spans="1:11" s="18" customFormat="1" ht="14.25" x14ac:dyDescent="0.2">
      <c r="A2024" s="18" t="str">
        <f t="shared" si="153"/>
        <v>Eintrag 2023</v>
      </c>
      <c r="B2024" s="18">
        <v>100</v>
      </c>
      <c r="C2024" s="19">
        <v>100</v>
      </c>
      <c r="D2024" s="20">
        <v>10</v>
      </c>
      <c r="E2024" s="20">
        <v>10</v>
      </c>
      <c r="F2024" s="20">
        <v>10</v>
      </c>
      <c r="G2024" s="19">
        <f t="shared" si="151"/>
        <v>172</v>
      </c>
      <c r="H2024" s="22">
        <f t="shared" si="154"/>
        <v>2023</v>
      </c>
      <c r="I2024" s="21">
        <f t="shared" ca="1" si="152"/>
        <v>0</v>
      </c>
      <c r="J2024" s="21" t="str">
        <f ca="1">IF(I2024=0,"",COUNTIF($I$2:I2024,"&gt;0"))</f>
        <v/>
      </c>
      <c r="K2024" s="21" t="str">
        <f t="shared" ca="1" si="150"/>
        <v/>
      </c>
    </row>
    <row r="2025" spans="1:11" s="18" customFormat="1" ht="14.25" x14ac:dyDescent="0.2">
      <c r="A2025" s="18" t="str">
        <f t="shared" si="153"/>
        <v>Eintrag 2024</v>
      </c>
      <c r="B2025" s="18">
        <v>100</v>
      </c>
      <c r="C2025" s="19">
        <v>100</v>
      </c>
      <c r="D2025" s="20">
        <v>10</v>
      </c>
      <c r="E2025" s="20">
        <v>10</v>
      </c>
      <c r="F2025" s="20">
        <v>10</v>
      </c>
      <c r="G2025" s="19">
        <f t="shared" si="151"/>
        <v>172</v>
      </c>
      <c r="H2025" s="22">
        <f t="shared" si="154"/>
        <v>2024</v>
      </c>
      <c r="I2025" s="21">
        <f t="shared" ca="1" si="152"/>
        <v>0</v>
      </c>
      <c r="J2025" s="21" t="str">
        <f ca="1">IF(I2025=0,"",COUNTIF($I$2:I2025,"&gt;0"))</f>
        <v/>
      </c>
      <c r="K2025" s="21" t="str">
        <f t="shared" ca="1" si="150"/>
        <v/>
      </c>
    </row>
    <row r="2026" spans="1:11" s="18" customFormat="1" ht="14.25" x14ac:dyDescent="0.2">
      <c r="A2026" s="18" t="str">
        <f t="shared" si="153"/>
        <v>Eintrag 2025</v>
      </c>
      <c r="B2026" s="18">
        <v>100</v>
      </c>
      <c r="C2026" s="19">
        <v>100</v>
      </c>
      <c r="D2026" s="20">
        <v>10</v>
      </c>
      <c r="E2026" s="20">
        <v>10</v>
      </c>
      <c r="F2026" s="20">
        <v>10</v>
      </c>
      <c r="G2026" s="19">
        <f t="shared" si="151"/>
        <v>172</v>
      </c>
      <c r="H2026" s="22">
        <f t="shared" si="154"/>
        <v>2025</v>
      </c>
      <c r="I2026" s="21">
        <f t="shared" ca="1" si="152"/>
        <v>0</v>
      </c>
      <c r="J2026" s="21" t="str">
        <f ca="1">IF(I2026=0,"",COUNTIF($I$2:I2026,"&gt;0"))</f>
        <v/>
      </c>
      <c r="K2026" s="21" t="str">
        <f t="shared" ca="1" si="150"/>
        <v/>
      </c>
    </row>
    <row r="2027" spans="1:11" s="18" customFormat="1" ht="14.25" x14ac:dyDescent="0.2">
      <c r="A2027" s="18" t="str">
        <f t="shared" si="153"/>
        <v>Eintrag 2026</v>
      </c>
      <c r="B2027" s="18">
        <v>100</v>
      </c>
      <c r="C2027" s="19">
        <v>100</v>
      </c>
      <c r="D2027" s="20">
        <v>10</v>
      </c>
      <c r="E2027" s="20">
        <v>10</v>
      </c>
      <c r="F2027" s="20">
        <v>10</v>
      </c>
      <c r="G2027" s="19">
        <f t="shared" si="151"/>
        <v>172</v>
      </c>
      <c r="H2027" s="22">
        <f t="shared" si="154"/>
        <v>2026</v>
      </c>
      <c r="I2027" s="21">
        <f t="shared" ca="1" si="152"/>
        <v>0</v>
      </c>
      <c r="J2027" s="21" t="str">
        <f ca="1">IF(I2027=0,"",COUNTIF($I$2:I2027,"&gt;0"))</f>
        <v/>
      </c>
      <c r="K2027" s="21" t="str">
        <f t="shared" ca="1" si="150"/>
        <v/>
      </c>
    </row>
    <row r="2028" spans="1:11" s="18" customFormat="1" ht="14.25" x14ac:dyDescent="0.2">
      <c r="A2028" s="18" t="str">
        <f t="shared" si="153"/>
        <v>Eintrag 2027</v>
      </c>
      <c r="B2028" s="18">
        <v>100</v>
      </c>
      <c r="C2028" s="19">
        <v>100</v>
      </c>
      <c r="D2028" s="20">
        <v>10</v>
      </c>
      <c r="E2028" s="20">
        <v>10</v>
      </c>
      <c r="F2028" s="20">
        <v>10</v>
      </c>
      <c r="G2028" s="19">
        <f t="shared" si="151"/>
        <v>172</v>
      </c>
      <c r="H2028" s="22">
        <f t="shared" si="154"/>
        <v>2027</v>
      </c>
      <c r="I2028" s="21">
        <f t="shared" ca="1" si="152"/>
        <v>0</v>
      </c>
      <c r="J2028" s="21" t="str">
        <f ca="1">IF(I2028=0,"",COUNTIF($I$2:I2028,"&gt;0"))</f>
        <v/>
      </c>
      <c r="K2028" s="21" t="str">
        <f t="shared" ca="1" si="150"/>
        <v/>
      </c>
    </row>
    <row r="2029" spans="1:11" s="18" customFormat="1" ht="14.25" x14ac:dyDescent="0.2">
      <c r="A2029" s="18" t="str">
        <f t="shared" si="153"/>
        <v>Eintrag 2028</v>
      </c>
      <c r="B2029" s="18">
        <v>100</v>
      </c>
      <c r="C2029" s="19">
        <v>100</v>
      </c>
      <c r="D2029" s="20">
        <v>10</v>
      </c>
      <c r="E2029" s="20">
        <v>10</v>
      </c>
      <c r="F2029" s="20">
        <v>10</v>
      </c>
      <c r="G2029" s="19">
        <f t="shared" si="151"/>
        <v>172</v>
      </c>
      <c r="H2029" s="22">
        <f t="shared" si="154"/>
        <v>2028</v>
      </c>
      <c r="I2029" s="21">
        <f t="shared" ca="1" si="152"/>
        <v>0</v>
      </c>
      <c r="J2029" s="21" t="str">
        <f ca="1">IF(I2029=0,"",COUNTIF($I$2:I2029,"&gt;0"))</f>
        <v/>
      </c>
      <c r="K2029" s="21" t="str">
        <f t="shared" ca="1" si="150"/>
        <v/>
      </c>
    </row>
    <row r="2030" spans="1:11" s="18" customFormat="1" ht="14.25" x14ac:dyDescent="0.2">
      <c r="A2030" s="18" t="str">
        <f t="shared" si="153"/>
        <v>Eintrag 2029</v>
      </c>
      <c r="B2030" s="18">
        <v>100</v>
      </c>
      <c r="C2030" s="19">
        <v>100</v>
      </c>
      <c r="D2030" s="20">
        <v>10</v>
      </c>
      <c r="E2030" s="20">
        <v>10</v>
      </c>
      <c r="F2030" s="20">
        <v>10</v>
      </c>
      <c r="G2030" s="19">
        <f t="shared" si="151"/>
        <v>172</v>
      </c>
      <c r="H2030" s="22">
        <f t="shared" si="154"/>
        <v>2029</v>
      </c>
      <c r="I2030" s="21">
        <f t="shared" ca="1" si="152"/>
        <v>0</v>
      </c>
      <c r="J2030" s="21" t="str">
        <f ca="1">IF(I2030=0,"",COUNTIF($I$2:I2030,"&gt;0"))</f>
        <v/>
      </c>
      <c r="K2030" s="21" t="str">
        <f t="shared" ca="1" si="150"/>
        <v/>
      </c>
    </row>
    <row r="2031" spans="1:11" s="18" customFormat="1" ht="14.25" x14ac:dyDescent="0.2">
      <c r="A2031" s="18" t="str">
        <f t="shared" si="153"/>
        <v>Eintrag 2030</v>
      </c>
      <c r="B2031" s="18">
        <v>100</v>
      </c>
      <c r="C2031" s="19">
        <v>100</v>
      </c>
      <c r="D2031" s="20">
        <v>10</v>
      </c>
      <c r="E2031" s="20">
        <v>10</v>
      </c>
      <c r="F2031" s="20">
        <v>10</v>
      </c>
      <c r="G2031" s="19">
        <f t="shared" si="151"/>
        <v>172</v>
      </c>
      <c r="H2031" s="22">
        <f t="shared" si="154"/>
        <v>2030</v>
      </c>
      <c r="I2031" s="21">
        <f t="shared" ca="1" si="152"/>
        <v>0</v>
      </c>
      <c r="J2031" s="21" t="str">
        <f ca="1">IF(I2031=0,"",COUNTIF($I$2:I2031,"&gt;0"))</f>
        <v/>
      </c>
      <c r="K2031" s="21" t="str">
        <f t="shared" ca="1" si="150"/>
        <v/>
      </c>
    </row>
    <row r="2032" spans="1:11" s="18" customFormat="1" ht="14.25" x14ac:dyDescent="0.2">
      <c r="A2032" s="18" t="str">
        <f t="shared" si="153"/>
        <v>Eintrag 2031</v>
      </c>
      <c r="B2032" s="18">
        <v>100</v>
      </c>
      <c r="C2032" s="19">
        <v>100</v>
      </c>
      <c r="D2032" s="20">
        <v>10</v>
      </c>
      <c r="E2032" s="20">
        <v>10</v>
      </c>
      <c r="F2032" s="20">
        <v>10</v>
      </c>
      <c r="G2032" s="19">
        <f t="shared" si="151"/>
        <v>172</v>
      </c>
      <c r="H2032" s="22">
        <f t="shared" si="154"/>
        <v>2031</v>
      </c>
      <c r="I2032" s="21">
        <f t="shared" ca="1" si="152"/>
        <v>0</v>
      </c>
      <c r="J2032" s="21" t="str">
        <f ca="1">IF(I2032=0,"",COUNTIF($I$2:I2032,"&gt;0"))</f>
        <v/>
      </c>
      <c r="K2032" s="21" t="str">
        <f t="shared" ca="1" si="150"/>
        <v/>
      </c>
    </row>
    <row r="2033" spans="1:11" s="18" customFormat="1" ht="14.25" x14ac:dyDescent="0.2">
      <c r="A2033" s="18" t="str">
        <f t="shared" si="153"/>
        <v>Eintrag 2032</v>
      </c>
      <c r="B2033" s="18">
        <v>100</v>
      </c>
      <c r="C2033" s="19">
        <v>100</v>
      </c>
      <c r="D2033" s="20">
        <v>10</v>
      </c>
      <c r="E2033" s="20">
        <v>10</v>
      </c>
      <c r="F2033" s="20">
        <v>10</v>
      </c>
      <c r="G2033" s="19">
        <f t="shared" si="151"/>
        <v>172</v>
      </c>
      <c r="H2033" s="22">
        <f t="shared" si="154"/>
        <v>2032</v>
      </c>
      <c r="I2033" s="21">
        <f t="shared" ca="1" si="152"/>
        <v>0</v>
      </c>
      <c r="J2033" s="21" t="str">
        <f ca="1">IF(I2033=0,"",COUNTIF($I$2:I2033,"&gt;0"))</f>
        <v/>
      </c>
      <c r="K2033" s="21" t="str">
        <f t="shared" ca="1" si="150"/>
        <v/>
      </c>
    </row>
    <row r="2034" spans="1:11" s="18" customFormat="1" ht="14.25" x14ac:dyDescent="0.2">
      <c r="A2034" s="18" t="str">
        <f t="shared" si="153"/>
        <v>Eintrag 2033</v>
      </c>
      <c r="B2034" s="18">
        <v>100</v>
      </c>
      <c r="C2034" s="19">
        <v>100</v>
      </c>
      <c r="D2034" s="20">
        <v>10</v>
      </c>
      <c r="E2034" s="20">
        <v>10</v>
      </c>
      <c r="F2034" s="20">
        <v>10</v>
      </c>
      <c r="G2034" s="19">
        <f t="shared" si="151"/>
        <v>172</v>
      </c>
      <c r="H2034" s="22">
        <f t="shared" si="154"/>
        <v>2033</v>
      </c>
      <c r="I2034" s="21">
        <f t="shared" ca="1" si="152"/>
        <v>0</v>
      </c>
      <c r="J2034" s="21" t="str">
        <f ca="1">IF(I2034=0,"",COUNTIF($I$2:I2034,"&gt;0"))</f>
        <v/>
      </c>
      <c r="K2034" s="21" t="str">
        <f t="shared" ca="1" si="150"/>
        <v/>
      </c>
    </row>
    <row r="2035" spans="1:11" s="18" customFormat="1" ht="14.25" x14ac:dyDescent="0.2">
      <c r="A2035" s="18" t="str">
        <f t="shared" si="153"/>
        <v>Eintrag 2034</v>
      </c>
      <c r="B2035" s="18">
        <v>100</v>
      </c>
      <c r="C2035" s="19">
        <v>100</v>
      </c>
      <c r="D2035" s="20">
        <v>10</v>
      </c>
      <c r="E2035" s="20">
        <v>10</v>
      </c>
      <c r="F2035" s="20">
        <v>10</v>
      </c>
      <c r="G2035" s="19">
        <f t="shared" si="151"/>
        <v>172</v>
      </c>
      <c r="H2035" s="22">
        <f t="shared" si="154"/>
        <v>2034</v>
      </c>
      <c r="I2035" s="21">
        <f t="shared" ca="1" si="152"/>
        <v>0</v>
      </c>
      <c r="J2035" s="21" t="str">
        <f ca="1">IF(I2035=0,"",COUNTIF($I$2:I2035,"&gt;0"))</f>
        <v/>
      </c>
      <c r="K2035" s="21" t="str">
        <f t="shared" ca="1" si="150"/>
        <v/>
      </c>
    </row>
    <row r="2036" spans="1:11" s="18" customFormat="1" ht="14.25" x14ac:dyDescent="0.2">
      <c r="A2036" s="18" t="str">
        <f t="shared" si="153"/>
        <v>Eintrag 2035</v>
      </c>
      <c r="B2036" s="18">
        <v>100</v>
      </c>
      <c r="C2036" s="19">
        <v>100</v>
      </c>
      <c r="D2036" s="20">
        <v>10</v>
      </c>
      <c r="E2036" s="20">
        <v>10</v>
      </c>
      <c r="F2036" s="20">
        <v>10</v>
      </c>
      <c r="G2036" s="19">
        <f t="shared" si="151"/>
        <v>172</v>
      </c>
      <c r="H2036" s="22">
        <f t="shared" si="154"/>
        <v>2035</v>
      </c>
      <c r="I2036" s="21">
        <f t="shared" ca="1" si="152"/>
        <v>0</v>
      </c>
      <c r="J2036" s="21" t="str">
        <f ca="1">IF(I2036=0,"",COUNTIF($I$2:I2036,"&gt;0"))</f>
        <v/>
      </c>
      <c r="K2036" s="21" t="str">
        <f t="shared" ca="1" si="150"/>
        <v/>
      </c>
    </row>
    <row r="2037" spans="1:11" s="18" customFormat="1" ht="14.25" x14ac:dyDescent="0.2">
      <c r="A2037" s="18" t="str">
        <f t="shared" si="153"/>
        <v>Eintrag 2036</v>
      </c>
      <c r="B2037" s="18">
        <v>100</v>
      </c>
      <c r="C2037" s="19">
        <v>100</v>
      </c>
      <c r="D2037" s="20">
        <v>10</v>
      </c>
      <c r="E2037" s="20">
        <v>10</v>
      </c>
      <c r="F2037" s="20">
        <v>10</v>
      </c>
      <c r="G2037" s="19">
        <f t="shared" si="151"/>
        <v>172</v>
      </c>
      <c r="H2037" s="22">
        <f t="shared" si="154"/>
        <v>2036</v>
      </c>
      <c r="I2037" s="21">
        <f t="shared" ca="1" si="152"/>
        <v>0</v>
      </c>
      <c r="J2037" s="21" t="str">
        <f ca="1">IF(I2037=0,"",COUNTIF($I$2:I2037,"&gt;0"))</f>
        <v/>
      </c>
      <c r="K2037" s="21" t="str">
        <f t="shared" ca="1" si="150"/>
        <v/>
      </c>
    </row>
    <row r="2038" spans="1:11" s="18" customFormat="1" ht="14.25" x14ac:dyDescent="0.2">
      <c r="A2038" s="18" t="str">
        <f t="shared" si="153"/>
        <v>Eintrag 2037</v>
      </c>
      <c r="B2038" s="18">
        <v>100</v>
      </c>
      <c r="C2038" s="19">
        <v>100</v>
      </c>
      <c r="D2038" s="20">
        <v>10</v>
      </c>
      <c r="E2038" s="20">
        <v>10</v>
      </c>
      <c r="F2038" s="20">
        <v>10</v>
      </c>
      <c r="G2038" s="19">
        <f t="shared" si="151"/>
        <v>172</v>
      </c>
      <c r="H2038" s="22">
        <f t="shared" si="154"/>
        <v>2037</v>
      </c>
      <c r="I2038" s="21">
        <f t="shared" ca="1" si="152"/>
        <v>0</v>
      </c>
      <c r="J2038" s="21" t="str">
        <f ca="1">IF(I2038=0,"",COUNTIF($I$2:I2038,"&gt;0"))</f>
        <v/>
      </c>
      <c r="K2038" s="21" t="str">
        <f t="shared" ca="1" si="150"/>
        <v/>
      </c>
    </row>
    <row r="2039" spans="1:11" s="18" customFormat="1" ht="14.25" x14ac:dyDescent="0.2">
      <c r="A2039" s="18" t="str">
        <f t="shared" si="153"/>
        <v>Eintrag 2038</v>
      </c>
      <c r="B2039" s="18">
        <v>100</v>
      </c>
      <c r="C2039" s="19">
        <v>100</v>
      </c>
      <c r="D2039" s="20">
        <v>10</v>
      </c>
      <c r="E2039" s="20">
        <v>10</v>
      </c>
      <c r="F2039" s="20">
        <v>10</v>
      </c>
      <c r="G2039" s="19">
        <f t="shared" si="151"/>
        <v>172</v>
      </c>
      <c r="H2039" s="22">
        <f t="shared" si="154"/>
        <v>2038</v>
      </c>
      <c r="I2039" s="21">
        <f t="shared" ca="1" si="152"/>
        <v>0</v>
      </c>
      <c r="J2039" s="21" t="str">
        <f ca="1">IF(I2039=0,"",COUNTIF($I$2:I2039,"&gt;0"))</f>
        <v/>
      </c>
      <c r="K2039" s="21" t="str">
        <f t="shared" ca="1" si="150"/>
        <v/>
      </c>
    </row>
    <row r="2040" spans="1:11" s="18" customFormat="1" ht="14.25" x14ac:dyDescent="0.2">
      <c r="A2040" s="18" t="str">
        <f t="shared" si="153"/>
        <v>Eintrag 2039</v>
      </c>
      <c r="B2040" s="18">
        <v>100</v>
      </c>
      <c r="C2040" s="19">
        <v>100</v>
      </c>
      <c r="D2040" s="20">
        <v>10</v>
      </c>
      <c r="E2040" s="20">
        <v>10</v>
      </c>
      <c r="F2040" s="20">
        <v>10</v>
      </c>
      <c r="G2040" s="19">
        <f t="shared" si="151"/>
        <v>172</v>
      </c>
      <c r="H2040" s="22">
        <f t="shared" si="154"/>
        <v>2039</v>
      </c>
      <c r="I2040" s="21">
        <f t="shared" ca="1" si="152"/>
        <v>0</v>
      </c>
      <c r="J2040" s="21" t="str">
        <f ca="1">IF(I2040=0,"",COUNTIF($I$2:I2040,"&gt;0"))</f>
        <v/>
      </c>
      <c r="K2040" s="21" t="str">
        <f t="shared" ca="1" si="150"/>
        <v/>
      </c>
    </row>
    <row r="2041" spans="1:11" s="18" customFormat="1" ht="14.25" x14ac:dyDescent="0.2">
      <c r="A2041" s="18" t="str">
        <f t="shared" si="153"/>
        <v>Eintrag 2040</v>
      </c>
      <c r="B2041" s="18">
        <v>100</v>
      </c>
      <c r="C2041" s="19">
        <v>100</v>
      </c>
      <c r="D2041" s="20">
        <v>10</v>
      </c>
      <c r="E2041" s="20">
        <v>10</v>
      </c>
      <c r="F2041" s="20">
        <v>10</v>
      </c>
      <c r="G2041" s="19">
        <f t="shared" si="151"/>
        <v>172</v>
      </c>
      <c r="H2041" s="22">
        <f t="shared" si="154"/>
        <v>2040</v>
      </c>
      <c r="I2041" s="21">
        <f t="shared" ca="1" si="152"/>
        <v>0</v>
      </c>
      <c r="J2041" s="21" t="str">
        <f ca="1">IF(I2041=0,"",COUNTIF($I$2:I2041,"&gt;0"))</f>
        <v/>
      </c>
      <c r="K2041" s="21" t="str">
        <f t="shared" ca="1" si="150"/>
        <v/>
      </c>
    </row>
    <row r="2042" spans="1:11" s="18" customFormat="1" ht="14.25" x14ac:dyDescent="0.2">
      <c r="A2042" s="18" t="str">
        <f t="shared" si="153"/>
        <v>Eintrag 2041</v>
      </c>
      <c r="B2042" s="18">
        <v>100</v>
      </c>
      <c r="C2042" s="19">
        <v>100</v>
      </c>
      <c r="D2042" s="20">
        <v>10</v>
      </c>
      <c r="E2042" s="20">
        <v>10</v>
      </c>
      <c r="F2042" s="20">
        <v>10</v>
      </c>
      <c r="G2042" s="19">
        <f t="shared" si="151"/>
        <v>172</v>
      </c>
      <c r="H2042" s="22">
        <f t="shared" si="154"/>
        <v>2041</v>
      </c>
      <c r="I2042" s="21">
        <f t="shared" ca="1" si="152"/>
        <v>0</v>
      </c>
      <c r="J2042" s="21" t="str">
        <f ca="1">IF(I2042=0,"",COUNTIF($I$2:I2042,"&gt;0"))</f>
        <v/>
      </c>
      <c r="K2042" s="21" t="str">
        <f t="shared" ca="1" si="150"/>
        <v/>
      </c>
    </row>
    <row r="2043" spans="1:11" s="18" customFormat="1" ht="14.25" x14ac:dyDescent="0.2">
      <c r="A2043" s="18" t="str">
        <f t="shared" si="153"/>
        <v>Eintrag 2042</v>
      </c>
      <c r="B2043" s="18">
        <v>100</v>
      </c>
      <c r="C2043" s="19">
        <v>100</v>
      </c>
      <c r="D2043" s="20">
        <v>10</v>
      </c>
      <c r="E2043" s="20">
        <v>10</v>
      </c>
      <c r="F2043" s="20">
        <v>10</v>
      </c>
      <c r="G2043" s="19">
        <f t="shared" si="151"/>
        <v>172</v>
      </c>
      <c r="H2043" s="22">
        <f t="shared" si="154"/>
        <v>2042</v>
      </c>
      <c r="I2043" s="21">
        <f t="shared" ca="1" si="152"/>
        <v>0</v>
      </c>
      <c r="J2043" s="21" t="str">
        <f ca="1">IF(I2043=0,"",COUNTIF($I$2:I2043,"&gt;0"))</f>
        <v/>
      </c>
      <c r="K2043" s="21" t="str">
        <f t="shared" ca="1" si="150"/>
        <v/>
      </c>
    </row>
    <row r="2044" spans="1:11" s="18" customFormat="1" ht="14.25" x14ac:dyDescent="0.2">
      <c r="A2044" s="18" t="str">
        <f t="shared" si="153"/>
        <v>Eintrag 2043</v>
      </c>
      <c r="B2044" s="18">
        <v>100</v>
      </c>
      <c r="C2044" s="19">
        <v>100</v>
      </c>
      <c r="D2044" s="20">
        <v>10</v>
      </c>
      <c r="E2044" s="20">
        <v>10</v>
      </c>
      <c r="F2044" s="20">
        <v>10</v>
      </c>
      <c r="G2044" s="19">
        <f t="shared" si="151"/>
        <v>172</v>
      </c>
      <c r="H2044" s="22">
        <f t="shared" si="154"/>
        <v>2043</v>
      </c>
      <c r="I2044" s="21">
        <f t="shared" ca="1" si="152"/>
        <v>0</v>
      </c>
      <c r="J2044" s="21" t="str">
        <f ca="1">IF(I2044=0,"",COUNTIF($I$2:I2044,"&gt;0"))</f>
        <v/>
      </c>
      <c r="K2044" s="21" t="str">
        <f t="shared" ca="1" si="150"/>
        <v/>
      </c>
    </row>
    <row r="2045" spans="1:11" s="18" customFormat="1" ht="14.25" x14ac:dyDescent="0.2">
      <c r="A2045" s="18" t="str">
        <f t="shared" si="153"/>
        <v>Eintrag 2044</v>
      </c>
      <c r="B2045" s="18">
        <v>100</v>
      </c>
      <c r="C2045" s="19">
        <v>100</v>
      </c>
      <c r="D2045" s="20">
        <v>10</v>
      </c>
      <c r="E2045" s="20">
        <v>10</v>
      </c>
      <c r="F2045" s="20">
        <v>10</v>
      </c>
      <c r="G2045" s="19">
        <f t="shared" si="151"/>
        <v>172</v>
      </c>
      <c r="H2045" s="22">
        <f t="shared" si="154"/>
        <v>2044</v>
      </c>
      <c r="I2045" s="21">
        <f t="shared" ca="1" si="152"/>
        <v>0</v>
      </c>
      <c r="J2045" s="21" t="str">
        <f ca="1">IF(I2045=0,"",COUNTIF($I$2:I2045,"&gt;0"))</f>
        <v/>
      </c>
      <c r="K2045" s="21" t="str">
        <f t="shared" ca="1" si="150"/>
        <v/>
      </c>
    </row>
    <row r="2046" spans="1:11" s="18" customFormat="1" ht="14.25" x14ac:dyDescent="0.2">
      <c r="A2046" s="18" t="str">
        <f t="shared" si="153"/>
        <v>Eintrag 2045</v>
      </c>
      <c r="B2046" s="18">
        <v>100</v>
      </c>
      <c r="C2046" s="19">
        <v>100</v>
      </c>
      <c r="D2046" s="20">
        <v>10</v>
      </c>
      <c r="E2046" s="20">
        <v>10</v>
      </c>
      <c r="F2046" s="20">
        <v>10</v>
      </c>
      <c r="G2046" s="19">
        <f t="shared" si="151"/>
        <v>172</v>
      </c>
      <c r="H2046" s="22">
        <f t="shared" si="154"/>
        <v>2045</v>
      </c>
      <c r="I2046" s="21">
        <f t="shared" ca="1" si="152"/>
        <v>0</v>
      </c>
      <c r="J2046" s="21" t="str">
        <f ca="1">IF(I2046=0,"",COUNTIF($I$2:I2046,"&gt;0"))</f>
        <v/>
      </c>
      <c r="K2046" s="21" t="str">
        <f t="shared" ca="1" si="150"/>
        <v/>
      </c>
    </row>
    <row r="2047" spans="1:11" s="18" customFormat="1" ht="14.25" x14ac:dyDescent="0.2">
      <c r="A2047" s="18" t="str">
        <f t="shared" si="153"/>
        <v>Eintrag 2046</v>
      </c>
      <c r="B2047" s="18">
        <v>100</v>
      </c>
      <c r="C2047" s="19">
        <v>100</v>
      </c>
      <c r="D2047" s="20">
        <v>10</v>
      </c>
      <c r="E2047" s="20">
        <v>10</v>
      </c>
      <c r="F2047" s="20">
        <v>10</v>
      </c>
      <c r="G2047" s="19">
        <f t="shared" si="151"/>
        <v>172</v>
      </c>
      <c r="H2047" s="22">
        <f t="shared" si="154"/>
        <v>2046</v>
      </c>
      <c r="I2047" s="21">
        <f t="shared" ca="1" si="152"/>
        <v>0</v>
      </c>
      <c r="J2047" s="21" t="str">
        <f ca="1">IF(I2047=0,"",COUNTIF($I$2:I2047,"&gt;0"))</f>
        <v/>
      </c>
      <c r="K2047" s="21" t="str">
        <f t="shared" ca="1" si="150"/>
        <v/>
      </c>
    </row>
    <row r="2048" spans="1:11" s="18" customFormat="1" ht="14.25" x14ac:dyDescent="0.2">
      <c r="A2048" s="18" t="str">
        <f t="shared" si="153"/>
        <v>Eintrag 2047</v>
      </c>
      <c r="B2048" s="18">
        <v>100</v>
      </c>
      <c r="C2048" s="19">
        <v>100</v>
      </c>
      <c r="D2048" s="20">
        <v>10</v>
      </c>
      <c r="E2048" s="20">
        <v>10</v>
      </c>
      <c r="F2048" s="20">
        <v>10</v>
      </c>
      <c r="G2048" s="19">
        <f t="shared" si="151"/>
        <v>172</v>
      </c>
      <c r="H2048" s="22">
        <f t="shared" si="154"/>
        <v>2047</v>
      </c>
      <c r="I2048" s="21">
        <f t="shared" ca="1" si="152"/>
        <v>0</v>
      </c>
      <c r="J2048" s="21" t="str">
        <f ca="1">IF(I2048=0,"",COUNTIF($I$2:I2048,"&gt;0"))</f>
        <v/>
      </c>
      <c r="K2048" s="21" t="str">
        <f t="shared" ca="1" si="150"/>
        <v/>
      </c>
    </row>
    <row r="2049" spans="1:11" s="18" customFormat="1" ht="14.25" x14ac:dyDescent="0.2">
      <c r="A2049" s="18" t="str">
        <f t="shared" si="153"/>
        <v>Eintrag 2048</v>
      </c>
      <c r="B2049" s="18">
        <v>100</v>
      </c>
      <c r="C2049" s="19">
        <v>100</v>
      </c>
      <c r="D2049" s="20">
        <v>10</v>
      </c>
      <c r="E2049" s="20">
        <v>10</v>
      </c>
      <c r="F2049" s="20">
        <v>10</v>
      </c>
      <c r="G2049" s="19">
        <f t="shared" si="151"/>
        <v>172</v>
      </c>
      <c r="H2049" s="22">
        <f t="shared" si="154"/>
        <v>2048</v>
      </c>
      <c r="I2049" s="21">
        <f t="shared" ca="1" si="152"/>
        <v>0</v>
      </c>
      <c r="J2049" s="21" t="str">
        <f ca="1">IF(I2049=0,"",COUNTIF($I$2:I2049,"&gt;0"))</f>
        <v/>
      </c>
      <c r="K2049" s="21" t="str">
        <f t="shared" ca="1" si="150"/>
        <v/>
      </c>
    </row>
    <row r="2050" spans="1:11" s="18" customFormat="1" ht="14.25" x14ac:dyDescent="0.2">
      <c r="A2050" s="18" t="str">
        <f t="shared" si="153"/>
        <v>Eintrag 2049</v>
      </c>
      <c r="B2050" s="18">
        <v>100</v>
      </c>
      <c r="C2050" s="19">
        <v>100</v>
      </c>
      <c r="D2050" s="20">
        <v>10</v>
      </c>
      <c r="E2050" s="20">
        <v>10</v>
      </c>
      <c r="F2050" s="20">
        <v>10</v>
      </c>
      <c r="G2050" s="19">
        <f t="shared" si="151"/>
        <v>172</v>
      </c>
      <c r="H2050" s="22">
        <f t="shared" si="154"/>
        <v>2049</v>
      </c>
      <c r="I2050" s="21">
        <f t="shared" ca="1" si="152"/>
        <v>0</v>
      </c>
      <c r="J2050" s="21" t="str">
        <f ca="1">IF(I2050=0,"",COUNTIF($I$2:I2050,"&gt;0"))</f>
        <v/>
      </c>
      <c r="K2050" s="21" t="str">
        <f t="shared" ref="K2050:K2113" ca="1" si="155">IFERROR(INDEX(A:A,MATCH(ROW(I2049),J:J,0)),"")</f>
        <v/>
      </c>
    </row>
    <row r="2051" spans="1:11" s="18" customFormat="1" ht="14.25" x14ac:dyDescent="0.2">
      <c r="A2051" s="18" t="str">
        <f t="shared" si="153"/>
        <v>Eintrag 2050</v>
      </c>
      <c r="B2051" s="18">
        <v>100</v>
      </c>
      <c r="C2051" s="19">
        <v>100</v>
      </c>
      <c r="D2051" s="20">
        <v>10</v>
      </c>
      <c r="E2051" s="20">
        <v>10</v>
      </c>
      <c r="F2051" s="20">
        <v>10</v>
      </c>
      <c r="G2051" s="19">
        <f t="shared" ref="G2051:G2114" si="156">D2051*9+E2051*4.1+F2051*4.1</f>
        <v>172</v>
      </c>
      <c r="H2051" s="22">
        <f t="shared" si="154"/>
        <v>2050</v>
      </c>
      <c r="I2051" s="21">
        <f t="shared" ca="1" si="152"/>
        <v>0</v>
      </c>
      <c r="J2051" s="21" t="str">
        <f ca="1">IF(I2051=0,"",COUNTIF($I$2:I2051,"&gt;0"))</f>
        <v/>
      </c>
      <c r="K2051" s="21" t="str">
        <f t="shared" ca="1" si="155"/>
        <v/>
      </c>
    </row>
    <row r="2052" spans="1:11" s="18" customFormat="1" ht="14.25" x14ac:dyDescent="0.2">
      <c r="A2052" s="18" t="str">
        <f t="shared" si="153"/>
        <v>Eintrag 2051</v>
      </c>
      <c r="B2052" s="18">
        <v>100</v>
      </c>
      <c r="C2052" s="19">
        <v>100</v>
      </c>
      <c r="D2052" s="20">
        <v>10</v>
      </c>
      <c r="E2052" s="20">
        <v>10</v>
      </c>
      <c r="F2052" s="20">
        <v>10</v>
      </c>
      <c r="G2052" s="19">
        <f t="shared" si="156"/>
        <v>172</v>
      </c>
      <c r="H2052" s="22">
        <f t="shared" si="154"/>
        <v>2051</v>
      </c>
      <c r="I2052" s="21">
        <f t="shared" ca="1" si="152"/>
        <v>0</v>
      </c>
      <c r="J2052" s="21" t="str">
        <f ca="1">IF(I2052=0,"",COUNTIF($I$2:I2052,"&gt;0"))</f>
        <v/>
      </c>
      <c r="K2052" s="21" t="str">
        <f t="shared" ca="1" si="155"/>
        <v/>
      </c>
    </row>
    <row r="2053" spans="1:11" s="18" customFormat="1" ht="14.25" x14ac:dyDescent="0.2">
      <c r="A2053" s="18" t="str">
        <f t="shared" si="153"/>
        <v>Eintrag 2052</v>
      </c>
      <c r="B2053" s="18">
        <v>100</v>
      </c>
      <c r="C2053" s="19">
        <v>100</v>
      </c>
      <c r="D2053" s="20">
        <v>10</v>
      </c>
      <c r="E2053" s="20">
        <v>10</v>
      </c>
      <c r="F2053" s="20">
        <v>10</v>
      </c>
      <c r="G2053" s="19">
        <f t="shared" si="156"/>
        <v>172</v>
      </c>
      <c r="H2053" s="22">
        <f t="shared" si="154"/>
        <v>2052</v>
      </c>
      <c r="I2053" s="21">
        <f t="shared" ca="1" si="152"/>
        <v>0</v>
      </c>
      <c r="J2053" s="21" t="str">
        <f ca="1">IF(I2053=0,"",COUNTIF($I$2:I2053,"&gt;0"))</f>
        <v/>
      </c>
      <c r="K2053" s="21" t="str">
        <f t="shared" ca="1" si="155"/>
        <v/>
      </c>
    </row>
    <row r="2054" spans="1:11" s="18" customFormat="1" ht="14.25" x14ac:dyDescent="0.2">
      <c r="A2054" s="18" t="str">
        <f t="shared" si="153"/>
        <v>Eintrag 2053</v>
      </c>
      <c r="B2054" s="18">
        <v>100</v>
      </c>
      <c r="C2054" s="19">
        <v>100</v>
      </c>
      <c r="D2054" s="20">
        <v>10</v>
      </c>
      <c r="E2054" s="20">
        <v>10</v>
      </c>
      <c r="F2054" s="20">
        <v>10</v>
      </c>
      <c r="G2054" s="19">
        <f t="shared" si="156"/>
        <v>172</v>
      </c>
      <c r="H2054" s="22">
        <f t="shared" si="154"/>
        <v>2053</v>
      </c>
      <c r="I2054" s="21">
        <f t="shared" ca="1" si="152"/>
        <v>0</v>
      </c>
      <c r="J2054" s="21" t="str">
        <f ca="1">IF(I2054=0,"",COUNTIF($I$2:I2054,"&gt;0"))</f>
        <v/>
      </c>
      <c r="K2054" s="21" t="str">
        <f t="shared" ca="1" si="155"/>
        <v/>
      </c>
    </row>
    <row r="2055" spans="1:11" s="18" customFormat="1" ht="14.25" x14ac:dyDescent="0.2">
      <c r="A2055" s="18" t="str">
        <f t="shared" si="153"/>
        <v>Eintrag 2054</v>
      </c>
      <c r="B2055" s="18">
        <v>100</v>
      </c>
      <c r="C2055" s="19">
        <v>100</v>
      </c>
      <c r="D2055" s="20">
        <v>10</v>
      </c>
      <c r="E2055" s="20">
        <v>10</v>
      </c>
      <c r="F2055" s="20">
        <v>10</v>
      </c>
      <c r="G2055" s="19">
        <f t="shared" si="156"/>
        <v>172</v>
      </c>
      <c r="H2055" s="22">
        <f t="shared" si="154"/>
        <v>2054</v>
      </c>
      <c r="I2055" s="21">
        <f t="shared" ca="1" si="152"/>
        <v>0</v>
      </c>
      <c r="J2055" s="21" t="str">
        <f ca="1">IF(I2055=0,"",COUNTIF($I$2:I2055,"&gt;0"))</f>
        <v/>
      </c>
      <c r="K2055" s="21" t="str">
        <f t="shared" ca="1" si="155"/>
        <v/>
      </c>
    </row>
    <row r="2056" spans="1:11" s="18" customFormat="1" ht="14.25" x14ac:dyDescent="0.2">
      <c r="A2056" s="18" t="str">
        <f t="shared" si="153"/>
        <v>Eintrag 2055</v>
      </c>
      <c r="B2056" s="18">
        <v>100</v>
      </c>
      <c r="C2056" s="19">
        <v>100</v>
      </c>
      <c r="D2056" s="20">
        <v>10</v>
      </c>
      <c r="E2056" s="20">
        <v>10</v>
      </c>
      <c r="F2056" s="20">
        <v>10</v>
      </c>
      <c r="G2056" s="19">
        <f t="shared" si="156"/>
        <v>172</v>
      </c>
      <c r="H2056" s="22">
        <f t="shared" si="154"/>
        <v>2055</v>
      </c>
      <c r="I2056" s="21">
        <f t="shared" ca="1" si="152"/>
        <v>0</v>
      </c>
      <c r="J2056" s="21" t="str">
        <f ca="1">IF(I2056=0,"",COUNTIF($I$2:I2056,"&gt;0"))</f>
        <v/>
      </c>
      <c r="K2056" s="21" t="str">
        <f t="shared" ca="1" si="155"/>
        <v/>
      </c>
    </row>
    <row r="2057" spans="1:11" s="18" customFormat="1" ht="14.25" x14ac:dyDescent="0.2">
      <c r="A2057" s="18" t="str">
        <f t="shared" si="153"/>
        <v>Eintrag 2056</v>
      </c>
      <c r="B2057" s="18">
        <v>100</v>
      </c>
      <c r="C2057" s="19">
        <v>100</v>
      </c>
      <c r="D2057" s="20">
        <v>10</v>
      </c>
      <c r="E2057" s="20">
        <v>10</v>
      </c>
      <c r="F2057" s="20">
        <v>10</v>
      </c>
      <c r="G2057" s="19">
        <f t="shared" si="156"/>
        <v>172</v>
      </c>
      <c r="H2057" s="22">
        <f t="shared" si="154"/>
        <v>2056</v>
      </c>
      <c r="I2057" s="21">
        <f t="shared" ca="1" si="152"/>
        <v>0</v>
      </c>
      <c r="J2057" s="21" t="str">
        <f ca="1">IF(I2057=0,"",COUNTIF($I$2:I2057,"&gt;0"))</f>
        <v/>
      </c>
      <c r="K2057" s="21" t="str">
        <f t="shared" ca="1" si="155"/>
        <v/>
      </c>
    </row>
    <row r="2058" spans="1:11" s="18" customFormat="1" ht="14.25" x14ac:dyDescent="0.2">
      <c r="A2058" s="18" t="str">
        <f t="shared" si="153"/>
        <v>Eintrag 2057</v>
      </c>
      <c r="B2058" s="18">
        <v>100</v>
      </c>
      <c r="C2058" s="19">
        <v>100</v>
      </c>
      <c r="D2058" s="20">
        <v>10</v>
      </c>
      <c r="E2058" s="20">
        <v>10</v>
      </c>
      <c r="F2058" s="20">
        <v>10</v>
      </c>
      <c r="G2058" s="19">
        <f t="shared" si="156"/>
        <v>172</v>
      </c>
      <c r="H2058" s="22">
        <f t="shared" si="154"/>
        <v>2057</v>
      </c>
      <c r="I2058" s="21">
        <f t="shared" ca="1" si="152"/>
        <v>0</v>
      </c>
      <c r="J2058" s="21" t="str">
        <f ca="1">IF(I2058=0,"",COUNTIF($I$2:I2058,"&gt;0"))</f>
        <v/>
      </c>
      <c r="K2058" s="21" t="str">
        <f t="shared" ca="1" si="155"/>
        <v/>
      </c>
    </row>
    <row r="2059" spans="1:11" s="18" customFormat="1" ht="14.25" x14ac:dyDescent="0.2">
      <c r="A2059" s="18" t="str">
        <f t="shared" si="153"/>
        <v>Eintrag 2058</v>
      </c>
      <c r="B2059" s="18">
        <v>100</v>
      </c>
      <c r="C2059" s="19">
        <v>100</v>
      </c>
      <c r="D2059" s="20">
        <v>10</v>
      </c>
      <c r="E2059" s="20">
        <v>10</v>
      </c>
      <c r="F2059" s="20">
        <v>10</v>
      </c>
      <c r="G2059" s="19">
        <f t="shared" si="156"/>
        <v>172</v>
      </c>
      <c r="H2059" s="22">
        <f t="shared" si="154"/>
        <v>2058</v>
      </c>
      <c r="I2059" s="21">
        <f t="shared" ca="1" si="152"/>
        <v>0</v>
      </c>
      <c r="J2059" s="21" t="str">
        <f ca="1">IF(I2059=0,"",COUNTIF($I$2:I2059,"&gt;0"))</f>
        <v/>
      </c>
      <c r="K2059" s="21" t="str">
        <f t="shared" ca="1" si="155"/>
        <v/>
      </c>
    </row>
    <row r="2060" spans="1:11" s="18" customFormat="1" ht="14.25" x14ac:dyDescent="0.2">
      <c r="A2060" s="18" t="str">
        <f t="shared" si="153"/>
        <v>Eintrag 2059</v>
      </c>
      <c r="B2060" s="18">
        <v>100</v>
      </c>
      <c r="C2060" s="19">
        <v>100</v>
      </c>
      <c r="D2060" s="20">
        <v>10</v>
      </c>
      <c r="E2060" s="20">
        <v>10</v>
      </c>
      <c r="F2060" s="20">
        <v>10</v>
      </c>
      <c r="G2060" s="19">
        <f t="shared" si="156"/>
        <v>172</v>
      </c>
      <c r="H2060" s="22">
        <f t="shared" si="154"/>
        <v>2059</v>
      </c>
      <c r="I2060" s="21">
        <f t="shared" ca="1" si="152"/>
        <v>0</v>
      </c>
      <c r="J2060" s="21" t="str">
        <f ca="1">IF(I2060=0,"",COUNTIF($I$2:I2060,"&gt;0"))</f>
        <v/>
      </c>
      <c r="K2060" s="21" t="str">
        <f t="shared" ca="1" si="155"/>
        <v/>
      </c>
    </row>
    <row r="2061" spans="1:11" s="18" customFormat="1" ht="14.25" x14ac:dyDescent="0.2">
      <c r="A2061" s="18" t="str">
        <f t="shared" si="153"/>
        <v>Eintrag 2060</v>
      </c>
      <c r="B2061" s="18">
        <v>100</v>
      </c>
      <c r="C2061" s="19">
        <v>100</v>
      </c>
      <c r="D2061" s="20">
        <v>10</v>
      </c>
      <c r="E2061" s="20">
        <v>10</v>
      </c>
      <c r="F2061" s="20">
        <v>10</v>
      </c>
      <c r="G2061" s="19">
        <f t="shared" si="156"/>
        <v>172</v>
      </c>
      <c r="H2061" s="22">
        <f t="shared" si="154"/>
        <v>2060</v>
      </c>
      <c r="I2061" s="21">
        <f t="shared" ca="1" si="152"/>
        <v>0</v>
      </c>
      <c r="J2061" s="21" t="str">
        <f ca="1">IF(I2061=0,"",COUNTIF($I$2:I2061,"&gt;0"))</f>
        <v/>
      </c>
      <c r="K2061" s="21" t="str">
        <f t="shared" ca="1" si="155"/>
        <v/>
      </c>
    </row>
    <row r="2062" spans="1:11" s="18" customFormat="1" ht="14.25" x14ac:dyDescent="0.2">
      <c r="A2062" s="18" t="str">
        <f t="shared" si="153"/>
        <v>Eintrag 2061</v>
      </c>
      <c r="B2062" s="18">
        <v>100</v>
      </c>
      <c r="C2062" s="19">
        <v>100</v>
      </c>
      <c r="D2062" s="20">
        <v>10</v>
      </c>
      <c r="E2062" s="20">
        <v>10</v>
      </c>
      <c r="F2062" s="20">
        <v>10</v>
      </c>
      <c r="G2062" s="19">
        <f t="shared" si="156"/>
        <v>172</v>
      </c>
      <c r="H2062" s="22">
        <f t="shared" si="154"/>
        <v>2061</v>
      </c>
      <c r="I2062" s="21">
        <f t="shared" ca="1" si="152"/>
        <v>0</v>
      </c>
      <c r="J2062" s="21" t="str">
        <f ca="1">IF(I2062=0,"",COUNTIF($I$2:I2062,"&gt;0"))</f>
        <v/>
      </c>
      <c r="K2062" s="21" t="str">
        <f t="shared" ca="1" si="155"/>
        <v/>
      </c>
    </row>
    <row r="2063" spans="1:11" s="18" customFormat="1" ht="14.25" x14ac:dyDescent="0.2">
      <c r="A2063" s="18" t="str">
        <f t="shared" si="153"/>
        <v>Eintrag 2062</v>
      </c>
      <c r="B2063" s="18">
        <v>100</v>
      </c>
      <c r="C2063" s="19">
        <v>100</v>
      </c>
      <c r="D2063" s="20">
        <v>10</v>
      </c>
      <c r="E2063" s="20">
        <v>10</v>
      </c>
      <c r="F2063" s="20">
        <v>10</v>
      </c>
      <c r="G2063" s="19">
        <f t="shared" si="156"/>
        <v>172</v>
      </c>
      <c r="H2063" s="22">
        <f t="shared" si="154"/>
        <v>2062</v>
      </c>
      <c r="I2063" s="21">
        <f t="shared" ca="1" si="152"/>
        <v>0</v>
      </c>
      <c r="J2063" s="21" t="str">
        <f ca="1">IF(I2063=0,"",COUNTIF($I$2:I2063,"&gt;0"))</f>
        <v/>
      </c>
      <c r="K2063" s="21" t="str">
        <f t="shared" ca="1" si="155"/>
        <v/>
      </c>
    </row>
    <row r="2064" spans="1:11" s="18" customFormat="1" ht="14.25" x14ac:dyDescent="0.2">
      <c r="A2064" s="18" t="str">
        <f t="shared" si="153"/>
        <v>Eintrag 2063</v>
      </c>
      <c r="B2064" s="18">
        <v>100</v>
      </c>
      <c r="C2064" s="19">
        <v>100</v>
      </c>
      <c r="D2064" s="20">
        <v>10</v>
      </c>
      <c r="E2064" s="20">
        <v>10</v>
      </c>
      <c r="F2064" s="20">
        <v>10</v>
      </c>
      <c r="G2064" s="19">
        <f t="shared" si="156"/>
        <v>172</v>
      </c>
      <c r="H2064" s="22">
        <f t="shared" si="154"/>
        <v>2063</v>
      </c>
      <c r="I2064" s="21">
        <f t="shared" ca="1" si="152"/>
        <v>0</v>
      </c>
      <c r="J2064" s="21" t="str">
        <f ca="1">IF(I2064=0,"",COUNTIF($I$2:I2064,"&gt;0"))</f>
        <v/>
      </c>
      <c r="K2064" s="21" t="str">
        <f t="shared" ca="1" si="155"/>
        <v/>
      </c>
    </row>
    <row r="2065" spans="1:11" s="18" customFormat="1" ht="14.25" x14ac:dyDescent="0.2">
      <c r="A2065" s="18" t="str">
        <f t="shared" si="153"/>
        <v>Eintrag 2064</v>
      </c>
      <c r="B2065" s="18">
        <v>100</v>
      </c>
      <c r="C2065" s="19">
        <v>100</v>
      </c>
      <c r="D2065" s="20">
        <v>10</v>
      </c>
      <c r="E2065" s="20">
        <v>10</v>
      </c>
      <c r="F2065" s="20">
        <v>10</v>
      </c>
      <c r="G2065" s="19">
        <f t="shared" si="156"/>
        <v>172</v>
      </c>
      <c r="H2065" s="22">
        <f t="shared" si="154"/>
        <v>2064</v>
      </c>
      <c r="I2065" s="21">
        <f t="shared" ca="1" si="152"/>
        <v>0</v>
      </c>
      <c r="J2065" s="21" t="str">
        <f ca="1">IF(I2065=0,"",COUNTIF($I$2:I2065,"&gt;0"))</f>
        <v/>
      </c>
      <c r="K2065" s="21" t="str">
        <f t="shared" ca="1" si="155"/>
        <v/>
      </c>
    </row>
    <row r="2066" spans="1:11" s="18" customFormat="1" ht="14.25" x14ac:dyDescent="0.2">
      <c r="A2066" s="18" t="str">
        <f t="shared" si="153"/>
        <v>Eintrag 2065</v>
      </c>
      <c r="B2066" s="18">
        <v>100</v>
      </c>
      <c r="C2066" s="19">
        <v>100</v>
      </c>
      <c r="D2066" s="20">
        <v>10</v>
      </c>
      <c r="E2066" s="20">
        <v>10</v>
      </c>
      <c r="F2066" s="20">
        <v>10</v>
      </c>
      <c r="G2066" s="19">
        <f t="shared" si="156"/>
        <v>172</v>
      </c>
      <c r="H2066" s="22">
        <f t="shared" si="154"/>
        <v>2065</v>
      </c>
      <c r="I2066" s="21">
        <f t="shared" ca="1" si="152"/>
        <v>0</v>
      </c>
      <c r="J2066" s="21" t="str">
        <f ca="1">IF(I2066=0,"",COUNTIF($I$2:I2066,"&gt;0"))</f>
        <v/>
      </c>
      <c r="K2066" s="21" t="str">
        <f t="shared" ca="1" si="155"/>
        <v/>
      </c>
    </row>
    <row r="2067" spans="1:11" s="18" customFormat="1" ht="14.25" x14ac:dyDescent="0.2">
      <c r="A2067" s="18" t="str">
        <f t="shared" si="153"/>
        <v>Eintrag 2066</v>
      </c>
      <c r="B2067" s="18">
        <v>100</v>
      </c>
      <c r="C2067" s="19">
        <v>100</v>
      </c>
      <c r="D2067" s="20">
        <v>10</v>
      </c>
      <c r="E2067" s="20">
        <v>10</v>
      </c>
      <c r="F2067" s="20">
        <v>10</v>
      </c>
      <c r="G2067" s="19">
        <f t="shared" si="156"/>
        <v>172</v>
      </c>
      <c r="H2067" s="22">
        <f t="shared" si="154"/>
        <v>2066</v>
      </c>
      <c r="I2067" s="21">
        <f t="shared" ca="1" si="152"/>
        <v>0</v>
      </c>
      <c r="J2067" s="21" t="str">
        <f ca="1">IF(I2067=0,"",COUNTIF($I$2:I2067,"&gt;0"))</f>
        <v/>
      </c>
      <c r="K2067" s="21" t="str">
        <f t="shared" ca="1" si="155"/>
        <v/>
      </c>
    </row>
    <row r="2068" spans="1:11" s="18" customFormat="1" ht="14.25" x14ac:dyDescent="0.2">
      <c r="A2068" s="18" t="str">
        <f t="shared" si="153"/>
        <v>Eintrag 2067</v>
      </c>
      <c r="B2068" s="18">
        <v>100</v>
      </c>
      <c r="C2068" s="19">
        <v>100</v>
      </c>
      <c r="D2068" s="20">
        <v>10</v>
      </c>
      <c r="E2068" s="20">
        <v>10</v>
      </c>
      <c r="F2068" s="20">
        <v>10</v>
      </c>
      <c r="G2068" s="19">
        <f t="shared" si="156"/>
        <v>172</v>
      </c>
      <c r="H2068" s="22">
        <f t="shared" si="154"/>
        <v>2067</v>
      </c>
      <c r="I2068" s="21">
        <f t="shared" ca="1" si="152"/>
        <v>0</v>
      </c>
      <c r="J2068" s="21" t="str">
        <f ca="1">IF(I2068=0,"",COUNTIF($I$2:I2068,"&gt;0"))</f>
        <v/>
      </c>
      <c r="K2068" s="21" t="str">
        <f t="shared" ca="1" si="155"/>
        <v/>
      </c>
    </row>
    <row r="2069" spans="1:11" s="18" customFormat="1" ht="14.25" x14ac:dyDescent="0.2">
      <c r="A2069" s="18" t="str">
        <f t="shared" si="153"/>
        <v>Eintrag 2068</v>
      </c>
      <c r="B2069" s="18">
        <v>100</v>
      </c>
      <c r="C2069" s="19">
        <v>100</v>
      </c>
      <c r="D2069" s="20">
        <v>10</v>
      </c>
      <c r="E2069" s="20">
        <v>10</v>
      </c>
      <c r="F2069" s="20">
        <v>10</v>
      </c>
      <c r="G2069" s="19">
        <f t="shared" si="156"/>
        <v>172</v>
      </c>
      <c r="H2069" s="22">
        <f t="shared" si="154"/>
        <v>2068</v>
      </c>
      <c r="I2069" s="21">
        <f t="shared" ca="1" si="152"/>
        <v>0</v>
      </c>
      <c r="J2069" s="21" t="str">
        <f ca="1">IF(I2069=0,"",COUNTIF($I$2:I2069,"&gt;0"))</f>
        <v/>
      </c>
      <c r="K2069" s="21" t="str">
        <f t="shared" ca="1" si="155"/>
        <v/>
      </c>
    </row>
    <row r="2070" spans="1:11" s="18" customFormat="1" ht="14.25" x14ac:dyDescent="0.2">
      <c r="A2070" s="18" t="str">
        <f t="shared" si="153"/>
        <v>Eintrag 2069</v>
      </c>
      <c r="B2070" s="18">
        <v>100</v>
      </c>
      <c r="C2070" s="19">
        <v>100</v>
      </c>
      <c r="D2070" s="20">
        <v>10</v>
      </c>
      <c r="E2070" s="20">
        <v>10</v>
      </c>
      <c r="F2070" s="20">
        <v>10</v>
      </c>
      <c r="G2070" s="19">
        <f t="shared" si="156"/>
        <v>172</v>
      </c>
      <c r="H2070" s="22">
        <f t="shared" si="154"/>
        <v>2069</v>
      </c>
      <c r="I2070" s="21">
        <f t="shared" ca="1" si="152"/>
        <v>0</v>
      </c>
      <c r="J2070" s="21" t="str">
        <f ca="1">IF(I2070=0,"",COUNTIF($I$2:I2070,"&gt;0"))</f>
        <v/>
      </c>
      <c r="K2070" s="21" t="str">
        <f t="shared" ca="1" si="155"/>
        <v/>
      </c>
    </row>
    <row r="2071" spans="1:11" s="18" customFormat="1" ht="14.25" x14ac:dyDescent="0.2">
      <c r="A2071" s="18" t="str">
        <f t="shared" si="153"/>
        <v>Eintrag 2070</v>
      </c>
      <c r="B2071" s="18">
        <v>100</v>
      </c>
      <c r="C2071" s="19">
        <v>100</v>
      </c>
      <c r="D2071" s="20">
        <v>10</v>
      </c>
      <c r="E2071" s="20">
        <v>10</v>
      </c>
      <c r="F2071" s="20">
        <v>10</v>
      </c>
      <c r="G2071" s="19">
        <f t="shared" si="156"/>
        <v>172</v>
      </c>
      <c r="H2071" s="22">
        <f t="shared" si="154"/>
        <v>2070</v>
      </c>
      <c r="I2071" s="21">
        <f t="shared" ref="I2071:I2134" ca="1" si="157">IFERROR(SEARCH(INDIRECT(CELL("address")),A2071),0)</f>
        <v>0</v>
      </c>
      <c r="J2071" s="21" t="str">
        <f ca="1">IF(I2071=0,"",COUNTIF($I$2:I2071,"&gt;0"))</f>
        <v/>
      </c>
      <c r="K2071" s="21" t="str">
        <f t="shared" ca="1" si="155"/>
        <v/>
      </c>
    </row>
    <row r="2072" spans="1:11" s="18" customFormat="1" ht="14.25" x14ac:dyDescent="0.2">
      <c r="A2072" s="18" t="str">
        <f t="shared" si="153"/>
        <v>Eintrag 2071</v>
      </c>
      <c r="B2072" s="18">
        <v>100</v>
      </c>
      <c r="C2072" s="19">
        <v>100</v>
      </c>
      <c r="D2072" s="20">
        <v>10</v>
      </c>
      <c r="E2072" s="20">
        <v>10</v>
      </c>
      <c r="F2072" s="20">
        <v>10</v>
      </c>
      <c r="G2072" s="19">
        <f t="shared" si="156"/>
        <v>172</v>
      </c>
      <c r="H2072" s="22">
        <f t="shared" si="154"/>
        <v>2071</v>
      </c>
      <c r="I2072" s="21">
        <f t="shared" ca="1" si="157"/>
        <v>0</v>
      </c>
      <c r="J2072" s="21" t="str">
        <f ca="1">IF(I2072=0,"",COUNTIF($I$2:I2072,"&gt;0"))</f>
        <v/>
      </c>
      <c r="K2072" s="21" t="str">
        <f t="shared" ca="1" si="155"/>
        <v/>
      </c>
    </row>
    <row r="2073" spans="1:11" s="18" customFormat="1" ht="14.25" x14ac:dyDescent="0.2">
      <c r="A2073" s="18" t="str">
        <f t="shared" si="153"/>
        <v>Eintrag 2072</v>
      </c>
      <c r="B2073" s="18">
        <v>100</v>
      </c>
      <c r="C2073" s="19">
        <v>100</v>
      </c>
      <c r="D2073" s="20">
        <v>10</v>
      </c>
      <c r="E2073" s="20">
        <v>10</v>
      </c>
      <c r="F2073" s="20">
        <v>10</v>
      </c>
      <c r="G2073" s="19">
        <f t="shared" si="156"/>
        <v>172</v>
      </c>
      <c r="H2073" s="22">
        <f t="shared" si="154"/>
        <v>2072</v>
      </c>
      <c r="I2073" s="21">
        <f t="shared" ca="1" si="157"/>
        <v>0</v>
      </c>
      <c r="J2073" s="21" t="str">
        <f ca="1">IF(I2073=0,"",COUNTIF($I$2:I2073,"&gt;0"))</f>
        <v/>
      </c>
      <c r="K2073" s="21" t="str">
        <f t="shared" ca="1" si="155"/>
        <v/>
      </c>
    </row>
    <row r="2074" spans="1:11" s="18" customFormat="1" ht="14.25" x14ac:dyDescent="0.2">
      <c r="A2074" s="18" t="str">
        <f t="shared" si="153"/>
        <v>Eintrag 2073</v>
      </c>
      <c r="B2074" s="18">
        <v>100</v>
      </c>
      <c r="C2074" s="19">
        <v>100</v>
      </c>
      <c r="D2074" s="20">
        <v>10</v>
      </c>
      <c r="E2074" s="20">
        <v>10</v>
      </c>
      <c r="F2074" s="20">
        <v>10</v>
      </c>
      <c r="G2074" s="19">
        <f t="shared" si="156"/>
        <v>172</v>
      </c>
      <c r="H2074" s="22">
        <f t="shared" si="154"/>
        <v>2073</v>
      </c>
      <c r="I2074" s="21">
        <f t="shared" ca="1" si="157"/>
        <v>0</v>
      </c>
      <c r="J2074" s="21" t="str">
        <f ca="1">IF(I2074=0,"",COUNTIF($I$2:I2074,"&gt;0"))</f>
        <v/>
      </c>
      <c r="K2074" s="21" t="str">
        <f t="shared" ca="1" si="155"/>
        <v/>
      </c>
    </row>
    <row r="2075" spans="1:11" s="18" customFormat="1" ht="14.25" x14ac:dyDescent="0.2">
      <c r="A2075" s="18" t="str">
        <f t="shared" si="153"/>
        <v>Eintrag 2074</v>
      </c>
      <c r="B2075" s="18">
        <v>100</v>
      </c>
      <c r="C2075" s="19">
        <v>100</v>
      </c>
      <c r="D2075" s="20">
        <v>10</v>
      </c>
      <c r="E2075" s="20">
        <v>10</v>
      </c>
      <c r="F2075" s="20">
        <v>10</v>
      </c>
      <c r="G2075" s="19">
        <f t="shared" si="156"/>
        <v>172</v>
      </c>
      <c r="H2075" s="22">
        <f t="shared" si="154"/>
        <v>2074</v>
      </c>
      <c r="I2075" s="21">
        <f t="shared" ca="1" si="157"/>
        <v>0</v>
      </c>
      <c r="J2075" s="21" t="str">
        <f ca="1">IF(I2075=0,"",COUNTIF($I$2:I2075,"&gt;0"))</f>
        <v/>
      </c>
      <c r="K2075" s="21" t="str">
        <f t="shared" ca="1" si="155"/>
        <v/>
      </c>
    </row>
    <row r="2076" spans="1:11" s="18" customFormat="1" ht="14.25" x14ac:dyDescent="0.2">
      <c r="A2076" s="18" t="str">
        <f t="shared" si="153"/>
        <v>Eintrag 2075</v>
      </c>
      <c r="B2076" s="18">
        <v>100</v>
      </c>
      <c r="C2076" s="19">
        <v>100</v>
      </c>
      <c r="D2076" s="20">
        <v>10</v>
      </c>
      <c r="E2076" s="20">
        <v>10</v>
      </c>
      <c r="F2076" s="20">
        <v>10</v>
      </c>
      <c r="G2076" s="19">
        <f t="shared" si="156"/>
        <v>172</v>
      </c>
      <c r="H2076" s="22">
        <f t="shared" si="154"/>
        <v>2075</v>
      </c>
      <c r="I2076" s="21">
        <f t="shared" ca="1" si="157"/>
        <v>0</v>
      </c>
      <c r="J2076" s="21" t="str">
        <f ca="1">IF(I2076=0,"",COUNTIF($I$2:I2076,"&gt;0"))</f>
        <v/>
      </c>
      <c r="K2076" s="21" t="str">
        <f t="shared" ca="1" si="155"/>
        <v/>
      </c>
    </row>
    <row r="2077" spans="1:11" s="18" customFormat="1" ht="14.25" x14ac:dyDescent="0.2">
      <c r="A2077" s="18" t="str">
        <f t="shared" si="153"/>
        <v>Eintrag 2076</v>
      </c>
      <c r="B2077" s="18">
        <v>100</v>
      </c>
      <c r="C2077" s="19">
        <v>100</v>
      </c>
      <c r="D2077" s="20">
        <v>10</v>
      </c>
      <c r="E2077" s="20">
        <v>10</v>
      </c>
      <c r="F2077" s="20">
        <v>10</v>
      </c>
      <c r="G2077" s="19">
        <f t="shared" si="156"/>
        <v>172</v>
      </c>
      <c r="H2077" s="22">
        <f t="shared" si="154"/>
        <v>2076</v>
      </c>
      <c r="I2077" s="21">
        <f t="shared" ca="1" si="157"/>
        <v>0</v>
      </c>
      <c r="J2077" s="21" t="str">
        <f ca="1">IF(I2077=0,"",COUNTIF($I$2:I2077,"&gt;0"))</f>
        <v/>
      </c>
      <c r="K2077" s="21" t="str">
        <f t="shared" ca="1" si="155"/>
        <v/>
      </c>
    </row>
    <row r="2078" spans="1:11" s="18" customFormat="1" ht="14.25" x14ac:dyDescent="0.2">
      <c r="A2078" s="18" t="str">
        <f t="shared" si="153"/>
        <v>Eintrag 2077</v>
      </c>
      <c r="B2078" s="18">
        <v>100</v>
      </c>
      <c r="C2078" s="19">
        <v>100</v>
      </c>
      <c r="D2078" s="20">
        <v>10</v>
      </c>
      <c r="E2078" s="20">
        <v>10</v>
      </c>
      <c r="F2078" s="20">
        <v>10</v>
      </c>
      <c r="G2078" s="19">
        <f t="shared" si="156"/>
        <v>172</v>
      </c>
      <c r="H2078" s="22">
        <f t="shared" si="154"/>
        <v>2077</v>
      </c>
      <c r="I2078" s="21">
        <f t="shared" ca="1" si="157"/>
        <v>0</v>
      </c>
      <c r="J2078" s="21" t="str">
        <f ca="1">IF(I2078=0,"",COUNTIF($I$2:I2078,"&gt;0"))</f>
        <v/>
      </c>
      <c r="K2078" s="21" t="str">
        <f t="shared" ca="1" si="155"/>
        <v/>
      </c>
    </row>
    <row r="2079" spans="1:11" s="18" customFormat="1" ht="14.25" x14ac:dyDescent="0.2">
      <c r="A2079" s="18" t="str">
        <f t="shared" si="153"/>
        <v>Eintrag 2078</v>
      </c>
      <c r="B2079" s="18">
        <v>100</v>
      </c>
      <c r="C2079" s="19">
        <v>100</v>
      </c>
      <c r="D2079" s="20">
        <v>10</v>
      </c>
      <c r="E2079" s="20">
        <v>10</v>
      </c>
      <c r="F2079" s="20">
        <v>10</v>
      </c>
      <c r="G2079" s="19">
        <f t="shared" si="156"/>
        <v>172</v>
      </c>
      <c r="H2079" s="22">
        <f t="shared" si="154"/>
        <v>2078</v>
      </c>
      <c r="I2079" s="21">
        <f t="shared" ca="1" si="157"/>
        <v>0</v>
      </c>
      <c r="J2079" s="21" t="str">
        <f ca="1">IF(I2079=0,"",COUNTIF($I$2:I2079,"&gt;0"))</f>
        <v/>
      </c>
      <c r="K2079" s="21" t="str">
        <f t="shared" ca="1" si="155"/>
        <v/>
      </c>
    </row>
    <row r="2080" spans="1:11" s="18" customFormat="1" ht="14.25" x14ac:dyDescent="0.2">
      <c r="A2080" s="18" t="str">
        <f t="shared" si="153"/>
        <v>Eintrag 2079</v>
      </c>
      <c r="B2080" s="18">
        <v>100</v>
      </c>
      <c r="C2080" s="19">
        <v>100</v>
      </c>
      <c r="D2080" s="20">
        <v>10</v>
      </c>
      <c r="E2080" s="20">
        <v>10</v>
      </c>
      <c r="F2080" s="20">
        <v>10</v>
      </c>
      <c r="G2080" s="19">
        <f t="shared" si="156"/>
        <v>172</v>
      </c>
      <c r="H2080" s="22">
        <f t="shared" si="154"/>
        <v>2079</v>
      </c>
      <c r="I2080" s="21">
        <f t="shared" ca="1" si="157"/>
        <v>0</v>
      </c>
      <c r="J2080" s="21" t="str">
        <f ca="1">IF(I2080=0,"",COUNTIF($I$2:I2080,"&gt;0"))</f>
        <v/>
      </c>
      <c r="K2080" s="21" t="str">
        <f t="shared" ca="1" si="155"/>
        <v/>
      </c>
    </row>
    <row r="2081" spans="1:11" s="18" customFormat="1" ht="14.25" x14ac:dyDescent="0.2">
      <c r="A2081" s="18" t="str">
        <f t="shared" ref="A2081:A2144" si="158">CONCATENATE("Eintrag ",H2081)</f>
        <v>Eintrag 2080</v>
      </c>
      <c r="B2081" s="18">
        <v>100</v>
      </c>
      <c r="C2081" s="19">
        <v>100</v>
      </c>
      <c r="D2081" s="20">
        <v>10</v>
      </c>
      <c r="E2081" s="20">
        <v>10</v>
      </c>
      <c r="F2081" s="20">
        <v>10</v>
      </c>
      <c r="G2081" s="19">
        <f t="shared" si="156"/>
        <v>172</v>
      </c>
      <c r="H2081" s="22">
        <f t="shared" si="154"/>
        <v>2080</v>
      </c>
      <c r="I2081" s="21">
        <f t="shared" ca="1" si="157"/>
        <v>0</v>
      </c>
      <c r="J2081" s="21" t="str">
        <f ca="1">IF(I2081=0,"",COUNTIF($I$2:I2081,"&gt;0"))</f>
        <v/>
      </c>
      <c r="K2081" s="21" t="str">
        <f t="shared" ca="1" si="155"/>
        <v/>
      </c>
    </row>
    <row r="2082" spans="1:11" s="18" customFormat="1" ht="14.25" x14ac:dyDescent="0.2">
      <c r="A2082" s="18" t="str">
        <f t="shared" si="158"/>
        <v>Eintrag 2081</v>
      </c>
      <c r="B2082" s="18">
        <v>100</v>
      </c>
      <c r="C2082" s="19">
        <v>100</v>
      </c>
      <c r="D2082" s="20">
        <v>10</v>
      </c>
      <c r="E2082" s="20">
        <v>10</v>
      </c>
      <c r="F2082" s="20">
        <v>10</v>
      </c>
      <c r="G2082" s="19">
        <f t="shared" si="156"/>
        <v>172</v>
      </c>
      <c r="H2082" s="22">
        <f t="shared" si="154"/>
        <v>2081</v>
      </c>
      <c r="I2082" s="21">
        <f t="shared" ca="1" si="157"/>
        <v>0</v>
      </c>
      <c r="J2082" s="21" t="str">
        <f ca="1">IF(I2082=0,"",COUNTIF($I$2:I2082,"&gt;0"))</f>
        <v/>
      </c>
      <c r="K2082" s="21" t="str">
        <f t="shared" ca="1" si="155"/>
        <v/>
      </c>
    </row>
    <row r="2083" spans="1:11" s="18" customFormat="1" ht="14.25" x14ac:dyDescent="0.2">
      <c r="A2083" s="18" t="str">
        <f t="shared" si="158"/>
        <v>Eintrag 2082</v>
      </c>
      <c r="B2083" s="18">
        <v>100</v>
      </c>
      <c r="C2083" s="19">
        <v>100</v>
      </c>
      <c r="D2083" s="20">
        <v>10</v>
      </c>
      <c r="E2083" s="20">
        <v>10</v>
      </c>
      <c r="F2083" s="20">
        <v>10</v>
      </c>
      <c r="G2083" s="19">
        <f t="shared" si="156"/>
        <v>172</v>
      </c>
      <c r="H2083" s="22">
        <f t="shared" si="154"/>
        <v>2082</v>
      </c>
      <c r="I2083" s="21">
        <f t="shared" ca="1" si="157"/>
        <v>0</v>
      </c>
      <c r="J2083" s="21" t="str">
        <f ca="1">IF(I2083=0,"",COUNTIF($I$2:I2083,"&gt;0"))</f>
        <v/>
      </c>
      <c r="K2083" s="21" t="str">
        <f t="shared" ca="1" si="155"/>
        <v/>
      </c>
    </row>
    <row r="2084" spans="1:11" s="18" customFormat="1" ht="14.25" x14ac:dyDescent="0.2">
      <c r="A2084" s="18" t="str">
        <f t="shared" si="158"/>
        <v>Eintrag 2083</v>
      </c>
      <c r="B2084" s="18">
        <v>100</v>
      </c>
      <c r="C2084" s="19">
        <v>100</v>
      </c>
      <c r="D2084" s="20">
        <v>10</v>
      </c>
      <c r="E2084" s="20">
        <v>10</v>
      </c>
      <c r="F2084" s="20">
        <v>10</v>
      </c>
      <c r="G2084" s="19">
        <f t="shared" si="156"/>
        <v>172</v>
      </c>
      <c r="H2084" s="22">
        <f t="shared" si="154"/>
        <v>2083</v>
      </c>
      <c r="I2084" s="21">
        <f t="shared" ca="1" si="157"/>
        <v>0</v>
      </c>
      <c r="J2084" s="21" t="str">
        <f ca="1">IF(I2084=0,"",COUNTIF($I$2:I2084,"&gt;0"))</f>
        <v/>
      </c>
      <c r="K2084" s="21" t="str">
        <f t="shared" ca="1" si="155"/>
        <v/>
      </c>
    </row>
    <row r="2085" spans="1:11" s="18" customFormat="1" ht="14.25" x14ac:dyDescent="0.2">
      <c r="A2085" s="18" t="str">
        <f t="shared" si="158"/>
        <v>Eintrag 2084</v>
      </c>
      <c r="B2085" s="18">
        <v>100</v>
      </c>
      <c r="C2085" s="19">
        <v>100</v>
      </c>
      <c r="D2085" s="20">
        <v>10</v>
      </c>
      <c r="E2085" s="20">
        <v>10</v>
      </c>
      <c r="F2085" s="20">
        <v>10</v>
      </c>
      <c r="G2085" s="19">
        <f t="shared" si="156"/>
        <v>172</v>
      </c>
      <c r="H2085" s="22">
        <f t="shared" ref="H2085:H2148" si="159">H2084+1</f>
        <v>2084</v>
      </c>
      <c r="I2085" s="21">
        <f t="shared" ca="1" si="157"/>
        <v>0</v>
      </c>
      <c r="J2085" s="21" t="str">
        <f ca="1">IF(I2085=0,"",COUNTIF($I$2:I2085,"&gt;0"))</f>
        <v/>
      </c>
      <c r="K2085" s="21" t="str">
        <f t="shared" ca="1" si="155"/>
        <v/>
      </c>
    </row>
    <row r="2086" spans="1:11" s="18" customFormat="1" ht="14.25" x14ac:dyDescent="0.2">
      <c r="A2086" s="18" t="str">
        <f t="shared" si="158"/>
        <v>Eintrag 2085</v>
      </c>
      <c r="B2086" s="18">
        <v>100</v>
      </c>
      <c r="C2086" s="19">
        <v>100</v>
      </c>
      <c r="D2086" s="20">
        <v>10</v>
      </c>
      <c r="E2086" s="20">
        <v>10</v>
      </c>
      <c r="F2086" s="20">
        <v>10</v>
      </c>
      <c r="G2086" s="19">
        <f t="shared" si="156"/>
        <v>172</v>
      </c>
      <c r="H2086" s="22">
        <f t="shared" si="159"/>
        <v>2085</v>
      </c>
      <c r="I2086" s="21">
        <f t="shared" ca="1" si="157"/>
        <v>0</v>
      </c>
      <c r="J2086" s="21" t="str">
        <f ca="1">IF(I2086=0,"",COUNTIF($I$2:I2086,"&gt;0"))</f>
        <v/>
      </c>
      <c r="K2086" s="21" t="str">
        <f t="shared" ca="1" si="155"/>
        <v/>
      </c>
    </row>
    <row r="2087" spans="1:11" s="18" customFormat="1" ht="14.25" x14ac:dyDescent="0.2">
      <c r="A2087" s="18" t="str">
        <f t="shared" si="158"/>
        <v>Eintrag 2086</v>
      </c>
      <c r="B2087" s="18">
        <v>100</v>
      </c>
      <c r="C2087" s="19">
        <v>100</v>
      </c>
      <c r="D2087" s="20">
        <v>10</v>
      </c>
      <c r="E2087" s="20">
        <v>10</v>
      </c>
      <c r="F2087" s="20">
        <v>10</v>
      </c>
      <c r="G2087" s="19">
        <f t="shared" si="156"/>
        <v>172</v>
      </c>
      <c r="H2087" s="22">
        <f t="shared" si="159"/>
        <v>2086</v>
      </c>
      <c r="I2087" s="21">
        <f t="shared" ca="1" si="157"/>
        <v>0</v>
      </c>
      <c r="J2087" s="21" t="str">
        <f ca="1">IF(I2087=0,"",COUNTIF($I$2:I2087,"&gt;0"))</f>
        <v/>
      </c>
      <c r="K2087" s="21" t="str">
        <f t="shared" ca="1" si="155"/>
        <v/>
      </c>
    </row>
    <row r="2088" spans="1:11" s="18" customFormat="1" ht="14.25" x14ac:dyDescent="0.2">
      <c r="A2088" s="18" t="str">
        <f t="shared" si="158"/>
        <v>Eintrag 2087</v>
      </c>
      <c r="B2088" s="18">
        <v>100</v>
      </c>
      <c r="C2088" s="19">
        <v>100</v>
      </c>
      <c r="D2088" s="20">
        <v>10</v>
      </c>
      <c r="E2088" s="20">
        <v>10</v>
      </c>
      <c r="F2088" s="20">
        <v>10</v>
      </c>
      <c r="G2088" s="19">
        <f t="shared" si="156"/>
        <v>172</v>
      </c>
      <c r="H2088" s="22">
        <f t="shared" si="159"/>
        <v>2087</v>
      </c>
      <c r="I2088" s="21">
        <f t="shared" ca="1" si="157"/>
        <v>0</v>
      </c>
      <c r="J2088" s="21" t="str">
        <f ca="1">IF(I2088=0,"",COUNTIF($I$2:I2088,"&gt;0"))</f>
        <v/>
      </c>
      <c r="K2088" s="21" t="str">
        <f t="shared" ca="1" si="155"/>
        <v/>
      </c>
    </row>
    <row r="2089" spans="1:11" s="18" customFormat="1" ht="14.25" x14ac:dyDescent="0.2">
      <c r="A2089" s="18" t="str">
        <f t="shared" si="158"/>
        <v>Eintrag 2088</v>
      </c>
      <c r="B2089" s="18">
        <v>100</v>
      </c>
      <c r="C2089" s="19">
        <v>100</v>
      </c>
      <c r="D2089" s="20">
        <v>10</v>
      </c>
      <c r="E2089" s="20">
        <v>10</v>
      </c>
      <c r="F2089" s="20">
        <v>10</v>
      </c>
      <c r="G2089" s="19">
        <f t="shared" si="156"/>
        <v>172</v>
      </c>
      <c r="H2089" s="22">
        <f t="shared" si="159"/>
        <v>2088</v>
      </c>
      <c r="I2089" s="21">
        <f t="shared" ca="1" si="157"/>
        <v>0</v>
      </c>
      <c r="J2089" s="21" t="str">
        <f ca="1">IF(I2089=0,"",COUNTIF($I$2:I2089,"&gt;0"))</f>
        <v/>
      </c>
      <c r="K2089" s="21" t="str">
        <f t="shared" ca="1" si="155"/>
        <v/>
      </c>
    </row>
    <row r="2090" spans="1:11" s="18" customFormat="1" ht="14.25" x14ac:dyDescent="0.2">
      <c r="A2090" s="18" t="str">
        <f t="shared" si="158"/>
        <v>Eintrag 2089</v>
      </c>
      <c r="B2090" s="18">
        <v>100</v>
      </c>
      <c r="C2090" s="19">
        <v>100</v>
      </c>
      <c r="D2090" s="20">
        <v>10</v>
      </c>
      <c r="E2090" s="20">
        <v>10</v>
      </c>
      <c r="F2090" s="20">
        <v>10</v>
      </c>
      <c r="G2090" s="19">
        <f t="shared" si="156"/>
        <v>172</v>
      </c>
      <c r="H2090" s="22">
        <f t="shared" si="159"/>
        <v>2089</v>
      </c>
      <c r="I2090" s="21">
        <f t="shared" ca="1" si="157"/>
        <v>0</v>
      </c>
      <c r="J2090" s="21" t="str">
        <f ca="1">IF(I2090=0,"",COUNTIF($I$2:I2090,"&gt;0"))</f>
        <v/>
      </c>
      <c r="K2090" s="21" t="str">
        <f t="shared" ca="1" si="155"/>
        <v/>
      </c>
    </row>
    <row r="2091" spans="1:11" s="18" customFormat="1" ht="14.25" x14ac:dyDescent="0.2">
      <c r="A2091" s="18" t="str">
        <f t="shared" si="158"/>
        <v>Eintrag 2090</v>
      </c>
      <c r="B2091" s="18">
        <v>100</v>
      </c>
      <c r="C2091" s="19">
        <v>100</v>
      </c>
      <c r="D2091" s="20">
        <v>10</v>
      </c>
      <c r="E2091" s="20">
        <v>10</v>
      </c>
      <c r="F2091" s="20">
        <v>10</v>
      </c>
      <c r="G2091" s="19">
        <f t="shared" si="156"/>
        <v>172</v>
      </c>
      <c r="H2091" s="22">
        <f t="shared" si="159"/>
        <v>2090</v>
      </c>
      <c r="I2091" s="21">
        <f t="shared" ca="1" si="157"/>
        <v>0</v>
      </c>
      <c r="J2091" s="21" t="str">
        <f ca="1">IF(I2091=0,"",COUNTIF($I$2:I2091,"&gt;0"))</f>
        <v/>
      </c>
      <c r="K2091" s="21" t="str">
        <f t="shared" ca="1" si="155"/>
        <v/>
      </c>
    </row>
    <row r="2092" spans="1:11" s="18" customFormat="1" ht="14.25" x14ac:dyDescent="0.2">
      <c r="A2092" s="18" t="str">
        <f t="shared" si="158"/>
        <v>Eintrag 2091</v>
      </c>
      <c r="B2092" s="18">
        <v>100</v>
      </c>
      <c r="C2092" s="19">
        <v>100</v>
      </c>
      <c r="D2092" s="20">
        <v>10</v>
      </c>
      <c r="E2092" s="20">
        <v>10</v>
      </c>
      <c r="F2092" s="20">
        <v>10</v>
      </c>
      <c r="G2092" s="19">
        <f t="shared" si="156"/>
        <v>172</v>
      </c>
      <c r="H2092" s="22">
        <f t="shared" si="159"/>
        <v>2091</v>
      </c>
      <c r="I2092" s="21">
        <f t="shared" ca="1" si="157"/>
        <v>0</v>
      </c>
      <c r="J2092" s="21" t="str">
        <f ca="1">IF(I2092=0,"",COUNTIF($I$2:I2092,"&gt;0"))</f>
        <v/>
      </c>
      <c r="K2092" s="21" t="str">
        <f t="shared" ca="1" si="155"/>
        <v/>
      </c>
    </row>
    <row r="2093" spans="1:11" s="18" customFormat="1" ht="14.25" x14ac:dyDescent="0.2">
      <c r="A2093" s="18" t="str">
        <f t="shared" si="158"/>
        <v>Eintrag 2092</v>
      </c>
      <c r="B2093" s="18">
        <v>100</v>
      </c>
      <c r="C2093" s="19">
        <v>100</v>
      </c>
      <c r="D2093" s="20">
        <v>10</v>
      </c>
      <c r="E2093" s="20">
        <v>10</v>
      </c>
      <c r="F2093" s="20">
        <v>10</v>
      </c>
      <c r="G2093" s="19">
        <f t="shared" si="156"/>
        <v>172</v>
      </c>
      <c r="H2093" s="22">
        <f t="shared" si="159"/>
        <v>2092</v>
      </c>
      <c r="I2093" s="21">
        <f t="shared" ca="1" si="157"/>
        <v>0</v>
      </c>
      <c r="J2093" s="21" t="str">
        <f ca="1">IF(I2093=0,"",COUNTIF($I$2:I2093,"&gt;0"))</f>
        <v/>
      </c>
      <c r="K2093" s="21" t="str">
        <f t="shared" ca="1" si="155"/>
        <v/>
      </c>
    </row>
    <row r="2094" spans="1:11" s="18" customFormat="1" ht="14.25" x14ac:dyDescent="0.2">
      <c r="A2094" s="18" t="str">
        <f t="shared" si="158"/>
        <v>Eintrag 2093</v>
      </c>
      <c r="B2094" s="18">
        <v>100</v>
      </c>
      <c r="C2094" s="19">
        <v>100</v>
      </c>
      <c r="D2094" s="20">
        <v>10</v>
      </c>
      <c r="E2094" s="20">
        <v>10</v>
      </c>
      <c r="F2094" s="20">
        <v>10</v>
      </c>
      <c r="G2094" s="19">
        <f t="shared" si="156"/>
        <v>172</v>
      </c>
      <c r="H2094" s="22">
        <f t="shared" si="159"/>
        <v>2093</v>
      </c>
      <c r="I2094" s="21">
        <f t="shared" ca="1" si="157"/>
        <v>0</v>
      </c>
      <c r="J2094" s="21" t="str">
        <f ca="1">IF(I2094=0,"",COUNTIF($I$2:I2094,"&gt;0"))</f>
        <v/>
      </c>
      <c r="K2094" s="21" t="str">
        <f t="shared" ca="1" si="155"/>
        <v/>
      </c>
    </row>
    <row r="2095" spans="1:11" s="18" customFormat="1" ht="14.25" x14ac:dyDescent="0.2">
      <c r="A2095" s="18" t="str">
        <f t="shared" si="158"/>
        <v>Eintrag 2094</v>
      </c>
      <c r="B2095" s="18">
        <v>100</v>
      </c>
      <c r="C2095" s="19">
        <v>100</v>
      </c>
      <c r="D2095" s="20">
        <v>10</v>
      </c>
      <c r="E2095" s="20">
        <v>10</v>
      </c>
      <c r="F2095" s="20">
        <v>10</v>
      </c>
      <c r="G2095" s="19">
        <f t="shared" si="156"/>
        <v>172</v>
      </c>
      <c r="H2095" s="22">
        <f t="shared" si="159"/>
        <v>2094</v>
      </c>
      <c r="I2095" s="21">
        <f t="shared" ca="1" si="157"/>
        <v>0</v>
      </c>
      <c r="J2095" s="21" t="str">
        <f ca="1">IF(I2095=0,"",COUNTIF($I$2:I2095,"&gt;0"))</f>
        <v/>
      </c>
      <c r="K2095" s="21" t="str">
        <f t="shared" ca="1" si="155"/>
        <v/>
      </c>
    </row>
    <row r="2096" spans="1:11" s="18" customFormat="1" ht="14.25" x14ac:dyDescent="0.2">
      <c r="A2096" s="18" t="str">
        <f t="shared" si="158"/>
        <v>Eintrag 2095</v>
      </c>
      <c r="B2096" s="18">
        <v>100</v>
      </c>
      <c r="C2096" s="19">
        <v>100</v>
      </c>
      <c r="D2096" s="20">
        <v>10</v>
      </c>
      <c r="E2096" s="20">
        <v>10</v>
      </c>
      <c r="F2096" s="20">
        <v>10</v>
      </c>
      <c r="G2096" s="19">
        <f t="shared" si="156"/>
        <v>172</v>
      </c>
      <c r="H2096" s="22">
        <f t="shared" si="159"/>
        <v>2095</v>
      </c>
      <c r="I2096" s="21">
        <f t="shared" ca="1" si="157"/>
        <v>0</v>
      </c>
      <c r="J2096" s="21" t="str">
        <f ca="1">IF(I2096=0,"",COUNTIF($I$2:I2096,"&gt;0"))</f>
        <v/>
      </c>
      <c r="K2096" s="21" t="str">
        <f t="shared" ca="1" si="155"/>
        <v/>
      </c>
    </row>
    <row r="2097" spans="1:11" s="18" customFormat="1" ht="14.25" x14ac:dyDescent="0.2">
      <c r="A2097" s="18" t="str">
        <f t="shared" si="158"/>
        <v>Eintrag 2096</v>
      </c>
      <c r="B2097" s="18">
        <v>100</v>
      </c>
      <c r="C2097" s="19">
        <v>100</v>
      </c>
      <c r="D2097" s="20">
        <v>10</v>
      </c>
      <c r="E2097" s="20">
        <v>10</v>
      </c>
      <c r="F2097" s="20">
        <v>10</v>
      </c>
      <c r="G2097" s="19">
        <f t="shared" si="156"/>
        <v>172</v>
      </c>
      <c r="H2097" s="22">
        <f t="shared" si="159"/>
        <v>2096</v>
      </c>
      <c r="I2097" s="21">
        <f t="shared" ca="1" si="157"/>
        <v>0</v>
      </c>
      <c r="J2097" s="21" t="str">
        <f ca="1">IF(I2097=0,"",COUNTIF($I$2:I2097,"&gt;0"))</f>
        <v/>
      </c>
      <c r="K2097" s="21" t="str">
        <f t="shared" ca="1" si="155"/>
        <v/>
      </c>
    </row>
    <row r="2098" spans="1:11" s="18" customFormat="1" ht="14.25" x14ac:dyDescent="0.2">
      <c r="A2098" s="18" t="str">
        <f t="shared" si="158"/>
        <v>Eintrag 2097</v>
      </c>
      <c r="B2098" s="18">
        <v>100</v>
      </c>
      <c r="C2098" s="19">
        <v>100</v>
      </c>
      <c r="D2098" s="20">
        <v>10</v>
      </c>
      <c r="E2098" s="20">
        <v>10</v>
      </c>
      <c r="F2098" s="20">
        <v>10</v>
      </c>
      <c r="G2098" s="19">
        <f t="shared" si="156"/>
        <v>172</v>
      </c>
      <c r="H2098" s="22">
        <f t="shared" si="159"/>
        <v>2097</v>
      </c>
      <c r="I2098" s="21">
        <f t="shared" ca="1" si="157"/>
        <v>0</v>
      </c>
      <c r="J2098" s="21" t="str">
        <f ca="1">IF(I2098=0,"",COUNTIF($I$2:I2098,"&gt;0"))</f>
        <v/>
      </c>
      <c r="K2098" s="21" t="str">
        <f t="shared" ca="1" si="155"/>
        <v/>
      </c>
    </row>
    <row r="2099" spans="1:11" s="18" customFormat="1" ht="14.25" x14ac:dyDescent="0.2">
      <c r="A2099" s="18" t="str">
        <f t="shared" si="158"/>
        <v>Eintrag 2098</v>
      </c>
      <c r="B2099" s="18">
        <v>100</v>
      </c>
      <c r="C2099" s="19">
        <v>100</v>
      </c>
      <c r="D2099" s="20">
        <v>10</v>
      </c>
      <c r="E2099" s="20">
        <v>10</v>
      </c>
      <c r="F2099" s="20">
        <v>10</v>
      </c>
      <c r="G2099" s="19">
        <f t="shared" si="156"/>
        <v>172</v>
      </c>
      <c r="H2099" s="22">
        <f t="shared" si="159"/>
        <v>2098</v>
      </c>
      <c r="I2099" s="21">
        <f t="shared" ca="1" si="157"/>
        <v>0</v>
      </c>
      <c r="J2099" s="21" t="str">
        <f ca="1">IF(I2099=0,"",COUNTIF($I$2:I2099,"&gt;0"))</f>
        <v/>
      </c>
      <c r="K2099" s="21" t="str">
        <f t="shared" ca="1" si="155"/>
        <v/>
      </c>
    </row>
    <row r="2100" spans="1:11" s="18" customFormat="1" ht="14.25" x14ac:dyDescent="0.2">
      <c r="A2100" s="18" t="str">
        <f t="shared" si="158"/>
        <v>Eintrag 2099</v>
      </c>
      <c r="B2100" s="18">
        <v>100</v>
      </c>
      <c r="C2100" s="19">
        <v>100</v>
      </c>
      <c r="D2100" s="20">
        <v>10</v>
      </c>
      <c r="E2100" s="20">
        <v>10</v>
      </c>
      <c r="F2100" s="20">
        <v>10</v>
      </c>
      <c r="G2100" s="19">
        <f t="shared" si="156"/>
        <v>172</v>
      </c>
      <c r="H2100" s="22">
        <f t="shared" si="159"/>
        <v>2099</v>
      </c>
      <c r="I2100" s="21">
        <f t="shared" ca="1" si="157"/>
        <v>0</v>
      </c>
      <c r="J2100" s="21" t="str">
        <f ca="1">IF(I2100=0,"",COUNTIF($I$2:I2100,"&gt;0"))</f>
        <v/>
      </c>
      <c r="K2100" s="21" t="str">
        <f t="shared" ca="1" si="155"/>
        <v/>
      </c>
    </row>
    <row r="2101" spans="1:11" s="18" customFormat="1" ht="14.25" x14ac:dyDescent="0.2">
      <c r="A2101" s="18" t="str">
        <f t="shared" si="158"/>
        <v>Eintrag 2100</v>
      </c>
      <c r="B2101" s="18">
        <v>100</v>
      </c>
      <c r="C2101" s="19">
        <v>100</v>
      </c>
      <c r="D2101" s="20">
        <v>10</v>
      </c>
      <c r="E2101" s="20">
        <v>10</v>
      </c>
      <c r="F2101" s="20">
        <v>10</v>
      </c>
      <c r="G2101" s="19">
        <f t="shared" si="156"/>
        <v>172</v>
      </c>
      <c r="H2101" s="22">
        <f t="shared" si="159"/>
        <v>2100</v>
      </c>
      <c r="I2101" s="21">
        <f t="shared" ca="1" si="157"/>
        <v>0</v>
      </c>
      <c r="J2101" s="21" t="str">
        <f ca="1">IF(I2101=0,"",COUNTIF($I$2:I2101,"&gt;0"))</f>
        <v/>
      </c>
      <c r="K2101" s="21" t="str">
        <f t="shared" ca="1" si="155"/>
        <v/>
      </c>
    </row>
    <row r="2102" spans="1:11" s="18" customFormat="1" ht="14.25" x14ac:dyDescent="0.2">
      <c r="A2102" s="18" t="str">
        <f t="shared" si="158"/>
        <v>Eintrag 2101</v>
      </c>
      <c r="B2102" s="18">
        <v>100</v>
      </c>
      <c r="C2102" s="19">
        <v>100</v>
      </c>
      <c r="D2102" s="20">
        <v>10</v>
      </c>
      <c r="E2102" s="20">
        <v>10</v>
      </c>
      <c r="F2102" s="20">
        <v>10</v>
      </c>
      <c r="G2102" s="19">
        <f t="shared" si="156"/>
        <v>172</v>
      </c>
      <c r="H2102" s="22">
        <f t="shared" si="159"/>
        <v>2101</v>
      </c>
      <c r="I2102" s="21">
        <f t="shared" ca="1" si="157"/>
        <v>0</v>
      </c>
      <c r="J2102" s="21" t="str">
        <f ca="1">IF(I2102=0,"",COUNTIF($I$2:I2102,"&gt;0"))</f>
        <v/>
      </c>
      <c r="K2102" s="21" t="str">
        <f t="shared" ca="1" si="155"/>
        <v/>
      </c>
    </row>
    <row r="2103" spans="1:11" s="18" customFormat="1" ht="14.25" x14ac:dyDescent="0.2">
      <c r="A2103" s="18" t="str">
        <f t="shared" si="158"/>
        <v>Eintrag 2102</v>
      </c>
      <c r="B2103" s="18">
        <v>100</v>
      </c>
      <c r="C2103" s="19">
        <v>100</v>
      </c>
      <c r="D2103" s="20">
        <v>10</v>
      </c>
      <c r="E2103" s="20">
        <v>10</v>
      </c>
      <c r="F2103" s="20">
        <v>10</v>
      </c>
      <c r="G2103" s="19">
        <f t="shared" si="156"/>
        <v>172</v>
      </c>
      <c r="H2103" s="22">
        <f t="shared" si="159"/>
        <v>2102</v>
      </c>
      <c r="I2103" s="21">
        <f t="shared" ca="1" si="157"/>
        <v>0</v>
      </c>
      <c r="J2103" s="21" t="str">
        <f ca="1">IF(I2103=0,"",COUNTIF($I$2:I2103,"&gt;0"))</f>
        <v/>
      </c>
      <c r="K2103" s="21" t="str">
        <f t="shared" ca="1" si="155"/>
        <v/>
      </c>
    </row>
    <row r="2104" spans="1:11" s="18" customFormat="1" ht="14.25" x14ac:dyDescent="0.2">
      <c r="A2104" s="18" t="str">
        <f t="shared" si="158"/>
        <v>Eintrag 2103</v>
      </c>
      <c r="B2104" s="18">
        <v>100</v>
      </c>
      <c r="C2104" s="19">
        <v>100</v>
      </c>
      <c r="D2104" s="20">
        <v>10</v>
      </c>
      <c r="E2104" s="20">
        <v>10</v>
      </c>
      <c r="F2104" s="20">
        <v>10</v>
      </c>
      <c r="G2104" s="19">
        <f t="shared" si="156"/>
        <v>172</v>
      </c>
      <c r="H2104" s="22">
        <f t="shared" si="159"/>
        <v>2103</v>
      </c>
      <c r="I2104" s="21">
        <f t="shared" ca="1" si="157"/>
        <v>0</v>
      </c>
      <c r="J2104" s="21" t="str">
        <f ca="1">IF(I2104=0,"",COUNTIF($I$2:I2104,"&gt;0"))</f>
        <v/>
      </c>
      <c r="K2104" s="21" t="str">
        <f t="shared" ca="1" si="155"/>
        <v/>
      </c>
    </row>
    <row r="2105" spans="1:11" s="18" customFormat="1" ht="14.25" x14ac:dyDescent="0.2">
      <c r="A2105" s="18" t="str">
        <f t="shared" si="158"/>
        <v>Eintrag 2104</v>
      </c>
      <c r="B2105" s="18">
        <v>100</v>
      </c>
      <c r="C2105" s="19">
        <v>100</v>
      </c>
      <c r="D2105" s="20">
        <v>10</v>
      </c>
      <c r="E2105" s="20">
        <v>10</v>
      </c>
      <c r="F2105" s="20">
        <v>10</v>
      </c>
      <c r="G2105" s="19">
        <f t="shared" si="156"/>
        <v>172</v>
      </c>
      <c r="H2105" s="22">
        <f t="shared" si="159"/>
        <v>2104</v>
      </c>
      <c r="I2105" s="21">
        <f t="shared" ca="1" si="157"/>
        <v>0</v>
      </c>
      <c r="J2105" s="21" t="str">
        <f ca="1">IF(I2105=0,"",COUNTIF($I$2:I2105,"&gt;0"))</f>
        <v/>
      </c>
      <c r="K2105" s="21" t="str">
        <f t="shared" ca="1" si="155"/>
        <v/>
      </c>
    </row>
    <row r="2106" spans="1:11" s="18" customFormat="1" ht="14.25" x14ac:dyDescent="0.2">
      <c r="A2106" s="18" t="str">
        <f t="shared" si="158"/>
        <v>Eintrag 2105</v>
      </c>
      <c r="B2106" s="18">
        <v>100</v>
      </c>
      <c r="C2106" s="19">
        <v>100</v>
      </c>
      <c r="D2106" s="20">
        <v>10</v>
      </c>
      <c r="E2106" s="20">
        <v>10</v>
      </c>
      <c r="F2106" s="20">
        <v>10</v>
      </c>
      <c r="G2106" s="19">
        <f t="shared" si="156"/>
        <v>172</v>
      </c>
      <c r="H2106" s="22">
        <f t="shared" si="159"/>
        <v>2105</v>
      </c>
      <c r="I2106" s="21">
        <f t="shared" ca="1" si="157"/>
        <v>0</v>
      </c>
      <c r="J2106" s="21" t="str">
        <f ca="1">IF(I2106=0,"",COUNTIF($I$2:I2106,"&gt;0"))</f>
        <v/>
      </c>
      <c r="K2106" s="21" t="str">
        <f t="shared" ca="1" si="155"/>
        <v/>
      </c>
    </row>
    <row r="2107" spans="1:11" s="18" customFormat="1" ht="14.25" x14ac:dyDescent="0.2">
      <c r="A2107" s="18" t="str">
        <f t="shared" si="158"/>
        <v>Eintrag 2106</v>
      </c>
      <c r="B2107" s="18">
        <v>100</v>
      </c>
      <c r="C2107" s="19">
        <v>100</v>
      </c>
      <c r="D2107" s="20">
        <v>10</v>
      </c>
      <c r="E2107" s="20">
        <v>10</v>
      </c>
      <c r="F2107" s="20">
        <v>10</v>
      </c>
      <c r="G2107" s="19">
        <f t="shared" si="156"/>
        <v>172</v>
      </c>
      <c r="H2107" s="22">
        <f t="shared" si="159"/>
        <v>2106</v>
      </c>
      <c r="I2107" s="21">
        <f t="shared" ca="1" si="157"/>
        <v>0</v>
      </c>
      <c r="J2107" s="21" t="str">
        <f ca="1">IF(I2107=0,"",COUNTIF($I$2:I2107,"&gt;0"))</f>
        <v/>
      </c>
      <c r="K2107" s="21" t="str">
        <f t="shared" ca="1" si="155"/>
        <v/>
      </c>
    </row>
    <row r="2108" spans="1:11" s="18" customFormat="1" ht="14.25" x14ac:dyDescent="0.2">
      <c r="A2108" s="18" t="str">
        <f t="shared" si="158"/>
        <v>Eintrag 2107</v>
      </c>
      <c r="B2108" s="18">
        <v>100</v>
      </c>
      <c r="C2108" s="19">
        <v>100</v>
      </c>
      <c r="D2108" s="20">
        <v>10</v>
      </c>
      <c r="E2108" s="20">
        <v>10</v>
      </c>
      <c r="F2108" s="20">
        <v>10</v>
      </c>
      <c r="G2108" s="19">
        <f t="shared" si="156"/>
        <v>172</v>
      </c>
      <c r="H2108" s="22">
        <f t="shared" si="159"/>
        <v>2107</v>
      </c>
      <c r="I2108" s="21">
        <f t="shared" ca="1" si="157"/>
        <v>0</v>
      </c>
      <c r="J2108" s="21" t="str">
        <f ca="1">IF(I2108=0,"",COUNTIF($I$2:I2108,"&gt;0"))</f>
        <v/>
      </c>
      <c r="K2108" s="21" t="str">
        <f t="shared" ca="1" si="155"/>
        <v/>
      </c>
    </row>
    <row r="2109" spans="1:11" s="18" customFormat="1" ht="14.25" x14ac:dyDescent="0.2">
      <c r="A2109" s="18" t="str">
        <f t="shared" si="158"/>
        <v>Eintrag 2108</v>
      </c>
      <c r="B2109" s="18">
        <v>100</v>
      </c>
      <c r="C2109" s="19">
        <v>100</v>
      </c>
      <c r="D2109" s="20">
        <v>10</v>
      </c>
      <c r="E2109" s="20">
        <v>10</v>
      </c>
      <c r="F2109" s="20">
        <v>10</v>
      </c>
      <c r="G2109" s="19">
        <f t="shared" si="156"/>
        <v>172</v>
      </c>
      <c r="H2109" s="22">
        <f t="shared" si="159"/>
        <v>2108</v>
      </c>
      <c r="I2109" s="21">
        <f t="shared" ca="1" si="157"/>
        <v>0</v>
      </c>
      <c r="J2109" s="21" t="str">
        <f ca="1">IF(I2109=0,"",COUNTIF($I$2:I2109,"&gt;0"))</f>
        <v/>
      </c>
      <c r="K2109" s="21" t="str">
        <f t="shared" ca="1" si="155"/>
        <v/>
      </c>
    </row>
    <row r="2110" spans="1:11" s="18" customFormat="1" ht="14.25" x14ac:dyDescent="0.2">
      <c r="A2110" s="18" t="str">
        <f t="shared" si="158"/>
        <v>Eintrag 2109</v>
      </c>
      <c r="B2110" s="18">
        <v>100</v>
      </c>
      <c r="C2110" s="19">
        <v>100</v>
      </c>
      <c r="D2110" s="20">
        <v>10</v>
      </c>
      <c r="E2110" s="20">
        <v>10</v>
      </c>
      <c r="F2110" s="20">
        <v>10</v>
      </c>
      <c r="G2110" s="19">
        <f t="shared" si="156"/>
        <v>172</v>
      </c>
      <c r="H2110" s="22">
        <f t="shared" si="159"/>
        <v>2109</v>
      </c>
      <c r="I2110" s="21">
        <f t="shared" ca="1" si="157"/>
        <v>0</v>
      </c>
      <c r="J2110" s="21" t="str">
        <f ca="1">IF(I2110=0,"",COUNTIF($I$2:I2110,"&gt;0"))</f>
        <v/>
      </c>
      <c r="K2110" s="21" t="str">
        <f t="shared" ca="1" si="155"/>
        <v/>
      </c>
    </row>
    <row r="2111" spans="1:11" s="18" customFormat="1" ht="14.25" x14ac:dyDescent="0.2">
      <c r="A2111" s="18" t="str">
        <f t="shared" si="158"/>
        <v>Eintrag 2110</v>
      </c>
      <c r="B2111" s="18">
        <v>100</v>
      </c>
      <c r="C2111" s="19">
        <v>100</v>
      </c>
      <c r="D2111" s="20">
        <v>10</v>
      </c>
      <c r="E2111" s="20">
        <v>10</v>
      </c>
      <c r="F2111" s="20">
        <v>10</v>
      </c>
      <c r="G2111" s="19">
        <f t="shared" si="156"/>
        <v>172</v>
      </c>
      <c r="H2111" s="22">
        <f t="shared" si="159"/>
        <v>2110</v>
      </c>
      <c r="I2111" s="21">
        <f t="shared" ca="1" si="157"/>
        <v>0</v>
      </c>
      <c r="J2111" s="21" t="str">
        <f ca="1">IF(I2111=0,"",COUNTIF($I$2:I2111,"&gt;0"))</f>
        <v/>
      </c>
      <c r="K2111" s="21" t="str">
        <f t="shared" ca="1" si="155"/>
        <v/>
      </c>
    </row>
    <row r="2112" spans="1:11" s="18" customFormat="1" ht="14.25" x14ac:dyDescent="0.2">
      <c r="A2112" s="18" t="str">
        <f t="shared" si="158"/>
        <v>Eintrag 2111</v>
      </c>
      <c r="B2112" s="18">
        <v>100</v>
      </c>
      <c r="C2112" s="19">
        <v>100</v>
      </c>
      <c r="D2112" s="20">
        <v>10</v>
      </c>
      <c r="E2112" s="20">
        <v>10</v>
      </c>
      <c r="F2112" s="20">
        <v>10</v>
      </c>
      <c r="G2112" s="19">
        <f t="shared" si="156"/>
        <v>172</v>
      </c>
      <c r="H2112" s="22">
        <f t="shared" si="159"/>
        <v>2111</v>
      </c>
      <c r="I2112" s="21">
        <f t="shared" ca="1" si="157"/>
        <v>0</v>
      </c>
      <c r="J2112" s="21" t="str">
        <f ca="1">IF(I2112=0,"",COUNTIF($I$2:I2112,"&gt;0"))</f>
        <v/>
      </c>
      <c r="K2112" s="21" t="str">
        <f t="shared" ca="1" si="155"/>
        <v/>
      </c>
    </row>
    <row r="2113" spans="1:11" s="18" customFormat="1" ht="14.25" x14ac:dyDescent="0.2">
      <c r="A2113" s="18" t="str">
        <f t="shared" si="158"/>
        <v>Eintrag 2112</v>
      </c>
      <c r="B2113" s="18">
        <v>100</v>
      </c>
      <c r="C2113" s="19">
        <v>100</v>
      </c>
      <c r="D2113" s="20">
        <v>10</v>
      </c>
      <c r="E2113" s="20">
        <v>10</v>
      </c>
      <c r="F2113" s="20">
        <v>10</v>
      </c>
      <c r="G2113" s="19">
        <f t="shared" si="156"/>
        <v>172</v>
      </c>
      <c r="H2113" s="22">
        <f t="shared" si="159"/>
        <v>2112</v>
      </c>
      <c r="I2113" s="21">
        <f t="shared" ca="1" si="157"/>
        <v>0</v>
      </c>
      <c r="J2113" s="21" t="str">
        <f ca="1">IF(I2113=0,"",COUNTIF($I$2:I2113,"&gt;0"))</f>
        <v/>
      </c>
      <c r="K2113" s="21" t="str">
        <f t="shared" ca="1" si="155"/>
        <v/>
      </c>
    </row>
    <row r="2114" spans="1:11" s="18" customFormat="1" ht="14.25" x14ac:dyDescent="0.2">
      <c r="A2114" s="18" t="str">
        <f t="shared" si="158"/>
        <v>Eintrag 2113</v>
      </c>
      <c r="B2114" s="18">
        <v>100</v>
      </c>
      <c r="C2114" s="19">
        <v>100</v>
      </c>
      <c r="D2114" s="20">
        <v>10</v>
      </c>
      <c r="E2114" s="20">
        <v>10</v>
      </c>
      <c r="F2114" s="20">
        <v>10</v>
      </c>
      <c r="G2114" s="19">
        <f t="shared" si="156"/>
        <v>172</v>
      </c>
      <c r="H2114" s="22">
        <f t="shared" si="159"/>
        <v>2113</v>
      </c>
      <c r="I2114" s="21">
        <f t="shared" ca="1" si="157"/>
        <v>0</v>
      </c>
      <c r="J2114" s="21" t="str">
        <f ca="1">IF(I2114=0,"",COUNTIF($I$2:I2114,"&gt;0"))</f>
        <v/>
      </c>
      <c r="K2114" s="21" t="str">
        <f t="shared" ref="K2114:K2177" ca="1" si="160">IFERROR(INDEX(A:A,MATCH(ROW(I2113),J:J,0)),"")</f>
        <v/>
      </c>
    </row>
    <row r="2115" spans="1:11" s="18" customFormat="1" ht="14.25" x14ac:dyDescent="0.2">
      <c r="A2115" s="18" t="str">
        <f t="shared" si="158"/>
        <v>Eintrag 2114</v>
      </c>
      <c r="B2115" s="18">
        <v>100</v>
      </c>
      <c r="C2115" s="19">
        <v>100</v>
      </c>
      <c r="D2115" s="20">
        <v>10</v>
      </c>
      <c r="E2115" s="20">
        <v>10</v>
      </c>
      <c r="F2115" s="20">
        <v>10</v>
      </c>
      <c r="G2115" s="19">
        <f t="shared" ref="G2115:G2178" si="161">D2115*9+E2115*4.1+F2115*4.1</f>
        <v>172</v>
      </c>
      <c r="H2115" s="22">
        <f t="shared" si="159"/>
        <v>2114</v>
      </c>
      <c r="I2115" s="21">
        <f t="shared" ca="1" si="157"/>
        <v>0</v>
      </c>
      <c r="J2115" s="21" t="str">
        <f ca="1">IF(I2115=0,"",COUNTIF($I$2:I2115,"&gt;0"))</f>
        <v/>
      </c>
      <c r="K2115" s="21" t="str">
        <f t="shared" ca="1" si="160"/>
        <v/>
      </c>
    </row>
    <row r="2116" spans="1:11" s="18" customFormat="1" ht="14.25" x14ac:dyDescent="0.2">
      <c r="A2116" s="18" t="str">
        <f t="shared" si="158"/>
        <v>Eintrag 2115</v>
      </c>
      <c r="B2116" s="18">
        <v>100</v>
      </c>
      <c r="C2116" s="19">
        <v>100</v>
      </c>
      <c r="D2116" s="20">
        <v>10</v>
      </c>
      <c r="E2116" s="20">
        <v>10</v>
      </c>
      <c r="F2116" s="20">
        <v>10</v>
      </c>
      <c r="G2116" s="19">
        <f t="shared" si="161"/>
        <v>172</v>
      </c>
      <c r="H2116" s="22">
        <f t="shared" si="159"/>
        <v>2115</v>
      </c>
      <c r="I2116" s="21">
        <f t="shared" ca="1" si="157"/>
        <v>0</v>
      </c>
      <c r="J2116" s="21" t="str">
        <f ca="1">IF(I2116=0,"",COUNTIF($I$2:I2116,"&gt;0"))</f>
        <v/>
      </c>
      <c r="K2116" s="21" t="str">
        <f t="shared" ca="1" si="160"/>
        <v/>
      </c>
    </row>
    <row r="2117" spans="1:11" s="18" customFormat="1" ht="14.25" x14ac:dyDescent="0.2">
      <c r="A2117" s="18" t="str">
        <f t="shared" si="158"/>
        <v>Eintrag 2116</v>
      </c>
      <c r="B2117" s="18">
        <v>100</v>
      </c>
      <c r="C2117" s="19">
        <v>100</v>
      </c>
      <c r="D2117" s="20">
        <v>10</v>
      </c>
      <c r="E2117" s="20">
        <v>10</v>
      </c>
      <c r="F2117" s="20">
        <v>10</v>
      </c>
      <c r="G2117" s="19">
        <f t="shared" si="161"/>
        <v>172</v>
      </c>
      <c r="H2117" s="22">
        <f t="shared" si="159"/>
        <v>2116</v>
      </c>
      <c r="I2117" s="21">
        <f t="shared" ca="1" si="157"/>
        <v>0</v>
      </c>
      <c r="J2117" s="21" t="str">
        <f ca="1">IF(I2117=0,"",COUNTIF($I$2:I2117,"&gt;0"))</f>
        <v/>
      </c>
      <c r="K2117" s="21" t="str">
        <f t="shared" ca="1" si="160"/>
        <v/>
      </c>
    </row>
    <row r="2118" spans="1:11" s="18" customFormat="1" ht="14.25" x14ac:dyDescent="0.2">
      <c r="A2118" s="18" t="str">
        <f t="shared" si="158"/>
        <v>Eintrag 2117</v>
      </c>
      <c r="B2118" s="18">
        <v>100</v>
      </c>
      <c r="C2118" s="19">
        <v>100</v>
      </c>
      <c r="D2118" s="20">
        <v>10</v>
      </c>
      <c r="E2118" s="20">
        <v>10</v>
      </c>
      <c r="F2118" s="20">
        <v>10</v>
      </c>
      <c r="G2118" s="19">
        <f t="shared" si="161"/>
        <v>172</v>
      </c>
      <c r="H2118" s="22">
        <f t="shared" si="159"/>
        <v>2117</v>
      </c>
      <c r="I2118" s="21">
        <f t="shared" ca="1" si="157"/>
        <v>0</v>
      </c>
      <c r="J2118" s="21" t="str">
        <f ca="1">IF(I2118=0,"",COUNTIF($I$2:I2118,"&gt;0"))</f>
        <v/>
      </c>
      <c r="K2118" s="21" t="str">
        <f t="shared" ca="1" si="160"/>
        <v/>
      </c>
    </row>
    <row r="2119" spans="1:11" s="18" customFormat="1" ht="14.25" x14ac:dyDescent="0.2">
      <c r="A2119" s="18" t="str">
        <f t="shared" si="158"/>
        <v>Eintrag 2118</v>
      </c>
      <c r="B2119" s="18">
        <v>100</v>
      </c>
      <c r="C2119" s="19">
        <v>100</v>
      </c>
      <c r="D2119" s="20">
        <v>10</v>
      </c>
      <c r="E2119" s="20">
        <v>10</v>
      </c>
      <c r="F2119" s="20">
        <v>10</v>
      </c>
      <c r="G2119" s="19">
        <f t="shared" si="161"/>
        <v>172</v>
      </c>
      <c r="H2119" s="22">
        <f t="shared" si="159"/>
        <v>2118</v>
      </c>
      <c r="I2119" s="21">
        <f t="shared" ca="1" si="157"/>
        <v>0</v>
      </c>
      <c r="J2119" s="21" t="str">
        <f ca="1">IF(I2119=0,"",COUNTIF($I$2:I2119,"&gt;0"))</f>
        <v/>
      </c>
      <c r="K2119" s="21" t="str">
        <f t="shared" ca="1" si="160"/>
        <v/>
      </c>
    </row>
    <row r="2120" spans="1:11" s="18" customFormat="1" ht="14.25" x14ac:dyDescent="0.2">
      <c r="A2120" s="18" t="str">
        <f t="shared" si="158"/>
        <v>Eintrag 2119</v>
      </c>
      <c r="B2120" s="18">
        <v>100</v>
      </c>
      <c r="C2120" s="19">
        <v>100</v>
      </c>
      <c r="D2120" s="20">
        <v>10</v>
      </c>
      <c r="E2120" s="20">
        <v>10</v>
      </c>
      <c r="F2120" s="20">
        <v>10</v>
      </c>
      <c r="G2120" s="19">
        <f t="shared" si="161"/>
        <v>172</v>
      </c>
      <c r="H2120" s="22">
        <f t="shared" si="159"/>
        <v>2119</v>
      </c>
      <c r="I2120" s="21">
        <f t="shared" ca="1" si="157"/>
        <v>0</v>
      </c>
      <c r="J2120" s="21" t="str">
        <f ca="1">IF(I2120=0,"",COUNTIF($I$2:I2120,"&gt;0"))</f>
        <v/>
      </c>
      <c r="K2120" s="21" t="str">
        <f t="shared" ca="1" si="160"/>
        <v/>
      </c>
    </row>
    <row r="2121" spans="1:11" s="18" customFormat="1" ht="14.25" x14ac:dyDescent="0.2">
      <c r="A2121" s="18" t="str">
        <f t="shared" si="158"/>
        <v>Eintrag 2120</v>
      </c>
      <c r="B2121" s="18">
        <v>100</v>
      </c>
      <c r="C2121" s="19">
        <v>100</v>
      </c>
      <c r="D2121" s="20">
        <v>10</v>
      </c>
      <c r="E2121" s="20">
        <v>10</v>
      </c>
      <c r="F2121" s="20">
        <v>10</v>
      </c>
      <c r="G2121" s="19">
        <f t="shared" si="161"/>
        <v>172</v>
      </c>
      <c r="H2121" s="22">
        <f t="shared" si="159"/>
        <v>2120</v>
      </c>
      <c r="I2121" s="21">
        <f t="shared" ca="1" si="157"/>
        <v>0</v>
      </c>
      <c r="J2121" s="21" t="str">
        <f ca="1">IF(I2121=0,"",COUNTIF($I$2:I2121,"&gt;0"))</f>
        <v/>
      </c>
      <c r="K2121" s="21" t="str">
        <f t="shared" ca="1" si="160"/>
        <v/>
      </c>
    </row>
    <row r="2122" spans="1:11" s="18" customFormat="1" ht="14.25" x14ac:dyDescent="0.2">
      <c r="A2122" s="18" t="str">
        <f t="shared" si="158"/>
        <v>Eintrag 2121</v>
      </c>
      <c r="B2122" s="18">
        <v>100</v>
      </c>
      <c r="C2122" s="19">
        <v>100</v>
      </c>
      <c r="D2122" s="20">
        <v>10</v>
      </c>
      <c r="E2122" s="20">
        <v>10</v>
      </c>
      <c r="F2122" s="20">
        <v>10</v>
      </c>
      <c r="G2122" s="19">
        <f t="shared" si="161"/>
        <v>172</v>
      </c>
      <c r="H2122" s="22">
        <f t="shared" si="159"/>
        <v>2121</v>
      </c>
      <c r="I2122" s="21">
        <f t="shared" ca="1" si="157"/>
        <v>0</v>
      </c>
      <c r="J2122" s="21" t="str">
        <f ca="1">IF(I2122=0,"",COUNTIF($I$2:I2122,"&gt;0"))</f>
        <v/>
      </c>
      <c r="K2122" s="21" t="str">
        <f t="shared" ca="1" si="160"/>
        <v/>
      </c>
    </row>
    <row r="2123" spans="1:11" s="18" customFormat="1" ht="14.25" x14ac:dyDescent="0.2">
      <c r="A2123" s="18" t="str">
        <f t="shared" si="158"/>
        <v>Eintrag 2122</v>
      </c>
      <c r="B2123" s="18">
        <v>100</v>
      </c>
      <c r="C2123" s="19">
        <v>100</v>
      </c>
      <c r="D2123" s="20">
        <v>10</v>
      </c>
      <c r="E2123" s="20">
        <v>10</v>
      </c>
      <c r="F2123" s="20">
        <v>10</v>
      </c>
      <c r="G2123" s="19">
        <f t="shared" si="161"/>
        <v>172</v>
      </c>
      <c r="H2123" s="22">
        <f t="shared" si="159"/>
        <v>2122</v>
      </c>
      <c r="I2123" s="21">
        <f t="shared" ca="1" si="157"/>
        <v>0</v>
      </c>
      <c r="J2123" s="21" t="str">
        <f ca="1">IF(I2123=0,"",COUNTIF($I$2:I2123,"&gt;0"))</f>
        <v/>
      </c>
      <c r="K2123" s="21" t="str">
        <f t="shared" ca="1" si="160"/>
        <v/>
      </c>
    </row>
    <row r="2124" spans="1:11" s="18" customFormat="1" ht="14.25" x14ac:dyDescent="0.2">
      <c r="A2124" s="18" t="str">
        <f t="shared" si="158"/>
        <v>Eintrag 2123</v>
      </c>
      <c r="B2124" s="18">
        <v>100</v>
      </c>
      <c r="C2124" s="19">
        <v>100</v>
      </c>
      <c r="D2124" s="20">
        <v>10</v>
      </c>
      <c r="E2124" s="20">
        <v>10</v>
      </c>
      <c r="F2124" s="20">
        <v>10</v>
      </c>
      <c r="G2124" s="19">
        <f t="shared" si="161"/>
        <v>172</v>
      </c>
      <c r="H2124" s="22">
        <f t="shared" si="159"/>
        <v>2123</v>
      </c>
      <c r="I2124" s="21">
        <f t="shared" ca="1" si="157"/>
        <v>0</v>
      </c>
      <c r="J2124" s="21" t="str">
        <f ca="1">IF(I2124=0,"",COUNTIF($I$2:I2124,"&gt;0"))</f>
        <v/>
      </c>
      <c r="K2124" s="21" t="str">
        <f t="shared" ca="1" si="160"/>
        <v/>
      </c>
    </row>
    <row r="2125" spans="1:11" s="18" customFormat="1" ht="14.25" x14ac:dyDescent="0.2">
      <c r="A2125" s="18" t="str">
        <f t="shared" si="158"/>
        <v>Eintrag 2124</v>
      </c>
      <c r="B2125" s="18">
        <v>100</v>
      </c>
      <c r="C2125" s="19">
        <v>100</v>
      </c>
      <c r="D2125" s="20">
        <v>10</v>
      </c>
      <c r="E2125" s="20">
        <v>10</v>
      </c>
      <c r="F2125" s="20">
        <v>10</v>
      </c>
      <c r="G2125" s="19">
        <f t="shared" si="161"/>
        <v>172</v>
      </c>
      <c r="H2125" s="22">
        <f t="shared" si="159"/>
        <v>2124</v>
      </c>
      <c r="I2125" s="21">
        <f t="shared" ca="1" si="157"/>
        <v>0</v>
      </c>
      <c r="J2125" s="21" t="str">
        <f ca="1">IF(I2125=0,"",COUNTIF($I$2:I2125,"&gt;0"))</f>
        <v/>
      </c>
      <c r="K2125" s="21" t="str">
        <f t="shared" ca="1" si="160"/>
        <v/>
      </c>
    </row>
    <row r="2126" spans="1:11" s="18" customFormat="1" ht="14.25" x14ac:dyDescent="0.2">
      <c r="A2126" s="18" t="str">
        <f t="shared" si="158"/>
        <v>Eintrag 2125</v>
      </c>
      <c r="B2126" s="18">
        <v>100</v>
      </c>
      <c r="C2126" s="19">
        <v>100</v>
      </c>
      <c r="D2126" s="20">
        <v>10</v>
      </c>
      <c r="E2126" s="20">
        <v>10</v>
      </c>
      <c r="F2126" s="20">
        <v>10</v>
      </c>
      <c r="G2126" s="19">
        <f t="shared" si="161"/>
        <v>172</v>
      </c>
      <c r="H2126" s="22">
        <f t="shared" si="159"/>
        <v>2125</v>
      </c>
      <c r="I2126" s="21">
        <f t="shared" ca="1" si="157"/>
        <v>0</v>
      </c>
      <c r="J2126" s="21" t="str">
        <f ca="1">IF(I2126=0,"",COUNTIF($I$2:I2126,"&gt;0"))</f>
        <v/>
      </c>
      <c r="K2126" s="21" t="str">
        <f t="shared" ca="1" si="160"/>
        <v/>
      </c>
    </row>
    <row r="2127" spans="1:11" s="18" customFormat="1" ht="14.25" x14ac:dyDescent="0.2">
      <c r="A2127" s="18" t="str">
        <f t="shared" si="158"/>
        <v>Eintrag 2126</v>
      </c>
      <c r="B2127" s="18">
        <v>100</v>
      </c>
      <c r="C2127" s="19">
        <v>100</v>
      </c>
      <c r="D2127" s="20">
        <v>10</v>
      </c>
      <c r="E2127" s="20">
        <v>10</v>
      </c>
      <c r="F2127" s="20">
        <v>10</v>
      </c>
      <c r="G2127" s="19">
        <f t="shared" si="161"/>
        <v>172</v>
      </c>
      <c r="H2127" s="22">
        <f t="shared" si="159"/>
        <v>2126</v>
      </c>
      <c r="I2127" s="21">
        <f t="shared" ca="1" si="157"/>
        <v>0</v>
      </c>
      <c r="J2127" s="21" t="str">
        <f ca="1">IF(I2127=0,"",COUNTIF($I$2:I2127,"&gt;0"))</f>
        <v/>
      </c>
      <c r="K2127" s="21" t="str">
        <f t="shared" ca="1" si="160"/>
        <v/>
      </c>
    </row>
    <row r="2128" spans="1:11" s="18" customFormat="1" ht="14.25" x14ac:dyDescent="0.2">
      <c r="A2128" s="18" t="str">
        <f t="shared" si="158"/>
        <v>Eintrag 2127</v>
      </c>
      <c r="B2128" s="18">
        <v>100</v>
      </c>
      <c r="C2128" s="19">
        <v>100</v>
      </c>
      <c r="D2128" s="20">
        <v>10</v>
      </c>
      <c r="E2128" s="20">
        <v>10</v>
      </c>
      <c r="F2128" s="20">
        <v>10</v>
      </c>
      <c r="G2128" s="19">
        <f t="shared" si="161"/>
        <v>172</v>
      </c>
      <c r="H2128" s="22">
        <f t="shared" si="159"/>
        <v>2127</v>
      </c>
      <c r="I2128" s="21">
        <f t="shared" ca="1" si="157"/>
        <v>0</v>
      </c>
      <c r="J2128" s="21" t="str">
        <f ca="1">IF(I2128=0,"",COUNTIF($I$2:I2128,"&gt;0"))</f>
        <v/>
      </c>
      <c r="K2128" s="21" t="str">
        <f t="shared" ca="1" si="160"/>
        <v/>
      </c>
    </row>
    <row r="2129" spans="1:11" s="18" customFormat="1" ht="14.25" x14ac:dyDescent="0.2">
      <c r="A2129" s="18" t="str">
        <f t="shared" si="158"/>
        <v>Eintrag 2128</v>
      </c>
      <c r="B2129" s="18">
        <v>100</v>
      </c>
      <c r="C2129" s="19">
        <v>100</v>
      </c>
      <c r="D2129" s="20">
        <v>10</v>
      </c>
      <c r="E2129" s="20">
        <v>10</v>
      </c>
      <c r="F2129" s="20">
        <v>10</v>
      </c>
      <c r="G2129" s="19">
        <f t="shared" si="161"/>
        <v>172</v>
      </c>
      <c r="H2129" s="22">
        <f t="shared" si="159"/>
        <v>2128</v>
      </c>
      <c r="I2129" s="21">
        <f t="shared" ca="1" si="157"/>
        <v>0</v>
      </c>
      <c r="J2129" s="21" t="str">
        <f ca="1">IF(I2129=0,"",COUNTIF($I$2:I2129,"&gt;0"))</f>
        <v/>
      </c>
      <c r="K2129" s="21" t="str">
        <f t="shared" ca="1" si="160"/>
        <v/>
      </c>
    </row>
    <row r="2130" spans="1:11" s="18" customFormat="1" ht="14.25" x14ac:dyDescent="0.2">
      <c r="A2130" s="18" t="str">
        <f t="shared" si="158"/>
        <v>Eintrag 2129</v>
      </c>
      <c r="B2130" s="18">
        <v>100</v>
      </c>
      <c r="C2130" s="19">
        <v>100</v>
      </c>
      <c r="D2130" s="20">
        <v>10</v>
      </c>
      <c r="E2130" s="20">
        <v>10</v>
      </c>
      <c r="F2130" s="20">
        <v>10</v>
      </c>
      <c r="G2130" s="19">
        <f t="shared" si="161"/>
        <v>172</v>
      </c>
      <c r="H2130" s="22">
        <f t="shared" si="159"/>
        <v>2129</v>
      </c>
      <c r="I2130" s="21">
        <f t="shared" ca="1" si="157"/>
        <v>0</v>
      </c>
      <c r="J2130" s="21" t="str">
        <f ca="1">IF(I2130=0,"",COUNTIF($I$2:I2130,"&gt;0"))</f>
        <v/>
      </c>
      <c r="K2130" s="21" t="str">
        <f t="shared" ca="1" si="160"/>
        <v/>
      </c>
    </row>
    <row r="2131" spans="1:11" s="18" customFormat="1" ht="14.25" x14ac:dyDescent="0.2">
      <c r="A2131" s="18" t="str">
        <f t="shared" si="158"/>
        <v>Eintrag 2130</v>
      </c>
      <c r="B2131" s="18">
        <v>100</v>
      </c>
      <c r="C2131" s="19">
        <v>100</v>
      </c>
      <c r="D2131" s="20">
        <v>10</v>
      </c>
      <c r="E2131" s="20">
        <v>10</v>
      </c>
      <c r="F2131" s="20">
        <v>10</v>
      </c>
      <c r="G2131" s="19">
        <f t="shared" si="161"/>
        <v>172</v>
      </c>
      <c r="H2131" s="22">
        <f t="shared" si="159"/>
        <v>2130</v>
      </c>
      <c r="I2131" s="21">
        <f t="shared" ca="1" si="157"/>
        <v>0</v>
      </c>
      <c r="J2131" s="21" t="str">
        <f ca="1">IF(I2131=0,"",COUNTIF($I$2:I2131,"&gt;0"))</f>
        <v/>
      </c>
      <c r="K2131" s="21" t="str">
        <f t="shared" ca="1" si="160"/>
        <v/>
      </c>
    </row>
    <row r="2132" spans="1:11" s="18" customFormat="1" ht="14.25" x14ac:dyDescent="0.2">
      <c r="A2132" s="18" t="str">
        <f t="shared" si="158"/>
        <v>Eintrag 2131</v>
      </c>
      <c r="B2132" s="18">
        <v>100</v>
      </c>
      <c r="C2132" s="19">
        <v>100</v>
      </c>
      <c r="D2132" s="20">
        <v>10</v>
      </c>
      <c r="E2132" s="20">
        <v>10</v>
      </c>
      <c r="F2132" s="20">
        <v>10</v>
      </c>
      <c r="G2132" s="19">
        <f t="shared" si="161"/>
        <v>172</v>
      </c>
      <c r="H2132" s="22">
        <f t="shared" si="159"/>
        <v>2131</v>
      </c>
      <c r="I2132" s="21">
        <f t="shared" ca="1" si="157"/>
        <v>0</v>
      </c>
      <c r="J2132" s="21" t="str">
        <f ca="1">IF(I2132=0,"",COUNTIF($I$2:I2132,"&gt;0"))</f>
        <v/>
      </c>
      <c r="K2132" s="21" t="str">
        <f t="shared" ca="1" si="160"/>
        <v/>
      </c>
    </row>
    <row r="2133" spans="1:11" s="18" customFormat="1" ht="14.25" x14ac:dyDescent="0.2">
      <c r="A2133" s="18" t="str">
        <f t="shared" si="158"/>
        <v>Eintrag 2132</v>
      </c>
      <c r="B2133" s="18">
        <v>100</v>
      </c>
      <c r="C2133" s="19">
        <v>100</v>
      </c>
      <c r="D2133" s="20">
        <v>10</v>
      </c>
      <c r="E2133" s="20">
        <v>10</v>
      </c>
      <c r="F2133" s="20">
        <v>10</v>
      </c>
      <c r="G2133" s="19">
        <f t="shared" si="161"/>
        <v>172</v>
      </c>
      <c r="H2133" s="22">
        <f t="shared" si="159"/>
        <v>2132</v>
      </c>
      <c r="I2133" s="21">
        <f t="shared" ca="1" si="157"/>
        <v>0</v>
      </c>
      <c r="J2133" s="21" t="str">
        <f ca="1">IF(I2133=0,"",COUNTIF($I$2:I2133,"&gt;0"))</f>
        <v/>
      </c>
      <c r="K2133" s="21" t="str">
        <f t="shared" ca="1" si="160"/>
        <v/>
      </c>
    </row>
    <row r="2134" spans="1:11" s="18" customFormat="1" ht="14.25" x14ac:dyDescent="0.2">
      <c r="A2134" s="18" t="str">
        <f t="shared" si="158"/>
        <v>Eintrag 2133</v>
      </c>
      <c r="B2134" s="18">
        <v>100</v>
      </c>
      <c r="C2134" s="19">
        <v>100</v>
      </c>
      <c r="D2134" s="20">
        <v>10</v>
      </c>
      <c r="E2134" s="20">
        <v>10</v>
      </c>
      <c r="F2134" s="20">
        <v>10</v>
      </c>
      <c r="G2134" s="19">
        <f t="shared" si="161"/>
        <v>172</v>
      </c>
      <c r="H2134" s="22">
        <f t="shared" si="159"/>
        <v>2133</v>
      </c>
      <c r="I2134" s="21">
        <f t="shared" ca="1" si="157"/>
        <v>0</v>
      </c>
      <c r="J2134" s="21" t="str">
        <f ca="1">IF(I2134=0,"",COUNTIF($I$2:I2134,"&gt;0"))</f>
        <v/>
      </c>
      <c r="K2134" s="21" t="str">
        <f t="shared" ca="1" si="160"/>
        <v/>
      </c>
    </row>
    <row r="2135" spans="1:11" s="18" customFormat="1" ht="14.25" x14ac:dyDescent="0.2">
      <c r="A2135" s="18" t="str">
        <f t="shared" si="158"/>
        <v>Eintrag 2134</v>
      </c>
      <c r="B2135" s="18">
        <v>100</v>
      </c>
      <c r="C2135" s="19">
        <v>100</v>
      </c>
      <c r="D2135" s="20">
        <v>10</v>
      </c>
      <c r="E2135" s="20">
        <v>10</v>
      </c>
      <c r="F2135" s="20">
        <v>10</v>
      </c>
      <c r="G2135" s="19">
        <f t="shared" si="161"/>
        <v>172</v>
      </c>
      <c r="H2135" s="22">
        <f t="shared" si="159"/>
        <v>2134</v>
      </c>
      <c r="I2135" s="21">
        <f t="shared" ref="I2135:I2198" ca="1" si="162">IFERROR(SEARCH(INDIRECT(CELL("address")),A2135),0)</f>
        <v>0</v>
      </c>
      <c r="J2135" s="21" t="str">
        <f ca="1">IF(I2135=0,"",COUNTIF($I$2:I2135,"&gt;0"))</f>
        <v/>
      </c>
      <c r="K2135" s="21" t="str">
        <f t="shared" ca="1" si="160"/>
        <v/>
      </c>
    </row>
    <row r="2136" spans="1:11" s="18" customFormat="1" ht="14.25" x14ac:dyDescent="0.2">
      <c r="A2136" s="18" t="str">
        <f t="shared" si="158"/>
        <v>Eintrag 2135</v>
      </c>
      <c r="B2136" s="18">
        <v>100</v>
      </c>
      <c r="C2136" s="19">
        <v>100</v>
      </c>
      <c r="D2136" s="20">
        <v>10</v>
      </c>
      <c r="E2136" s="20">
        <v>10</v>
      </c>
      <c r="F2136" s="20">
        <v>10</v>
      </c>
      <c r="G2136" s="19">
        <f t="shared" si="161"/>
        <v>172</v>
      </c>
      <c r="H2136" s="22">
        <f t="shared" si="159"/>
        <v>2135</v>
      </c>
      <c r="I2136" s="21">
        <f t="shared" ca="1" si="162"/>
        <v>0</v>
      </c>
      <c r="J2136" s="21" t="str">
        <f ca="1">IF(I2136=0,"",COUNTIF($I$2:I2136,"&gt;0"))</f>
        <v/>
      </c>
      <c r="K2136" s="21" t="str">
        <f t="shared" ca="1" si="160"/>
        <v/>
      </c>
    </row>
    <row r="2137" spans="1:11" s="18" customFormat="1" ht="14.25" x14ac:dyDescent="0.2">
      <c r="A2137" s="18" t="str">
        <f t="shared" si="158"/>
        <v>Eintrag 2136</v>
      </c>
      <c r="B2137" s="18">
        <v>100</v>
      </c>
      <c r="C2137" s="19">
        <v>100</v>
      </c>
      <c r="D2137" s="20">
        <v>10</v>
      </c>
      <c r="E2137" s="20">
        <v>10</v>
      </c>
      <c r="F2137" s="20">
        <v>10</v>
      </c>
      <c r="G2137" s="19">
        <f t="shared" si="161"/>
        <v>172</v>
      </c>
      <c r="H2137" s="22">
        <f t="shared" si="159"/>
        <v>2136</v>
      </c>
      <c r="I2137" s="21">
        <f t="shared" ca="1" si="162"/>
        <v>0</v>
      </c>
      <c r="J2137" s="21" t="str">
        <f ca="1">IF(I2137=0,"",COUNTIF($I$2:I2137,"&gt;0"))</f>
        <v/>
      </c>
      <c r="K2137" s="21" t="str">
        <f t="shared" ca="1" si="160"/>
        <v/>
      </c>
    </row>
    <row r="2138" spans="1:11" s="18" customFormat="1" ht="14.25" x14ac:dyDescent="0.2">
      <c r="A2138" s="18" t="str">
        <f t="shared" si="158"/>
        <v>Eintrag 2137</v>
      </c>
      <c r="B2138" s="18">
        <v>100</v>
      </c>
      <c r="C2138" s="19">
        <v>100</v>
      </c>
      <c r="D2138" s="20">
        <v>10</v>
      </c>
      <c r="E2138" s="20">
        <v>10</v>
      </c>
      <c r="F2138" s="20">
        <v>10</v>
      </c>
      <c r="G2138" s="19">
        <f t="shared" si="161"/>
        <v>172</v>
      </c>
      <c r="H2138" s="22">
        <f t="shared" si="159"/>
        <v>2137</v>
      </c>
      <c r="I2138" s="21">
        <f t="shared" ca="1" si="162"/>
        <v>0</v>
      </c>
      <c r="J2138" s="21" t="str">
        <f ca="1">IF(I2138=0,"",COUNTIF($I$2:I2138,"&gt;0"))</f>
        <v/>
      </c>
      <c r="K2138" s="21" t="str">
        <f t="shared" ca="1" si="160"/>
        <v/>
      </c>
    </row>
    <row r="2139" spans="1:11" s="18" customFormat="1" ht="14.25" x14ac:dyDescent="0.2">
      <c r="A2139" s="18" t="str">
        <f t="shared" si="158"/>
        <v>Eintrag 2138</v>
      </c>
      <c r="B2139" s="18">
        <v>100</v>
      </c>
      <c r="C2139" s="19">
        <v>100</v>
      </c>
      <c r="D2139" s="20">
        <v>10</v>
      </c>
      <c r="E2139" s="20">
        <v>10</v>
      </c>
      <c r="F2139" s="20">
        <v>10</v>
      </c>
      <c r="G2139" s="19">
        <f t="shared" si="161"/>
        <v>172</v>
      </c>
      <c r="H2139" s="22">
        <f t="shared" si="159"/>
        <v>2138</v>
      </c>
      <c r="I2139" s="21">
        <f t="shared" ca="1" si="162"/>
        <v>0</v>
      </c>
      <c r="J2139" s="21" t="str">
        <f ca="1">IF(I2139=0,"",COUNTIF($I$2:I2139,"&gt;0"))</f>
        <v/>
      </c>
      <c r="K2139" s="21" t="str">
        <f t="shared" ca="1" si="160"/>
        <v/>
      </c>
    </row>
    <row r="2140" spans="1:11" s="18" customFormat="1" ht="14.25" x14ac:dyDescent="0.2">
      <c r="A2140" s="18" t="str">
        <f t="shared" si="158"/>
        <v>Eintrag 2139</v>
      </c>
      <c r="B2140" s="18">
        <v>100</v>
      </c>
      <c r="C2140" s="19">
        <v>100</v>
      </c>
      <c r="D2140" s="20">
        <v>10</v>
      </c>
      <c r="E2140" s="20">
        <v>10</v>
      </c>
      <c r="F2140" s="20">
        <v>10</v>
      </c>
      <c r="G2140" s="19">
        <f t="shared" si="161"/>
        <v>172</v>
      </c>
      <c r="H2140" s="22">
        <f t="shared" si="159"/>
        <v>2139</v>
      </c>
      <c r="I2140" s="21">
        <f t="shared" ca="1" si="162"/>
        <v>0</v>
      </c>
      <c r="J2140" s="21" t="str">
        <f ca="1">IF(I2140=0,"",COUNTIF($I$2:I2140,"&gt;0"))</f>
        <v/>
      </c>
      <c r="K2140" s="21" t="str">
        <f t="shared" ca="1" si="160"/>
        <v/>
      </c>
    </row>
    <row r="2141" spans="1:11" s="18" customFormat="1" ht="14.25" x14ac:dyDescent="0.2">
      <c r="A2141" s="18" t="str">
        <f t="shared" si="158"/>
        <v>Eintrag 2140</v>
      </c>
      <c r="B2141" s="18">
        <v>100</v>
      </c>
      <c r="C2141" s="19">
        <v>100</v>
      </c>
      <c r="D2141" s="20">
        <v>10</v>
      </c>
      <c r="E2141" s="20">
        <v>10</v>
      </c>
      <c r="F2141" s="20">
        <v>10</v>
      </c>
      <c r="G2141" s="19">
        <f t="shared" si="161"/>
        <v>172</v>
      </c>
      <c r="H2141" s="22">
        <f t="shared" si="159"/>
        <v>2140</v>
      </c>
      <c r="I2141" s="21">
        <f t="shared" ca="1" si="162"/>
        <v>0</v>
      </c>
      <c r="J2141" s="21" t="str">
        <f ca="1">IF(I2141=0,"",COUNTIF($I$2:I2141,"&gt;0"))</f>
        <v/>
      </c>
      <c r="K2141" s="21" t="str">
        <f t="shared" ca="1" si="160"/>
        <v/>
      </c>
    </row>
    <row r="2142" spans="1:11" s="18" customFormat="1" ht="14.25" x14ac:dyDescent="0.2">
      <c r="A2142" s="18" t="str">
        <f t="shared" si="158"/>
        <v>Eintrag 2141</v>
      </c>
      <c r="B2142" s="18">
        <v>100</v>
      </c>
      <c r="C2142" s="19">
        <v>100</v>
      </c>
      <c r="D2142" s="20">
        <v>10</v>
      </c>
      <c r="E2142" s="20">
        <v>10</v>
      </c>
      <c r="F2142" s="20">
        <v>10</v>
      </c>
      <c r="G2142" s="19">
        <f t="shared" si="161"/>
        <v>172</v>
      </c>
      <c r="H2142" s="22">
        <f t="shared" si="159"/>
        <v>2141</v>
      </c>
      <c r="I2142" s="21">
        <f t="shared" ca="1" si="162"/>
        <v>0</v>
      </c>
      <c r="J2142" s="21" t="str">
        <f ca="1">IF(I2142=0,"",COUNTIF($I$2:I2142,"&gt;0"))</f>
        <v/>
      </c>
      <c r="K2142" s="21" t="str">
        <f t="shared" ca="1" si="160"/>
        <v/>
      </c>
    </row>
    <row r="2143" spans="1:11" s="18" customFormat="1" ht="14.25" x14ac:dyDescent="0.2">
      <c r="A2143" s="18" t="str">
        <f t="shared" si="158"/>
        <v>Eintrag 2142</v>
      </c>
      <c r="B2143" s="18">
        <v>100</v>
      </c>
      <c r="C2143" s="19">
        <v>100</v>
      </c>
      <c r="D2143" s="20">
        <v>10</v>
      </c>
      <c r="E2143" s="20">
        <v>10</v>
      </c>
      <c r="F2143" s="20">
        <v>10</v>
      </c>
      <c r="G2143" s="19">
        <f t="shared" si="161"/>
        <v>172</v>
      </c>
      <c r="H2143" s="22">
        <f t="shared" si="159"/>
        <v>2142</v>
      </c>
      <c r="I2143" s="21">
        <f t="shared" ca="1" si="162"/>
        <v>0</v>
      </c>
      <c r="J2143" s="21" t="str">
        <f ca="1">IF(I2143=0,"",COUNTIF($I$2:I2143,"&gt;0"))</f>
        <v/>
      </c>
      <c r="K2143" s="21" t="str">
        <f t="shared" ca="1" si="160"/>
        <v/>
      </c>
    </row>
    <row r="2144" spans="1:11" s="18" customFormat="1" ht="14.25" x14ac:dyDescent="0.2">
      <c r="A2144" s="18" t="str">
        <f t="shared" si="158"/>
        <v>Eintrag 2143</v>
      </c>
      <c r="B2144" s="18">
        <v>100</v>
      </c>
      <c r="C2144" s="19">
        <v>100</v>
      </c>
      <c r="D2144" s="20">
        <v>10</v>
      </c>
      <c r="E2144" s="20">
        <v>10</v>
      </c>
      <c r="F2144" s="20">
        <v>10</v>
      </c>
      <c r="G2144" s="19">
        <f t="shared" si="161"/>
        <v>172</v>
      </c>
      <c r="H2144" s="22">
        <f t="shared" si="159"/>
        <v>2143</v>
      </c>
      <c r="I2144" s="21">
        <f t="shared" ca="1" si="162"/>
        <v>0</v>
      </c>
      <c r="J2144" s="21" t="str">
        <f ca="1">IF(I2144=0,"",COUNTIF($I$2:I2144,"&gt;0"))</f>
        <v/>
      </c>
      <c r="K2144" s="21" t="str">
        <f t="shared" ca="1" si="160"/>
        <v/>
      </c>
    </row>
    <row r="2145" spans="1:11" s="18" customFormat="1" ht="14.25" x14ac:dyDescent="0.2">
      <c r="A2145" s="18" t="str">
        <f t="shared" ref="A2145:A2208" si="163">CONCATENATE("Eintrag ",H2145)</f>
        <v>Eintrag 2144</v>
      </c>
      <c r="B2145" s="18">
        <v>100</v>
      </c>
      <c r="C2145" s="19">
        <v>100</v>
      </c>
      <c r="D2145" s="20">
        <v>10</v>
      </c>
      <c r="E2145" s="20">
        <v>10</v>
      </c>
      <c r="F2145" s="20">
        <v>10</v>
      </c>
      <c r="G2145" s="19">
        <f t="shared" si="161"/>
        <v>172</v>
      </c>
      <c r="H2145" s="22">
        <f t="shared" si="159"/>
        <v>2144</v>
      </c>
      <c r="I2145" s="21">
        <f t="shared" ca="1" si="162"/>
        <v>0</v>
      </c>
      <c r="J2145" s="21" t="str">
        <f ca="1">IF(I2145=0,"",COUNTIF($I$2:I2145,"&gt;0"))</f>
        <v/>
      </c>
      <c r="K2145" s="21" t="str">
        <f t="shared" ca="1" si="160"/>
        <v/>
      </c>
    </row>
    <row r="2146" spans="1:11" s="18" customFormat="1" ht="14.25" x14ac:dyDescent="0.2">
      <c r="A2146" s="18" t="str">
        <f t="shared" si="163"/>
        <v>Eintrag 2145</v>
      </c>
      <c r="B2146" s="18">
        <v>100</v>
      </c>
      <c r="C2146" s="19">
        <v>100</v>
      </c>
      <c r="D2146" s="20">
        <v>10</v>
      </c>
      <c r="E2146" s="20">
        <v>10</v>
      </c>
      <c r="F2146" s="20">
        <v>10</v>
      </c>
      <c r="G2146" s="19">
        <f t="shared" si="161"/>
        <v>172</v>
      </c>
      <c r="H2146" s="22">
        <f t="shared" si="159"/>
        <v>2145</v>
      </c>
      <c r="I2146" s="21">
        <f t="shared" ca="1" si="162"/>
        <v>0</v>
      </c>
      <c r="J2146" s="21" t="str">
        <f ca="1">IF(I2146=0,"",COUNTIF($I$2:I2146,"&gt;0"))</f>
        <v/>
      </c>
      <c r="K2146" s="21" t="str">
        <f t="shared" ca="1" si="160"/>
        <v/>
      </c>
    </row>
    <row r="2147" spans="1:11" s="18" customFormat="1" ht="14.25" x14ac:dyDescent="0.2">
      <c r="A2147" s="18" t="str">
        <f t="shared" si="163"/>
        <v>Eintrag 2146</v>
      </c>
      <c r="B2147" s="18">
        <v>100</v>
      </c>
      <c r="C2147" s="19">
        <v>100</v>
      </c>
      <c r="D2147" s="20">
        <v>10</v>
      </c>
      <c r="E2147" s="20">
        <v>10</v>
      </c>
      <c r="F2147" s="20">
        <v>10</v>
      </c>
      <c r="G2147" s="19">
        <f t="shared" si="161"/>
        <v>172</v>
      </c>
      <c r="H2147" s="22">
        <f t="shared" si="159"/>
        <v>2146</v>
      </c>
      <c r="I2147" s="21">
        <f t="shared" ca="1" si="162"/>
        <v>0</v>
      </c>
      <c r="J2147" s="21" t="str">
        <f ca="1">IF(I2147=0,"",COUNTIF($I$2:I2147,"&gt;0"))</f>
        <v/>
      </c>
      <c r="K2147" s="21" t="str">
        <f t="shared" ca="1" si="160"/>
        <v/>
      </c>
    </row>
    <row r="2148" spans="1:11" s="18" customFormat="1" ht="14.25" x14ac:dyDescent="0.2">
      <c r="A2148" s="18" t="str">
        <f t="shared" si="163"/>
        <v>Eintrag 2147</v>
      </c>
      <c r="B2148" s="18">
        <v>100</v>
      </c>
      <c r="C2148" s="19">
        <v>100</v>
      </c>
      <c r="D2148" s="20">
        <v>10</v>
      </c>
      <c r="E2148" s="20">
        <v>10</v>
      </c>
      <c r="F2148" s="20">
        <v>10</v>
      </c>
      <c r="G2148" s="19">
        <f t="shared" si="161"/>
        <v>172</v>
      </c>
      <c r="H2148" s="22">
        <f t="shared" si="159"/>
        <v>2147</v>
      </c>
      <c r="I2148" s="21">
        <f t="shared" ca="1" si="162"/>
        <v>0</v>
      </c>
      <c r="J2148" s="21" t="str">
        <f ca="1">IF(I2148=0,"",COUNTIF($I$2:I2148,"&gt;0"))</f>
        <v/>
      </c>
      <c r="K2148" s="21" t="str">
        <f t="shared" ca="1" si="160"/>
        <v/>
      </c>
    </row>
    <row r="2149" spans="1:11" s="18" customFormat="1" ht="14.25" x14ac:dyDescent="0.2">
      <c r="A2149" s="18" t="str">
        <f t="shared" si="163"/>
        <v>Eintrag 2148</v>
      </c>
      <c r="B2149" s="18">
        <v>100</v>
      </c>
      <c r="C2149" s="19">
        <v>100</v>
      </c>
      <c r="D2149" s="20">
        <v>10</v>
      </c>
      <c r="E2149" s="20">
        <v>10</v>
      </c>
      <c r="F2149" s="20">
        <v>10</v>
      </c>
      <c r="G2149" s="19">
        <f t="shared" si="161"/>
        <v>172</v>
      </c>
      <c r="H2149" s="22">
        <f t="shared" ref="H2149:H2212" si="164">H2148+1</f>
        <v>2148</v>
      </c>
      <c r="I2149" s="21">
        <f t="shared" ca="1" si="162"/>
        <v>0</v>
      </c>
      <c r="J2149" s="21" t="str">
        <f ca="1">IF(I2149=0,"",COUNTIF($I$2:I2149,"&gt;0"))</f>
        <v/>
      </c>
      <c r="K2149" s="21" t="str">
        <f t="shared" ca="1" si="160"/>
        <v/>
      </c>
    </row>
    <row r="2150" spans="1:11" s="18" customFormat="1" ht="14.25" x14ac:dyDescent="0.2">
      <c r="A2150" s="18" t="str">
        <f t="shared" si="163"/>
        <v>Eintrag 2149</v>
      </c>
      <c r="B2150" s="18">
        <v>100</v>
      </c>
      <c r="C2150" s="19">
        <v>100</v>
      </c>
      <c r="D2150" s="20">
        <v>10</v>
      </c>
      <c r="E2150" s="20">
        <v>10</v>
      </c>
      <c r="F2150" s="20">
        <v>10</v>
      </c>
      <c r="G2150" s="19">
        <f t="shared" si="161"/>
        <v>172</v>
      </c>
      <c r="H2150" s="22">
        <f t="shared" si="164"/>
        <v>2149</v>
      </c>
      <c r="I2150" s="21">
        <f t="shared" ca="1" si="162"/>
        <v>0</v>
      </c>
      <c r="J2150" s="21" t="str">
        <f ca="1">IF(I2150=0,"",COUNTIF($I$2:I2150,"&gt;0"))</f>
        <v/>
      </c>
      <c r="K2150" s="21" t="str">
        <f t="shared" ca="1" si="160"/>
        <v/>
      </c>
    </row>
    <row r="2151" spans="1:11" s="18" customFormat="1" ht="14.25" x14ac:dyDescent="0.2">
      <c r="A2151" s="18" t="str">
        <f t="shared" si="163"/>
        <v>Eintrag 2150</v>
      </c>
      <c r="B2151" s="18">
        <v>100</v>
      </c>
      <c r="C2151" s="19">
        <v>100</v>
      </c>
      <c r="D2151" s="20">
        <v>10</v>
      </c>
      <c r="E2151" s="20">
        <v>10</v>
      </c>
      <c r="F2151" s="20">
        <v>10</v>
      </c>
      <c r="G2151" s="19">
        <f t="shared" si="161"/>
        <v>172</v>
      </c>
      <c r="H2151" s="22">
        <f t="shared" si="164"/>
        <v>2150</v>
      </c>
      <c r="I2151" s="21">
        <f t="shared" ca="1" si="162"/>
        <v>0</v>
      </c>
      <c r="J2151" s="21" t="str">
        <f ca="1">IF(I2151=0,"",COUNTIF($I$2:I2151,"&gt;0"))</f>
        <v/>
      </c>
      <c r="K2151" s="21" t="str">
        <f t="shared" ca="1" si="160"/>
        <v/>
      </c>
    </row>
    <row r="2152" spans="1:11" s="18" customFormat="1" ht="14.25" x14ac:dyDescent="0.2">
      <c r="A2152" s="18" t="str">
        <f t="shared" si="163"/>
        <v>Eintrag 2151</v>
      </c>
      <c r="B2152" s="18">
        <v>100</v>
      </c>
      <c r="C2152" s="19">
        <v>100</v>
      </c>
      <c r="D2152" s="20">
        <v>10</v>
      </c>
      <c r="E2152" s="20">
        <v>10</v>
      </c>
      <c r="F2152" s="20">
        <v>10</v>
      </c>
      <c r="G2152" s="19">
        <f t="shared" si="161"/>
        <v>172</v>
      </c>
      <c r="H2152" s="22">
        <f t="shared" si="164"/>
        <v>2151</v>
      </c>
      <c r="I2152" s="21">
        <f t="shared" ca="1" si="162"/>
        <v>0</v>
      </c>
      <c r="J2152" s="21" t="str">
        <f ca="1">IF(I2152=0,"",COUNTIF($I$2:I2152,"&gt;0"))</f>
        <v/>
      </c>
      <c r="K2152" s="21" t="str">
        <f t="shared" ca="1" si="160"/>
        <v/>
      </c>
    </row>
    <row r="2153" spans="1:11" s="18" customFormat="1" ht="14.25" x14ac:dyDescent="0.2">
      <c r="A2153" s="18" t="str">
        <f t="shared" si="163"/>
        <v>Eintrag 2152</v>
      </c>
      <c r="B2153" s="18">
        <v>100</v>
      </c>
      <c r="C2153" s="19">
        <v>100</v>
      </c>
      <c r="D2153" s="20">
        <v>10</v>
      </c>
      <c r="E2153" s="20">
        <v>10</v>
      </c>
      <c r="F2153" s="20">
        <v>10</v>
      </c>
      <c r="G2153" s="19">
        <f t="shared" si="161"/>
        <v>172</v>
      </c>
      <c r="H2153" s="22">
        <f t="shared" si="164"/>
        <v>2152</v>
      </c>
      <c r="I2153" s="21">
        <f t="shared" ca="1" si="162"/>
        <v>0</v>
      </c>
      <c r="J2153" s="21" t="str">
        <f ca="1">IF(I2153=0,"",COUNTIF($I$2:I2153,"&gt;0"))</f>
        <v/>
      </c>
      <c r="K2153" s="21" t="str">
        <f t="shared" ca="1" si="160"/>
        <v/>
      </c>
    </row>
    <row r="2154" spans="1:11" s="18" customFormat="1" ht="14.25" x14ac:dyDescent="0.2">
      <c r="A2154" s="18" t="str">
        <f t="shared" si="163"/>
        <v>Eintrag 2153</v>
      </c>
      <c r="B2154" s="18">
        <v>100</v>
      </c>
      <c r="C2154" s="19">
        <v>100</v>
      </c>
      <c r="D2154" s="20">
        <v>10</v>
      </c>
      <c r="E2154" s="20">
        <v>10</v>
      </c>
      <c r="F2154" s="20">
        <v>10</v>
      </c>
      <c r="G2154" s="19">
        <f t="shared" si="161"/>
        <v>172</v>
      </c>
      <c r="H2154" s="22">
        <f t="shared" si="164"/>
        <v>2153</v>
      </c>
      <c r="I2154" s="21">
        <f t="shared" ca="1" si="162"/>
        <v>0</v>
      </c>
      <c r="J2154" s="21" t="str">
        <f ca="1">IF(I2154=0,"",COUNTIF($I$2:I2154,"&gt;0"))</f>
        <v/>
      </c>
      <c r="K2154" s="21" t="str">
        <f t="shared" ca="1" si="160"/>
        <v/>
      </c>
    </row>
    <row r="2155" spans="1:11" s="18" customFormat="1" ht="14.25" x14ac:dyDescent="0.2">
      <c r="A2155" s="18" t="str">
        <f t="shared" si="163"/>
        <v>Eintrag 2154</v>
      </c>
      <c r="B2155" s="18">
        <v>100</v>
      </c>
      <c r="C2155" s="19">
        <v>100</v>
      </c>
      <c r="D2155" s="20">
        <v>10</v>
      </c>
      <c r="E2155" s="20">
        <v>10</v>
      </c>
      <c r="F2155" s="20">
        <v>10</v>
      </c>
      <c r="G2155" s="19">
        <f t="shared" si="161"/>
        <v>172</v>
      </c>
      <c r="H2155" s="22">
        <f t="shared" si="164"/>
        <v>2154</v>
      </c>
      <c r="I2155" s="21">
        <f t="shared" ca="1" si="162"/>
        <v>0</v>
      </c>
      <c r="J2155" s="21" t="str">
        <f ca="1">IF(I2155=0,"",COUNTIF($I$2:I2155,"&gt;0"))</f>
        <v/>
      </c>
      <c r="K2155" s="21" t="str">
        <f t="shared" ca="1" si="160"/>
        <v/>
      </c>
    </row>
    <row r="2156" spans="1:11" s="18" customFormat="1" ht="14.25" x14ac:dyDescent="0.2">
      <c r="A2156" s="18" t="str">
        <f t="shared" si="163"/>
        <v>Eintrag 2155</v>
      </c>
      <c r="B2156" s="18">
        <v>100</v>
      </c>
      <c r="C2156" s="19">
        <v>100</v>
      </c>
      <c r="D2156" s="20">
        <v>10</v>
      </c>
      <c r="E2156" s="20">
        <v>10</v>
      </c>
      <c r="F2156" s="20">
        <v>10</v>
      </c>
      <c r="G2156" s="19">
        <f t="shared" si="161"/>
        <v>172</v>
      </c>
      <c r="H2156" s="22">
        <f t="shared" si="164"/>
        <v>2155</v>
      </c>
      <c r="I2156" s="21">
        <f t="shared" ca="1" si="162"/>
        <v>0</v>
      </c>
      <c r="J2156" s="21" t="str">
        <f ca="1">IF(I2156=0,"",COUNTIF($I$2:I2156,"&gt;0"))</f>
        <v/>
      </c>
      <c r="K2156" s="21" t="str">
        <f t="shared" ca="1" si="160"/>
        <v/>
      </c>
    </row>
    <row r="2157" spans="1:11" s="18" customFormat="1" ht="14.25" x14ac:dyDescent="0.2">
      <c r="A2157" s="18" t="str">
        <f t="shared" si="163"/>
        <v>Eintrag 2156</v>
      </c>
      <c r="B2157" s="18">
        <v>100</v>
      </c>
      <c r="C2157" s="19">
        <v>100</v>
      </c>
      <c r="D2157" s="20">
        <v>10</v>
      </c>
      <c r="E2157" s="20">
        <v>10</v>
      </c>
      <c r="F2157" s="20">
        <v>10</v>
      </c>
      <c r="G2157" s="19">
        <f t="shared" si="161"/>
        <v>172</v>
      </c>
      <c r="H2157" s="22">
        <f t="shared" si="164"/>
        <v>2156</v>
      </c>
      <c r="I2157" s="21">
        <f t="shared" ca="1" si="162"/>
        <v>0</v>
      </c>
      <c r="J2157" s="21" t="str">
        <f ca="1">IF(I2157=0,"",COUNTIF($I$2:I2157,"&gt;0"))</f>
        <v/>
      </c>
      <c r="K2157" s="21" t="str">
        <f t="shared" ca="1" si="160"/>
        <v/>
      </c>
    </row>
    <row r="2158" spans="1:11" s="18" customFormat="1" ht="14.25" x14ac:dyDescent="0.2">
      <c r="A2158" s="18" t="str">
        <f t="shared" si="163"/>
        <v>Eintrag 2157</v>
      </c>
      <c r="B2158" s="18">
        <v>100</v>
      </c>
      <c r="C2158" s="19">
        <v>100</v>
      </c>
      <c r="D2158" s="20">
        <v>10</v>
      </c>
      <c r="E2158" s="20">
        <v>10</v>
      </c>
      <c r="F2158" s="20">
        <v>10</v>
      </c>
      <c r="G2158" s="19">
        <f t="shared" si="161"/>
        <v>172</v>
      </c>
      <c r="H2158" s="22">
        <f t="shared" si="164"/>
        <v>2157</v>
      </c>
      <c r="I2158" s="21">
        <f t="shared" ca="1" si="162"/>
        <v>0</v>
      </c>
      <c r="J2158" s="21" t="str">
        <f ca="1">IF(I2158=0,"",COUNTIF($I$2:I2158,"&gt;0"))</f>
        <v/>
      </c>
      <c r="K2158" s="21" t="str">
        <f t="shared" ca="1" si="160"/>
        <v/>
      </c>
    </row>
    <row r="2159" spans="1:11" s="18" customFormat="1" ht="14.25" x14ac:dyDescent="0.2">
      <c r="A2159" s="18" t="str">
        <f t="shared" si="163"/>
        <v>Eintrag 2158</v>
      </c>
      <c r="B2159" s="18">
        <v>100</v>
      </c>
      <c r="C2159" s="19">
        <v>100</v>
      </c>
      <c r="D2159" s="20">
        <v>10</v>
      </c>
      <c r="E2159" s="20">
        <v>10</v>
      </c>
      <c r="F2159" s="20">
        <v>10</v>
      </c>
      <c r="G2159" s="19">
        <f t="shared" si="161"/>
        <v>172</v>
      </c>
      <c r="H2159" s="22">
        <f t="shared" si="164"/>
        <v>2158</v>
      </c>
      <c r="I2159" s="21">
        <f t="shared" ca="1" si="162"/>
        <v>0</v>
      </c>
      <c r="J2159" s="21" t="str">
        <f ca="1">IF(I2159=0,"",COUNTIF($I$2:I2159,"&gt;0"))</f>
        <v/>
      </c>
      <c r="K2159" s="21" t="str">
        <f t="shared" ca="1" si="160"/>
        <v/>
      </c>
    </row>
    <row r="2160" spans="1:11" s="18" customFormat="1" ht="14.25" x14ac:dyDescent="0.2">
      <c r="A2160" s="18" t="str">
        <f t="shared" si="163"/>
        <v>Eintrag 2159</v>
      </c>
      <c r="B2160" s="18">
        <v>100</v>
      </c>
      <c r="C2160" s="19">
        <v>100</v>
      </c>
      <c r="D2160" s="20">
        <v>10</v>
      </c>
      <c r="E2160" s="20">
        <v>10</v>
      </c>
      <c r="F2160" s="20">
        <v>10</v>
      </c>
      <c r="G2160" s="19">
        <f t="shared" si="161"/>
        <v>172</v>
      </c>
      <c r="H2160" s="22">
        <f t="shared" si="164"/>
        <v>2159</v>
      </c>
      <c r="I2160" s="21">
        <f t="shared" ca="1" si="162"/>
        <v>0</v>
      </c>
      <c r="J2160" s="21" t="str">
        <f ca="1">IF(I2160=0,"",COUNTIF($I$2:I2160,"&gt;0"))</f>
        <v/>
      </c>
      <c r="K2160" s="21" t="str">
        <f t="shared" ca="1" si="160"/>
        <v/>
      </c>
    </row>
    <row r="2161" spans="1:11" s="18" customFormat="1" ht="14.25" x14ac:dyDescent="0.2">
      <c r="A2161" s="18" t="str">
        <f t="shared" si="163"/>
        <v>Eintrag 2160</v>
      </c>
      <c r="B2161" s="18">
        <v>100</v>
      </c>
      <c r="C2161" s="19">
        <v>100</v>
      </c>
      <c r="D2161" s="20">
        <v>10</v>
      </c>
      <c r="E2161" s="20">
        <v>10</v>
      </c>
      <c r="F2161" s="20">
        <v>10</v>
      </c>
      <c r="G2161" s="19">
        <f t="shared" si="161"/>
        <v>172</v>
      </c>
      <c r="H2161" s="22">
        <f t="shared" si="164"/>
        <v>2160</v>
      </c>
      <c r="I2161" s="21">
        <f t="shared" ca="1" si="162"/>
        <v>0</v>
      </c>
      <c r="J2161" s="21" t="str">
        <f ca="1">IF(I2161=0,"",COUNTIF($I$2:I2161,"&gt;0"))</f>
        <v/>
      </c>
      <c r="K2161" s="21" t="str">
        <f t="shared" ca="1" si="160"/>
        <v/>
      </c>
    </row>
    <row r="2162" spans="1:11" s="18" customFormat="1" ht="14.25" x14ac:dyDescent="0.2">
      <c r="A2162" s="18" t="str">
        <f t="shared" si="163"/>
        <v>Eintrag 2161</v>
      </c>
      <c r="B2162" s="18">
        <v>100</v>
      </c>
      <c r="C2162" s="19">
        <v>100</v>
      </c>
      <c r="D2162" s="20">
        <v>10</v>
      </c>
      <c r="E2162" s="20">
        <v>10</v>
      </c>
      <c r="F2162" s="20">
        <v>10</v>
      </c>
      <c r="G2162" s="19">
        <f t="shared" si="161"/>
        <v>172</v>
      </c>
      <c r="H2162" s="22">
        <f t="shared" si="164"/>
        <v>2161</v>
      </c>
      <c r="I2162" s="21">
        <f t="shared" ca="1" si="162"/>
        <v>0</v>
      </c>
      <c r="J2162" s="21" t="str">
        <f ca="1">IF(I2162=0,"",COUNTIF($I$2:I2162,"&gt;0"))</f>
        <v/>
      </c>
      <c r="K2162" s="21" t="str">
        <f t="shared" ca="1" si="160"/>
        <v/>
      </c>
    </row>
    <row r="2163" spans="1:11" s="18" customFormat="1" ht="14.25" x14ac:dyDescent="0.2">
      <c r="A2163" s="18" t="str">
        <f t="shared" si="163"/>
        <v>Eintrag 2162</v>
      </c>
      <c r="B2163" s="18">
        <v>100</v>
      </c>
      <c r="C2163" s="19">
        <v>100</v>
      </c>
      <c r="D2163" s="20">
        <v>10</v>
      </c>
      <c r="E2163" s="20">
        <v>10</v>
      </c>
      <c r="F2163" s="20">
        <v>10</v>
      </c>
      <c r="G2163" s="19">
        <f t="shared" si="161"/>
        <v>172</v>
      </c>
      <c r="H2163" s="22">
        <f t="shared" si="164"/>
        <v>2162</v>
      </c>
      <c r="I2163" s="21">
        <f t="shared" ca="1" si="162"/>
        <v>0</v>
      </c>
      <c r="J2163" s="21" t="str">
        <f ca="1">IF(I2163=0,"",COUNTIF($I$2:I2163,"&gt;0"))</f>
        <v/>
      </c>
      <c r="K2163" s="21" t="str">
        <f t="shared" ca="1" si="160"/>
        <v/>
      </c>
    </row>
    <row r="2164" spans="1:11" s="18" customFormat="1" ht="14.25" x14ac:dyDescent="0.2">
      <c r="A2164" s="18" t="str">
        <f t="shared" si="163"/>
        <v>Eintrag 2163</v>
      </c>
      <c r="B2164" s="18">
        <v>100</v>
      </c>
      <c r="C2164" s="19">
        <v>100</v>
      </c>
      <c r="D2164" s="20">
        <v>10</v>
      </c>
      <c r="E2164" s="20">
        <v>10</v>
      </c>
      <c r="F2164" s="20">
        <v>10</v>
      </c>
      <c r="G2164" s="19">
        <f t="shared" si="161"/>
        <v>172</v>
      </c>
      <c r="H2164" s="22">
        <f t="shared" si="164"/>
        <v>2163</v>
      </c>
      <c r="I2164" s="21">
        <f t="shared" ca="1" si="162"/>
        <v>0</v>
      </c>
      <c r="J2164" s="21" t="str">
        <f ca="1">IF(I2164=0,"",COUNTIF($I$2:I2164,"&gt;0"))</f>
        <v/>
      </c>
      <c r="K2164" s="21" t="str">
        <f t="shared" ca="1" si="160"/>
        <v/>
      </c>
    </row>
    <row r="2165" spans="1:11" s="18" customFormat="1" ht="14.25" x14ac:dyDescent="0.2">
      <c r="A2165" s="18" t="str">
        <f t="shared" si="163"/>
        <v>Eintrag 2164</v>
      </c>
      <c r="B2165" s="18">
        <v>100</v>
      </c>
      <c r="C2165" s="19">
        <v>100</v>
      </c>
      <c r="D2165" s="20">
        <v>10</v>
      </c>
      <c r="E2165" s="20">
        <v>10</v>
      </c>
      <c r="F2165" s="20">
        <v>10</v>
      </c>
      <c r="G2165" s="19">
        <f t="shared" si="161"/>
        <v>172</v>
      </c>
      <c r="H2165" s="22">
        <f t="shared" si="164"/>
        <v>2164</v>
      </c>
      <c r="I2165" s="21">
        <f t="shared" ca="1" si="162"/>
        <v>0</v>
      </c>
      <c r="J2165" s="21" t="str">
        <f ca="1">IF(I2165=0,"",COUNTIF($I$2:I2165,"&gt;0"))</f>
        <v/>
      </c>
      <c r="K2165" s="21" t="str">
        <f t="shared" ca="1" si="160"/>
        <v/>
      </c>
    </row>
    <row r="2166" spans="1:11" s="18" customFormat="1" ht="14.25" x14ac:dyDescent="0.2">
      <c r="A2166" s="18" t="str">
        <f t="shared" si="163"/>
        <v>Eintrag 2165</v>
      </c>
      <c r="B2166" s="18">
        <v>100</v>
      </c>
      <c r="C2166" s="19">
        <v>100</v>
      </c>
      <c r="D2166" s="20">
        <v>10</v>
      </c>
      <c r="E2166" s="20">
        <v>10</v>
      </c>
      <c r="F2166" s="20">
        <v>10</v>
      </c>
      <c r="G2166" s="19">
        <f t="shared" si="161"/>
        <v>172</v>
      </c>
      <c r="H2166" s="22">
        <f t="shared" si="164"/>
        <v>2165</v>
      </c>
      <c r="I2166" s="21">
        <f t="shared" ca="1" si="162"/>
        <v>0</v>
      </c>
      <c r="J2166" s="21" t="str">
        <f ca="1">IF(I2166=0,"",COUNTIF($I$2:I2166,"&gt;0"))</f>
        <v/>
      </c>
      <c r="K2166" s="21" t="str">
        <f t="shared" ca="1" si="160"/>
        <v/>
      </c>
    </row>
    <row r="2167" spans="1:11" s="18" customFormat="1" ht="14.25" x14ac:dyDescent="0.2">
      <c r="A2167" s="18" t="str">
        <f t="shared" si="163"/>
        <v>Eintrag 2166</v>
      </c>
      <c r="B2167" s="18">
        <v>100</v>
      </c>
      <c r="C2167" s="19">
        <v>100</v>
      </c>
      <c r="D2167" s="20">
        <v>10</v>
      </c>
      <c r="E2167" s="20">
        <v>10</v>
      </c>
      <c r="F2167" s="20">
        <v>10</v>
      </c>
      <c r="G2167" s="19">
        <f t="shared" si="161"/>
        <v>172</v>
      </c>
      <c r="H2167" s="22">
        <f t="shared" si="164"/>
        <v>2166</v>
      </c>
      <c r="I2167" s="21">
        <f t="shared" ca="1" si="162"/>
        <v>0</v>
      </c>
      <c r="J2167" s="21" t="str">
        <f ca="1">IF(I2167=0,"",COUNTIF($I$2:I2167,"&gt;0"))</f>
        <v/>
      </c>
      <c r="K2167" s="21" t="str">
        <f t="shared" ca="1" si="160"/>
        <v/>
      </c>
    </row>
    <row r="2168" spans="1:11" s="18" customFormat="1" ht="14.25" x14ac:dyDescent="0.2">
      <c r="A2168" s="18" t="str">
        <f t="shared" si="163"/>
        <v>Eintrag 2167</v>
      </c>
      <c r="B2168" s="18">
        <v>100</v>
      </c>
      <c r="C2168" s="19">
        <v>100</v>
      </c>
      <c r="D2168" s="20">
        <v>10</v>
      </c>
      <c r="E2168" s="20">
        <v>10</v>
      </c>
      <c r="F2168" s="20">
        <v>10</v>
      </c>
      <c r="G2168" s="19">
        <f t="shared" si="161"/>
        <v>172</v>
      </c>
      <c r="H2168" s="22">
        <f t="shared" si="164"/>
        <v>2167</v>
      </c>
      <c r="I2168" s="21">
        <f t="shared" ca="1" si="162"/>
        <v>0</v>
      </c>
      <c r="J2168" s="21" t="str">
        <f ca="1">IF(I2168=0,"",COUNTIF($I$2:I2168,"&gt;0"))</f>
        <v/>
      </c>
      <c r="K2168" s="21" t="str">
        <f t="shared" ca="1" si="160"/>
        <v/>
      </c>
    </row>
    <row r="2169" spans="1:11" s="18" customFormat="1" ht="14.25" x14ac:dyDescent="0.2">
      <c r="A2169" s="18" t="str">
        <f t="shared" si="163"/>
        <v>Eintrag 2168</v>
      </c>
      <c r="B2169" s="18">
        <v>100</v>
      </c>
      <c r="C2169" s="19">
        <v>100</v>
      </c>
      <c r="D2169" s="20">
        <v>10</v>
      </c>
      <c r="E2169" s="20">
        <v>10</v>
      </c>
      <c r="F2169" s="20">
        <v>10</v>
      </c>
      <c r="G2169" s="19">
        <f t="shared" si="161"/>
        <v>172</v>
      </c>
      <c r="H2169" s="22">
        <f t="shared" si="164"/>
        <v>2168</v>
      </c>
      <c r="I2169" s="21">
        <f t="shared" ca="1" si="162"/>
        <v>0</v>
      </c>
      <c r="J2169" s="21" t="str">
        <f ca="1">IF(I2169=0,"",COUNTIF($I$2:I2169,"&gt;0"))</f>
        <v/>
      </c>
      <c r="K2169" s="21" t="str">
        <f t="shared" ca="1" si="160"/>
        <v/>
      </c>
    </row>
    <row r="2170" spans="1:11" s="18" customFormat="1" ht="14.25" x14ac:dyDescent="0.2">
      <c r="A2170" s="18" t="str">
        <f t="shared" si="163"/>
        <v>Eintrag 2169</v>
      </c>
      <c r="B2170" s="18">
        <v>100</v>
      </c>
      <c r="C2170" s="19">
        <v>100</v>
      </c>
      <c r="D2170" s="20">
        <v>10</v>
      </c>
      <c r="E2170" s="20">
        <v>10</v>
      </c>
      <c r="F2170" s="20">
        <v>10</v>
      </c>
      <c r="G2170" s="19">
        <f t="shared" si="161"/>
        <v>172</v>
      </c>
      <c r="H2170" s="22">
        <f t="shared" si="164"/>
        <v>2169</v>
      </c>
      <c r="I2170" s="21">
        <f t="shared" ca="1" si="162"/>
        <v>0</v>
      </c>
      <c r="J2170" s="21" t="str">
        <f ca="1">IF(I2170=0,"",COUNTIF($I$2:I2170,"&gt;0"))</f>
        <v/>
      </c>
      <c r="K2170" s="21" t="str">
        <f t="shared" ca="1" si="160"/>
        <v/>
      </c>
    </row>
    <row r="2171" spans="1:11" s="18" customFormat="1" ht="14.25" x14ac:dyDescent="0.2">
      <c r="A2171" s="18" t="str">
        <f t="shared" si="163"/>
        <v>Eintrag 2170</v>
      </c>
      <c r="B2171" s="18">
        <v>100</v>
      </c>
      <c r="C2171" s="19">
        <v>100</v>
      </c>
      <c r="D2171" s="20">
        <v>10</v>
      </c>
      <c r="E2171" s="20">
        <v>10</v>
      </c>
      <c r="F2171" s="20">
        <v>10</v>
      </c>
      <c r="G2171" s="19">
        <f t="shared" si="161"/>
        <v>172</v>
      </c>
      <c r="H2171" s="22">
        <f t="shared" si="164"/>
        <v>2170</v>
      </c>
      <c r="I2171" s="21">
        <f t="shared" ca="1" si="162"/>
        <v>0</v>
      </c>
      <c r="J2171" s="21" t="str">
        <f ca="1">IF(I2171=0,"",COUNTIF($I$2:I2171,"&gt;0"))</f>
        <v/>
      </c>
      <c r="K2171" s="21" t="str">
        <f t="shared" ca="1" si="160"/>
        <v/>
      </c>
    </row>
    <row r="2172" spans="1:11" s="18" customFormat="1" ht="14.25" x14ac:dyDescent="0.2">
      <c r="A2172" s="18" t="str">
        <f t="shared" si="163"/>
        <v>Eintrag 2171</v>
      </c>
      <c r="B2172" s="18">
        <v>100</v>
      </c>
      <c r="C2172" s="19">
        <v>100</v>
      </c>
      <c r="D2172" s="20">
        <v>10</v>
      </c>
      <c r="E2172" s="20">
        <v>10</v>
      </c>
      <c r="F2172" s="20">
        <v>10</v>
      </c>
      <c r="G2172" s="19">
        <f t="shared" si="161"/>
        <v>172</v>
      </c>
      <c r="H2172" s="22">
        <f t="shared" si="164"/>
        <v>2171</v>
      </c>
      <c r="I2172" s="21">
        <f t="shared" ca="1" si="162"/>
        <v>0</v>
      </c>
      <c r="J2172" s="21" t="str">
        <f ca="1">IF(I2172=0,"",COUNTIF($I$2:I2172,"&gt;0"))</f>
        <v/>
      </c>
      <c r="K2172" s="21" t="str">
        <f t="shared" ca="1" si="160"/>
        <v/>
      </c>
    </row>
    <row r="2173" spans="1:11" s="18" customFormat="1" ht="14.25" x14ac:dyDescent="0.2">
      <c r="A2173" s="18" t="str">
        <f t="shared" si="163"/>
        <v>Eintrag 2172</v>
      </c>
      <c r="B2173" s="18">
        <v>100</v>
      </c>
      <c r="C2173" s="19">
        <v>100</v>
      </c>
      <c r="D2173" s="20">
        <v>10</v>
      </c>
      <c r="E2173" s="20">
        <v>10</v>
      </c>
      <c r="F2173" s="20">
        <v>10</v>
      </c>
      <c r="G2173" s="19">
        <f t="shared" si="161"/>
        <v>172</v>
      </c>
      <c r="H2173" s="22">
        <f t="shared" si="164"/>
        <v>2172</v>
      </c>
      <c r="I2173" s="21">
        <f t="shared" ca="1" si="162"/>
        <v>0</v>
      </c>
      <c r="J2173" s="21" t="str">
        <f ca="1">IF(I2173=0,"",COUNTIF($I$2:I2173,"&gt;0"))</f>
        <v/>
      </c>
      <c r="K2173" s="21" t="str">
        <f t="shared" ca="1" si="160"/>
        <v/>
      </c>
    </row>
    <row r="2174" spans="1:11" s="18" customFormat="1" ht="14.25" x14ac:dyDescent="0.2">
      <c r="A2174" s="18" t="str">
        <f t="shared" si="163"/>
        <v>Eintrag 2173</v>
      </c>
      <c r="B2174" s="18">
        <v>100</v>
      </c>
      <c r="C2174" s="19">
        <v>100</v>
      </c>
      <c r="D2174" s="20">
        <v>10</v>
      </c>
      <c r="E2174" s="20">
        <v>10</v>
      </c>
      <c r="F2174" s="20">
        <v>10</v>
      </c>
      <c r="G2174" s="19">
        <f t="shared" si="161"/>
        <v>172</v>
      </c>
      <c r="H2174" s="22">
        <f t="shared" si="164"/>
        <v>2173</v>
      </c>
      <c r="I2174" s="21">
        <f t="shared" ca="1" si="162"/>
        <v>0</v>
      </c>
      <c r="J2174" s="21" t="str">
        <f ca="1">IF(I2174=0,"",COUNTIF($I$2:I2174,"&gt;0"))</f>
        <v/>
      </c>
      <c r="K2174" s="21" t="str">
        <f t="shared" ca="1" si="160"/>
        <v/>
      </c>
    </row>
    <row r="2175" spans="1:11" s="18" customFormat="1" ht="14.25" x14ac:dyDescent="0.2">
      <c r="A2175" s="18" t="str">
        <f t="shared" si="163"/>
        <v>Eintrag 2174</v>
      </c>
      <c r="B2175" s="18">
        <v>100</v>
      </c>
      <c r="C2175" s="19">
        <v>100</v>
      </c>
      <c r="D2175" s="20">
        <v>10</v>
      </c>
      <c r="E2175" s="20">
        <v>10</v>
      </c>
      <c r="F2175" s="20">
        <v>10</v>
      </c>
      <c r="G2175" s="19">
        <f t="shared" si="161"/>
        <v>172</v>
      </c>
      <c r="H2175" s="22">
        <f t="shared" si="164"/>
        <v>2174</v>
      </c>
      <c r="I2175" s="21">
        <f t="shared" ca="1" si="162"/>
        <v>0</v>
      </c>
      <c r="J2175" s="21" t="str">
        <f ca="1">IF(I2175=0,"",COUNTIF($I$2:I2175,"&gt;0"))</f>
        <v/>
      </c>
      <c r="K2175" s="21" t="str">
        <f t="shared" ca="1" si="160"/>
        <v/>
      </c>
    </row>
    <row r="2176" spans="1:11" s="18" customFormat="1" ht="14.25" x14ac:dyDescent="0.2">
      <c r="A2176" s="18" t="str">
        <f t="shared" si="163"/>
        <v>Eintrag 2175</v>
      </c>
      <c r="B2176" s="18">
        <v>100</v>
      </c>
      <c r="C2176" s="19">
        <v>100</v>
      </c>
      <c r="D2176" s="20">
        <v>10</v>
      </c>
      <c r="E2176" s="20">
        <v>10</v>
      </c>
      <c r="F2176" s="20">
        <v>10</v>
      </c>
      <c r="G2176" s="19">
        <f t="shared" si="161"/>
        <v>172</v>
      </c>
      <c r="H2176" s="22">
        <f t="shared" si="164"/>
        <v>2175</v>
      </c>
      <c r="I2176" s="21">
        <f t="shared" ca="1" si="162"/>
        <v>0</v>
      </c>
      <c r="J2176" s="21" t="str">
        <f ca="1">IF(I2176=0,"",COUNTIF($I$2:I2176,"&gt;0"))</f>
        <v/>
      </c>
      <c r="K2176" s="21" t="str">
        <f t="shared" ca="1" si="160"/>
        <v/>
      </c>
    </row>
    <row r="2177" spans="1:11" s="18" customFormat="1" ht="14.25" x14ac:dyDescent="0.2">
      <c r="A2177" s="18" t="str">
        <f t="shared" si="163"/>
        <v>Eintrag 2176</v>
      </c>
      <c r="B2177" s="18">
        <v>100</v>
      </c>
      <c r="C2177" s="19">
        <v>100</v>
      </c>
      <c r="D2177" s="20">
        <v>10</v>
      </c>
      <c r="E2177" s="20">
        <v>10</v>
      </c>
      <c r="F2177" s="20">
        <v>10</v>
      </c>
      <c r="G2177" s="19">
        <f t="shared" si="161"/>
        <v>172</v>
      </c>
      <c r="H2177" s="22">
        <f t="shared" si="164"/>
        <v>2176</v>
      </c>
      <c r="I2177" s="21">
        <f t="shared" ca="1" si="162"/>
        <v>0</v>
      </c>
      <c r="J2177" s="21" t="str">
        <f ca="1">IF(I2177=0,"",COUNTIF($I$2:I2177,"&gt;0"))</f>
        <v/>
      </c>
      <c r="K2177" s="21" t="str">
        <f t="shared" ca="1" si="160"/>
        <v/>
      </c>
    </row>
    <row r="2178" spans="1:11" s="18" customFormat="1" ht="14.25" x14ac:dyDescent="0.2">
      <c r="A2178" s="18" t="str">
        <f t="shared" si="163"/>
        <v>Eintrag 2177</v>
      </c>
      <c r="B2178" s="18">
        <v>100</v>
      </c>
      <c r="C2178" s="19">
        <v>100</v>
      </c>
      <c r="D2178" s="20">
        <v>10</v>
      </c>
      <c r="E2178" s="20">
        <v>10</v>
      </c>
      <c r="F2178" s="20">
        <v>10</v>
      </c>
      <c r="G2178" s="19">
        <f t="shared" si="161"/>
        <v>172</v>
      </c>
      <c r="H2178" s="22">
        <f t="shared" si="164"/>
        <v>2177</v>
      </c>
      <c r="I2178" s="21">
        <f t="shared" ca="1" si="162"/>
        <v>0</v>
      </c>
      <c r="J2178" s="21" t="str">
        <f ca="1">IF(I2178=0,"",COUNTIF($I$2:I2178,"&gt;0"))</f>
        <v/>
      </c>
      <c r="K2178" s="21" t="str">
        <f t="shared" ref="K2178:K2241" ca="1" si="165">IFERROR(INDEX(A:A,MATCH(ROW(I2177),J:J,0)),"")</f>
        <v/>
      </c>
    </row>
    <row r="2179" spans="1:11" s="18" customFormat="1" ht="14.25" x14ac:dyDescent="0.2">
      <c r="A2179" s="18" t="str">
        <f t="shared" si="163"/>
        <v>Eintrag 2178</v>
      </c>
      <c r="B2179" s="18">
        <v>100</v>
      </c>
      <c r="C2179" s="19">
        <v>100</v>
      </c>
      <c r="D2179" s="20">
        <v>10</v>
      </c>
      <c r="E2179" s="20">
        <v>10</v>
      </c>
      <c r="F2179" s="20">
        <v>10</v>
      </c>
      <c r="G2179" s="19">
        <f t="shared" ref="G2179:G2242" si="166">D2179*9+E2179*4.1+F2179*4.1</f>
        <v>172</v>
      </c>
      <c r="H2179" s="22">
        <f t="shared" si="164"/>
        <v>2178</v>
      </c>
      <c r="I2179" s="21">
        <f t="shared" ca="1" si="162"/>
        <v>0</v>
      </c>
      <c r="J2179" s="21" t="str">
        <f ca="1">IF(I2179=0,"",COUNTIF($I$2:I2179,"&gt;0"))</f>
        <v/>
      </c>
      <c r="K2179" s="21" t="str">
        <f t="shared" ca="1" si="165"/>
        <v/>
      </c>
    </row>
    <row r="2180" spans="1:11" s="18" customFormat="1" ht="14.25" x14ac:dyDescent="0.2">
      <c r="A2180" s="18" t="str">
        <f t="shared" si="163"/>
        <v>Eintrag 2179</v>
      </c>
      <c r="B2180" s="18">
        <v>100</v>
      </c>
      <c r="C2180" s="19">
        <v>100</v>
      </c>
      <c r="D2180" s="20">
        <v>10</v>
      </c>
      <c r="E2180" s="20">
        <v>10</v>
      </c>
      <c r="F2180" s="20">
        <v>10</v>
      </c>
      <c r="G2180" s="19">
        <f t="shared" si="166"/>
        <v>172</v>
      </c>
      <c r="H2180" s="22">
        <f t="shared" si="164"/>
        <v>2179</v>
      </c>
      <c r="I2180" s="21">
        <f t="shared" ca="1" si="162"/>
        <v>0</v>
      </c>
      <c r="J2180" s="21" t="str">
        <f ca="1">IF(I2180=0,"",COUNTIF($I$2:I2180,"&gt;0"))</f>
        <v/>
      </c>
      <c r="K2180" s="21" t="str">
        <f t="shared" ca="1" si="165"/>
        <v/>
      </c>
    </row>
    <row r="2181" spans="1:11" s="18" customFormat="1" ht="14.25" x14ac:dyDescent="0.2">
      <c r="A2181" s="18" t="str">
        <f t="shared" si="163"/>
        <v>Eintrag 2180</v>
      </c>
      <c r="B2181" s="18">
        <v>100</v>
      </c>
      <c r="C2181" s="19">
        <v>100</v>
      </c>
      <c r="D2181" s="20">
        <v>10</v>
      </c>
      <c r="E2181" s="20">
        <v>10</v>
      </c>
      <c r="F2181" s="20">
        <v>10</v>
      </c>
      <c r="G2181" s="19">
        <f t="shared" si="166"/>
        <v>172</v>
      </c>
      <c r="H2181" s="22">
        <f t="shared" si="164"/>
        <v>2180</v>
      </c>
      <c r="I2181" s="21">
        <f t="shared" ca="1" si="162"/>
        <v>0</v>
      </c>
      <c r="J2181" s="21" t="str">
        <f ca="1">IF(I2181=0,"",COUNTIF($I$2:I2181,"&gt;0"))</f>
        <v/>
      </c>
      <c r="K2181" s="21" t="str">
        <f t="shared" ca="1" si="165"/>
        <v/>
      </c>
    </row>
    <row r="2182" spans="1:11" s="18" customFormat="1" ht="14.25" x14ac:dyDescent="0.2">
      <c r="A2182" s="18" t="str">
        <f t="shared" si="163"/>
        <v>Eintrag 2181</v>
      </c>
      <c r="B2182" s="18">
        <v>100</v>
      </c>
      <c r="C2182" s="19">
        <v>100</v>
      </c>
      <c r="D2182" s="20">
        <v>10</v>
      </c>
      <c r="E2182" s="20">
        <v>10</v>
      </c>
      <c r="F2182" s="20">
        <v>10</v>
      </c>
      <c r="G2182" s="19">
        <f t="shared" si="166"/>
        <v>172</v>
      </c>
      <c r="H2182" s="22">
        <f t="shared" si="164"/>
        <v>2181</v>
      </c>
      <c r="I2182" s="21">
        <f t="shared" ca="1" si="162"/>
        <v>0</v>
      </c>
      <c r="J2182" s="21" t="str">
        <f ca="1">IF(I2182=0,"",COUNTIF($I$2:I2182,"&gt;0"))</f>
        <v/>
      </c>
      <c r="K2182" s="21" t="str">
        <f t="shared" ca="1" si="165"/>
        <v/>
      </c>
    </row>
    <row r="2183" spans="1:11" s="18" customFormat="1" ht="14.25" x14ac:dyDescent="0.2">
      <c r="A2183" s="18" t="str">
        <f t="shared" si="163"/>
        <v>Eintrag 2182</v>
      </c>
      <c r="B2183" s="18">
        <v>100</v>
      </c>
      <c r="C2183" s="19">
        <v>100</v>
      </c>
      <c r="D2183" s="20">
        <v>10</v>
      </c>
      <c r="E2183" s="20">
        <v>10</v>
      </c>
      <c r="F2183" s="20">
        <v>10</v>
      </c>
      <c r="G2183" s="19">
        <f t="shared" si="166"/>
        <v>172</v>
      </c>
      <c r="H2183" s="22">
        <f t="shared" si="164"/>
        <v>2182</v>
      </c>
      <c r="I2183" s="21">
        <f t="shared" ca="1" si="162"/>
        <v>0</v>
      </c>
      <c r="J2183" s="21" t="str">
        <f ca="1">IF(I2183=0,"",COUNTIF($I$2:I2183,"&gt;0"))</f>
        <v/>
      </c>
      <c r="K2183" s="21" t="str">
        <f t="shared" ca="1" si="165"/>
        <v/>
      </c>
    </row>
    <row r="2184" spans="1:11" s="18" customFormat="1" ht="14.25" x14ac:dyDescent="0.2">
      <c r="A2184" s="18" t="str">
        <f t="shared" si="163"/>
        <v>Eintrag 2183</v>
      </c>
      <c r="B2184" s="18">
        <v>100</v>
      </c>
      <c r="C2184" s="19">
        <v>100</v>
      </c>
      <c r="D2184" s="20">
        <v>10</v>
      </c>
      <c r="E2184" s="20">
        <v>10</v>
      </c>
      <c r="F2184" s="20">
        <v>10</v>
      </c>
      <c r="G2184" s="19">
        <f t="shared" si="166"/>
        <v>172</v>
      </c>
      <c r="H2184" s="22">
        <f t="shared" si="164"/>
        <v>2183</v>
      </c>
      <c r="I2184" s="21">
        <f t="shared" ca="1" si="162"/>
        <v>0</v>
      </c>
      <c r="J2184" s="21" t="str">
        <f ca="1">IF(I2184=0,"",COUNTIF($I$2:I2184,"&gt;0"))</f>
        <v/>
      </c>
      <c r="K2184" s="21" t="str">
        <f t="shared" ca="1" si="165"/>
        <v/>
      </c>
    </row>
    <row r="2185" spans="1:11" s="18" customFormat="1" ht="14.25" x14ac:dyDescent="0.2">
      <c r="A2185" s="18" t="str">
        <f t="shared" si="163"/>
        <v>Eintrag 2184</v>
      </c>
      <c r="B2185" s="18">
        <v>100</v>
      </c>
      <c r="C2185" s="19">
        <v>100</v>
      </c>
      <c r="D2185" s="20">
        <v>10</v>
      </c>
      <c r="E2185" s="20">
        <v>10</v>
      </c>
      <c r="F2185" s="20">
        <v>10</v>
      </c>
      <c r="G2185" s="19">
        <f t="shared" si="166"/>
        <v>172</v>
      </c>
      <c r="H2185" s="22">
        <f t="shared" si="164"/>
        <v>2184</v>
      </c>
      <c r="I2185" s="21">
        <f t="shared" ca="1" si="162"/>
        <v>0</v>
      </c>
      <c r="J2185" s="21" t="str">
        <f ca="1">IF(I2185=0,"",COUNTIF($I$2:I2185,"&gt;0"))</f>
        <v/>
      </c>
      <c r="K2185" s="21" t="str">
        <f t="shared" ca="1" si="165"/>
        <v/>
      </c>
    </row>
    <row r="2186" spans="1:11" s="18" customFormat="1" ht="14.25" x14ac:dyDescent="0.2">
      <c r="A2186" s="18" t="str">
        <f t="shared" si="163"/>
        <v>Eintrag 2185</v>
      </c>
      <c r="B2186" s="18">
        <v>100</v>
      </c>
      <c r="C2186" s="19">
        <v>100</v>
      </c>
      <c r="D2186" s="20">
        <v>10</v>
      </c>
      <c r="E2186" s="20">
        <v>10</v>
      </c>
      <c r="F2186" s="20">
        <v>10</v>
      </c>
      <c r="G2186" s="19">
        <f t="shared" si="166"/>
        <v>172</v>
      </c>
      <c r="H2186" s="22">
        <f t="shared" si="164"/>
        <v>2185</v>
      </c>
      <c r="I2186" s="21">
        <f t="shared" ca="1" si="162"/>
        <v>0</v>
      </c>
      <c r="J2186" s="21" t="str">
        <f ca="1">IF(I2186=0,"",COUNTIF($I$2:I2186,"&gt;0"))</f>
        <v/>
      </c>
      <c r="K2186" s="21" t="str">
        <f t="shared" ca="1" si="165"/>
        <v/>
      </c>
    </row>
    <row r="2187" spans="1:11" s="18" customFormat="1" ht="14.25" x14ac:dyDescent="0.2">
      <c r="A2187" s="18" t="str">
        <f t="shared" si="163"/>
        <v>Eintrag 2186</v>
      </c>
      <c r="B2187" s="18">
        <v>100</v>
      </c>
      <c r="C2187" s="19">
        <v>100</v>
      </c>
      <c r="D2187" s="20">
        <v>10</v>
      </c>
      <c r="E2187" s="20">
        <v>10</v>
      </c>
      <c r="F2187" s="20">
        <v>10</v>
      </c>
      <c r="G2187" s="19">
        <f t="shared" si="166"/>
        <v>172</v>
      </c>
      <c r="H2187" s="22">
        <f t="shared" si="164"/>
        <v>2186</v>
      </c>
      <c r="I2187" s="21">
        <f t="shared" ca="1" si="162"/>
        <v>0</v>
      </c>
      <c r="J2187" s="21" t="str">
        <f ca="1">IF(I2187=0,"",COUNTIF($I$2:I2187,"&gt;0"))</f>
        <v/>
      </c>
      <c r="K2187" s="21" t="str">
        <f t="shared" ca="1" si="165"/>
        <v/>
      </c>
    </row>
    <row r="2188" spans="1:11" s="18" customFormat="1" ht="14.25" x14ac:dyDescent="0.2">
      <c r="A2188" s="18" t="str">
        <f t="shared" si="163"/>
        <v>Eintrag 2187</v>
      </c>
      <c r="B2188" s="18">
        <v>100</v>
      </c>
      <c r="C2188" s="19">
        <v>100</v>
      </c>
      <c r="D2188" s="20">
        <v>10</v>
      </c>
      <c r="E2188" s="20">
        <v>10</v>
      </c>
      <c r="F2188" s="20">
        <v>10</v>
      </c>
      <c r="G2188" s="19">
        <f t="shared" si="166"/>
        <v>172</v>
      </c>
      <c r="H2188" s="22">
        <f t="shared" si="164"/>
        <v>2187</v>
      </c>
      <c r="I2188" s="21">
        <f t="shared" ca="1" si="162"/>
        <v>0</v>
      </c>
      <c r="J2188" s="21" t="str">
        <f ca="1">IF(I2188=0,"",COUNTIF($I$2:I2188,"&gt;0"))</f>
        <v/>
      </c>
      <c r="K2188" s="21" t="str">
        <f t="shared" ca="1" si="165"/>
        <v/>
      </c>
    </row>
    <row r="2189" spans="1:11" s="18" customFormat="1" ht="14.25" x14ac:dyDescent="0.2">
      <c r="A2189" s="18" t="str">
        <f t="shared" si="163"/>
        <v>Eintrag 2188</v>
      </c>
      <c r="B2189" s="18">
        <v>100</v>
      </c>
      <c r="C2189" s="19">
        <v>100</v>
      </c>
      <c r="D2189" s="20">
        <v>10</v>
      </c>
      <c r="E2189" s="20">
        <v>10</v>
      </c>
      <c r="F2189" s="20">
        <v>10</v>
      </c>
      <c r="G2189" s="19">
        <f t="shared" si="166"/>
        <v>172</v>
      </c>
      <c r="H2189" s="22">
        <f t="shared" si="164"/>
        <v>2188</v>
      </c>
      <c r="I2189" s="21">
        <f t="shared" ca="1" si="162"/>
        <v>0</v>
      </c>
      <c r="J2189" s="21" t="str">
        <f ca="1">IF(I2189=0,"",COUNTIF($I$2:I2189,"&gt;0"))</f>
        <v/>
      </c>
      <c r="K2189" s="21" t="str">
        <f t="shared" ca="1" si="165"/>
        <v/>
      </c>
    </row>
    <row r="2190" spans="1:11" s="18" customFormat="1" ht="14.25" x14ac:dyDescent="0.2">
      <c r="A2190" s="18" t="str">
        <f t="shared" si="163"/>
        <v>Eintrag 2189</v>
      </c>
      <c r="B2190" s="18">
        <v>100</v>
      </c>
      <c r="C2190" s="19">
        <v>100</v>
      </c>
      <c r="D2190" s="20">
        <v>10</v>
      </c>
      <c r="E2190" s="20">
        <v>10</v>
      </c>
      <c r="F2190" s="20">
        <v>10</v>
      </c>
      <c r="G2190" s="19">
        <f t="shared" si="166"/>
        <v>172</v>
      </c>
      <c r="H2190" s="22">
        <f t="shared" si="164"/>
        <v>2189</v>
      </c>
      <c r="I2190" s="21">
        <f t="shared" ca="1" si="162"/>
        <v>0</v>
      </c>
      <c r="J2190" s="21" t="str">
        <f ca="1">IF(I2190=0,"",COUNTIF($I$2:I2190,"&gt;0"))</f>
        <v/>
      </c>
      <c r="K2190" s="21" t="str">
        <f t="shared" ca="1" si="165"/>
        <v/>
      </c>
    </row>
    <row r="2191" spans="1:11" s="18" customFormat="1" ht="14.25" x14ac:dyDescent="0.2">
      <c r="A2191" s="18" t="str">
        <f t="shared" si="163"/>
        <v>Eintrag 2190</v>
      </c>
      <c r="B2191" s="18">
        <v>100</v>
      </c>
      <c r="C2191" s="19">
        <v>100</v>
      </c>
      <c r="D2191" s="20">
        <v>10</v>
      </c>
      <c r="E2191" s="20">
        <v>10</v>
      </c>
      <c r="F2191" s="20">
        <v>10</v>
      </c>
      <c r="G2191" s="19">
        <f t="shared" si="166"/>
        <v>172</v>
      </c>
      <c r="H2191" s="22">
        <f t="shared" si="164"/>
        <v>2190</v>
      </c>
      <c r="I2191" s="21">
        <f t="shared" ca="1" si="162"/>
        <v>0</v>
      </c>
      <c r="J2191" s="21" t="str">
        <f ca="1">IF(I2191=0,"",COUNTIF($I$2:I2191,"&gt;0"))</f>
        <v/>
      </c>
      <c r="K2191" s="21" t="str">
        <f t="shared" ca="1" si="165"/>
        <v/>
      </c>
    </row>
    <row r="2192" spans="1:11" s="18" customFormat="1" ht="14.25" x14ac:dyDescent="0.2">
      <c r="A2192" s="18" t="str">
        <f t="shared" si="163"/>
        <v>Eintrag 2191</v>
      </c>
      <c r="B2192" s="18">
        <v>100</v>
      </c>
      <c r="C2192" s="19">
        <v>100</v>
      </c>
      <c r="D2192" s="20">
        <v>10</v>
      </c>
      <c r="E2192" s="20">
        <v>10</v>
      </c>
      <c r="F2192" s="20">
        <v>10</v>
      </c>
      <c r="G2192" s="19">
        <f t="shared" si="166"/>
        <v>172</v>
      </c>
      <c r="H2192" s="22">
        <f t="shared" si="164"/>
        <v>2191</v>
      </c>
      <c r="I2192" s="21">
        <f t="shared" ca="1" si="162"/>
        <v>0</v>
      </c>
      <c r="J2192" s="21" t="str">
        <f ca="1">IF(I2192=0,"",COUNTIF($I$2:I2192,"&gt;0"))</f>
        <v/>
      </c>
      <c r="K2192" s="21" t="str">
        <f t="shared" ca="1" si="165"/>
        <v/>
      </c>
    </row>
    <row r="2193" spans="1:11" s="18" customFormat="1" ht="14.25" x14ac:dyDescent="0.2">
      <c r="A2193" s="18" t="str">
        <f t="shared" si="163"/>
        <v>Eintrag 2192</v>
      </c>
      <c r="B2193" s="18">
        <v>100</v>
      </c>
      <c r="C2193" s="19">
        <v>100</v>
      </c>
      <c r="D2193" s="20">
        <v>10</v>
      </c>
      <c r="E2193" s="20">
        <v>10</v>
      </c>
      <c r="F2193" s="20">
        <v>10</v>
      </c>
      <c r="G2193" s="19">
        <f t="shared" si="166"/>
        <v>172</v>
      </c>
      <c r="H2193" s="22">
        <f t="shared" si="164"/>
        <v>2192</v>
      </c>
      <c r="I2193" s="21">
        <f t="shared" ca="1" si="162"/>
        <v>0</v>
      </c>
      <c r="J2193" s="21" t="str">
        <f ca="1">IF(I2193=0,"",COUNTIF($I$2:I2193,"&gt;0"))</f>
        <v/>
      </c>
      <c r="K2193" s="21" t="str">
        <f t="shared" ca="1" si="165"/>
        <v/>
      </c>
    </row>
    <row r="2194" spans="1:11" s="18" customFormat="1" ht="14.25" x14ac:dyDescent="0.2">
      <c r="A2194" s="18" t="str">
        <f t="shared" si="163"/>
        <v>Eintrag 2193</v>
      </c>
      <c r="B2194" s="18">
        <v>100</v>
      </c>
      <c r="C2194" s="19">
        <v>100</v>
      </c>
      <c r="D2194" s="20">
        <v>10</v>
      </c>
      <c r="E2194" s="20">
        <v>10</v>
      </c>
      <c r="F2194" s="20">
        <v>10</v>
      </c>
      <c r="G2194" s="19">
        <f t="shared" si="166"/>
        <v>172</v>
      </c>
      <c r="H2194" s="22">
        <f t="shared" si="164"/>
        <v>2193</v>
      </c>
      <c r="I2194" s="21">
        <f t="shared" ca="1" si="162"/>
        <v>0</v>
      </c>
      <c r="J2194" s="21" t="str">
        <f ca="1">IF(I2194=0,"",COUNTIF($I$2:I2194,"&gt;0"))</f>
        <v/>
      </c>
      <c r="K2194" s="21" t="str">
        <f t="shared" ca="1" si="165"/>
        <v/>
      </c>
    </row>
    <row r="2195" spans="1:11" s="18" customFormat="1" ht="14.25" x14ac:dyDescent="0.2">
      <c r="A2195" s="18" t="str">
        <f t="shared" si="163"/>
        <v>Eintrag 2194</v>
      </c>
      <c r="B2195" s="18">
        <v>100</v>
      </c>
      <c r="C2195" s="19">
        <v>100</v>
      </c>
      <c r="D2195" s="20">
        <v>10</v>
      </c>
      <c r="E2195" s="20">
        <v>10</v>
      </c>
      <c r="F2195" s="20">
        <v>10</v>
      </c>
      <c r="G2195" s="19">
        <f t="shared" si="166"/>
        <v>172</v>
      </c>
      <c r="H2195" s="22">
        <f t="shared" si="164"/>
        <v>2194</v>
      </c>
      <c r="I2195" s="21">
        <f t="shared" ca="1" si="162"/>
        <v>0</v>
      </c>
      <c r="J2195" s="21" t="str">
        <f ca="1">IF(I2195=0,"",COUNTIF($I$2:I2195,"&gt;0"))</f>
        <v/>
      </c>
      <c r="K2195" s="21" t="str">
        <f t="shared" ca="1" si="165"/>
        <v/>
      </c>
    </row>
    <row r="2196" spans="1:11" s="18" customFormat="1" ht="14.25" x14ac:dyDescent="0.2">
      <c r="A2196" s="18" t="str">
        <f t="shared" si="163"/>
        <v>Eintrag 2195</v>
      </c>
      <c r="B2196" s="18">
        <v>100</v>
      </c>
      <c r="C2196" s="19">
        <v>100</v>
      </c>
      <c r="D2196" s="20">
        <v>10</v>
      </c>
      <c r="E2196" s="20">
        <v>10</v>
      </c>
      <c r="F2196" s="20">
        <v>10</v>
      </c>
      <c r="G2196" s="19">
        <f t="shared" si="166"/>
        <v>172</v>
      </c>
      <c r="H2196" s="22">
        <f t="shared" si="164"/>
        <v>2195</v>
      </c>
      <c r="I2196" s="21">
        <f t="shared" ca="1" si="162"/>
        <v>0</v>
      </c>
      <c r="J2196" s="21" t="str">
        <f ca="1">IF(I2196=0,"",COUNTIF($I$2:I2196,"&gt;0"))</f>
        <v/>
      </c>
      <c r="K2196" s="21" t="str">
        <f t="shared" ca="1" si="165"/>
        <v/>
      </c>
    </row>
    <row r="2197" spans="1:11" s="18" customFormat="1" ht="14.25" x14ac:dyDescent="0.2">
      <c r="A2197" s="18" t="str">
        <f t="shared" si="163"/>
        <v>Eintrag 2196</v>
      </c>
      <c r="B2197" s="18">
        <v>100</v>
      </c>
      <c r="C2197" s="19">
        <v>100</v>
      </c>
      <c r="D2197" s="20">
        <v>10</v>
      </c>
      <c r="E2197" s="20">
        <v>10</v>
      </c>
      <c r="F2197" s="20">
        <v>10</v>
      </c>
      <c r="G2197" s="19">
        <f t="shared" si="166"/>
        <v>172</v>
      </c>
      <c r="H2197" s="22">
        <f t="shared" si="164"/>
        <v>2196</v>
      </c>
      <c r="I2197" s="21">
        <f t="shared" ca="1" si="162"/>
        <v>0</v>
      </c>
      <c r="J2197" s="21" t="str">
        <f ca="1">IF(I2197=0,"",COUNTIF($I$2:I2197,"&gt;0"))</f>
        <v/>
      </c>
      <c r="K2197" s="21" t="str">
        <f t="shared" ca="1" si="165"/>
        <v/>
      </c>
    </row>
    <row r="2198" spans="1:11" s="18" customFormat="1" ht="14.25" x14ac:dyDescent="0.2">
      <c r="A2198" s="18" t="str">
        <f t="shared" si="163"/>
        <v>Eintrag 2197</v>
      </c>
      <c r="B2198" s="18">
        <v>100</v>
      </c>
      <c r="C2198" s="19">
        <v>100</v>
      </c>
      <c r="D2198" s="20">
        <v>10</v>
      </c>
      <c r="E2198" s="20">
        <v>10</v>
      </c>
      <c r="F2198" s="20">
        <v>10</v>
      </c>
      <c r="G2198" s="19">
        <f t="shared" si="166"/>
        <v>172</v>
      </c>
      <c r="H2198" s="22">
        <f t="shared" si="164"/>
        <v>2197</v>
      </c>
      <c r="I2198" s="21">
        <f t="shared" ca="1" si="162"/>
        <v>0</v>
      </c>
      <c r="J2198" s="21" t="str">
        <f ca="1">IF(I2198=0,"",COUNTIF($I$2:I2198,"&gt;0"))</f>
        <v/>
      </c>
      <c r="K2198" s="21" t="str">
        <f t="shared" ca="1" si="165"/>
        <v/>
      </c>
    </row>
    <row r="2199" spans="1:11" s="18" customFormat="1" ht="14.25" x14ac:dyDescent="0.2">
      <c r="A2199" s="18" t="str">
        <f t="shared" si="163"/>
        <v>Eintrag 2198</v>
      </c>
      <c r="B2199" s="18">
        <v>100</v>
      </c>
      <c r="C2199" s="19">
        <v>100</v>
      </c>
      <c r="D2199" s="20">
        <v>10</v>
      </c>
      <c r="E2199" s="20">
        <v>10</v>
      </c>
      <c r="F2199" s="20">
        <v>10</v>
      </c>
      <c r="G2199" s="19">
        <f t="shared" si="166"/>
        <v>172</v>
      </c>
      <c r="H2199" s="22">
        <f t="shared" si="164"/>
        <v>2198</v>
      </c>
      <c r="I2199" s="21">
        <f t="shared" ref="I2199:I2362" ca="1" si="167">IFERROR(SEARCH(INDIRECT(CELL("address")),A2199),0)</f>
        <v>0</v>
      </c>
      <c r="J2199" s="21" t="str">
        <f ca="1">IF(I2199=0,"",COUNTIF($I$2:I2199,"&gt;0"))</f>
        <v/>
      </c>
      <c r="K2199" s="21" t="str">
        <f t="shared" ca="1" si="165"/>
        <v/>
      </c>
    </row>
    <row r="2200" spans="1:11" s="18" customFormat="1" ht="14.25" x14ac:dyDescent="0.2">
      <c r="A2200" s="18" t="str">
        <f t="shared" si="163"/>
        <v>Eintrag 2199</v>
      </c>
      <c r="B2200" s="18">
        <v>100</v>
      </c>
      <c r="C2200" s="19">
        <v>100</v>
      </c>
      <c r="D2200" s="20">
        <v>10</v>
      </c>
      <c r="E2200" s="20">
        <v>10</v>
      </c>
      <c r="F2200" s="20">
        <v>10</v>
      </c>
      <c r="G2200" s="19">
        <f t="shared" si="166"/>
        <v>172</v>
      </c>
      <c r="H2200" s="22">
        <f t="shared" si="164"/>
        <v>2199</v>
      </c>
      <c r="I2200" s="21">
        <f t="shared" ca="1" si="167"/>
        <v>0</v>
      </c>
      <c r="J2200" s="21" t="str">
        <f ca="1">IF(I2200=0,"",COUNTIF($I$2:I2200,"&gt;0"))</f>
        <v/>
      </c>
      <c r="K2200" s="21" t="str">
        <f t="shared" ca="1" si="165"/>
        <v/>
      </c>
    </row>
    <row r="2201" spans="1:11" s="18" customFormat="1" ht="14.25" x14ac:dyDescent="0.2">
      <c r="A2201" s="18" t="str">
        <f t="shared" si="163"/>
        <v>Eintrag 2200</v>
      </c>
      <c r="B2201" s="18">
        <v>100</v>
      </c>
      <c r="C2201" s="19">
        <v>100</v>
      </c>
      <c r="D2201" s="20">
        <v>10</v>
      </c>
      <c r="E2201" s="20">
        <v>10</v>
      </c>
      <c r="F2201" s="20">
        <v>10</v>
      </c>
      <c r="G2201" s="19">
        <f t="shared" si="166"/>
        <v>172</v>
      </c>
      <c r="H2201" s="22">
        <f t="shared" si="164"/>
        <v>2200</v>
      </c>
      <c r="I2201" s="21">
        <f t="shared" ca="1" si="167"/>
        <v>0</v>
      </c>
      <c r="J2201" s="21" t="str">
        <f ca="1">IF(I2201=0,"",COUNTIF($I$2:I2201,"&gt;0"))</f>
        <v/>
      </c>
      <c r="K2201" s="21" t="str">
        <f t="shared" ca="1" si="165"/>
        <v/>
      </c>
    </row>
    <row r="2202" spans="1:11" s="18" customFormat="1" ht="14.25" x14ac:dyDescent="0.2">
      <c r="A2202" s="18" t="str">
        <f t="shared" si="163"/>
        <v>Eintrag 2201</v>
      </c>
      <c r="B2202" s="18">
        <v>100</v>
      </c>
      <c r="C2202" s="19">
        <v>100</v>
      </c>
      <c r="D2202" s="20">
        <v>10</v>
      </c>
      <c r="E2202" s="20">
        <v>10</v>
      </c>
      <c r="F2202" s="20">
        <v>10</v>
      </c>
      <c r="G2202" s="19">
        <f t="shared" si="166"/>
        <v>172</v>
      </c>
      <c r="H2202" s="22">
        <f t="shared" si="164"/>
        <v>2201</v>
      </c>
      <c r="I2202" s="21">
        <f t="shared" ca="1" si="167"/>
        <v>0</v>
      </c>
      <c r="J2202" s="21" t="str">
        <f ca="1">IF(I2202=0,"",COUNTIF($I$2:I2202,"&gt;0"))</f>
        <v/>
      </c>
      <c r="K2202" s="21" t="str">
        <f t="shared" ca="1" si="165"/>
        <v/>
      </c>
    </row>
    <row r="2203" spans="1:11" s="18" customFormat="1" ht="14.25" x14ac:dyDescent="0.2">
      <c r="A2203" s="18" t="str">
        <f t="shared" si="163"/>
        <v>Eintrag 2202</v>
      </c>
      <c r="B2203" s="18">
        <v>100</v>
      </c>
      <c r="C2203" s="19">
        <v>100</v>
      </c>
      <c r="D2203" s="20">
        <v>10</v>
      </c>
      <c r="E2203" s="20">
        <v>10</v>
      </c>
      <c r="F2203" s="20">
        <v>10</v>
      </c>
      <c r="G2203" s="19">
        <f t="shared" si="166"/>
        <v>172</v>
      </c>
      <c r="H2203" s="22">
        <f t="shared" si="164"/>
        <v>2202</v>
      </c>
      <c r="I2203" s="21">
        <f t="shared" ca="1" si="167"/>
        <v>0</v>
      </c>
      <c r="J2203" s="21" t="str">
        <f ca="1">IF(I2203=0,"",COUNTIF($I$2:I2203,"&gt;0"))</f>
        <v/>
      </c>
      <c r="K2203" s="21" t="str">
        <f t="shared" ca="1" si="165"/>
        <v/>
      </c>
    </row>
    <row r="2204" spans="1:11" s="18" customFormat="1" ht="14.25" x14ac:dyDescent="0.2">
      <c r="A2204" s="18" t="str">
        <f t="shared" si="163"/>
        <v>Eintrag 2203</v>
      </c>
      <c r="B2204" s="18">
        <v>100</v>
      </c>
      <c r="C2204" s="19">
        <v>100</v>
      </c>
      <c r="D2204" s="20">
        <v>10</v>
      </c>
      <c r="E2204" s="20">
        <v>10</v>
      </c>
      <c r="F2204" s="20">
        <v>10</v>
      </c>
      <c r="G2204" s="19">
        <f t="shared" si="166"/>
        <v>172</v>
      </c>
      <c r="H2204" s="22">
        <f t="shared" si="164"/>
        <v>2203</v>
      </c>
      <c r="I2204" s="21">
        <f t="shared" ca="1" si="167"/>
        <v>0</v>
      </c>
      <c r="J2204" s="21" t="str">
        <f ca="1">IF(I2204=0,"",COUNTIF($I$2:I2204,"&gt;0"))</f>
        <v/>
      </c>
      <c r="K2204" s="21" t="str">
        <f t="shared" ca="1" si="165"/>
        <v/>
      </c>
    </row>
    <row r="2205" spans="1:11" s="18" customFormat="1" ht="14.25" x14ac:dyDescent="0.2">
      <c r="A2205" s="18" t="str">
        <f t="shared" si="163"/>
        <v>Eintrag 2204</v>
      </c>
      <c r="B2205" s="18">
        <v>100</v>
      </c>
      <c r="C2205" s="19">
        <v>100</v>
      </c>
      <c r="D2205" s="20">
        <v>10</v>
      </c>
      <c r="E2205" s="20">
        <v>10</v>
      </c>
      <c r="F2205" s="20">
        <v>10</v>
      </c>
      <c r="G2205" s="19">
        <f t="shared" si="166"/>
        <v>172</v>
      </c>
      <c r="H2205" s="22">
        <f t="shared" si="164"/>
        <v>2204</v>
      </c>
      <c r="I2205" s="21">
        <f t="shared" ca="1" si="167"/>
        <v>0</v>
      </c>
      <c r="J2205" s="21" t="str">
        <f ca="1">IF(I2205=0,"",COUNTIF($I$2:I2205,"&gt;0"))</f>
        <v/>
      </c>
      <c r="K2205" s="21" t="str">
        <f t="shared" ca="1" si="165"/>
        <v/>
      </c>
    </row>
    <row r="2206" spans="1:11" s="18" customFormat="1" ht="14.25" x14ac:dyDescent="0.2">
      <c r="A2206" s="18" t="str">
        <f t="shared" si="163"/>
        <v>Eintrag 2205</v>
      </c>
      <c r="B2206" s="18">
        <v>100</v>
      </c>
      <c r="C2206" s="19">
        <v>100</v>
      </c>
      <c r="D2206" s="20">
        <v>10</v>
      </c>
      <c r="E2206" s="20">
        <v>10</v>
      </c>
      <c r="F2206" s="20">
        <v>10</v>
      </c>
      <c r="G2206" s="19">
        <f t="shared" si="166"/>
        <v>172</v>
      </c>
      <c r="H2206" s="22">
        <f t="shared" si="164"/>
        <v>2205</v>
      </c>
      <c r="I2206" s="21">
        <f t="shared" ca="1" si="167"/>
        <v>0</v>
      </c>
      <c r="J2206" s="21" t="str">
        <f ca="1">IF(I2206=0,"",COUNTIF($I$2:I2206,"&gt;0"))</f>
        <v/>
      </c>
      <c r="K2206" s="21" t="str">
        <f t="shared" ca="1" si="165"/>
        <v/>
      </c>
    </row>
    <row r="2207" spans="1:11" s="18" customFormat="1" ht="14.25" x14ac:dyDescent="0.2">
      <c r="A2207" s="18" t="str">
        <f t="shared" si="163"/>
        <v>Eintrag 2206</v>
      </c>
      <c r="B2207" s="18">
        <v>100</v>
      </c>
      <c r="C2207" s="19">
        <v>100</v>
      </c>
      <c r="D2207" s="20">
        <v>10</v>
      </c>
      <c r="E2207" s="20">
        <v>10</v>
      </c>
      <c r="F2207" s="20">
        <v>10</v>
      </c>
      <c r="G2207" s="19">
        <f t="shared" si="166"/>
        <v>172</v>
      </c>
      <c r="H2207" s="22">
        <f t="shared" si="164"/>
        <v>2206</v>
      </c>
      <c r="I2207" s="21">
        <f t="shared" ca="1" si="167"/>
        <v>0</v>
      </c>
      <c r="J2207" s="21" t="str">
        <f ca="1">IF(I2207=0,"",COUNTIF($I$2:I2207,"&gt;0"))</f>
        <v/>
      </c>
      <c r="K2207" s="21" t="str">
        <f t="shared" ca="1" si="165"/>
        <v/>
      </c>
    </row>
    <row r="2208" spans="1:11" s="18" customFormat="1" ht="14.25" x14ac:dyDescent="0.2">
      <c r="A2208" s="18" t="str">
        <f t="shared" si="163"/>
        <v>Eintrag 2207</v>
      </c>
      <c r="B2208" s="18">
        <v>100</v>
      </c>
      <c r="C2208" s="19">
        <v>100</v>
      </c>
      <c r="D2208" s="20">
        <v>10</v>
      </c>
      <c r="E2208" s="20">
        <v>10</v>
      </c>
      <c r="F2208" s="20">
        <v>10</v>
      </c>
      <c r="G2208" s="19">
        <f t="shared" si="166"/>
        <v>172</v>
      </c>
      <c r="H2208" s="22">
        <f t="shared" si="164"/>
        <v>2207</v>
      </c>
      <c r="I2208" s="21">
        <f t="shared" ca="1" si="167"/>
        <v>0</v>
      </c>
      <c r="J2208" s="21" t="str">
        <f ca="1">IF(I2208=0,"",COUNTIF($I$2:I2208,"&gt;0"))</f>
        <v/>
      </c>
      <c r="K2208" s="21" t="str">
        <f t="shared" ca="1" si="165"/>
        <v/>
      </c>
    </row>
    <row r="2209" spans="1:11" s="18" customFormat="1" ht="14.25" x14ac:dyDescent="0.2">
      <c r="A2209" s="18" t="str">
        <f t="shared" ref="A2209:A2372" si="168">CONCATENATE("Eintrag ",H2209)</f>
        <v>Eintrag 2208</v>
      </c>
      <c r="B2209" s="18">
        <v>100</v>
      </c>
      <c r="C2209" s="19">
        <v>100</v>
      </c>
      <c r="D2209" s="20">
        <v>10</v>
      </c>
      <c r="E2209" s="20">
        <v>10</v>
      </c>
      <c r="F2209" s="20">
        <v>10</v>
      </c>
      <c r="G2209" s="19">
        <f t="shared" si="166"/>
        <v>172</v>
      </c>
      <c r="H2209" s="22">
        <f t="shared" si="164"/>
        <v>2208</v>
      </c>
      <c r="I2209" s="21">
        <f t="shared" ca="1" si="167"/>
        <v>0</v>
      </c>
      <c r="J2209" s="21" t="str">
        <f ca="1">IF(I2209=0,"",COUNTIF($I$2:I2209,"&gt;0"))</f>
        <v/>
      </c>
      <c r="K2209" s="21" t="str">
        <f t="shared" ca="1" si="165"/>
        <v/>
      </c>
    </row>
    <row r="2210" spans="1:11" s="18" customFormat="1" ht="14.25" x14ac:dyDescent="0.2">
      <c r="A2210" s="18" t="str">
        <f t="shared" si="168"/>
        <v>Eintrag 2209</v>
      </c>
      <c r="B2210" s="18">
        <v>100</v>
      </c>
      <c r="C2210" s="19">
        <v>100</v>
      </c>
      <c r="D2210" s="20">
        <v>10</v>
      </c>
      <c r="E2210" s="20">
        <v>10</v>
      </c>
      <c r="F2210" s="20">
        <v>10</v>
      </c>
      <c r="G2210" s="19">
        <f t="shared" si="166"/>
        <v>172</v>
      </c>
      <c r="H2210" s="22">
        <f t="shared" si="164"/>
        <v>2209</v>
      </c>
      <c r="I2210" s="21">
        <f t="shared" ca="1" si="167"/>
        <v>0</v>
      </c>
      <c r="J2210" s="21" t="str">
        <f ca="1">IF(I2210=0,"",COUNTIF($I$2:I2210,"&gt;0"))</f>
        <v/>
      </c>
      <c r="K2210" s="21" t="str">
        <f t="shared" ca="1" si="165"/>
        <v/>
      </c>
    </row>
    <row r="2211" spans="1:11" s="18" customFormat="1" ht="14.25" x14ac:dyDescent="0.2">
      <c r="A2211" s="18" t="str">
        <f t="shared" si="168"/>
        <v>Eintrag 2210</v>
      </c>
      <c r="B2211" s="18">
        <v>100</v>
      </c>
      <c r="C2211" s="19">
        <v>100</v>
      </c>
      <c r="D2211" s="20">
        <v>10</v>
      </c>
      <c r="E2211" s="20">
        <v>10</v>
      </c>
      <c r="F2211" s="20">
        <v>10</v>
      </c>
      <c r="G2211" s="19">
        <f t="shared" si="166"/>
        <v>172</v>
      </c>
      <c r="H2211" s="22">
        <f t="shared" si="164"/>
        <v>2210</v>
      </c>
      <c r="I2211" s="21">
        <f t="shared" ca="1" si="167"/>
        <v>0</v>
      </c>
      <c r="J2211" s="21" t="str">
        <f ca="1">IF(I2211=0,"",COUNTIF($I$2:I2211,"&gt;0"))</f>
        <v/>
      </c>
      <c r="K2211" s="21" t="str">
        <f t="shared" ca="1" si="165"/>
        <v/>
      </c>
    </row>
    <row r="2212" spans="1:11" s="18" customFormat="1" ht="14.25" x14ac:dyDescent="0.2">
      <c r="A2212" s="18" t="str">
        <f t="shared" si="168"/>
        <v>Eintrag 2211</v>
      </c>
      <c r="B2212" s="18">
        <v>100</v>
      </c>
      <c r="C2212" s="19">
        <v>100</v>
      </c>
      <c r="D2212" s="20">
        <v>10</v>
      </c>
      <c r="E2212" s="20">
        <v>10</v>
      </c>
      <c r="F2212" s="20">
        <v>10</v>
      </c>
      <c r="G2212" s="19">
        <f t="shared" si="166"/>
        <v>172</v>
      </c>
      <c r="H2212" s="22">
        <f t="shared" si="164"/>
        <v>2211</v>
      </c>
      <c r="I2212" s="21">
        <f t="shared" ca="1" si="167"/>
        <v>0</v>
      </c>
      <c r="J2212" s="21" t="str">
        <f ca="1">IF(I2212=0,"",COUNTIF($I$2:I2212,"&gt;0"))</f>
        <v/>
      </c>
      <c r="K2212" s="21" t="str">
        <f t="shared" ca="1" si="165"/>
        <v/>
      </c>
    </row>
    <row r="2213" spans="1:11" s="18" customFormat="1" ht="14.25" x14ac:dyDescent="0.2">
      <c r="A2213" s="18" t="str">
        <f t="shared" si="168"/>
        <v>Eintrag 2212</v>
      </c>
      <c r="B2213" s="18">
        <v>100</v>
      </c>
      <c r="C2213" s="19">
        <v>100</v>
      </c>
      <c r="D2213" s="20">
        <v>10</v>
      </c>
      <c r="E2213" s="20">
        <v>10</v>
      </c>
      <c r="F2213" s="20">
        <v>10</v>
      </c>
      <c r="G2213" s="19">
        <f t="shared" si="166"/>
        <v>172</v>
      </c>
      <c r="H2213" s="22">
        <f t="shared" ref="H2213:H2276" si="169">H2212+1</f>
        <v>2212</v>
      </c>
      <c r="I2213" s="21">
        <f t="shared" ca="1" si="167"/>
        <v>0</v>
      </c>
      <c r="J2213" s="21" t="str">
        <f ca="1">IF(I2213=0,"",COUNTIF($I$2:I2213,"&gt;0"))</f>
        <v/>
      </c>
      <c r="K2213" s="21" t="str">
        <f t="shared" ca="1" si="165"/>
        <v/>
      </c>
    </row>
    <row r="2214" spans="1:11" s="18" customFormat="1" ht="14.25" x14ac:dyDescent="0.2">
      <c r="A2214" s="18" t="str">
        <f t="shared" si="168"/>
        <v>Eintrag 2213</v>
      </c>
      <c r="B2214" s="18">
        <v>100</v>
      </c>
      <c r="C2214" s="19">
        <v>100</v>
      </c>
      <c r="D2214" s="20">
        <v>10</v>
      </c>
      <c r="E2214" s="20">
        <v>10</v>
      </c>
      <c r="F2214" s="20">
        <v>10</v>
      </c>
      <c r="G2214" s="19">
        <f t="shared" si="166"/>
        <v>172</v>
      </c>
      <c r="H2214" s="22">
        <f t="shared" si="169"/>
        <v>2213</v>
      </c>
      <c r="I2214" s="21">
        <f t="shared" ca="1" si="167"/>
        <v>0</v>
      </c>
      <c r="J2214" s="21" t="str">
        <f ca="1">IF(I2214=0,"",COUNTIF($I$2:I2214,"&gt;0"))</f>
        <v/>
      </c>
      <c r="K2214" s="21" t="str">
        <f t="shared" ca="1" si="165"/>
        <v/>
      </c>
    </row>
    <row r="2215" spans="1:11" s="18" customFormat="1" ht="14.25" x14ac:dyDescent="0.2">
      <c r="A2215" s="18" t="str">
        <f t="shared" si="168"/>
        <v>Eintrag 2214</v>
      </c>
      <c r="B2215" s="18">
        <v>100</v>
      </c>
      <c r="C2215" s="19">
        <v>100</v>
      </c>
      <c r="D2215" s="20">
        <v>10</v>
      </c>
      <c r="E2215" s="20">
        <v>10</v>
      </c>
      <c r="F2215" s="20">
        <v>10</v>
      </c>
      <c r="G2215" s="19">
        <f t="shared" si="166"/>
        <v>172</v>
      </c>
      <c r="H2215" s="22">
        <f t="shared" si="169"/>
        <v>2214</v>
      </c>
      <c r="I2215" s="21">
        <f t="shared" ca="1" si="167"/>
        <v>0</v>
      </c>
      <c r="J2215" s="21" t="str">
        <f ca="1">IF(I2215=0,"",COUNTIF($I$2:I2215,"&gt;0"))</f>
        <v/>
      </c>
      <c r="K2215" s="21" t="str">
        <f t="shared" ca="1" si="165"/>
        <v/>
      </c>
    </row>
    <row r="2216" spans="1:11" s="18" customFormat="1" ht="14.25" x14ac:dyDescent="0.2">
      <c r="A2216" s="18" t="str">
        <f t="shared" si="168"/>
        <v>Eintrag 2215</v>
      </c>
      <c r="B2216" s="18">
        <v>100</v>
      </c>
      <c r="C2216" s="19">
        <v>100</v>
      </c>
      <c r="D2216" s="20">
        <v>10</v>
      </c>
      <c r="E2216" s="20">
        <v>10</v>
      </c>
      <c r="F2216" s="20">
        <v>10</v>
      </c>
      <c r="G2216" s="19">
        <f t="shared" si="166"/>
        <v>172</v>
      </c>
      <c r="H2216" s="22">
        <f t="shared" si="169"/>
        <v>2215</v>
      </c>
      <c r="I2216" s="21">
        <f t="shared" ca="1" si="167"/>
        <v>0</v>
      </c>
      <c r="J2216" s="21" t="str">
        <f ca="1">IF(I2216=0,"",COUNTIF($I$2:I2216,"&gt;0"))</f>
        <v/>
      </c>
      <c r="K2216" s="21" t="str">
        <f t="shared" ca="1" si="165"/>
        <v/>
      </c>
    </row>
    <row r="2217" spans="1:11" s="18" customFormat="1" ht="14.25" x14ac:dyDescent="0.2">
      <c r="A2217" s="18" t="str">
        <f t="shared" si="168"/>
        <v>Eintrag 2216</v>
      </c>
      <c r="B2217" s="18">
        <v>100</v>
      </c>
      <c r="C2217" s="19">
        <v>100</v>
      </c>
      <c r="D2217" s="20">
        <v>10</v>
      </c>
      <c r="E2217" s="20">
        <v>10</v>
      </c>
      <c r="F2217" s="20">
        <v>10</v>
      </c>
      <c r="G2217" s="19">
        <f t="shared" si="166"/>
        <v>172</v>
      </c>
      <c r="H2217" s="22">
        <f t="shared" si="169"/>
        <v>2216</v>
      </c>
      <c r="I2217" s="21">
        <f t="shared" ca="1" si="167"/>
        <v>0</v>
      </c>
      <c r="J2217" s="21" t="str">
        <f ca="1">IF(I2217=0,"",COUNTIF($I$2:I2217,"&gt;0"))</f>
        <v/>
      </c>
      <c r="K2217" s="21" t="str">
        <f t="shared" ca="1" si="165"/>
        <v/>
      </c>
    </row>
    <row r="2218" spans="1:11" s="18" customFormat="1" ht="14.25" x14ac:dyDescent="0.2">
      <c r="A2218" s="18" t="str">
        <f t="shared" si="168"/>
        <v>Eintrag 2217</v>
      </c>
      <c r="B2218" s="18">
        <v>100</v>
      </c>
      <c r="C2218" s="19">
        <v>100</v>
      </c>
      <c r="D2218" s="20">
        <v>10</v>
      </c>
      <c r="E2218" s="20">
        <v>10</v>
      </c>
      <c r="F2218" s="20">
        <v>10</v>
      </c>
      <c r="G2218" s="19">
        <f t="shared" si="166"/>
        <v>172</v>
      </c>
      <c r="H2218" s="22">
        <f t="shared" si="169"/>
        <v>2217</v>
      </c>
      <c r="I2218" s="21">
        <f t="shared" ca="1" si="167"/>
        <v>0</v>
      </c>
      <c r="J2218" s="21" t="str">
        <f ca="1">IF(I2218=0,"",COUNTIF($I$2:I2218,"&gt;0"))</f>
        <v/>
      </c>
      <c r="K2218" s="21" t="str">
        <f t="shared" ca="1" si="165"/>
        <v/>
      </c>
    </row>
    <row r="2219" spans="1:11" s="18" customFormat="1" ht="14.25" x14ac:dyDescent="0.2">
      <c r="A2219" s="18" t="str">
        <f t="shared" si="168"/>
        <v>Eintrag 2218</v>
      </c>
      <c r="B2219" s="18">
        <v>100</v>
      </c>
      <c r="C2219" s="19">
        <v>100</v>
      </c>
      <c r="D2219" s="20">
        <v>10</v>
      </c>
      <c r="E2219" s="20">
        <v>10</v>
      </c>
      <c r="F2219" s="20">
        <v>10</v>
      </c>
      <c r="G2219" s="19">
        <f t="shared" si="166"/>
        <v>172</v>
      </c>
      <c r="H2219" s="22">
        <f t="shared" si="169"/>
        <v>2218</v>
      </c>
      <c r="I2219" s="21">
        <f t="shared" ca="1" si="167"/>
        <v>0</v>
      </c>
      <c r="J2219" s="21" t="str">
        <f ca="1">IF(I2219=0,"",COUNTIF($I$2:I2219,"&gt;0"))</f>
        <v/>
      </c>
      <c r="K2219" s="21" t="str">
        <f t="shared" ca="1" si="165"/>
        <v/>
      </c>
    </row>
    <row r="2220" spans="1:11" s="18" customFormat="1" ht="14.25" x14ac:dyDescent="0.2">
      <c r="A2220" s="18" t="str">
        <f t="shared" si="168"/>
        <v>Eintrag 2219</v>
      </c>
      <c r="B2220" s="18">
        <v>100</v>
      </c>
      <c r="C2220" s="19">
        <v>100</v>
      </c>
      <c r="D2220" s="20">
        <v>10</v>
      </c>
      <c r="E2220" s="20">
        <v>10</v>
      </c>
      <c r="F2220" s="20">
        <v>10</v>
      </c>
      <c r="G2220" s="19">
        <f t="shared" si="166"/>
        <v>172</v>
      </c>
      <c r="H2220" s="22">
        <f t="shared" si="169"/>
        <v>2219</v>
      </c>
      <c r="I2220" s="21">
        <f t="shared" ca="1" si="167"/>
        <v>0</v>
      </c>
      <c r="J2220" s="21" t="str">
        <f ca="1">IF(I2220=0,"",COUNTIF($I$2:I2220,"&gt;0"))</f>
        <v/>
      </c>
      <c r="K2220" s="21" t="str">
        <f t="shared" ca="1" si="165"/>
        <v/>
      </c>
    </row>
    <row r="2221" spans="1:11" s="18" customFormat="1" ht="14.25" x14ac:dyDescent="0.2">
      <c r="A2221" s="18" t="str">
        <f t="shared" si="168"/>
        <v>Eintrag 2220</v>
      </c>
      <c r="B2221" s="18">
        <v>100</v>
      </c>
      <c r="C2221" s="19">
        <v>100</v>
      </c>
      <c r="D2221" s="20">
        <v>10</v>
      </c>
      <c r="E2221" s="20">
        <v>10</v>
      </c>
      <c r="F2221" s="20">
        <v>10</v>
      </c>
      <c r="G2221" s="19">
        <f t="shared" si="166"/>
        <v>172</v>
      </c>
      <c r="H2221" s="22">
        <f t="shared" si="169"/>
        <v>2220</v>
      </c>
      <c r="I2221" s="21">
        <f t="shared" ca="1" si="167"/>
        <v>0</v>
      </c>
      <c r="J2221" s="21" t="str">
        <f ca="1">IF(I2221=0,"",COUNTIF($I$2:I2221,"&gt;0"))</f>
        <v/>
      </c>
      <c r="K2221" s="21" t="str">
        <f t="shared" ca="1" si="165"/>
        <v/>
      </c>
    </row>
    <row r="2222" spans="1:11" s="18" customFormat="1" ht="14.25" x14ac:dyDescent="0.2">
      <c r="A2222" s="18" t="str">
        <f t="shared" si="168"/>
        <v>Eintrag 2221</v>
      </c>
      <c r="B2222" s="18">
        <v>100</v>
      </c>
      <c r="C2222" s="19">
        <v>100</v>
      </c>
      <c r="D2222" s="20">
        <v>10</v>
      </c>
      <c r="E2222" s="20">
        <v>10</v>
      </c>
      <c r="F2222" s="20">
        <v>10</v>
      </c>
      <c r="G2222" s="19">
        <f t="shared" si="166"/>
        <v>172</v>
      </c>
      <c r="H2222" s="22">
        <f t="shared" si="169"/>
        <v>2221</v>
      </c>
      <c r="I2222" s="21">
        <f t="shared" ca="1" si="167"/>
        <v>0</v>
      </c>
      <c r="J2222" s="21" t="str">
        <f ca="1">IF(I2222=0,"",COUNTIF($I$2:I2222,"&gt;0"))</f>
        <v/>
      </c>
      <c r="K2222" s="21" t="str">
        <f t="shared" ca="1" si="165"/>
        <v/>
      </c>
    </row>
    <row r="2223" spans="1:11" s="18" customFormat="1" ht="14.25" x14ac:dyDescent="0.2">
      <c r="A2223" s="18" t="str">
        <f t="shared" si="168"/>
        <v>Eintrag 2222</v>
      </c>
      <c r="B2223" s="18">
        <v>100</v>
      </c>
      <c r="C2223" s="19">
        <v>100</v>
      </c>
      <c r="D2223" s="20">
        <v>10</v>
      </c>
      <c r="E2223" s="20">
        <v>10</v>
      </c>
      <c r="F2223" s="20">
        <v>10</v>
      </c>
      <c r="G2223" s="19">
        <f t="shared" si="166"/>
        <v>172</v>
      </c>
      <c r="H2223" s="22">
        <f t="shared" si="169"/>
        <v>2222</v>
      </c>
      <c r="I2223" s="21">
        <f t="shared" ca="1" si="167"/>
        <v>0</v>
      </c>
      <c r="J2223" s="21" t="str">
        <f ca="1">IF(I2223=0,"",COUNTIF($I$2:I2223,"&gt;0"))</f>
        <v/>
      </c>
      <c r="K2223" s="21" t="str">
        <f t="shared" ca="1" si="165"/>
        <v/>
      </c>
    </row>
    <row r="2224" spans="1:11" s="18" customFormat="1" ht="14.25" x14ac:dyDescent="0.2">
      <c r="A2224" s="18" t="str">
        <f t="shared" si="168"/>
        <v>Eintrag 2223</v>
      </c>
      <c r="B2224" s="18">
        <v>100</v>
      </c>
      <c r="C2224" s="19">
        <v>100</v>
      </c>
      <c r="D2224" s="20">
        <v>10</v>
      </c>
      <c r="E2224" s="20">
        <v>10</v>
      </c>
      <c r="F2224" s="20">
        <v>10</v>
      </c>
      <c r="G2224" s="19">
        <f t="shared" si="166"/>
        <v>172</v>
      </c>
      <c r="H2224" s="22">
        <f t="shared" si="169"/>
        <v>2223</v>
      </c>
      <c r="I2224" s="21">
        <f t="shared" ca="1" si="167"/>
        <v>0</v>
      </c>
      <c r="J2224" s="21" t="str">
        <f ca="1">IF(I2224=0,"",COUNTIF($I$2:I2224,"&gt;0"))</f>
        <v/>
      </c>
      <c r="K2224" s="21" t="str">
        <f t="shared" ca="1" si="165"/>
        <v/>
      </c>
    </row>
    <row r="2225" spans="1:11" s="18" customFormat="1" ht="14.25" x14ac:dyDescent="0.2">
      <c r="A2225" s="18" t="str">
        <f t="shared" si="168"/>
        <v>Eintrag 2224</v>
      </c>
      <c r="B2225" s="18">
        <v>100</v>
      </c>
      <c r="C2225" s="19">
        <v>100</v>
      </c>
      <c r="D2225" s="20">
        <v>10</v>
      </c>
      <c r="E2225" s="20">
        <v>10</v>
      </c>
      <c r="F2225" s="20">
        <v>10</v>
      </c>
      <c r="G2225" s="19">
        <f t="shared" si="166"/>
        <v>172</v>
      </c>
      <c r="H2225" s="22">
        <f t="shared" si="169"/>
        <v>2224</v>
      </c>
      <c r="I2225" s="21">
        <f t="shared" ca="1" si="167"/>
        <v>0</v>
      </c>
      <c r="J2225" s="21" t="str">
        <f ca="1">IF(I2225=0,"",COUNTIF($I$2:I2225,"&gt;0"))</f>
        <v/>
      </c>
      <c r="K2225" s="21" t="str">
        <f t="shared" ca="1" si="165"/>
        <v/>
      </c>
    </row>
    <row r="2226" spans="1:11" s="18" customFormat="1" ht="14.25" x14ac:dyDescent="0.2">
      <c r="A2226" s="18" t="str">
        <f t="shared" si="168"/>
        <v>Eintrag 2225</v>
      </c>
      <c r="B2226" s="18">
        <v>100</v>
      </c>
      <c r="C2226" s="19">
        <v>100</v>
      </c>
      <c r="D2226" s="20">
        <v>10</v>
      </c>
      <c r="E2226" s="20">
        <v>10</v>
      </c>
      <c r="F2226" s="20">
        <v>10</v>
      </c>
      <c r="G2226" s="19">
        <f t="shared" si="166"/>
        <v>172</v>
      </c>
      <c r="H2226" s="22">
        <f t="shared" si="169"/>
        <v>2225</v>
      </c>
      <c r="I2226" s="21">
        <f t="shared" ca="1" si="167"/>
        <v>0</v>
      </c>
      <c r="J2226" s="21" t="str">
        <f ca="1">IF(I2226=0,"",COUNTIF($I$2:I2226,"&gt;0"))</f>
        <v/>
      </c>
      <c r="K2226" s="21" t="str">
        <f t="shared" ca="1" si="165"/>
        <v/>
      </c>
    </row>
    <row r="2227" spans="1:11" s="18" customFormat="1" ht="14.25" x14ac:dyDescent="0.2">
      <c r="A2227" s="18" t="str">
        <f t="shared" si="168"/>
        <v>Eintrag 2226</v>
      </c>
      <c r="B2227" s="18">
        <v>100</v>
      </c>
      <c r="C2227" s="19">
        <v>100</v>
      </c>
      <c r="D2227" s="20">
        <v>10</v>
      </c>
      <c r="E2227" s="20">
        <v>10</v>
      </c>
      <c r="F2227" s="20">
        <v>10</v>
      </c>
      <c r="G2227" s="19">
        <f t="shared" si="166"/>
        <v>172</v>
      </c>
      <c r="H2227" s="22">
        <f t="shared" si="169"/>
        <v>2226</v>
      </c>
      <c r="I2227" s="21">
        <f t="shared" ca="1" si="167"/>
        <v>0</v>
      </c>
      <c r="J2227" s="21" t="str">
        <f ca="1">IF(I2227=0,"",COUNTIF($I$2:I2227,"&gt;0"))</f>
        <v/>
      </c>
      <c r="K2227" s="21" t="str">
        <f t="shared" ca="1" si="165"/>
        <v/>
      </c>
    </row>
    <row r="2228" spans="1:11" s="18" customFormat="1" ht="14.25" x14ac:dyDescent="0.2">
      <c r="A2228" s="18" t="str">
        <f t="shared" si="168"/>
        <v>Eintrag 2227</v>
      </c>
      <c r="B2228" s="18">
        <v>100</v>
      </c>
      <c r="C2228" s="19">
        <v>100</v>
      </c>
      <c r="D2228" s="20">
        <v>10</v>
      </c>
      <c r="E2228" s="20">
        <v>10</v>
      </c>
      <c r="F2228" s="20">
        <v>10</v>
      </c>
      <c r="G2228" s="19">
        <f t="shared" si="166"/>
        <v>172</v>
      </c>
      <c r="H2228" s="22">
        <f t="shared" si="169"/>
        <v>2227</v>
      </c>
      <c r="I2228" s="21">
        <f t="shared" ca="1" si="167"/>
        <v>0</v>
      </c>
      <c r="J2228" s="21" t="str">
        <f ca="1">IF(I2228=0,"",COUNTIF($I$2:I2228,"&gt;0"))</f>
        <v/>
      </c>
      <c r="K2228" s="21" t="str">
        <f t="shared" ca="1" si="165"/>
        <v/>
      </c>
    </row>
    <row r="2229" spans="1:11" s="18" customFormat="1" ht="14.25" x14ac:dyDescent="0.2">
      <c r="A2229" s="18" t="str">
        <f t="shared" si="168"/>
        <v>Eintrag 2228</v>
      </c>
      <c r="B2229" s="18">
        <v>100</v>
      </c>
      <c r="C2229" s="19">
        <v>100</v>
      </c>
      <c r="D2229" s="20">
        <v>10</v>
      </c>
      <c r="E2229" s="20">
        <v>10</v>
      </c>
      <c r="F2229" s="20">
        <v>10</v>
      </c>
      <c r="G2229" s="19">
        <f t="shared" si="166"/>
        <v>172</v>
      </c>
      <c r="H2229" s="22">
        <f t="shared" si="169"/>
        <v>2228</v>
      </c>
      <c r="I2229" s="21">
        <f t="shared" ca="1" si="167"/>
        <v>0</v>
      </c>
      <c r="J2229" s="21" t="str">
        <f ca="1">IF(I2229=0,"",COUNTIF($I$2:I2229,"&gt;0"))</f>
        <v/>
      </c>
      <c r="K2229" s="21" t="str">
        <f t="shared" ca="1" si="165"/>
        <v/>
      </c>
    </row>
    <row r="2230" spans="1:11" s="18" customFormat="1" ht="14.25" x14ac:dyDescent="0.2">
      <c r="A2230" s="18" t="str">
        <f t="shared" si="168"/>
        <v>Eintrag 2229</v>
      </c>
      <c r="B2230" s="18">
        <v>100</v>
      </c>
      <c r="C2230" s="19">
        <v>100</v>
      </c>
      <c r="D2230" s="20">
        <v>10</v>
      </c>
      <c r="E2230" s="20">
        <v>10</v>
      </c>
      <c r="F2230" s="20">
        <v>10</v>
      </c>
      <c r="G2230" s="19">
        <f t="shared" si="166"/>
        <v>172</v>
      </c>
      <c r="H2230" s="22">
        <f t="shared" si="169"/>
        <v>2229</v>
      </c>
      <c r="I2230" s="21">
        <f t="shared" ca="1" si="167"/>
        <v>0</v>
      </c>
      <c r="J2230" s="21" t="str">
        <f ca="1">IF(I2230=0,"",COUNTIF($I$2:I2230,"&gt;0"))</f>
        <v/>
      </c>
      <c r="K2230" s="21" t="str">
        <f t="shared" ca="1" si="165"/>
        <v/>
      </c>
    </row>
    <row r="2231" spans="1:11" s="18" customFormat="1" ht="14.25" x14ac:dyDescent="0.2">
      <c r="A2231" s="18" t="str">
        <f t="shared" si="168"/>
        <v>Eintrag 2230</v>
      </c>
      <c r="B2231" s="18">
        <v>100</v>
      </c>
      <c r="C2231" s="19">
        <v>100</v>
      </c>
      <c r="D2231" s="20">
        <v>10</v>
      </c>
      <c r="E2231" s="20">
        <v>10</v>
      </c>
      <c r="F2231" s="20">
        <v>10</v>
      </c>
      <c r="G2231" s="19">
        <f t="shared" si="166"/>
        <v>172</v>
      </c>
      <c r="H2231" s="22">
        <f t="shared" si="169"/>
        <v>2230</v>
      </c>
      <c r="I2231" s="21">
        <f t="shared" ca="1" si="167"/>
        <v>0</v>
      </c>
      <c r="J2231" s="21" t="str">
        <f ca="1">IF(I2231=0,"",COUNTIF($I$2:I2231,"&gt;0"))</f>
        <v/>
      </c>
      <c r="K2231" s="21" t="str">
        <f t="shared" ca="1" si="165"/>
        <v/>
      </c>
    </row>
    <row r="2232" spans="1:11" s="18" customFormat="1" ht="14.25" x14ac:dyDescent="0.2">
      <c r="A2232" s="18" t="str">
        <f t="shared" si="168"/>
        <v>Eintrag 2231</v>
      </c>
      <c r="B2232" s="18">
        <v>100</v>
      </c>
      <c r="C2232" s="19">
        <v>100</v>
      </c>
      <c r="D2232" s="20">
        <v>10</v>
      </c>
      <c r="E2232" s="20">
        <v>10</v>
      </c>
      <c r="F2232" s="20">
        <v>10</v>
      </c>
      <c r="G2232" s="19">
        <f t="shared" si="166"/>
        <v>172</v>
      </c>
      <c r="H2232" s="22">
        <f t="shared" si="169"/>
        <v>2231</v>
      </c>
      <c r="I2232" s="21">
        <f t="shared" ca="1" si="167"/>
        <v>0</v>
      </c>
      <c r="J2232" s="21" t="str">
        <f ca="1">IF(I2232=0,"",COUNTIF($I$2:I2232,"&gt;0"))</f>
        <v/>
      </c>
      <c r="K2232" s="21" t="str">
        <f t="shared" ca="1" si="165"/>
        <v/>
      </c>
    </row>
    <row r="2233" spans="1:11" s="18" customFormat="1" ht="14.25" x14ac:dyDescent="0.2">
      <c r="A2233" s="18" t="str">
        <f t="shared" si="168"/>
        <v>Eintrag 2232</v>
      </c>
      <c r="B2233" s="18">
        <v>100</v>
      </c>
      <c r="C2233" s="19">
        <v>100</v>
      </c>
      <c r="D2233" s="20">
        <v>10</v>
      </c>
      <c r="E2233" s="20">
        <v>10</v>
      </c>
      <c r="F2233" s="20">
        <v>10</v>
      </c>
      <c r="G2233" s="19">
        <f t="shared" si="166"/>
        <v>172</v>
      </c>
      <c r="H2233" s="22">
        <f t="shared" si="169"/>
        <v>2232</v>
      </c>
      <c r="I2233" s="21">
        <f t="shared" ca="1" si="167"/>
        <v>0</v>
      </c>
      <c r="J2233" s="21" t="str">
        <f ca="1">IF(I2233=0,"",COUNTIF($I$2:I2233,"&gt;0"))</f>
        <v/>
      </c>
      <c r="K2233" s="21" t="str">
        <f t="shared" ca="1" si="165"/>
        <v/>
      </c>
    </row>
    <row r="2234" spans="1:11" s="18" customFormat="1" ht="14.25" x14ac:dyDescent="0.2">
      <c r="A2234" s="18" t="str">
        <f t="shared" si="168"/>
        <v>Eintrag 2233</v>
      </c>
      <c r="B2234" s="18">
        <v>100</v>
      </c>
      <c r="C2234" s="19">
        <v>100</v>
      </c>
      <c r="D2234" s="20">
        <v>10</v>
      </c>
      <c r="E2234" s="20">
        <v>10</v>
      </c>
      <c r="F2234" s="20">
        <v>10</v>
      </c>
      <c r="G2234" s="19">
        <f t="shared" si="166"/>
        <v>172</v>
      </c>
      <c r="H2234" s="22">
        <f t="shared" si="169"/>
        <v>2233</v>
      </c>
      <c r="I2234" s="21">
        <f t="shared" ca="1" si="167"/>
        <v>0</v>
      </c>
      <c r="J2234" s="21" t="str">
        <f ca="1">IF(I2234=0,"",COUNTIF($I$2:I2234,"&gt;0"))</f>
        <v/>
      </c>
      <c r="K2234" s="21" t="str">
        <f t="shared" ca="1" si="165"/>
        <v/>
      </c>
    </row>
    <row r="2235" spans="1:11" s="18" customFormat="1" ht="14.25" x14ac:dyDescent="0.2">
      <c r="A2235" s="18" t="str">
        <f t="shared" si="168"/>
        <v>Eintrag 2234</v>
      </c>
      <c r="B2235" s="18">
        <v>100</v>
      </c>
      <c r="C2235" s="19">
        <v>100</v>
      </c>
      <c r="D2235" s="20">
        <v>10</v>
      </c>
      <c r="E2235" s="20">
        <v>10</v>
      </c>
      <c r="F2235" s="20">
        <v>10</v>
      </c>
      <c r="G2235" s="19">
        <f t="shared" si="166"/>
        <v>172</v>
      </c>
      <c r="H2235" s="22">
        <f t="shared" si="169"/>
        <v>2234</v>
      </c>
      <c r="I2235" s="21">
        <f t="shared" ca="1" si="167"/>
        <v>0</v>
      </c>
      <c r="J2235" s="21" t="str">
        <f ca="1">IF(I2235=0,"",COUNTIF($I$2:I2235,"&gt;0"))</f>
        <v/>
      </c>
      <c r="K2235" s="21" t="str">
        <f t="shared" ca="1" si="165"/>
        <v/>
      </c>
    </row>
    <row r="2236" spans="1:11" s="18" customFormat="1" ht="14.25" x14ac:dyDescent="0.2">
      <c r="A2236" s="18" t="str">
        <f t="shared" si="168"/>
        <v>Eintrag 2235</v>
      </c>
      <c r="B2236" s="18">
        <v>100</v>
      </c>
      <c r="C2236" s="19">
        <v>100</v>
      </c>
      <c r="D2236" s="20">
        <v>10</v>
      </c>
      <c r="E2236" s="20">
        <v>10</v>
      </c>
      <c r="F2236" s="20">
        <v>10</v>
      </c>
      <c r="G2236" s="19">
        <f t="shared" si="166"/>
        <v>172</v>
      </c>
      <c r="H2236" s="22">
        <f t="shared" si="169"/>
        <v>2235</v>
      </c>
      <c r="I2236" s="21">
        <f t="shared" ca="1" si="167"/>
        <v>0</v>
      </c>
      <c r="J2236" s="21" t="str">
        <f ca="1">IF(I2236=0,"",COUNTIF($I$2:I2236,"&gt;0"))</f>
        <v/>
      </c>
      <c r="K2236" s="21" t="str">
        <f t="shared" ca="1" si="165"/>
        <v/>
      </c>
    </row>
    <row r="2237" spans="1:11" s="18" customFormat="1" ht="14.25" x14ac:dyDescent="0.2">
      <c r="A2237" s="18" t="str">
        <f t="shared" si="168"/>
        <v>Eintrag 2236</v>
      </c>
      <c r="B2237" s="18">
        <v>100</v>
      </c>
      <c r="C2237" s="19">
        <v>100</v>
      </c>
      <c r="D2237" s="20">
        <v>10</v>
      </c>
      <c r="E2237" s="20">
        <v>10</v>
      </c>
      <c r="F2237" s="20">
        <v>10</v>
      </c>
      <c r="G2237" s="19">
        <f t="shared" si="166"/>
        <v>172</v>
      </c>
      <c r="H2237" s="22">
        <f t="shared" si="169"/>
        <v>2236</v>
      </c>
      <c r="I2237" s="21">
        <f t="shared" ca="1" si="167"/>
        <v>0</v>
      </c>
      <c r="J2237" s="21" t="str">
        <f ca="1">IF(I2237=0,"",COUNTIF($I$2:I2237,"&gt;0"))</f>
        <v/>
      </c>
      <c r="K2237" s="21" t="str">
        <f t="shared" ca="1" si="165"/>
        <v/>
      </c>
    </row>
    <row r="2238" spans="1:11" s="18" customFormat="1" ht="14.25" x14ac:dyDescent="0.2">
      <c r="A2238" s="18" t="str">
        <f t="shared" si="168"/>
        <v>Eintrag 2237</v>
      </c>
      <c r="B2238" s="18">
        <v>100</v>
      </c>
      <c r="C2238" s="19">
        <v>100</v>
      </c>
      <c r="D2238" s="20">
        <v>10</v>
      </c>
      <c r="E2238" s="20">
        <v>10</v>
      </c>
      <c r="F2238" s="20">
        <v>10</v>
      </c>
      <c r="G2238" s="19">
        <f t="shared" si="166"/>
        <v>172</v>
      </c>
      <c r="H2238" s="22">
        <f t="shared" si="169"/>
        <v>2237</v>
      </c>
      <c r="I2238" s="21">
        <f t="shared" ca="1" si="167"/>
        <v>0</v>
      </c>
      <c r="J2238" s="21" t="str">
        <f ca="1">IF(I2238=0,"",COUNTIF($I$2:I2238,"&gt;0"))</f>
        <v/>
      </c>
      <c r="K2238" s="21" t="str">
        <f t="shared" ca="1" si="165"/>
        <v/>
      </c>
    </row>
    <row r="2239" spans="1:11" s="18" customFormat="1" ht="14.25" x14ac:dyDescent="0.2">
      <c r="A2239" s="18" t="str">
        <f t="shared" si="168"/>
        <v>Eintrag 2238</v>
      </c>
      <c r="B2239" s="18">
        <v>100</v>
      </c>
      <c r="C2239" s="19">
        <v>100</v>
      </c>
      <c r="D2239" s="20">
        <v>10</v>
      </c>
      <c r="E2239" s="20">
        <v>10</v>
      </c>
      <c r="F2239" s="20">
        <v>10</v>
      </c>
      <c r="G2239" s="19">
        <f t="shared" si="166"/>
        <v>172</v>
      </c>
      <c r="H2239" s="22">
        <f t="shared" si="169"/>
        <v>2238</v>
      </c>
      <c r="I2239" s="21">
        <f t="shared" ca="1" si="167"/>
        <v>0</v>
      </c>
      <c r="J2239" s="21" t="str">
        <f ca="1">IF(I2239=0,"",COUNTIF($I$2:I2239,"&gt;0"))</f>
        <v/>
      </c>
      <c r="K2239" s="21" t="str">
        <f t="shared" ca="1" si="165"/>
        <v/>
      </c>
    </row>
    <row r="2240" spans="1:11" s="18" customFormat="1" ht="14.25" x14ac:dyDescent="0.2">
      <c r="A2240" s="18" t="str">
        <f t="shared" si="168"/>
        <v>Eintrag 2239</v>
      </c>
      <c r="B2240" s="18">
        <v>100</v>
      </c>
      <c r="C2240" s="19">
        <v>100</v>
      </c>
      <c r="D2240" s="20">
        <v>10</v>
      </c>
      <c r="E2240" s="20">
        <v>10</v>
      </c>
      <c r="F2240" s="20">
        <v>10</v>
      </c>
      <c r="G2240" s="19">
        <f t="shared" si="166"/>
        <v>172</v>
      </c>
      <c r="H2240" s="22">
        <f t="shared" si="169"/>
        <v>2239</v>
      </c>
      <c r="I2240" s="21">
        <f t="shared" ca="1" si="167"/>
        <v>0</v>
      </c>
      <c r="J2240" s="21" t="str">
        <f ca="1">IF(I2240=0,"",COUNTIF($I$2:I2240,"&gt;0"))</f>
        <v/>
      </c>
      <c r="K2240" s="21" t="str">
        <f t="shared" ca="1" si="165"/>
        <v/>
      </c>
    </row>
    <row r="2241" spans="1:11" s="18" customFormat="1" ht="14.25" x14ac:dyDescent="0.2">
      <c r="A2241" s="18" t="str">
        <f t="shared" si="168"/>
        <v>Eintrag 2240</v>
      </c>
      <c r="B2241" s="18">
        <v>100</v>
      </c>
      <c r="C2241" s="19">
        <v>100</v>
      </c>
      <c r="D2241" s="20">
        <v>10</v>
      </c>
      <c r="E2241" s="20">
        <v>10</v>
      </c>
      <c r="F2241" s="20">
        <v>10</v>
      </c>
      <c r="G2241" s="19">
        <f t="shared" si="166"/>
        <v>172</v>
      </c>
      <c r="H2241" s="22">
        <f t="shared" si="169"/>
        <v>2240</v>
      </c>
      <c r="I2241" s="21">
        <f t="shared" ca="1" si="167"/>
        <v>0</v>
      </c>
      <c r="J2241" s="21" t="str">
        <f ca="1">IF(I2241=0,"",COUNTIF($I$2:I2241,"&gt;0"))</f>
        <v/>
      </c>
      <c r="K2241" s="21" t="str">
        <f t="shared" ca="1" si="165"/>
        <v/>
      </c>
    </row>
    <row r="2242" spans="1:11" s="18" customFormat="1" ht="14.25" x14ac:dyDescent="0.2">
      <c r="A2242" s="18" t="str">
        <f t="shared" si="168"/>
        <v>Eintrag 2241</v>
      </c>
      <c r="B2242" s="18">
        <v>100</v>
      </c>
      <c r="C2242" s="19">
        <v>100</v>
      </c>
      <c r="D2242" s="20">
        <v>10</v>
      </c>
      <c r="E2242" s="20">
        <v>10</v>
      </c>
      <c r="F2242" s="20">
        <v>10</v>
      </c>
      <c r="G2242" s="19">
        <f t="shared" si="166"/>
        <v>172</v>
      </c>
      <c r="H2242" s="22">
        <f t="shared" si="169"/>
        <v>2241</v>
      </c>
      <c r="I2242" s="21">
        <f t="shared" ca="1" si="167"/>
        <v>0</v>
      </c>
      <c r="J2242" s="21" t="str">
        <f ca="1">IF(I2242=0,"",COUNTIF($I$2:I2242,"&gt;0"))</f>
        <v/>
      </c>
      <c r="K2242" s="21" t="str">
        <f t="shared" ref="K2242:K2305" ca="1" si="170">IFERROR(INDEX(A:A,MATCH(ROW(I2241),J:J,0)),"")</f>
        <v/>
      </c>
    </row>
    <row r="2243" spans="1:11" s="18" customFormat="1" ht="14.25" x14ac:dyDescent="0.2">
      <c r="A2243" s="18" t="str">
        <f t="shared" si="168"/>
        <v>Eintrag 2242</v>
      </c>
      <c r="B2243" s="18">
        <v>100</v>
      </c>
      <c r="C2243" s="19">
        <v>100</v>
      </c>
      <c r="D2243" s="20">
        <v>10</v>
      </c>
      <c r="E2243" s="20">
        <v>10</v>
      </c>
      <c r="F2243" s="20">
        <v>10</v>
      </c>
      <c r="G2243" s="19">
        <f t="shared" ref="G2243:G2306" si="171">D2243*9+E2243*4.1+F2243*4.1</f>
        <v>172</v>
      </c>
      <c r="H2243" s="22">
        <f t="shared" si="169"/>
        <v>2242</v>
      </c>
      <c r="I2243" s="21">
        <f t="shared" ca="1" si="167"/>
        <v>0</v>
      </c>
      <c r="J2243" s="21" t="str">
        <f ca="1">IF(I2243=0,"",COUNTIF($I$2:I2243,"&gt;0"))</f>
        <v/>
      </c>
      <c r="K2243" s="21" t="str">
        <f t="shared" ca="1" si="170"/>
        <v/>
      </c>
    </row>
    <row r="2244" spans="1:11" s="18" customFormat="1" ht="14.25" x14ac:dyDescent="0.2">
      <c r="A2244" s="18" t="str">
        <f t="shared" si="168"/>
        <v>Eintrag 2243</v>
      </c>
      <c r="B2244" s="18">
        <v>100</v>
      </c>
      <c r="C2244" s="19">
        <v>100</v>
      </c>
      <c r="D2244" s="20">
        <v>10</v>
      </c>
      <c r="E2244" s="20">
        <v>10</v>
      </c>
      <c r="F2244" s="20">
        <v>10</v>
      </c>
      <c r="G2244" s="19">
        <f t="shared" si="171"/>
        <v>172</v>
      </c>
      <c r="H2244" s="22">
        <f t="shared" si="169"/>
        <v>2243</v>
      </c>
      <c r="I2244" s="21">
        <f t="shared" ca="1" si="167"/>
        <v>0</v>
      </c>
      <c r="J2244" s="21" t="str">
        <f ca="1">IF(I2244=0,"",COUNTIF($I$2:I2244,"&gt;0"))</f>
        <v/>
      </c>
      <c r="K2244" s="21" t="str">
        <f t="shared" ca="1" si="170"/>
        <v/>
      </c>
    </row>
    <row r="2245" spans="1:11" s="18" customFormat="1" ht="14.25" x14ac:dyDescent="0.2">
      <c r="A2245" s="18" t="str">
        <f t="shared" si="168"/>
        <v>Eintrag 2244</v>
      </c>
      <c r="B2245" s="18">
        <v>100</v>
      </c>
      <c r="C2245" s="19">
        <v>100</v>
      </c>
      <c r="D2245" s="20">
        <v>10</v>
      </c>
      <c r="E2245" s="20">
        <v>10</v>
      </c>
      <c r="F2245" s="20">
        <v>10</v>
      </c>
      <c r="G2245" s="19">
        <f t="shared" si="171"/>
        <v>172</v>
      </c>
      <c r="H2245" s="22">
        <f t="shared" si="169"/>
        <v>2244</v>
      </c>
      <c r="I2245" s="21">
        <f t="shared" ca="1" si="167"/>
        <v>0</v>
      </c>
      <c r="J2245" s="21" t="str">
        <f ca="1">IF(I2245=0,"",COUNTIF($I$2:I2245,"&gt;0"))</f>
        <v/>
      </c>
      <c r="K2245" s="21" t="str">
        <f t="shared" ca="1" si="170"/>
        <v/>
      </c>
    </row>
    <row r="2246" spans="1:11" s="18" customFormat="1" ht="14.25" x14ac:dyDescent="0.2">
      <c r="A2246" s="18" t="str">
        <f t="shared" si="168"/>
        <v>Eintrag 2245</v>
      </c>
      <c r="B2246" s="18">
        <v>100</v>
      </c>
      <c r="C2246" s="19">
        <v>100</v>
      </c>
      <c r="D2246" s="20">
        <v>10</v>
      </c>
      <c r="E2246" s="20">
        <v>10</v>
      </c>
      <c r="F2246" s="20">
        <v>10</v>
      </c>
      <c r="G2246" s="19">
        <f t="shared" si="171"/>
        <v>172</v>
      </c>
      <c r="H2246" s="22">
        <f t="shared" si="169"/>
        <v>2245</v>
      </c>
      <c r="I2246" s="21">
        <f t="shared" ca="1" si="167"/>
        <v>0</v>
      </c>
      <c r="J2246" s="21" t="str">
        <f ca="1">IF(I2246=0,"",COUNTIF($I$2:I2246,"&gt;0"))</f>
        <v/>
      </c>
      <c r="K2246" s="21" t="str">
        <f t="shared" ca="1" si="170"/>
        <v/>
      </c>
    </row>
    <row r="2247" spans="1:11" s="18" customFormat="1" ht="14.25" x14ac:dyDescent="0.2">
      <c r="A2247" s="18" t="str">
        <f t="shared" si="168"/>
        <v>Eintrag 2246</v>
      </c>
      <c r="B2247" s="18">
        <v>100</v>
      </c>
      <c r="C2247" s="19">
        <v>100</v>
      </c>
      <c r="D2247" s="20">
        <v>10</v>
      </c>
      <c r="E2247" s="20">
        <v>10</v>
      </c>
      <c r="F2247" s="20">
        <v>10</v>
      </c>
      <c r="G2247" s="19">
        <f t="shared" si="171"/>
        <v>172</v>
      </c>
      <c r="H2247" s="22">
        <f t="shared" si="169"/>
        <v>2246</v>
      </c>
      <c r="I2247" s="21">
        <f t="shared" ca="1" si="167"/>
        <v>0</v>
      </c>
      <c r="J2247" s="21" t="str">
        <f ca="1">IF(I2247=0,"",COUNTIF($I$2:I2247,"&gt;0"))</f>
        <v/>
      </c>
      <c r="K2247" s="21" t="str">
        <f t="shared" ca="1" si="170"/>
        <v/>
      </c>
    </row>
    <row r="2248" spans="1:11" s="18" customFormat="1" ht="14.25" x14ac:dyDescent="0.2">
      <c r="A2248" s="18" t="str">
        <f t="shared" si="168"/>
        <v>Eintrag 2247</v>
      </c>
      <c r="B2248" s="18">
        <v>100</v>
      </c>
      <c r="C2248" s="19">
        <v>100</v>
      </c>
      <c r="D2248" s="20">
        <v>10</v>
      </c>
      <c r="E2248" s="20">
        <v>10</v>
      </c>
      <c r="F2248" s="20">
        <v>10</v>
      </c>
      <c r="G2248" s="19">
        <f t="shared" si="171"/>
        <v>172</v>
      </c>
      <c r="H2248" s="22">
        <f t="shared" si="169"/>
        <v>2247</v>
      </c>
      <c r="I2248" s="21">
        <f t="shared" ca="1" si="167"/>
        <v>0</v>
      </c>
      <c r="J2248" s="21" t="str">
        <f ca="1">IF(I2248=0,"",COUNTIF($I$2:I2248,"&gt;0"))</f>
        <v/>
      </c>
      <c r="K2248" s="21" t="str">
        <f t="shared" ca="1" si="170"/>
        <v/>
      </c>
    </row>
    <row r="2249" spans="1:11" s="18" customFormat="1" ht="14.25" x14ac:dyDescent="0.2">
      <c r="A2249" s="18" t="str">
        <f t="shared" si="168"/>
        <v>Eintrag 2248</v>
      </c>
      <c r="B2249" s="18">
        <v>100</v>
      </c>
      <c r="C2249" s="19">
        <v>100</v>
      </c>
      <c r="D2249" s="20">
        <v>10</v>
      </c>
      <c r="E2249" s="20">
        <v>10</v>
      </c>
      <c r="F2249" s="20">
        <v>10</v>
      </c>
      <c r="G2249" s="19">
        <f t="shared" si="171"/>
        <v>172</v>
      </c>
      <c r="H2249" s="22">
        <f t="shared" si="169"/>
        <v>2248</v>
      </c>
      <c r="I2249" s="21">
        <f t="shared" ca="1" si="167"/>
        <v>0</v>
      </c>
      <c r="J2249" s="21" t="str">
        <f ca="1">IF(I2249=0,"",COUNTIF($I$2:I2249,"&gt;0"))</f>
        <v/>
      </c>
      <c r="K2249" s="21" t="str">
        <f t="shared" ca="1" si="170"/>
        <v/>
      </c>
    </row>
    <row r="2250" spans="1:11" s="18" customFormat="1" ht="14.25" x14ac:dyDescent="0.2">
      <c r="A2250" s="18" t="str">
        <f t="shared" si="168"/>
        <v>Eintrag 2249</v>
      </c>
      <c r="B2250" s="18">
        <v>100</v>
      </c>
      <c r="C2250" s="19">
        <v>100</v>
      </c>
      <c r="D2250" s="20">
        <v>10</v>
      </c>
      <c r="E2250" s="20">
        <v>10</v>
      </c>
      <c r="F2250" s="20">
        <v>10</v>
      </c>
      <c r="G2250" s="19">
        <f t="shared" si="171"/>
        <v>172</v>
      </c>
      <c r="H2250" s="22">
        <f t="shared" si="169"/>
        <v>2249</v>
      </c>
      <c r="I2250" s="21">
        <f t="shared" ca="1" si="167"/>
        <v>0</v>
      </c>
      <c r="J2250" s="21" t="str">
        <f ca="1">IF(I2250=0,"",COUNTIF($I$2:I2250,"&gt;0"))</f>
        <v/>
      </c>
      <c r="K2250" s="21" t="str">
        <f t="shared" ca="1" si="170"/>
        <v/>
      </c>
    </row>
    <row r="2251" spans="1:11" s="18" customFormat="1" ht="14.25" x14ac:dyDescent="0.2">
      <c r="A2251" s="18" t="str">
        <f t="shared" si="168"/>
        <v>Eintrag 2250</v>
      </c>
      <c r="B2251" s="18">
        <v>100</v>
      </c>
      <c r="C2251" s="19">
        <v>100</v>
      </c>
      <c r="D2251" s="20">
        <v>10</v>
      </c>
      <c r="E2251" s="20">
        <v>10</v>
      </c>
      <c r="F2251" s="20">
        <v>10</v>
      </c>
      <c r="G2251" s="19">
        <f t="shared" si="171"/>
        <v>172</v>
      </c>
      <c r="H2251" s="22">
        <f t="shared" si="169"/>
        <v>2250</v>
      </c>
      <c r="I2251" s="21">
        <f t="shared" ca="1" si="167"/>
        <v>0</v>
      </c>
      <c r="J2251" s="21" t="str">
        <f ca="1">IF(I2251=0,"",COUNTIF($I$2:I2251,"&gt;0"))</f>
        <v/>
      </c>
      <c r="K2251" s="21" t="str">
        <f t="shared" ca="1" si="170"/>
        <v/>
      </c>
    </row>
    <row r="2252" spans="1:11" s="18" customFormat="1" ht="14.25" x14ac:dyDescent="0.2">
      <c r="A2252" s="18" t="str">
        <f t="shared" si="168"/>
        <v>Eintrag 2251</v>
      </c>
      <c r="B2252" s="18">
        <v>100</v>
      </c>
      <c r="C2252" s="19">
        <v>100</v>
      </c>
      <c r="D2252" s="20">
        <v>10</v>
      </c>
      <c r="E2252" s="20">
        <v>10</v>
      </c>
      <c r="F2252" s="20">
        <v>10</v>
      </c>
      <c r="G2252" s="19">
        <f t="shared" si="171"/>
        <v>172</v>
      </c>
      <c r="H2252" s="22">
        <f t="shared" si="169"/>
        <v>2251</v>
      </c>
      <c r="I2252" s="21">
        <f t="shared" ca="1" si="167"/>
        <v>0</v>
      </c>
      <c r="J2252" s="21" t="str">
        <f ca="1">IF(I2252=0,"",COUNTIF($I$2:I2252,"&gt;0"))</f>
        <v/>
      </c>
      <c r="K2252" s="21" t="str">
        <f t="shared" ca="1" si="170"/>
        <v/>
      </c>
    </row>
    <row r="2253" spans="1:11" s="18" customFormat="1" ht="14.25" x14ac:dyDescent="0.2">
      <c r="A2253" s="18" t="str">
        <f t="shared" si="168"/>
        <v>Eintrag 2252</v>
      </c>
      <c r="B2253" s="18">
        <v>100</v>
      </c>
      <c r="C2253" s="19">
        <v>100</v>
      </c>
      <c r="D2253" s="20">
        <v>10</v>
      </c>
      <c r="E2253" s="20">
        <v>10</v>
      </c>
      <c r="F2253" s="20">
        <v>10</v>
      </c>
      <c r="G2253" s="19">
        <f t="shared" si="171"/>
        <v>172</v>
      </c>
      <c r="H2253" s="22">
        <f t="shared" si="169"/>
        <v>2252</v>
      </c>
      <c r="I2253" s="21">
        <f t="shared" ca="1" si="167"/>
        <v>0</v>
      </c>
      <c r="J2253" s="21" t="str">
        <f ca="1">IF(I2253=0,"",COUNTIF($I$2:I2253,"&gt;0"))</f>
        <v/>
      </c>
      <c r="K2253" s="21" t="str">
        <f t="shared" ca="1" si="170"/>
        <v/>
      </c>
    </row>
    <row r="2254" spans="1:11" s="18" customFormat="1" ht="14.25" x14ac:dyDescent="0.2">
      <c r="A2254" s="18" t="str">
        <f t="shared" si="168"/>
        <v>Eintrag 2253</v>
      </c>
      <c r="B2254" s="18">
        <v>100</v>
      </c>
      <c r="C2254" s="19">
        <v>100</v>
      </c>
      <c r="D2254" s="20">
        <v>10</v>
      </c>
      <c r="E2254" s="20">
        <v>10</v>
      </c>
      <c r="F2254" s="20">
        <v>10</v>
      </c>
      <c r="G2254" s="19">
        <f t="shared" si="171"/>
        <v>172</v>
      </c>
      <c r="H2254" s="22">
        <f t="shared" si="169"/>
        <v>2253</v>
      </c>
      <c r="I2254" s="21">
        <f t="shared" ca="1" si="167"/>
        <v>0</v>
      </c>
      <c r="J2254" s="21" t="str">
        <f ca="1">IF(I2254=0,"",COUNTIF($I$2:I2254,"&gt;0"))</f>
        <v/>
      </c>
      <c r="K2254" s="21" t="str">
        <f t="shared" ca="1" si="170"/>
        <v/>
      </c>
    </row>
    <row r="2255" spans="1:11" s="18" customFormat="1" ht="14.25" x14ac:dyDescent="0.2">
      <c r="A2255" s="18" t="str">
        <f t="shared" si="168"/>
        <v>Eintrag 2254</v>
      </c>
      <c r="B2255" s="18">
        <v>100</v>
      </c>
      <c r="C2255" s="19">
        <v>100</v>
      </c>
      <c r="D2255" s="20">
        <v>10</v>
      </c>
      <c r="E2255" s="20">
        <v>10</v>
      </c>
      <c r="F2255" s="20">
        <v>10</v>
      </c>
      <c r="G2255" s="19">
        <f t="shared" si="171"/>
        <v>172</v>
      </c>
      <c r="H2255" s="22">
        <f t="shared" si="169"/>
        <v>2254</v>
      </c>
      <c r="I2255" s="21">
        <f t="shared" ca="1" si="167"/>
        <v>0</v>
      </c>
      <c r="J2255" s="21" t="str">
        <f ca="1">IF(I2255=0,"",COUNTIF($I$2:I2255,"&gt;0"))</f>
        <v/>
      </c>
      <c r="K2255" s="21" t="str">
        <f t="shared" ca="1" si="170"/>
        <v/>
      </c>
    </row>
    <row r="2256" spans="1:11" s="18" customFormat="1" ht="14.25" x14ac:dyDescent="0.2">
      <c r="A2256" s="18" t="str">
        <f t="shared" si="168"/>
        <v>Eintrag 2255</v>
      </c>
      <c r="B2256" s="18">
        <v>100</v>
      </c>
      <c r="C2256" s="19">
        <v>100</v>
      </c>
      <c r="D2256" s="20">
        <v>10</v>
      </c>
      <c r="E2256" s="20">
        <v>10</v>
      </c>
      <c r="F2256" s="20">
        <v>10</v>
      </c>
      <c r="G2256" s="19">
        <f t="shared" si="171"/>
        <v>172</v>
      </c>
      <c r="H2256" s="22">
        <f t="shared" si="169"/>
        <v>2255</v>
      </c>
      <c r="I2256" s="21">
        <f t="shared" ca="1" si="167"/>
        <v>0</v>
      </c>
      <c r="J2256" s="21" t="str">
        <f ca="1">IF(I2256=0,"",COUNTIF($I$2:I2256,"&gt;0"))</f>
        <v/>
      </c>
      <c r="K2256" s="21" t="str">
        <f t="shared" ca="1" si="170"/>
        <v/>
      </c>
    </row>
    <row r="2257" spans="1:11" s="18" customFormat="1" ht="14.25" x14ac:dyDescent="0.2">
      <c r="A2257" s="18" t="str">
        <f t="shared" si="168"/>
        <v>Eintrag 2256</v>
      </c>
      <c r="B2257" s="18">
        <v>100</v>
      </c>
      <c r="C2257" s="19">
        <v>100</v>
      </c>
      <c r="D2257" s="20">
        <v>10</v>
      </c>
      <c r="E2257" s="20">
        <v>10</v>
      </c>
      <c r="F2257" s="20">
        <v>10</v>
      </c>
      <c r="G2257" s="19">
        <f t="shared" si="171"/>
        <v>172</v>
      </c>
      <c r="H2257" s="22">
        <f t="shared" si="169"/>
        <v>2256</v>
      </c>
      <c r="I2257" s="21">
        <f t="shared" ca="1" si="167"/>
        <v>0</v>
      </c>
      <c r="J2257" s="21" t="str">
        <f ca="1">IF(I2257=0,"",COUNTIF($I$2:I2257,"&gt;0"))</f>
        <v/>
      </c>
      <c r="K2257" s="21" t="str">
        <f t="shared" ca="1" si="170"/>
        <v/>
      </c>
    </row>
    <row r="2258" spans="1:11" s="18" customFormat="1" ht="14.25" x14ac:dyDescent="0.2">
      <c r="A2258" s="18" t="str">
        <f t="shared" si="168"/>
        <v>Eintrag 2257</v>
      </c>
      <c r="B2258" s="18">
        <v>100</v>
      </c>
      <c r="C2258" s="19">
        <v>100</v>
      </c>
      <c r="D2258" s="20">
        <v>10</v>
      </c>
      <c r="E2258" s="20">
        <v>10</v>
      </c>
      <c r="F2258" s="20">
        <v>10</v>
      </c>
      <c r="G2258" s="19">
        <f t="shared" si="171"/>
        <v>172</v>
      </c>
      <c r="H2258" s="22">
        <f t="shared" si="169"/>
        <v>2257</v>
      </c>
      <c r="I2258" s="21">
        <f t="shared" ca="1" si="167"/>
        <v>0</v>
      </c>
      <c r="J2258" s="21" t="str">
        <f ca="1">IF(I2258=0,"",COUNTIF($I$2:I2258,"&gt;0"))</f>
        <v/>
      </c>
      <c r="K2258" s="21" t="str">
        <f t="shared" ca="1" si="170"/>
        <v/>
      </c>
    </row>
    <row r="2259" spans="1:11" s="18" customFormat="1" ht="14.25" x14ac:dyDescent="0.2">
      <c r="A2259" s="18" t="str">
        <f t="shared" si="168"/>
        <v>Eintrag 2258</v>
      </c>
      <c r="B2259" s="18">
        <v>100</v>
      </c>
      <c r="C2259" s="19">
        <v>100</v>
      </c>
      <c r="D2259" s="20">
        <v>10</v>
      </c>
      <c r="E2259" s="20">
        <v>10</v>
      </c>
      <c r="F2259" s="20">
        <v>10</v>
      </c>
      <c r="G2259" s="19">
        <f t="shared" si="171"/>
        <v>172</v>
      </c>
      <c r="H2259" s="22">
        <f t="shared" si="169"/>
        <v>2258</v>
      </c>
      <c r="I2259" s="21">
        <f t="shared" ca="1" si="167"/>
        <v>0</v>
      </c>
      <c r="J2259" s="21" t="str">
        <f ca="1">IF(I2259=0,"",COUNTIF($I$2:I2259,"&gt;0"))</f>
        <v/>
      </c>
      <c r="K2259" s="21" t="str">
        <f t="shared" ca="1" si="170"/>
        <v/>
      </c>
    </row>
    <row r="2260" spans="1:11" s="18" customFormat="1" ht="14.25" x14ac:dyDescent="0.2">
      <c r="A2260" s="18" t="str">
        <f t="shared" si="168"/>
        <v>Eintrag 2259</v>
      </c>
      <c r="B2260" s="18">
        <v>100</v>
      </c>
      <c r="C2260" s="19">
        <v>100</v>
      </c>
      <c r="D2260" s="20">
        <v>10</v>
      </c>
      <c r="E2260" s="20">
        <v>10</v>
      </c>
      <c r="F2260" s="20">
        <v>10</v>
      </c>
      <c r="G2260" s="19">
        <f t="shared" si="171"/>
        <v>172</v>
      </c>
      <c r="H2260" s="22">
        <f t="shared" si="169"/>
        <v>2259</v>
      </c>
      <c r="I2260" s="21">
        <f t="shared" ca="1" si="167"/>
        <v>0</v>
      </c>
      <c r="J2260" s="21" t="str">
        <f ca="1">IF(I2260=0,"",COUNTIF($I$2:I2260,"&gt;0"))</f>
        <v/>
      </c>
      <c r="K2260" s="21" t="str">
        <f t="shared" ca="1" si="170"/>
        <v/>
      </c>
    </row>
    <row r="2261" spans="1:11" s="18" customFormat="1" ht="14.25" x14ac:dyDescent="0.2">
      <c r="A2261" s="18" t="str">
        <f t="shared" si="168"/>
        <v>Eintrag 2260</v>
      </c>
      <c r="B2261" s="18">
        <v>100</v>
      </c>
      <c r="C2261" s="19">
        <v>100</v>
      </c>
      <c r="D2261" s="20">
        <v>10</v>
      </c>
      <c r="E2261" s="20">
        <v>10</v>
      </c>
      <c r="F2261" s="20">
        <v>10</v>
      </c>
      <c r="G2261" s="19">
        <f t="shared" si="171"/>
        <v>172</v>
      </c>
      <c r="H2261" s="22">
        <f t="shared" si="169"/>
        <v>2260</v>
      </c>
      <c r="I2261" s="21">
        <f t="shared" ca="1" si="167"/>
        <v>0</v>
      </c>
      <c r="J2261" s="21" t="str">
        <f ca="1">IF(I2261=0,"",COUNTIF($I$2:I2261,"&gt;0"))</f>
        <v/>
      </c>
      <c r="K2261" s="21" t="str">
        <f t="shared" ca="1" si="170"/>
        <v/>
      </c>
    </row>
    <row r="2262" spans="1:11" s="18" customFormat="1" ht="14.25" x14ac:dyDescent="0.2">
      <c r="A2262" s="18" t="str">
        <f t="shared" si="168"/>
        <v>Eintrag 2261</v>
      </c>
      <c r="B2262" s="18">
        <v>100</v>
      </c>
      <c r="C2262" s="19">
        <v>100</v>
      </c>
      <c r="D2262" s="20">
        <v>10</v>
      </c>
      <c r="E2262" s="20">
        <v>10</v>
      </c>
      <c r="F2262" s="20">
        <v>10</v>
      </c>
      <c r="G2262" s="19">
        <f t="shared" si="171"/>
        <v>172</v>
      </c>
      <c r="H2262" s="22">
        <f t="shared" si="169"/>
        <v>2261</v>
      </c>
      <c r="I2262" s="21">
        <f t="shared" ca="1" si="167"/>
        <v>0</v>
      </c>
      <c r="J2262" s="21" t="str">
        <f ca="1">IF(I2262=0,"",COUNTIF($I$2:I2262,"&gt;0"))</f>
        <v/>
      </c>
      <c r="K2262" s="21" t="str">
        <f t="shared" ca="1" si="170"/>
        <v/>
      </c>
    </row>
    <row r="2263" spans="1:11" s="18" customFormat="1" ht="14.25" x14ac:dyDescent="0.2">
      <c r="A2263" s="18" t="str">
        <f t="shared" si="168"/>
        <v>Eintrag 2262</v>
      </c>
      <c r="B2263" s="18">
        <v>100</v>
      </c>
      <c r="C2263" s="19">
        <v>100</v>
      </c>
      <c r="D2263" s="20">
        <v>10</v>
      </c>
      <c r="E2263" s="20">
        <v>10</v>
      </c>
      <c r="F2263" s="20">
        <v>10</v>
      </c>
      <c r="G2263" s="19">
        <f t="shared" si="171"/>
        <v>172</v>
      </c>
      <c r="H2263" s="22">
        <f t="shared" si="169"/>
        <v>2262</v>
      </c>
      <c r="I2263" s="21">
        <f t="shared" ca="1" si="167"/>
        <v>0</v>
      </c>
      <c r="J2263" s="21" t="str">
        <f ca="1">IF(I2263=0,"",COUNTIF($I$2:I2263,"&gt;0"))</f>
        <v/>
      </c>
      <c r="K2263" s="21" t="str">
        <f t="shared" ca="1" si="170"/>
        <v/>
      </c>
    </row>
    <row r="2264" spans="1:11" s="18" customFormat="1" ht="14.25" x14ac:dyDescent="0.2">
      <c r="A2264" s="18" t="str">
        <f t="shared" si="168"/>
        <v>Eintrag 2263</v>
      </c>
      <c r="B2264" s="18">
        <v>100</v>
      </c>
      <c r="C2264" s="19">
        <v>100</v>
      </c>
      <c r="D2264" s="20">
        <v>10</v>
      </c>
      <c r="E2264" s="20">
        <v>10</v>
      </c>
      <c r="F2264" s="20">
        <v>10</v>
      </c>
      <c r="G2264" s="19">
        <f t="shared" si="171"/>
        <v>172</v>
      </c>
      <c r="H2264" s="22">
        <f t="shared" si="169"/>
        <v>2263</v>
      </c>
      <c r="I2264" s="21">
        <f t="shared" ca="1" si="167"/>
        <v>0</v>
      </c>
      <c r="J2264" s="21" t="str">
        <f ca="1">IF(I2264=0,"",COUNTIF($I$2:I2264,"&gt;0"))</f>
        <v/>
      </c>
      <c r="K2264" s="21" t="str">
        <f t="shared" ca="1" si="170"/>
        <v/>
      </c>
    </row>
    <row r="2265" spans="1:11" s="18" customFormat="1" ht="14.25" x14ac:dyDescent="0.2">
      <c r="A2265" s="18" t="str">
        <f t="shared" si="168"/>
        <v>Eintrag 2264</v>
      </c>
      <c r="B2265" s="18">
        <v>100</v>
      </c>
      <c r="C2265" s="19">
        <v>100</v>
      </c>
      <c r="D2265" s="20">
        <v>10</v>
      </c>
      <c r="E2265" s="20">
        <v>10</v>
      </c>
      <c r="F2265" s="20">
        <v>10</v>
      </c>
      <c r="G2265" s="19">
        <f t="shared" si="171"/>
        <v>172</v>
      </c>
      <c r="H2265" s="22">
        <f t="shared" si="169"/>
        <v>2264</v>
      </c>
      <c r="I2265" s="21">
        <f t="shared" ca="1" si="167"/>
        <v>0</v>
      </c>
      <c r="J2265" s="21" t="str">
        <f ca="1">IF(I2265=0,"",COUNTIF($I$2:I2265,"&gt;0"))</f>
        <v/>
      </c>
      <c r="K2265" s="21" t="str">
        <f t="shared" ca="1" si="170"/>
        <v/>
      </c>
    </row>
    <row r="2266" spans="1:11" s="18" customFormat="1" ht="14.25" x14ac:dyDescent="0.2">
      <c r="A2266" s="18" t="str">
        <f t="shared" si="168"/>
        <v>Eintrag 2265</v>
      </c>
      <c r="B2266" s="18">
        <v>100</v>
      </c>
      <c r="C2266" s="19">
        <v>100</v>
      </c>
      <c r="D2266" s="20">
        <v>10</v>
      </c>
      <c r="E2266" s="20">
        <v>10</v>
      </c>
      <c r="F2266" s="20">
        <v>10</v>
      </c>
      <c r="G2266" s="19">
        <f t="shared" si="171"/>
        <v>172</v>
      </c>
      <c r="H2266" s="22">
        <f t="shared" si="169"/>
        <v>2265</v>
      </c>
      <c r="I2266" s="21">
        <f t="shared" ca="1" si="167"/>
        <v>0</v>
      </c>
      <c r="J2266" s="21" t="str">
        <f ca="1">IF(I2266=0,"",COUNTIF($I$2:I2266,"&gt;0"))</f>
        <v/>
      </c>
      <c r="K2266" s="21" t="str">
        <f t="shared" ca="1" si="170"/>
        <v/>
      </c>
    </row>
    <row r="2267" spans="1:11" s="18" customFormat="1" ht="14.25" x14ac:dyDescent="0.2">
      <c r="A2267" s="18" t="str">
        <f t="shared" si="168"/>
        <v>Eintrag 2266</v>
      </c>
      <c r="B2267" s="18">
        <v>100</v>
      </c>
      <c r="C2267" s="19">
        <v>100</v>
      </c>
      <c r="D2267" s="20">
        <v>10</v>
      </c>
      <c r="E2267" s="20">
        <v>10</v>
      </c>
      <c r="F2267" s="20">
        <v>10</v>
      </c>
      <c r="G2267" s="19">
        <f t="shared" si="171"/>
        <v>172</v>
      </c>
      <c r="H2267" s="22">
        <f t="shared" si="169"/>
        <v>2266</v>
      </c>
      <c r="I2267" s="21">
        <f t="shared" ca="1" si="167"/>
        <v>0</v>
      </c>
      <c r="J2267" s="21" t="str">
        <f ca="1">IF(I2267=0,"",COUNTIF($I$2:I2267,"&gt;0"))</f>
        <v/>
      </c>
      <c r="K2267" s="21" t="str">
        <f t="shared" ca="1" si="170"/>
        <v/>
      </c>
    </row>
    <row r="2268" spans="1:11" s="18" customFormat="1" ht="14.25" x14ac:dyDescent="0.2">
      <c r="A2268" s="18" t="str">
        <f t="shared" si="168"/>
        <v>Eintrag 2267</v>
      </c>
      <c r="B2268" s="18">
        <v>100</v>
      </c>
      <c r="C2268" s="19">
        <v>100</v>
      </c>
      <c r="D2268" s="20">
        <v>10</v>
      </c>
      <c r="E2268" s="20">
        <v>10</v>
      </c>
      <c r="F2268" s="20">
        <v>10</v>
      </c>
      <c r="G2268" s="19">
        <f t="shared" si="171"/>
        <v>172</v>
      </c>
      <c r="H2268" s="22">
        <f t="shared" si="169"/>
        <v>2267</v>
      </c>
      <c r="I2268" s="21">
        <f t="shared" ca="1" si="167"/>
        <v>0</v>
      </c>
      <c r="J2268" s="21" t="str">
        <f ca="1">IF(I2268=0,"",COUNTIF($I$2:I2268,"&gt;0"))</f>
        <v/>
      </c>
      <c r="K2268" s="21" t="str">
        <f t="shared" ca="1" si="170"/>
        <v/>
      </c>
    </row>
    <row r="2269" spans="1:11" s="18" customFormat="1" ht="14.25" x14ac:dyDescent="0.2">
      <c r="A2269" s="18" t="str">
        <f t="shared" si="168"/>
        <v>Eintrag 2268</v>
      </c>
      <c r="B2269" s="18">
        <v>100</v>
      </c>
      <c r="C2269" s="19">
        <v>100</v>
      </c>
      <c r="D2269" s="20">
        <v>10</v>
      </c>
      <c r="E2269" s="20">
        <v>10</v>
      </c>
      <c r="F2269" s="20">
        <v>10</v>
      </c>
      <c r="G2269" s="19">
        <f t="shared" si="171"/>
        <v>172</v>
      </c>
      <c r="H2269" s="22">
        <f t="shared" si="169"/>
        <v>2268</v>
      </c>
      <c r="I2269" s="21">
        <f t="shared" ca="1" si="167"/>
        <v>0</v>
      </c>
      <c r="J2269" s="21" t="str">
        <f ca="1">IF(I2269=0,"",COUNTIF($I$2:I2269,"&gt;0"))</f>
        <v/>
      </c>
      <c r="K2269" s="21" t="str">
        <f t="shared" ca="1" si="170"/>
        <v/>
      </c>
    </row>
    <row r="2270" spans="1:11" s="18" customFormat="1" ht="14.25" x14ac:dyDescent="0.2">
      <c r="A2270" s="18" t="str">
        <f t="shared" si="168"/>
        <v>Eintrag 2269</v>
      </c>
      <c r="B2270" s="18">
        <v>100</v>
      </c>
      <c r="C2270" s="19">
        <v>100</v>
      </c>
      <c r="D2270" s="20">
        <v>10</v>
      </c>
      <c r="E2270" s="20">
        <v>10</v>
      </c>
      <c r="F2270" s="20">
        <v>10</v>
      </c>
      <c r="G2270" s="19">
        <f t="shared" si="171"/>
        <v>172</v>
      </c>
      <c r="H2270" s="22">
        <f t="shared" si="169"/>
        <v>2269</v>
      </c>
      <c r="I2270" s="21">
        <f t="shared" ca="1" si="167"/>
        <v>0</v>
      </c>
      <c r="J2270" s="21" t="str">
        <f ca="1">IF(I2270=0,"",COUNTIF($I$2:I2270,"&gt;0"))</f>
        <v/>
      </c>
      <c r="K2270" s="21" t="str">
        <f t="shared" ca="1" si="170"/>
        <v/>
      </c>
    </row>
    <row r="2271" spans="1:11" s="18" customFormat="1" ht="14.25" x14ac:dyDescent="0.2">
      <c r="A2271" s="18" t="str">
        <f t="shared" si="168"/>
        <v>Eintrag 2270</v>
      </c>
      <c r="B2271" s="18">
        <v>100</v>
      </c>
      <c r="C2271" s="19">
        <v>100</v>
      </c>
      <c r="D2271" s="20">
        <v>10</v>
      </c>
      <c r="E2271" s="20">
        <v>10</v>
      </c>
      <c r="F2271" s="20">
        <v>10</v>
      </c>
      <c r="G2271" s="19">
        <f t="shared" si="171"/>
        <v>172</v>
      </c>
      <c r="H2271" s="22">
        <f t="shared" si="169"/>
        <v>2270</v>
      </c>
      <c r="I2271" s="21">
        <f t="shared" ca="1" si="167"/>
        <v>0</v>
      </c>
      <c r="J2271" s="21" t="str">
        <f ca="1">IF(I2271=0,"",COUNTIF($I$2:I2271,"&gt;0"))</f>
        <v/>
      </c>
      <c r="K2271" s="21" t="str">
        <f t="shared" ca="1" si="170"/>
        <v/>
      </c>
    </row>
    <row r="2272" spans="1:11" s="18" customFormat="1" ht="14.25" x14ac:dyDescent="0.2">
      <c r="A2272" s="18" t="str">
        <f t="shared" si="168"/>
        <v>Eintrag 2271</v>
      </c>
      <c r="B2272" s="18">
        <v>100</v>
      </c>
      <c r="C2272" s="19">
        <v>100</v>
      </c>
      <c r="D2272" s="20">
        <v>10</v>
      </c>
      <c r="E2272" s="20">
        <v>10</v>
      </c>
      <c r="F2272" s="20">
        <v>10</v>
      </c>
      <c r="G2272" s="19">
        <f t="shared" si="171"/>
        <v>172</v>
      </c>
      <c r="H2272" s="22">
        <f t="shared" si="169"/>
        <v>2271</v>
      </c>
      <c r="I2272" s="21">
        <f t="shared" ca="1" si="167"/>
        <v>0</v>
      </c>
      <c r="J2272" s="21" t="str">
        <f ca="1">IF(I2272=0,"",COUNTIF($I$2:I2272,"&gt;0"))</f>
        <v/>
      </c>
      <c r="K2272" s="21" t="str">
        <f t="shared" ca="1" si="170"/>
        <v/>
      </c>
    </row>
    <row r="2273" spans="1:11" s="18" customFormat="1" ht="14.25" x14ac:dyDescent="0.2">
      <c r="A2273" s="18" t="str">
        <f t="shared" si="168"/>
        <v>Eintrag 2272</v>
      </c>
      <c r="B2273" s="18">
        <v>100</v>
      </c>
      <c r="C2273" s="19">
        <v>100</v>
      </c>
      <c r="D2273" s="20">
        <v>10</v>
      </c>
      <c r="E2273" s="20">
        <v>10</v>
      </c>
      <c r="F2273" s="20">
        <v>10</v>
      </c>
      <c r="G2273" s="19">
        <f t="shared" si="171"/>
        <v>172</v>
      </c>
      <c r="H2273" s="22">
        <f t="shared" si="169"/>
        <v>2272</v>
      </c>
      <c r="I2273" s="21">
        <f t="shared" ca="1" si="167"/>
        <v>0</v>
      </c>
      <c r="J2273" s="21" t="str">
        <f ca="1">IF(I2273=0,"",COUNTIF($I$2:I2273,"&gt;0"))</f>
        <v/>
      </c>
      <c r="K2273" s="21" t="str">
        <f t="shared" ca="1" si="170"/>
        <v/>
      </c>
    </row>
    <row r="2274" spans="1:11" s="18" customFormat="1" ht="14.25" x14ac:dyDescent="0.2">
      <c r="A2274" s="18" t="str">
        <f t="shared" si="168"/>
        <v>Eintrag 2273</v>
      </c>
      <c r="B2274" s="18">
        <v>100</v>
      </c>
      <c r="C2274" s="19">
        <v>100</v>
      </c>
      <c r="D2274" s="20">
        <v>10</v>
      </c>
      <c r="E2274" s="20">
        <v>10</v>
      </c>
      <c r="F2274" s="20">
        <v>10</v>
      </c>
      <c r="G2274" s="19">
        <f t="shared" si="171"/>
        <v>172</v>
      </c>
      <c r="H2274" s="22">
        <f t="shared" si="169"/>
        <v>2273</v>
      </c>
      <c r="I2274" s="21">
        <f t="shared" ca="1" si="167"/>
        <v>0</v>
      </c>
      <c r="J2274" s="21" t="str">
        <f ca="1">IF(I2274=0,"",COUNTIF($I$2:I2274,"&gt;0"))</f>
        <v/>
      </c>
      <c r="K2274" s="21" t="str">
        <f t="shared" ca="1" si="170"/>
        <v/>
      </c>
    </row>
    <row r="2275" spans="1:11" s="18" customFormat="1" ht="14.25" x14ac:dyDescent="0.2">
      <c r="A2275" s="18" t="str">
        <f t="shared" si="168"/>
        <v>Eintrag 2274</v>
      </c>
      <c r="B2275" s="18">
        <v>100</v>
      </c>
      <c r="C2275" s="19">
        <v>100</v>
      </c>
      <c r="D2275" s="20">
        <v>10</v>
      </c>
      <c r="E2275" s="20">
        <v>10</v>
      </c>
      <c r="F2275" s="20">
        <v>10</v>
      </c>
      <c r="G2275" s="19">
        <f t="shared" si="171"/>
        <v>172</v>
      </c>
      <c r="H2275" s="22">
        <f t="shared" si="169"/>
        <v>2274</v>
      </c>
      <c r="I2275" s="21">
        <f t="shared" ca="1" si="167"/>
        <v>0</v>
      </c>
      <c r="J2275" s="21" t="str">
        <f ca="1">IF(I2275=0,"",COUNTIF($I$2:I2275,"&gt;0"))</f>
        <v/>
      </c>
      <c r="K2275" s="21" t="str">
        <f t="shared" ca="1" si="170"/>
        <v/>
      </c>
    </row>
    <row r="2276" spans="1:11" s="18" customFormat="1" ht="14.25" x14ac:dyDescent="0.2">
      <c r="A2276" s="18" t="str">
        <f t="shared" si="168"/>
        <v>Eintrag 2275</v>
      </c>
      <c r="B2276" s="18">
        <v>100</v>
      </c>
      <c r="C2276" s="19">
        <v>100</v>
      </c>
      <c r="D2276" s="20">
        <v>10</v>
      </c>
      <c r="E2276" s="20">
        <v>10</v>
      </c>
      <c r="F2276" s="20">
        <v>10</v>
      </c>
      <c r="G2276" s="19">
        <f t="shared" si="171"/>
        <v>172</v>
      </c>
      <c r="H2276" s="22">
        <f t="shared" si="169"/>
        <v>2275</v>
      </c>
      <c r="I2276" s="21">
        <f t="shared" ca="1" si="167"/>
        <v>0</v>
      </c>
      <c r="J2276" s="21" t="str">
        <f ca="1">IF(I2276=0,"",COUNTIF($I$2:I2276,"&gt;0"))</f>
        <v/>
      </c>
      <c r="K2276" s="21" t="str">
        <f t="shared" ca="1" si="170"/>
        <v/>
      </c>
    </row>
    <row r="2277" spans="1:11" s="18" customFormat="1" ht="14.25" x14ac:dyDescent="0.2">
      <c r="A2277" s="18" t="str">
        <f t="shared" si="168"/>
        <v>Eintrag 2276</v>
      </c>
      <c r="B2277" s="18">
        <v>100</v>
      </c>
      <c r="C2277" s="19">
        <v>100</v>
      </c>
      <c r="D2277" s="20">
        <v>10</v>
      </c>
      <c r="E2277" s="20">
        <v>10</v>
      </c>
      <c r="F2277" s="20">
        <v>10</v>
      </c>
      <c r="G2277" s="19">
        <f t="shared" si="171"/>
        <v>172</v>
      </c>
      <c r="H2277" s="22">
        <f t="shared" ref="H2277:H2340" si="172">H2276+1</f>
        <v>2276</v>
      </c>
      <c r="I2277" s="21">
        <f t="shared" ca="1" si="167"/>
        <v>0</v>
      </c>
      <c r="J2277" s="21" t="str">
        <f ca="1">IF(I2277=0,"",COUNTIF($I$2:I2277,"&gt;0"))</f>
        <v/>
      </c>
      <c r="K2277" s="21" t="str">
        <f t="shared" ca="1" si="170"/>
        <v/>
      </c>
    </row>
    <row r="2278" spans="1:11" s="18" customFormat="1" ht="14.25" x14ac:dyDescent="0.2">
      <c r="A2278" s="18" t="str">
        <f t="shared" si="168"/>
        <v>Eintrag 2277</v>
      </c>
      <c r="B2278" s="18">
        <v>100</v>
      </c>
      <c r="C2278" s="19">
        <v>100</v>
      </c>
      <c r="D2278" s="20">
        <v>10</v>
      </c>
      <c r="E2278" s="20">
        <v>10</v>
      </c>
      <c r="F2278" s="20">
        <v>10</v>
      </c>
      <c r="G2278" s="19">
        <f t="shared" si="171"/>
        <v>172</v>
      </c>
      <c r="H2278" s="22">
        <f t="shared" si="172"/>
        <v>2277</v>
      </c>
      <c r="I2278" s="21">
        <f t="shared" ca="1" si="167"/>
        <v>0</v>
      </c>
      <c r="J2278" s="21" t="str">
        <f ca="1">IF(I2278=0,"",COUNTIF($I$2:I2278,"&gt;0"))</f>
        <v/>
      </c>
      <c r="K2278" s="21" t="str">
        <f t="shared" ca="1" si="170"/>
        <v/>
      </c>
    </row>
    <row r="2279" spans="1:11" s="18" customFormat="1" ht="14.25" x14ac:dyDescent="0.2">
      <c r="A2279" s="18" t="str">
        <f t="shared" si="168"/>
        <v>Eintrag 2278</v>
      </c>
      <c r="B2279" s="18">
        <v>100</v>
      </c>
      <c r="C2279" s="19">
        <v>100</v>
      </c>
      <c r="D2279" s="20">
        <v>10</v>
      </c>
      <c r="E2279" s="20">
        <v>10</v>
      </c>
      <c r="F2279" s="20">
        <v>10</v>
      </c>
      <c r="G2279" s="19">
        <f t="shared" si="171"/>
        <v>172</v>
      </c>
      <c r="H2279" s="22">
        <f t="shared" si="172"/>
        <v>2278</v>
      </c>
      <c r="I2279" s="21">
        <f t="shared" ca="1" si="167"/>
        <v>0</v>
      </c>
      <c r="J2279" s="21" t="str">
        <f ca="1">IF(I2279=0,"",COUNTIF($I$2:I2279,"&gt;0"))</f>
        <v/>
      </c>
      <c r="K2279" s="21" t="str">
        <f t="shared" ca="1" si="170"/>
        <v/>
      </c>
    </row>
    <row r="2280" spans="1:11" s="18" customFormat="1" ht="14.25" x14ac:dyDescent="0.2">
      <c r="A2280" s="18" t="str">
        <f t="shared" si="168"/>
        <v>Eintrag 2279</v>
      </c>
      <c r="B2280" s="18">
        <v>100</v>
      </c>
      <c r="C2280" s="19">
        <v>100</v>
      </c>
      <c r="D2280" s="20">
        <v>10</v>
      </c>
      <c r="E2280" s="20">
        <v>10</v>
      </c>
      <c r="F2280" s="20">
        <v>10</v>
      </c>
      <c r="G2280" s="19">
        <f t="shared" si="171"/>
        <v>172</v>
      </c>
      <c r="H2280" s="22">
        <f t="shared" si="172"/>
        <v>2279</v>
      </c>
      <c r="I2280" s="21">
        <f t="shared" ca="1" si="167"/>
        <v>0</v>
      </c>
      <c r="J2280" s="21" t="str">
        <f ca="1">IF(I2280=0,"",COUNTIF($I$2:I2280,"&gt;0"))</f>
        <v/>
      </c>
      <c r="K2280" s="21" t="str">
        <f t="shared" ca="1" si="170"/>
        <v/>
      </c>
    </row>
    <row r="2281" spans="1:11" s="18" customFormat="1" ht="14.25" x14ac:dyDescent="0.2">
      <c r="A2281" s="18" t="str">
        <f t="shared" si="168"/>
        <v>Eintrag 2280</v>
      </c>
      <c r="B2281" s="18">
        <v>100</v>
      </c>
      <c r="C2281" s="19">
        <v>100</v>
      </c>
      <c r="D2281" s="20">
        <v>10</v>
      </c>
      <c r="E2281" s="20">
        <v>10</v>
      </c>
      <c r="F2281" s="20">
        <v>10</v>
      </c>
      <c r="G2281" s="19">
        <f t="shared" si="171"/>
        <v>172</v>
      </c>
      <c r="H2281" s="22">
        <f t="shared" si="172"/>
        <v>2280</v>
      </c>
      <c r="I2281" s="21">
        <f t="shared" ca="1" si="167"/>
        <v>0</v>
      </c>
      <c r="J2281" s="21" t="str">
        <f ca="1">IF(I2281=0,"",COUNTIF($I$2:I2281,"&gt;0"))</f>
        <v/>
      </c>
      <c r="K2281" s="21" t="str">
        <f t="shared" ca="1" si="170"/>
        <v/>
      </c>
    </row>
    <row r="2282" spans="1:11" s="18" customFormat="1" ht="14.25" x14ac:dyDescent="0.2">
      <c r="A2282" s="18" t="str">
        <f t="shared" si="168"/>
        <v>Eintrag 2281</v>
      </c>
      <c r="B2282" s="18">
        <v>100</v>
      </c>
      <c r="C2282" s="19">
        <v>100</v>
      </c>
      <c r="D2282" s="20">
        <v>10</v>
      </c>
      <c r="E2282" s="20">
        <v>10</v>
      </c>
      <c r="F2282" s="20">
        <v>10</v>
      </c>
      <c r="G2282" s="19">
        <f t="shared" si="171"/>
        <v>172</v>
      </c>
      <c r="H2282" s="22">
        <f t="shared" si="172"/>
        <v>2281</v>
      </c>
      <c r="I2282" s="21">
        <f t="shared" ca="1" si="167"/>
        <v>0</v>
      </c>
      <c r="J2282" s="21" t="str">
        <f ca="1">IF(I2282=0,"",COUNTIF($I$2:I2282,"&gt;0"))</f>
        <v/>
      </c>
      <c r="K2282" s="21" t="str">
        <f t="shared" ca="1" si="170"/>
        <v/>
      </c>
    </row>
    <row r="2283" spans="1:11" s="18" customFormat="1" ht="14.25" x14ac:dyDescent="0.2">
      <c r="A2283" s="18" t="str">
        <f t="shared" si="168"/>
        <v>Eintrag 2282</v>
      </c>
      <c r="B2283" s="18">
        <v>100</v>
      </c>
      <c r="C2283" s="19">
        <v>100</v>
      </c>
      <c r="D2283" s="20">
        <v>10</v>
      </c>
      <c r="E2283" s="20">
        <v>10</v>
      </c>
      <c r="F2283" s="20">
        <v>10</v>
      </c>
      <c r="G2283" s="19">
        <f t="shared" si="171"/>
        <v>172</v>
      </c>
      <c r="H2283" s="22">
        <f t="shared" si="172"/>
        <v>2282</v>
      </c>
      <c r="I2283" s="21">
        <f t="shared" ca="1" si="167"/>
        <v>0</v>
      </c>
      <c r="J2283" s="21" t="str">
        <f ca="1">IF(I2283=0,"",COUNTIF($I$2:I2283,"&gt;0"))</f>
        <v/>
      </c>
      <c r="K2283" s="21" t="str">
        <f t="shared" ca="1" si="170"/>
        <v/>
      </c>
    </row>
    <row r="2284" spans="1:11" s="18" customFormat="1" ht="14.25" x14ac:dyDescent="0.2">
      <c r="A2284" s="18" t="str">
        <f t="shared" si="168"/>
        <v>Eintrag 2283</v>
      </c>
      <c r="B2284" s="18">
        <v>100</v>
      </c>
      <c r="C2284" s="19">
        <v>100</v>
      </c>
      <c r="D2284" s="20">
        <v>10</v>
      </c>
      <c r="E2284" s="20">
        <v>10</v>
      </c>
      <c r="F2284" s="20">
        <v>10</v>
      </c>
      <c r="G2284" s="19">
        <f t="shared" si="171"/>
        <v>172</v>
      </c>
      <c r="H2284" s="22">
        <f t="shared" si="172"/>
        <v>2283</v>
      </c>
      <c r="I2284" s="21">
        <f t="shared" ca="1" si="167"/>
        <v>0</v>
      </c>
      <c r="J2284" s="21" t="str">
        <f ca="1">IF(I2284=0,"",COUNTIF($I$2:I2284,"&gt;0"))</f>
        <v/>
      </c>
      <c r="K2284" s="21" t="str">
        <f t="shared" ca="1" si="170"/>
        <v/>
      </c>
    </row>
    <row r="2285" spans="1:11" s="18" customFormat="1" ht="14.25" x14ac:dyDescent="0.2">
      <c r="A2285" s="18" t="str">
        <f t="shared" si="168"/>
        <v>Eintrag 2284</v>
      </c>
      <c r="B2285" s="18">
        <v>100</v>
      </c>
      <c r="C2285" s="19">
        <v>100</v>
      </c>
      <c r="D2285" s="20">
        <v>10</v>
      </c>
      <c r="E2285" s="20">
        <v>10</v>
      </c>
      <c r="F2285" s="20">
        <v>10</v>
      </c>
      <c r="G2285" s="19">
        <f t="shared" si="171"/>
        <v>172</v>
      </c>
      <c r="H2285" s="22">
        <f t="shared" si="172"/>
        <v>2284</v>
      </c>
      <c r="I2285" s="21">
        <f t="shared" ca="1" si="167"/>
        <v>0</v>
      </c>
      <c r="J2285" s="21" t="str">
        <f ca="1">IF(I2285=0,"",COUNTIF($I$2:I2285,"&gt;0"))</f>
        <v/>
      </c>
      <c r="K2285" s="21" t="str">
        <f t="shared" ca="1" si="170"/>
        <v/>
      </c>
    </row>
    <row r="2286" spans="1:11" s="18" customFormat="1" ht="14.25" x14ac:dyDescent="0.2">
      <c r="A2286" s="18" t="str">
        <f t="shared" si="168"/>
        <v>Eintrag 2285</v>
      </c>
      <c r="B2286" s="18">
        <v>100</v>
      </c>
      <c r="C2286" s="19">
        <v>100</v>
      </c>
      <c r="D2286" s="20">
        <v>10</v>
      </c>
      <c r="E2286" s="20">
        <v>10</v>
      </c>
      <c r="F2286" s="20">
        <v>10</v>
      </c>
      <c r="G2286" s="19">
        <f t="shared" si="171"/>
        <v>172</v>
      </c>
      <c r="H2286" s="22">
        <f t="shared" si="172"/>
        <v>2285</v>
      </c>
      <c r="I2286" s="21">
        <f t="shared" ca="1" si="167"/>
        <v>0</v>
      </c>
      <c r="J2286" s="21" t="str">
        <f ca="1">IF(I2286=0,"",COUNTIF($I$2:I2286,"&gt;0"))</f>
        <v/>
      </c>
      <c r="K2286" s="21" t="str">
        <f t="shared" ca="1" si="170"/>
        <v/>
      </c>
    </row>
    <row r="2287" spans="1:11" s="18" customFormat="1" ht="14.25" x14ac:dyDescent="0.2">
      <c r="A2287" s="18" t="str">
        <f t="shared" si="168"/>
        <v>Eintrag 2286</v>
      </c>
      <c r="B2287" s="18">
        <v>100</v>
      </c>
      <c r="C2287" s="19">
        <v>100</v>
      </c>
      <c r="D2287" s="20">
        <v>10</v>
      </c>
      <c r="E2287" s="20">
        <v>10</v>
      </c>
      <c r="F2287" s="20">
        <v>10</v>
      </c>
      <c r="G2287" s="19">
        <f t="shared" si="171"/>
        <v>172</v>
      </c>
      <c r="H2287" s="22">
        <f t="shared" si="172"/>
        <v>2286</v>
      </c>
      <c r="I2287" s="21">
        <f t="shared" ca="1" si="167"/>
        <v>0</v>
      </c>
      <c r="J2287" s="21" t="str">
        <f ca="1">IF(I2287=0,"",COUNTIF($I$2:I2287,"&gt;0"))</f>
        <v/>
      </c>
      <c r="K2287" s="21" t="str">
        <f t="shared" ca="1" si="170"/>
        <v/>
      </c>
    </row>
    <row r="2288" spans="1:11" s="18" customFormat="1" ht="14.25" x14ac:dyDescent="0.2">
      <c r="A2288" s="18" t="str">
        <f t="shared" si="168"/>
        <v>Eintrag 2287</v>
      </c>
      <c r="B2288" s="18">
        <v>100</v>
      </c>
      <c r="C2288" s="19">
        <v>100</v>
      </c>
      <c r="D2288" s="20">
        <v>10</v>
      </c>
      <c r="E2288" s="20">
        <v>10</v>
      </c>
      <c r="F2288" s="20">
        <v>10</v>
      </c>
      <c r="G2288" s="19">
        <f t="shared" si="171"/>
        <v>172</v>
      </c>
      <c r="H2288" s="22">
        <f t="shared" si="172"/>
        <v>2287</v>
      </c>
      <c r="I2288" s="21">
        <f t="shared" ca="1" si="167"/>
        <v>0</v>
      </c>
      <c r="J2288" s="21" t="str">
        <f ca="1">IF(I2288=0,"",COUNTIF($I$2:I2288,"&gt;0"))</f>
        <v/>
      </c>
      <c r="K2288" s="21" t="str">
        <f t="shared" ca="1" si="170"/>
        <v/>
      </c>
    </row>
    <row r="2289" spans="1:11" s="18" customFormat="1" ht="14.25" x14ac:dyDescent="0.2">
      <c r="A2289" s="18" t="str">
        <f t="shared" si="168"/>
        <v>Eintrag 2288</v>
      </c>
      <c r="B2289" s="18">
        <v>100</v>
      </c>
      <c r="C2289" s="19">
        <v>100</v>
      </c>
      <c r="D2289" s="20">
        <v>10</v>
      </c>
      <c r="E2289" s="20">
        <v>10</v>
      </c>
      <c r="F2289" s="20">
        <v>10</v>
      </c>
      <c r="G2289" s="19">
        <f t="shared" si="171"/>
        <v>172</v>
      </c>
      <c r="H2289" s="22">
        <f t="shared" si="172"/>
        <v>2288</v>
      </c>
      <c r="I2289" s="21">
        <f t="shared" ca="1" si="167"/>
        <v>0</v>
      </c>
      <c r="J2289" s="21" t="str">
        <f ca="1">IF(I2289=0,"",COUNTIF($I$2:I2289,"&gt;0"))</f>
        <v/>
      </c>
      <c r="K2289" s="21" t="str">
        <f t="shared" ca="1" si="170"/>
        <v/>
      </c>
    </row>
    <row r="2290" spans="1:11" s="18" customFormat="1" ht="14.25" x14ac:dyDescent="0.2">
      <c r="A2290" s="18" t="str">
        <f t="shared" si="168"/>
        <v>Eintrag 2289</v>
      </c>
      <c r="B2290" s="18">
        <v>100</v>
      </c>
      <c r="C2290" s="19">
        <v>100</v>
      </c>
      <c r="D2290" s="20">
        <v>10</v>
      </c>
      <c r="E2290" s="20">
        <v>10</v>
      </c>
      <c r="F2290" s="20">
        <v>10</v>
      </c>
      <c r="G2290" s="19">
        <f t="shared" si="171"/>
        <v>172</v>
      </c>
      <c r="H2290" s="22">
        <f t="shared" si="172"/>
        <v>2289</v>
      </c>
      <c r="I2290" s="21">
        <f t="shared" ca="1" si="167"/>
        <v>0</v>
      </c>
      <c r="J2290" s="21" t="str">
        <f ca="1">IF(I2290=0,"",COUNTIF($I$2:I2290,"&gt;0"))</f>
        <v/>
      </c>
      <c r="K2290" s="21" t="str">
        <f t="shared" ca="1" si="170"/>
        <v/>
      </c>
    </row>
    <row r="2291" spans="1:11" s="18" customFormat="1" ht="14.25" x14ac:dyDescent="0.2">
      <c r="A2291" s="18" t="str">
        <f t="shared" si="168"/>
        <v>Eintrag 2290</v>
      </c>
      <c r="B2291" s="18">
        <v>100</v>
      </c>
      <c r="C2291" s="19">
        <v>100</v>
      </c>
      <c r="D2291" s="20">
        <v>10</v>
      </c>
      <c r="E2291" s="20">
        <v>10</v>
      </c>
      <c r="F2291" s="20">
        <v>10</v>
      </c>
      <c r="G2291" s="19">
        <f t="shared" si="171"/>
        <v>172</v>
      </c>
      <c r="H2291" s="22">
        <f t="shared" si="172"/>
        <v>2290</v>
      </c>
      <c r="I2291" s="21">
        <f t="shared" ca="1" si="167"/>
        <v>0</v>
      </c>
      <c r="J2291" s="21" t="str">
        <f ca="1">IF(I2291=0,"",COUNTIF($I$2:I2291,"&gt;0"))</f>
        <v/>
      </c>
      <c r="K2291" s="21" t="str">
        <f t="shared" ca="1" si="170"/>
        <v/>
      </c>
    </row>
    <row r="2292" spans="1:11" s="18" customFormat="1" ht="14.25" x14ac:dyDescent="0.2">
      <c r="A2292" s="18" t="str">
        <f t="shared" si="168"/>
        <v>Eintrag 2291</v>
      </c>
      <c r="B2292" s="18">
        <v>100</v>
      </c>
      <c r="C2292" s="19">
        <v>100</v>
      </c>
      <c r="D2292" s="20">
        <v>10</v>
      </c>
      <c r="E2292" s="20">
        <v>10</v>
      </c>
      <c r="F2292" s="20">
        <v>10</v>
      </c>
      <c r="G2292" s="19">
        <f t="shared" si="171"/>
        <v>172</v>
      </c>
      <c r="H2292" s="22">
        <f t="shared" si="172"/>
        <v>2291</v>
      </c>
      <c r="I2292" s="21">
        <f t="shared" ca="1" si="167"/>
        <v>0</v>
      </c>
      <c r="J2292" s="21" t="str">
        <f ca="1">IF(I2292=0,"",COUNTIF($I$2:I2292,"&gt;0"))</f>
        <v/>
      </c>
      <c r="K2292" s="21" t="str">
        <f t="shared" ca="1" si="170"/>
        <v/>
      </c>
    </row>
    <row r="2293" spans="1:11" s="18" customFormat="1" ht="14.25" x14ac:dyDescent="0.2">
      <c r="A2293" s="18" t="str">
        <f t="shared" si="168"/>
        <v>Eintrag 2292</v>
      </c>
      <c r="B2293" s="18">
        <v>100</v>
      </c>
      <c r="C2293" s="19">
        <v>100</v>
      </c>
      <c r="D2293" s="20">
        <v>10</v>
      </c>
      <c r="E2293" s="20">
        <v>10</v>
      </c>
      <c r="F2293" s="20">
        <v>10</v>
      </c>
      <c r="G2293" s="19">
        <f t="shared" si="171"/>
        <v>172</v>
      </c>
      <c r="H2293" s="22">
        <f t="shared" si="172"/>
        <v>2292</v>
      </c>
      <c r="I2293" s="21">
        <f t="shared" ca="1" si="167"/>
        <v>0</v>
      </c>
      <c r="J2293" s="21" t="str">
        <f ca="1">IF(I2293=0,"",COUNTIF($I$2:I2293,"&gt;0"))</f>
        <v/>
      </c>
      <c r="K2293" s="21" t="str">
        <f t="shared" ca="1" si="170"/>
        <v/>
      </c>
    </row>
    <row r="2294" spans="1:11" s="18" customFormat="1" ht="14.25" x14ac:dyDescent="0.2">
      <c r="A2294" s="18" t="str">
        <f t="shared" si="168"/>
        <v>Eintrag 2293</v>
      </c>
      <c r="B2294" s="18">
        <v>100</v>
      </c>
      <c r="C2294" s="19">
        <v>100</v>
      </c>
      <c r="D2294" s="20">
        <v>10</v>
      </c>
      <c r="E2294" s="20">
        <v>10</v>
      </c>
      <c r="F2294" s="20">
        <v>10</v>
      </c>
      <c r="G2294" s="19">
        <f t="shared" si="171"/>
        <v>172</v>
      </c>
      <c r="H2294" s="22">
        <f t="shared" si="172"/>
        <v>2293</v>
      </c>
      <c r="I2294" s="21">
        <f t="shared" ca="1" si="167"/>
        <v>0</v>
      </c>
      <c r="J2294" s="21" t="str">
        <f ca="1">IF(I2294=0,"",COUNTIF($I$2:I2294,"&gt;0"))</f>
        <v/>
      </c>
      <c r="K2294" s="21" t="str">
        <f t="shared" ca="1" si="170"/>
        <v/>
      </c>
    </row>
    <row r="2295" spans="1:11" s="18" customFormat="1" ht="14.25" x14ac:dyDescent="0.2">
      <c r="A2295" s="18" t="str">
        <f t="shared" si="168"/>
        <v>Eintrag 2294</v>
      </c>
      <c r="B2295" s="18">
        <v>100</v>
      </c>
      <c r="C2295" s="19">
        <v>100</v>
      </c>
      <c r="D2295" s="20">
        <v>10</v>
      </c>
      <c r="E2295" s="20">
        <v>10</v>
      </c>
      <c r="F2295" s="20">
        <v>10</v>
      </c>
      <c r="G2295" s="19">
        <f t="shared" si="171"/>
        <v>172</v>
      </c>
      <c r="H2295" s="22">
        <f t="shared" si="172"/>
        <v>2294</v>
      </c>
      <c r="I2295" s="21">
        <f t="shared" ca="1" si="167"/>
        <v>0</v>
      </c>
      <c r="J2295" s="21" t="str">
        <f ca="1">IF(I2295=0,"",COUNTIF($I$2:I2295,"&gt;0"))</f>
        <v/>
      </c>
      <c r="K2295" s="21" t="str">
        <f t="shared" ca="1" si="170"/>
        <v/>
      </c>
    </row>
    <row r="2296" spans="1:11" s="18" customFormat="1" ht="14.25" x14ac:dyDescent="0.2">
      <c r="A2296" s="18" t="str">
        <f t="shared" si="168"/>
        <v>Eintrag 2295</v>
      </c>
      <c r="B2296" s="18">
        <v>100</v>
      </c>
      <c r="C2296" s="19">
        <v>100</v>
      </c>
      <c r="D2296" s="20">
        <v>10</v>
      </c>
      <c r="E2296" s="20">
        <v>10</v>
      </c>
      <c r="F2296" s="20">
        <v>10</v>
      </c>
      <c r="G2296" s="19">
        <f t="shared" si="171"/>
        <v>172</v>
      </c>
      <c r="H2296" s="22">
        <f t="shared" si="172"/>
        <v>2295</v>
      </c>
      <c r="I2296" s="21">
        <f t="shared" ca="1" si="167"/>
        <v>0</v>
      </c>
      <c r="J2296" s="21" t="str">
        <f ca="1">IF(I2296=0,"",COUNTIF($I$2:I2296,"&gt;0"))</f>
        <v/>
      </c>
      <c r="K2296" s="21" t="str">
        <f t="shared" ca="1" si="170"/>
        <v/>
      </c>
    </row>
    <row r="2297" spans="1:11" s="18" customFormat="1" ht="14.25" x14ac:dyDescent="0.2">
      <c r="A2297" s="18" t="str">
        <f t="shared" si="168"/>
        <v>Eintrag 2296</v>
      </c>
      <c r="B2297" s="18">
        <v>100</v>
      </c>
      <c r="C2297" s="19">
        <v>100</v>
      </c>
      <c r="D2297" s="20">
        <v>10</v>
      </c>
      <c r="E2297" s="20">
        <v>10</v>
      </c>
      <c r="F2297" s="20">
        <v>10</v>
      </c>
      <c r="G2297" s="19">
        <f t="shared" si="171"/>
        <v>172</v>
      </c>
      <c r="H2297" s="22">
        <f t="shared" si="172"/>
        <v>2296</v>
      </c>
      <c r="I2297" s="21">
        <f t="shared" ca="1" si="167"/>
        <v>0</v>
      </c>
      <c r="J2297" s="21" t="str">
        <f ca="1">IF(I2297=0,"",COUNTIF($I$2:I2297,"&gt;0"))</f>
        <v/>
      </c>
      <c r="K2297" s="21" t="str">
        <f t="shared" ca="1" si="170"/>
        <v/>
      </c>
    </row>
    <row r="2298" spans="1:11" s="18" customFormat="1" ht="14.25" x14ac:dyDescent="0.2">
      <c r="A2298" s="18" t="str">
        <f t="shared" si="168"/>
        <v>Eintrag 2297</v>
      </c>
      <c r="B2298" s="18">
        <v>100</v>
      </c>
      <c r="C2298" s="19">
        <v>100</v>
      </c>
      <c r="D2298" s="20">
        <v>10</v>
      </c>
      <c r="E2298" s="20">
        <v>10</v>
      </c>
      <c r="F2298" s="20">
        <v>10</v>
      </c>
      <c r="G2298" s="19">
        <f t="shared" si="171"/>
        <v>172</v>
      </c>
      <c r="H2298" s="22">
        <f t="shared" si="172"/>
        <v>2297</v>
      </c>
      <c r="I2298" s="21">
        <f t="shared" ca="1" si="167"/>
        <v>0</v>
      </c>
      <c r="J2298" s="21" t="str">
        <f ca="1">IF(I2298=0,"",COUNTIF($I$2:I2298,"&gt;0"))</f>
        <v/>
      </c>
      <c r="K2298" s="21" t="str">
        <f t="shared" ca="1" si="170"/>
        <v/>
      </c>
    </row>
    <row r="2299" spans="1:11" s="18" customFormat="1" ht="14.25" x14ac:dyDescent="0.2">
      <c r="A2299" s="18" t="str">
        <f t="shared" si="168"/>
        <v>Eintrag 2298</v>
      </c>
      <c r="B2299" s="18">
        <v>100</v>
      </c>
      <c r="C2299" s="19">
        <v>100</v>
      </c>
      <c r="D2299" s="20">
        <v>10</v>
      </c>
      <c r="E2299" s="20">
        <v>10</v>
      </c>
      <c r="F2299" s="20">
        <v>10</v>
      </c>
      <c r="G2299" s="19">
        <f t="shared" si="171"/>
        <v>172</v>
      </c>
      <c r="H2299" s="22">
        <f t="shared" si="172"/>
        <v>2298</v>
      </c>
      <c r="I2299" s="21">
        <f t="shared" ca="1" si="167"/>
        <v>0</v>
      </c>
      <c r="J2299" s="21" t="str">
        <f ca="1">IF(I2299=0,"",COUNTIF($I$2:I2299,"&gt;0"))</f>
        <v/>
      </c>
      <c r="K2299" s="21" t="str">
        <f t="shared" ca="1" si="170"/>
        <v/>
      </c>
    </row>
    <row r="2300" spans="1:11" s="18" customFormat="1" ht="14.25" x14ac:dyDescent="0.2">
      <c r="A2300" s="18" t="str">
        <f t="shared" si="168"/>
        <v>Eintrag 2299</v>
      </c>
      <c r="B2300" s="18">
        <v>100</v>
      </c>
      <c r="C2300" s="19">
        <v>100</v>
      </c>
      <c r="D2300" s="20">
        <v>10</v>
      </c>
      <c r="E2300" s="20">
        <v>10</v>
      </c>
      <c r="F2300" s="20">
        <v>10</v>
      </c>
      <c r="G2300" s="19">
        <f t="shared" si="171"/>
        <v>172</v>
      </c>
      <c r="H2300" s="22">
        <f t="shared" si="172"/>
        <v>2299</v>
      </c>
      <c r="I2300" s="21">
        <f t="shared" ca="1" si="167"/>
        <v>0</v>
      </c>
      <c r="J2300" s="21" t="str">
        <f ca="1">IF(I2300=0,"",COUNTIF($I$2:I2300,"&gt;0"))</f>
        <v/>
      </c>
      <c r="K2300" s="21" t="str">
        <f t="shared" ca="1" si="170"/>
        <v/>
      </c>
    </row>
    <row r="2301" spans="1:11" s="18" customFormat="1" ht="14.25" x14ac:dyDescent="0.2">
      <c r="A2301" s="18" t="str">
        <f t="shared" si="168"/>
        <v>Eintrag 2300</v>
      </c>
      <c r="B2301" s="18">
        <v>100</v>
      </c>
      <c r="C2301" s="19">
        <v>100</v>
      </c>
      <c r="D2301" s="20">
        <v>10</v>
      </c>
      <c r="E2301" s="20">
        <v>10</v>
      </c>
      <c r="F2301" s="20">
        <v>10</v>
      </c>
      <c r="G2301" s="19">
        <f t="shared" si="171"/>
        <v>172</v>
      </c>
      <c r="H2301" s="22">
        <f t="shared" si="172"/>
        <v>2300</v>
      </c>
      <c r="I2301" s="21">
        <f t="shared" ca="1" si="167"/>
        <v>0</v>
      </c>
      <c r="J2301" s="21" t="str">
        <f ca="1">IF(I2301=0,"",COUNTIF($I$2:I2301,"&gt;0"))</f>
        <v/>
      </c>
      <c r="K2301" s="21" t="str">
        <f t="shared" ca="1" si="170"/>
        <v/>
      </c>
    </row>
    <row r="2302" spans="1:11" s="18" customFormat="1" ht="14.25" x14ac:dyDescent="0.2">
      <c r="A2302" s="18" t="str">
        <f t="shared" si="168"/>
        <v>Eintrag 2301</v>
      </c>
      <c r="B2302" s="18">
        <v>100</v>
      </c>
      <c r="C2302" s="19">
        <v>100</v>
      </c>
      <c r="D2302" s="20">
        <v>10</v>
      </c>
      <c r="E2302" s="20">
        <v>10</v>
      </c>
      <c r="F2302" s="20">
        <v>10</v>
      </c>
      <c r="G2302" s="19">
        <f t="shared" si="171"/>
        <v>172</v>
      </c>
      <c r="H2302" s="22">
        <f t="shared" si="172"/>
        <v>2301</v>
      </c>
      <c r="I2302" s="21">
        <f t="shared" ca="1" si="167"/>
        <v>0</v>
      </c>
      <c r="J2302" s="21" t="str">
        <f ca="1">IF(I2302=0,"",COUNTIF($I$2:I2302,"&gt;0"))</f>
        <v/>
      </c>
      <c r="K2302" s="21" t="str">
        <f t="shared" ca="1" si="170"/>
        <v/>
      </c>
    </row>
    <row r="2303" spans="1:11" s="18" customFormat="1" ht="14.25" x14ac:dyDescent="0.2">
      <c r="A2303" s="18" t="str">
        <f t="shared" si="168"/>
        <v>Eintrag 2302</v>
      </c>
      <c r="B2303" s="18">
        <v>100</v>
      </c>
      <c r="C2303" s="19">
        <v>100</v>
      </c>
      <c r="D2303" s="20">
        <v>10</v>
      </c>
      <c r="E2303" s="20">
        <v>10</v>
      </c>
      <c r="F2303" s="20">
        <v>10</v>
      </c>
      <c r="G2303" s="19">
        <f t="shared" si="171"/>
        <v>172</v>
      </c>
      <c r="H2303" s="22">
        <f t="shared" si="172"/>
        <v>2302</v>
      </c>
      <c r="I2303" s="21">
        <f t="shared" ca="1" si="167"/>
        <v>0</v>
      </c>
      <c r="J2303" s="21" t="str">
        <f ca="1">IF(I2303=0,"",COUNTIF($I$2:I2303,"&gt;0"))</f>
        <v/>
      </c>
      <c r="K2303" s="21" t="str">
        <f t="shared" ca="1" si="170"/>
        <v/>
      </c>
    </row>
    <row r="2304" spans="1:11" s="18" customFormat="1" ht="14.25" x14ac:dyDescent="0.2">
      <c r="A2304" s="18" t="str">
        <f t="shared" si="168"/>
        <v>Eintrag 2303</v>
      </c>
      <c r="B2304" s="18">
        <v>100</v>
      </c>
      <c r="C2304" s="19">
        <v>100</v>
      </c>
      <c r="D2304" s="20">
        <v>10</v>
      </c>
      <c r="E2304" s="20">
        <v>10</v>
      </c>
      <c r="F2304" s="20">
        <v>10</v>
      </c>
      <c r="G2304" s="19">
        <f t="shared" si="171"/>
        <v>172</v>
      </c>
      <c r="H2304" s="22">
        <f t="shared" si="172"/>
        <v>2303</v>
      </c>
      <c r="I2304" s="21">
        <f t="shared" ca="1" si="167"/>
        <v>0</v>
      </c>
      <c r="J2304" s="21" t="str">
        <f ca="1">IF(I2304=0,"",COUNTIF($I$2:I2304,"&gt;0"))</f>
        <v/>
      </c>
      <c r="K2304" s="21" t="str">
        <f t="shared" ca="1" si="170"/>
        <v/>
      </c>
    </row>
    <row r="2305" spans="1:11" s="18" customFormat="1" ht="14.25" x14ac:dyDescent="0.2">
      <c r="A2305" s="18" t="str">
        <f t="shared" si="168"/>
        <v>Eintrag 2304</v>
      </c>
      <c r="B2305" s="18">
        <v>100</v>
      </c>
      <c r="C2305" s="19">
        <v>100</v>
      </c>
      <c r="D2305" s="20">
        <v>10</v>
      </c>
      <c r="E2305" s="20">
        <v>10</v>
      </c>
      <c r="F2305" s="20">
        <v>10</v>
      </c>
      <c r="G2305" s="19">
        <f t="shared" si="171"/>
        <v>172</v>
      </c>
      <c r="H2305" s="22">
        <f t="shared" si="172"/>
        <v>2304</v>
      </c>
      <c r="I2305" s="21">
        <f t="shared" ca="1" si="167"/>
        <v>0</v>
      </c>
      <c r="J2305" s="21" t="str">
        <f ca="1">IF(I2305=0,"",COUNTIF($I$2:I2305,"&gt;0"))</f>
        <v/>
      </c>
      <c r="K2305" s="21" t="str">
        <f t="shared" ca="1" si="170"/>
        <v/>
      </c>
    </row>
    <row r="2306" spans="1:11" s="18" customFormat="1" ht="14.25" x14ac:dyDescent="0.2">
      <c r="A2306" s="18" t="str">
        <f t="shared" si="168"/>
        <v>Eintrag 2305</v>
      </c>
      <c r="B2306" s="18">
        <v>100</v>
      </c>
      <c r="C2306" s="19">
        <v>100</v>
      </c>
      <c r="D2306" s="20">
        <v>10</v>
      </c>
      <c r="E2306" s="20">
        <v>10</v>
      </c>
      <c r="F2306" s="20">
        <v>10</v>
      </c>
      <c r="G2306" s="19">
        <f t="shared" si="171"/>
        <v>172</v>
      </c>
      <c r="H2306" s="22">
        <f t="shared" si="172"/>
        <v>2305</v>
      </c>
      <c r="I2306" s="21">
        <f t="shared" ca="1" si="167"/>
        <v>0</v>
      </c>
      <c r="J2306" s="21" t="str">
        <f ca="1">IF(I2306=0,"",COUNTIF($I$2:I2306,"&gt;0"))</f>
        <v/>
      </c>
      <c r="K2306" s="21" t="str">
        <f t="shared" ref="K2306:K2369" ca="1" si="173">IFERROR(INDEX(A:A,MATCH(ROW(I2305),J:J,0)),"")</f>
        <v/>
      </c>
    </row>
    <row r="2307" spans="1:11" s="18" customFormat="1" ht="14.25" x14ac:dyDescent="0.2">
      <c r="A2307" s="18" t="str">
        <f t="shared" si="168"/>
        <v>Eintrag 2306</v>
      </c>
      <c r="B2307" s="18">
        <v>100</v>
      </c>
      <c r="C2307" s="19">
        <v>100</v>
      </c>
      <c r="D2307" s="20">
        <v>10</v>
      </c>
      <c r="E2307" s="20">
        <v>10</v>
      </c>
      <c r="F2307" s="20">
        <v>10</v>
      </c>
      <c r="G2307" s="19">
        <f t="shared" ref="G2307:G2370" si="174">D2307*9+E2307*4.1+F2307*4.1</f>
        <v>172</v>
      </c>
      <c r="H2307" s="22">
        <f t="shared" si="172"/>
        <v>2306</v>
      </c>
      <c r="I2307" s="21">
        <f t="shared" ca="1" si="167"/>
        <v>0</v>
      </c>
      <c r="J2307" s="21" t="str">
        <f ca="1">IF(I2307=0,"",COUNTIF($I$2:I2307,"&gt;0"))</f>
        <v/>
      </c>
      <c r="K2307" s="21" t="str">
        <f t="shared" ca="1" si="173"/>
        <v/>
      </c>
    </row>
    <row r="2308" spans="1:11" s="18" customFormat="1" ht="14.25" x14ac:dyDescent="0.2">
      <c r="A2308" s="18" t="str">
        <f t="shared" si="168"/>
        <v>Eintrag 2307</v>
      </c>
      <c r="B2308" s="18">
        <v>100</v>
      </c>
      <c r="C2308" s="19">
        <v>100</v>
      </c>
      <c r="D2308" s="20">
        <v>10</v>
      </c>
      <c r="E2308" s="20">
        <v>10</v>
      </c>
      <c r="F2308" s="20">
        <v>10</v>
      </c>
      <c r="G2308" s="19">
        <f t="shared" si="174"/>
        <v>172</v>
      </c>
      <c r="H2308" s="22">
        <f t="shared" si="172"/>
        <v>2307</v>
      </c>
      <c r="I2308" s="21">
        <f t="shared" ca="1" si="167"/>
        <v>0</v>
      </c>
      <c r="J2308" s="21" t="str">
        <f ca="1">IF(I2308=0,"",COUNTIF($I$2:I2308,"&gt;0"))</f>
        <v/>
      </c>
      <c r="K2308" s="21" t="str">
        <f t="shared" ca="1" si="173"/>
        <v/>
      </c>
    </row>
    <row r="2309" spans="1:11" s="18" customFormat="1" ht="14.25" x14ac:dyDescent="0.2">
      <c r="A2309" s="18" t="str">
        <f t="shared" si="168"/>
        <v>Eintrag 2308</v>
      </c>
      <c r="B2309" s="18">
        <v>100</v>
      </c>
      <c r="C2309" s="19">
        <v>100</v>
      </c>
      <c r="D2309" s="20">
        <v>10</v>
      </c>
      <c r="E2309" s="20">
        <v>10</v>
      </c>
      <c r="F2309" s="20">
        <v>10</v>
      </c>
      <c r="G2309" s="19">
        <f t="shared" si="174"/>
        <v>172</v>
      </c>
      <c r="H2309" s="22">
        <f t="shared" si="172"/>
        <v>2308</v>
      </c>
      <c r="I2309" s="21">
        <f t="shared" ca="1" si="167"/>
        <v>0</v>
      </c>
      <c r="J2309" s="21" t="str">
        <f ca="1">IF(I2309=0,"",COUNTIF($I$2:I2309,"&gt;0"))</f>
        <v/>
      </c>
      <c r="K2309" s="21" t="str">
        <f t="shared" ca="1" si="173"/>
        <v/>
      </c>
    </row>
    <row r="2310" spans="1:11" s="18" customFormat="1" ht="14.25" x14ac:dyDescent="0.2">
      <c r="A2310" s="18" t="str">
        <f t="shared" si="168"/>
        <v>Eintrag 2309</v>
      </c>
      <c r="B2310" s="18">
        <v>100</v>
      </c>
      <c r="C2310" s="19">
        <v>100</v>
      </c>
      <c r="D2310" s="20">
        <v>10</v>
      </c>
      <c r="E2310" s="20">
        <v>10</v>
      </c>
      <c r="F2310" s="20">
        <v>10</v>
      </c>
      <c r="G2310" s="19">
        <f t="shared" si="174"/>
        <v>172</v>
      </c>
      <c r="H2310" s="22">
        <f t="shared" si="172"/>
        <v>2309</v>
      </c>
      <c r="I2310" s="21">
        <f t="shared" ca="1" si="167"/>
        <v>0</v>
      </c>
      <c r="J2310" s="21" t="str">
        <f ca="1">IF(I2310=0,"",COUNTIF($I$2:I2310,"&gt;0"))</f>
        <v/>
      </c>
      <c r="K2310" s="21" t="str">
        <f t="shared" ca="1" si="173"/>
        <v/>
      </c>
    </row>
    <row r="2311" spans="1:11" s="18" customFormat="1" ht="14.25" x14ac:dyDescent="0.2">
      <c r="A2311" s="18" t="str">
        <f t="shared" si="168"/>
        <v>Eintrag 2310</v>
      </c>
      <c r="B2311" s="18">
        <v>100</v>
      </c>
      <c r="C2311" s="19">
        <v>100</v>
      </c>
      <c r="D2311" s="20">
        <v>10</v>
      </c>
      <c r="E2311" s="20">
        <v>10</v>
      </c>
      <c r="F2311" s="20">
        <v>10</v>
      </c>
      <c r="G2311" s="19">
        <f t="shared" si="174"/>
        <v>172</v>
      </c>
      <c r="H2311" s="22">
        <f t="shared" si="172"/>
        <v>2310</v>
      </c>
      <c r="I2311" s="21">
        <f t="shared" ca="1" si="167"/>
        <v>0</v>
      </c>
      <c r="J2311" s="21" t="str">
        <f ca="1">IF(I2311=0,"",COUNTIF($I$2:I2311,"&gt;0"))</f>
        <v/>
      </c>
      <c r="K2311" s="21" t="str">
        <f t="shared" ca="1" si="173"/>
        <v/>
      </c>
    </row>
    <row r="2312" spans="1:11" s="18" customFormat="1" ht="14.25" x14ac:dyDescent="0.2">
      <c r="A2312" s="18" t="str">
        <f t="shared" si="168"/>
        <v>Eintrag 2311</v>
      </c>
      <c r="B2312" s="18">
        <v>100</v>
      </c>
      <c r="C2312" s="19">
        <v>100</v>
      </c>
      <c r="D2312" s="20">
        <v>10</v>
      </c>
      <c r="E2312" s="20">
        <v>10</v>
      </c>
      <c r="F2312" s="20">
        <v>10</v>
      </c>
      <c r="G2312" s="19">
        <f t="shared" si="174"/>
        <v>172</v>
      </c>
      <c r="H2312" s="22">
        <f t="shared" si="172"/>
        <v>2311</v>
      </c>
      <c r="I2312" s="21">
        <f t="shared" ca="1" si="167"/>
        <v>0</v>
      </c>
      <c r="J2312" s="21" t="str">
        <f ca="1">IF(I2312=0,"",COUNTIF($I$2:I2312,"&gt;0"))</f>
        <v/>
      </c>
      <c r="K2312" s="21" t="str">
        <f t="shared" ca="1" si="173"/>
        <v/>
      </c>
    </row>
    <row r="2313" spans="1:11" s="18" customFormat="1" ht="14.25" x14ac:dyDescent="0.2">
      <c r="A2313" s="18" t="str">
        <f t="shared" si="168"/>
        <v>Eintrag 2312</v>
      </c>
      <c r="B2313" s="18">
        <v>100</v>
      </c>
      <c r="C2313" s="19">
        <v>100</v>
      </c>
      <c r="D2313" s="20">
        <v>10</v>
      </c>
      <c r="E2313" s="20">
        <v>10</v>
      </c>
      <c r="F2313" s="20">
        <v>10</v>
      </c>
      <c r="G2313" s="19">
        <f t="shared" si="174"/>
        <v>172</v>
      </c>
      <c r="H2313" s="22">
        <f t="shared" si="172"/>
        <v>2312</v>
      </c>
      <c r="I2313" s="21">
        <f t="shared" ca="1" si="167"/>
        <v>0</v>
      </c>
      <c r="J2313" s="21" t="str">
        <f ca="1">IF(I2313=0,"",COUNTIF($I$2:I2313,"&gt;0"))</f>
        <v/>
      </c>
      <c r="K2313" s="21" t="str">
        <f t="shared" ca="1" si="173"/>
        <v/>
      </c>
    </row>
    <row r="2314" spans="1:11" s="18" customFormat="1" ht="14.25" x14ac:dyDescent="0.2">
      <c r="A2314" s="18" t="str">
        <f t="shared" si="168"/>
        <v>Eintrag 2313</v>
      </c>
      <c r="B2314" s="18">
        <v>100</v>
      </c>
      <c r="C2314" s="19">
        <v>100</v>
      </c>
      <c r="D2314" s="20">
        <v>10</v>
      </c>
      <c r="E2314" s="20">
        <v>10</v>
      </c>
      <c r="F2314" s="20">
        <v>10</v>
      </c>
      <c r="G2314" s="19">
        <f t="shared" si="174"/>
        <v>172</v>
      </c>
      <c r="H2314" s="22">
        <f t="shared" si="172"/>
        <v>2313</v>
      </c>
      <c r="I2314" s="21">
        <f t="shared" ca="1" si="167"/>
        <v>0</v>
      </c>
      <c r="J2314" s="21" t="str">
        <f ca="1">IF(I2314=0,"",COUNTIF($I$2:I2314,"&gt;0"))</f>
        <v/>
      </c>
      <c r="K2314" s="21" t="str">
        <f t="shared" ca="1" si="173"/>
        <v/>
      </c>
    </row>
    <row r="2315" spans="1:11" s="18" customFormat="1" ht="14.25" x14ac:dyDescent="0.2">
      <c r="A2315" s="18" t="str">
        <f t="shared" si="168"/>
        <v>Eintrag 2314</v>
      </c>
      <c r="B2315" s="18">
        <v>100</v>
      </c>
      <c r="C2315" s="19">
        <v>100</v>
      </c>
      <c r="D2315" s="20">
        <v>10</v>
      </c>
      <c r="E2315" s="20">
        <v>10</v>
      </c>
      <c r="F2315" s="20">
        <v>10</v>
      </c>
      <c r="G2315" s="19">
        <f t="shared" si="174"/>
        <v>172</v>
      </c>
      <c r="H2315" s="22">
        <f t="shared" si="172"/>
        <v>2314</v>
      </c>
      <c r="I2315" s="21">
        <f t="shared" ca="1" si="167"/>
        <v>0</v>
      </c>
      <c r="J2315" s="21" t="str">
        <f ca="1">IF(I2315=0,"",COUNTIF($I$2:I2315,"&gt;0"))</f>
        <v/>
      </c>
      <c r="K2315" s="21" t="str">
        <f t="shared" ca="1" si="173"/>
        <v/>
      </c>
    </row>
    <row r="2316" spans="1:11" s="18" customFormat="1" ht="14.25" x14ac:dyDescent="0.2">
      <c r="A2316" s="18" t="str">
        <f t="shared" si="168"/>
        <v>Eintrag 2315</v>
      </c>
      <c r="B2316" s="18">
        <v>100</v>
      </c>
      <c r="C2316" s="19">
        <v>100</v>
      </c>
      <c r="D2316" s="20">
        <v>10</v>
      </c>
      <c r="E2316" s="20">
        <v>10</v>
      </c>
      <c r="F2316" s="20">
        <v>10</v>
      </c>
      <c r="G2316" s="19">
        <f t="shared" si="174"/>
        <v>172</v>
      </c>
      <c r="H2316" s="22">
        <f t="shared" si="172"/>
        <v>2315</v>
      </c>
      <c r="I2316" s="21">
        <f t="shared" ca="1" si="167"/>
        <v>0</v>
      </c>
      <c r="J2316" s="21" t="str">
        <f ca="1">IF(I2316=0,"",COUNTIF($I$2:I2316,"&gt;0"))</f>
        <v/>
      </c>
      <c r="K2316" s="21" t="str">
        <f t="shared" ca="1" si="173"/>
        <v/>
      </c>
    </row>
    <row r="2317" spans="1:11" s="18" customFormat="1" ht="14.25" x14ac:dyDescent="0.2">
      <c r="A2317" s="18" t="str">
        <f t="shared" si="168"/>
        <v>Eintrag 2316</v>
      </c>
      <c r="B2317" s="18">
        <v>100</v>
      </c>
      <c r="C2317" s="19">
        <v>100</v>
      </c>
      <c r="D2317" s="20">
        <v>10</v>
      </c>
      <c r="E2317" s="20">
        <v>10</v>
      </c>
      <c r="F2317" s="20">
        <v>10</v>
      </c>
      <c r="G2317" s="19">
        <f t="shared" si="174"/>
        <v>172</v>
      </c>
      <c r="H2317" s="22">
        <f t="shared" si="172"/>
        <v>2316</v>
      </c>
      <c r="I2317" s="21">
        <f t="shared" ca="1" si="167"/>
        <v>0</v>
      </c>
      <c r="J2317" s="21" t="str">
        <f ca="1">IF(I2317=0,"",COUNTIF($I$2:I2317,"&gt;0"))</f>
        <v/>
      </c>
      <c r="K2317" s="21" t="str">
        <f t="shared" ca="1" si="173"/>
        <v/>
      </c>
    </row>
    <row r="2318" spans="1:11" s="18" customFormat="1" ht="14.25" x14ac:dyDescent="0.2">
      <c r="A2318" s="18" t="str">
        <f t="shared" si="168"/>
        <v>Eintrag 2317</v>
      </c>
      <c r="B2318" s="18">
        <v>100</v>
      </c>
      <c r="C2318" s="19">
        <v>100</v>
      </c>
      <c r="D2318" s="20">
        <v>10</v>
      </c>
      <c r="E2318" s="20">
        <v>10</v>
      </c>
      <c r="F2318" s="20">
        <v>10</v>
      </c>
      <c r="G2318" s="19">
        <f t="shared" si="174"/>
        <v>172</v>
      </c>
      <c r="H2318" s="22">
        <f t="shared" si="172"/>
        <v>2317</v>
      </c>
      <c r="I2318" s="21">
        <f t="shared" ca="1" si="167"/>
        <v>0</v>
      </c>
      <c r="J2318" s="21" t="str">
        <f ca="1">IF(I2318=0,"",COUNTIF($I$2:I2318,"&gt;0"))</f>
        <v/>
      </c>
      <c r="K2318" s="21" t="str">
        <f t="shared" ca="1" si="173"/>
        <v/>
      </c>
    </row>
    <row r="2319" spans="1:11" s="18" customFormat="1" ht="14.25" x14ac:dyDescent="0.2">
      <c r="A2319" s="18" t="str">
        <f t="shared" si="168"/>
        <v>Eintrag 2318</v>
      </c>
      <c r="B2319" s="18">
        <v>100</v>
      </c>
      <c r="C2319" s="19">
        <v>100</v>
      </c>
      <c r="D2319" s="20">
        <v>10</v>
      </c>
      <c r="E2319" s="20">
        <v>10</v>
      </c>
      <c r="F2319" s="20">
        <v>10</v>
      </c>
      <c r="G2319" s="19">
        <f t="shared" si="174"/>
        <v>172</v>
      </c>
      <c r="H2319" s="22">
        <f t="shared" si="172"/>
        <v>2318</v>
      </c>
      <c r="I2319" s="21">
        <f t="shared" ca="1" si="167"/>
        <v>0</v>
      </c>
      <c r="J2319" s="21" t="str">
        <f ca="1">IF(I2319=0,"",COUNTIF($I$2:I2319,"&gt;0"))</f>
        <v/>
      </c>
      <c r="K2319" s="21" t="str">
        <f t="shared" ca="1" si="173"/>
        <v/>
      </c>
    </row>
    <row r="2320" spans="1:11" s="18" customFormat="1" ht="14.25" x14ac:dyDescent="0.2">
      <c r="A2320" s="18" t="str">
        <f t="shared" si="168"/>
        <v>Eintrag 2319</v>
      </c>
      <c r="B2320" s="18">
        <v>100</v>
      </c>
      <c r="C2320" s="19">
        <v>100</v>
      </c>
      <c r="D2320" s="20">
        <v>10</v>
      </c>
      <c r="E2320" s="20">
        <v>10</v>
      </c>
      <c r="F2320" s="20">
        <v>10</v>
      </c>
      <c r="G2320" s="19">
        <f t="shared" si="174"/>
        <v>172</v>
      </c>
      <c r="H2320" s="22">
        <f t="shared" si="172"/>
        <v>2319</v>
      </c>
      <c r="I2320" s="21">
        <f t="shared" ca="1" si="167"/>
        <v>0</v>
      </c>
      <c r="J2320" s="21" t="str">
        <f ca="1">IF(I2320=0,"",COUNTIF($I$2:I2320,"&gt;0"))</f>
        <v/>
      </c>
      <c r="K2320" s="21" t="str">
        <f t="shared" ca="1" si="173"/>
        <v/>
      </c>
    </row>
    <row r="2321" spans="1:11" s="18" customFormat="1" ht="14.25" x14ac:dyDescent="0.2">
      <c r="A2321" s="18" t="str">
        <f t="shared" si="168"/>
        <v>Eintrag 2320</v>
      </c>
      <c r="B2321" s="18">
        <v>100</v>
      </c>
      <c r="C2321" s="19">
        <v>100</v>
      </c>
      <c r="D2321" s="20">
        <v>10</v>
      </c>
      <c r="E2321" s="20">
        <v>10</v>
      </c>
      <c r="F2321" s="20">
        <v>10</v>
      </c>
      <c r="G2321" s="19">
        <f t="shared" si="174"/>
        <v>172</v>
      </c>
      <c r="H2321" s="22">
        <f t="shared" si="172"/>
        <v>2320</v>
      </c>
      <c r="I2321" s="21">
        <f t="shared" ca="1" si="167"/>
        <v>0</v>
      </c>
      <c r="J2321" s="21" t="str">
        <f ca="1">IF(I2321=0,"",COUNTIF($I$2:I2321,"&gt;0"))</f>
        <v/>
      </c>
      <c r="K2321" s="21" t="str">
        <f t="shared" ca="1" si="173"/>
        <v/>
      </c>
    </row>
    <row r="2322" spans="1:11" s="18" customFormat="1" ht="14.25" x14ac:dyDescent="0.2">
      <c r="A2322" s="18" t="str">
        <f t="shared" si="168"/>
        <v>Eintrag 2321</v>
      </c>
      <c r="B2322" s="18">
        <v>100</v>
      </c>
      <c r="C2322" s="19">
        <v>100</v>
      </c>
      <c r="D2322" s="20">
        <v>10</v>
      </c>
      <c r="E2322" s="20">
        <v>10</v>
      </c>
      <c r="F2322" s="20">
        <v>10</v>
      </c>
      <c r="G2322" s="19">
        <f t="shared" si="174"/>
        <v>172</v>
      </c>
      <c r="H2322" s="22">
        <f t="shared" si="172"/>
        <v>2321</v>
      </c>
      <c r="I2322" s="21">
        <f t="shared" ca="1" si="167"/>
        <v>0</v>
      </c>
      <c r="J2322" s="21" t="str">
        <f ca="1">IF(I2322=0,"",COUNTIF($I$2:I2322,"&gt;0"))</f>
        <v/>
      </c>
      <c r="K2322" s="21" t="str">
        <f t="shared" ca="1" si="173"/>
        <v/>
      </c>
    </row>
    <row r="2323" spans="1:11" s="18" customFormat="1" ht="14.25" x14ac:dyDescent="0.2">
      <c r="A2323" s="18" t="str">
        <f t="shared" si="168"/>
        <v>Eintrag 2322</v>
      </c>
      <c r="B2323" s="18">
        <v>100</v>
      </c>
      <c r="C2323" s="19">
        <v>100</v>
      </c>
      <c r="D2323" s="20">
        <v>10</v>
      </c>
      <c r="E2323" s="20">
        <v>10</v>
      </c>
      <c r="F2323" s="20">
        <v>10</v>
      </c>
      <c r="G2323" s="19">
        <f t="shared" si="174"/>
        <v>172</v>
      </c>
      <c r="H2323" s="22">
        <f t="shared" si="172"/>
        <v>2322</v>
      </c>
      <c r="I2323" s="21">
        <f t="shared" ca="1" si="167"/>
        <v>0</v>
      </c>
      <c r="J2323" s="21" t="str">
        <f ca="1">IF(I2323=0,"",COUNTIF($I$2:I2323,"&gt;0"))</f>
        <v/>
      </c>
      <c r="K2323" s="21" t="str">
        <f t="shared" ca="1" si="173"/>
        <v/>
      </c>
    </row>
    <row r="2324" spans="1:11" s="18" customFormat="1" ht="14.25" x14ac:dyDescent="0.2">
      <c r="A2324" s="18" t="str">
        <f t="shared" si="168"/>
        <v>Eintrag 2323</v>
      </c>
      <c r="B2324" s="18">
        <v>100</v>
      </c>
      <c r="C2324" s="19">
        <v>100</v>
      </c>
      <c r="D2324" s="20">
        <v>10</v>
      </c>
      <c r="E2324" s="20">
        <v>10</v>
      </c>
      <c r="F2324" s="20">
        <v>10</v>
      </c>
      <c r="G2324" s="19">
        <f t="shared" si="174"/>
        <v>172</v>
      </c>
      <c r="H2324" s="22">
        <f t="shared" si="172"/>
        <v>2323</v>
      </c>
      <c r="I2324" s="21">
        <f t="shared" ca="1" si="167"/>
        <v>0</v>
      </c>
      <c r="J2324" s="21" t="str">
        <f ca="1">IF(I2324=0,"",COUNTIF($I$2:I2324,"&gt;0"))</f>
        <v/>
      </c>
      <c r="K2324" s="21" t="str">
        <f t="shared" ca="1" si="173"/>
        <v/>
      </c>
    </row>
    <row r="2325" spans="1:11" s="18" customFormat="1" ht="14.25" x14ac:dyDescent="0.2">
      <c r="A2325" s="18" t="str">
        <f t="shared" si="168"/>
        <v>Eintrag 2324</v>
      </c>
      <c r="B2325" s="18">
        <v>100</v>
      </c>
      <c r="C2325" s="19">
        <v>100</v>
      </c>
      <c r="D2325" s="20">
        <v>10</v>
      </c>
      <c r="E2325" s="20">
        <v>10</v>
      </c>
      <c r="F2325" s="20">
        <v>10</v>
      </c>
      <c r="G2325" s="19">
        <f t="shared" si="174"/>
        <v>172</v>
      </c>
      <c r="H2325" s="22">
        <f t="shared" si="172"/>
        <v>2324</v>
      </c>
      <c r="I2325" s="21">
        <f t="shared" ca="1" si="167"/>
        <v>0</v>
      </c>
      <c r="J2325" s="21" t="str">
        <f ca="1">IF(I2325=0,"",COUNTIF($I$2:I2325,"&gt;0"))</f>
        <v/>
      </c>
      <c r="K2325" s="21" t="str">
        <f t="shared" ca="1" si="173"/>
        <v/>
      </c>
    </row>
    <row r="2326" spans="1:11" s="18" customFormat="1" ht="14.25" x14ac:dyDescent="0.2">
      <c r="A2326" s="18" t="str">
        <f t="shared" si="168"/>
        <v>Eintrag 2325</v>
      </c>
      <c r="B2326" s="18">
        <v>100</v>
      </c>
      <c r="C2326" s="19">
        <v>100</v>
      </c>
      <c r="D2326" s="20">
        <v>10</v>
      </c>
      <c r="E2326" s="20">
        <v>10</v>
      </c>
      <c r="F2326" s="20">
        <v>10</v>
      </c>
      <c r="G2326" s="19">
        <f t="shared" si="174"/>
        <v>172</v>
      </c>
      <c r="H2326" s="22">
        <f t="shared" si="172"/>
        <v>2325</v>
      </c>
      <c r="I2326" s="21">
        <f t="shared" ca="1" si="167"/>
        <v>0</v>
      </c>
      <c r="J2326" s="21" t="str">
        <f ca="1">IF(I2326=0,"",COUNTIF($I$2:I2326,"&gt;0"))</f>
        <v/>
      </c>
      <c r="K2326" s="21" t="str">
        <f t="shared" ca="1" si="173"/>
        <v/>
      </c>
    </row>
    <row r="2327" spans="1:11" s="18" customFormat="1" ht="14.25" x14ac:dyDescent="0.2">
      <c r="A2327" s="18" t="str">
        <f t="shared" si="168"/>
        <v>Eintrag 2326</v>
      </c>
      <c r="B2327" s="18">
        <v>100</v>
      </c>
      <c r="C2327" s="19">
        <v>100</v>
      </c>
      <c r="D2327" s="20">
        <v>10</v>
      </c>
      <c r="E2327" s="20">
        <v>10</v>
      </c>
      <c r="F2327" s="20">
        <v>10</v>
      </c>
      <c r="G2327" s="19">
        <f t="shared" si="174"/>
        <v>172</v>
      </c>
      <c r="H2327" s="22">
        <f t="shared" si="172"/>
        <v>2326</v>
      </c>
      <c r="I2327" s="21">
        <f t="shared" ca="1" si="167"/>
        <v>0</v>
      </c>
      <c r="J2327" s="21" t="str">
        <f ca="1">IF(I2327=0,"",COUNTIF($I$2:I2327,"&gt;0"))</f>
        <v/>
      </c>
      <c r="K2327" s="21" t="str">
        <f t="shared" ca="1" si="173"/>
        <v/>
      </c>
    </row>
    <row r="2328" spans="1:11" s="18" customFormat="1" ht="14.25" x14ac:dyDescent="0.2">
      <c r="A2328" s="18" t="str">
        <f t="shared" si="168"/>
        <v>Eintrag 2327</v>
      </c>
      <c r="B2328" s="18">
        <v>100</v>
      </c>
      <c r="C2328" s="19">
        <v>100</v>
      </c>
      <c r="D2328" s="20">
        <v>10</v>
      </c>
      <c r="E2328" s="20">
        <v>10</v>
      </c>
      <c r="F2328" s="20">
        <v>10</v>
      </c>
      <c r="G2328" s="19">
        <f t="shared" si="174"/>
        <v>172</v>
      </c>
      <c r="H2328" s="22">
        <f t="shared" si="172"/>
        <v>2327</v>
      </c>
      <c r="I2328" s="21">
        <f t="shared" ca="1" si="167"/>
        <v>0</v>
      </c>
      <c r="J2328" s="21" t="str">
        <f ca="1">IF(I2328=0,"",COUNTIF($I$2:I2328,"&gt;0"))</f>
        <v/>
      </c>
      <c r="K2328" s="21" t="str">
        <f t="shared" ca="1" si="173"/>
        <v/>
      </c>
    </row>
    <row r="2329" spans="1:11" s="18" customFormat="1" ht="14.25" x14ac:dyDescent="0.2">
      <c r="A2329" s="18" t="str">
        <f t="shared" si="168"/>
        <v>Eintrag 2328</v>
      </c>
      <c r="B2329" s="18">
        <v>100</v>
      </c>
      <c r="C2329" s="19">
        <v>100</v>
      </c>
      <c r="D2329" s="20">
        <v>10</v>
      </c>
      <c r="E2329" s="20">
        <v>10</v>
      </c>
      <c r="F2329" s="20">
        <v>10</v>
      </c>
      <c r="G2329" s="19">
        <f t="shared" si="174"/>
        <v>172</v>
      </c>
      <c r="H2329" s="22">
        <f t="shared" si="172"/>
        <v>2328</v>
      </c>
      <c r="I2329" s="21">
        <f t="shared" ca="1" si="167"/>
        <v>0</v>
      </c>
      <c r="J2329" s="21" t="str">
        <f ca="1">IF(I2329=0,"",COUNTIF($I$2:I2329,"&gt;0"))</f>
        <v/>
      </c>
      <c r="K2329" s="21" t="str">
        <f t="shared" ca="1" si="173"/>
        <v/>
      </c>
    </row>
    <row r="2330" spans="1:11" s="18" customFormat="1" ht="14.25" x14ac:dyDescent="0.2">
      <c r="A2330" s="18" t="str">
        <f t="shared" si="168"/>
        <v>Eintrag 2329</v>
      </c>
      <c r="B2330" s="18">
        <v>100</v>
      </c>
      <c r="C2330" s="19">
        <v>100</v>
      </c>
      <c r="D2330" s="20">
        <v>10</v>
      </c>
      <c r="E2330" s="20">
        <v>10</v>
      </c>
      <c r="F2330" s="20">
        <v>10</v>
      </c>
      <c r="G2330" s="19">
        <f t="shared" si="174"/>
        <v>172</v>
      </c>
      <c r="H2330" s="22">
        <f t="shared" si="172"/>
        <v>2329</v>
      </c>
      <c r="I2330" s="21">
        <f t="shared" ca="1" si="167"/>
        <v>0</v>
      </c>
      <c r="J2330" s="21" t="str">
        <f ca="1">IF(I2330=0,"",COUNTIF($I$2:I2330,"&gt;0"))</f>
        <v/>
      </c>
      <c r="K2330" s="21" t="str">
        <f t="shared" ca="1" si="173"/>
        <v/>
      </c>
    </row>
    <row r="2331" spans="1:11" s="18" customFormat="1" ht="14.25" x14ac:dyDescent="0.2">
      <c r="A2331" s="18" t="str">
        <f t="shared" si="168"/>
        <v>Eintrag 2330</v>
      </c>
      <c r="B2331" s="18">
        <v>100</v>
      </c>
      <c r="C2331" s="19">
        <v>100</v>
      </c>
      <c r="D2331" s="20">
        <v>10</v>
      </c>
      <c r="E2331" s="20">
        <v>10</v>
      </c>
      <c r="F2331" s="20">
        <v>10</v>
      </c>
      <c r="G2331" s="19">
        <f t="shared" si="174"/>
        <v>172</v>
      </c>
      <c r="H2331" s="22">
        <f t="shared" si="172"/>
        <v>2330</v>
      </c>
      <c r="I2331" s="21">
        <f t="shared" ca="1" si="167"/>
        <v>0</v>
      </c>
      <c r="J2331" s="21" t="str">
        <f ca="1">IF(I2331=0,"",COUNTIF($I$2:I2331,"&gt;0"))</f>
        <v/>
      </c>
      <c r="K2331" s="21" t="str">
        <f t="shared" ca="1" si="173"/>
        <v/>
      </c>
    </row>
    <row r="2332" spans="1:11" s="18" customFormat="1" ht="14.25" x14ac:dyDescent="0.2">
      <c r="A2332" s="18" t="str">
        <f t="shared" si="168"/>
        <v>Eintrag 2331</v>
      </c>
      <c r="B2332" s="18">
        <v>100</v>
      </c>
      <c r="C2332" s="19">
        <v>100</v>
      </c>
      <c r="D2332" s="20">
        <v>10</v>
      </c>
      <c r="E2332" s="20">
        <v>10</v>
      </c>
      <c r="F2332" s="20">
        <v>10</v>
      </c>
      <c r="G2332" s="19">
        <f t="shared" si="174"/>
        <v>172</v>
      </c>
      <c r="H2332" s="22">
        <f t="shared" si="172"/>
        <v>2331</v>
      </c>
      <c r="I2332" s="21">
        <f t="shared" ca="1" si="167"/>
        <v>0</v>
      </c>
      <c r="J2332" s="21" t="str">
        <f ca="1">IF(I2332=0,"",COUNTIF($I$2:I2332,"&gt;0"))</f>
        <v/>
      </c>
      <c r="K2332" s="21" t="str">
        <f t="shared" ca="1" si="173"/>
        <v/>
      </c>
    </row>
    <row r="2333" spans="1:11" s="18" customFormat="1" ht="14.25" x14ac:dyDescent="0.2">
      <c r="A2333" s="18" t="str">
        <f t="shared" si="168"/>
        <v>Eintrag 2332</v>
      </c>
      <c r="B2333" s="18">
        <v>100</v>
      </c>
      <c r="C2333" s="19">
        <v>100</v>
      </c>
      <c r="D2333" s="20">
        <v>10</v>
      </c>
      <c r="E2333" s="20">
        <v>10</v>
      </c>
      <c r="F2333" s="20">
        <v>10</v>
      </c>
      <c r="G2333" s="19">
        <f t="shared" si="174"/>
        <v>172</v>
      </c>
      <c r="H2333" s="22">
        <f t="shared" si="172"/>
        <v>2332</v>
      </c>
      <c r="I2333" s="21">
        <f t="shared" ca="1" si="167"/>
        <v>0</v>
      </c>
      <c r="J2333" s="21" t="str">
        <f ca="1">IF(I2333=0,"",COUNTIF($I$2:I2333,"&gt;0"))</f>
        <v/>
      </c>
      <c r="K2333" s="21" t="str">
        <f t="shared" ca="1" si="173"/>
        <v/>
      </c>
    </row>
    <row r="2334" spans="1:11" s="18" customFormat="1" ht="14.25" x14ac:dyDescent="0.2">
      <c r="A2334" s="18" t="str">
        <f t="shared" si="168"/>
        <v>Eintrag 2333</v>
      </c>
      <c r="B2334" s="18">
        <v>100</v>
      </c>
      <c r="C2334" s="19">
        <v>100</v>
      </c>
      <c r="D2334" s="20">
        <v>10</v>
      </c>
      <c r="E2334" s="20">
        <v>10</v>
      </c>
      <c r="F2334" s="20">
        <v>10</v>
      </c>
      <c r="G2334" s="19">
        <f t="shared" si="174"/>
        <v>172</v>
      </c>
      <c r="H2334" s="22">
        <f t="shared" si="172"/>
        <v>2333</v>
      </c>
      <c r="I2334" s="21">
        <f t="shared" ca="1" si="167"/>
        <v>0</v>
      </c>
      <c r="J2334" s="21" t="str">
        <f ca="1">IF(I2334=0,"",COUNTIF($I$2:I2334,"&gt;0"))</f>
        <v/>
      </c>
      <c r="K2334" s="21" t="str">
        <f t="shared" ca="1" si="173"/>
        <v/>
      </c>
    </row>
    <row r="2335" spans="1:11" s="18" customFormat="1" ht="14.25" x14ac:dyDescent="0.2">
      <c r="A2335" s="18" t="str">
        <f t="shared" si="168"/>
        <v>Eintrag 2334</v>
      </c>
      <c r="B2335" s="18">
        <v>100</v>
      </c>
      <c r="C2335" s="19">
        <v>100</v>
      </c>
      <c r="D2335" s="20">
        <v>10</v>
      </c>
      <c r="E2335" s="20">
        <v>10</v>
      </c>
      <c r="F2335" s="20">
        <v>10</v>
      </c>
      <c r="G2335" s="19">
        <f t="shared" si="174"/>
        <v>172</v>
      </c>
      <c r="H2335" s="22">
        <f t="shared" si="172"/>
        <v>2334</v>
      </c>
      <c r="I2335" s="21">
        <f t="shared" ca="1" si="167"/>
        <v>0</v>
      </c>
      <c r="J2335" s="21" t="str">
        <f ca="1">IF(I2335=0,"",COUNTIF($I$2:I2335,"&gt;0"))</f>
        <v/>
      </c>
      <c r="K2335" s="21" t="str">
        <f t="shared" ca="1" si="173"/>
        <v/>
      </c>
    </row>
    <row r="2336" spans="1:11" s="18" customFormat="1" ht="14.25" x14ac:dyDescent="0.2">
      <c r="A2336" s="18" t="str">
        <f t="shared" si="168"/>
        <v>Eintrag 2335</v>
      </c>
      <c r="B2336" s="18">
        <v>100</v>
      </c>
      <c r="C2336" s="19">
        <v>100</v>
      </c>
      <c r="D2336" s="20">
        <v>10</v>
      </c>
      <c r="E2336" s="20">
        <v>10</v>
      </c>
      <c r="F2336" s="20">
        <v>10</v>
      </c>
      <c r="G2336" s="19">
        <f t="shared" si="174"/>
        <v>172</v>
      </c>
      <c r="H2336" s="22">
        <f t="shared" si="172"/>
        <v>2335</v>
      </c>
      <c r="I2336" s="21">
        <f t="shared" ca="1" si="167"/>
        <v>0</v>
      </c>
      <c r="J2336" s="21" t="str">
        <f ca="1">IF(I2336=0,"",COUNTIF($I$2:I2336,"&gt;0"))</f>
        <v/>
      </c>
      <c r="K2336" s="21" t="str">
        <f t="shared" ca="1" si="173"/>
        <v/>
      </c>
    </row>
    <row r="2337" spans="1:11" s="18" customFormat="1" ht="14.25" x14ac:dyDescent="0.2">
      <c r="A2337" s="18" t="str">
        <f t="shared" si="168"/>
        <v>Eintrag 2336</v>
      </c>
      <c r="B2337" s="18">
        <v>100</v>
      </c>
      <c r="C2337" s="19">
        <v>100</v>
      </c>
      <c r="D2337" s="20">
        <v>10</v>
      </c>
      <c r="E2337" s="20">
        <v>10</v>
      </c>
      <c r="F2337" s="20">
        <v>10</v>
      </c>
      <c r="G2337" s="19">
        <f t="shared" si="174"/>
        <v>172</v>
      </c>
      <c r="H2337" s="22">
        <f t="shared" si="172"/>
        <v>2336</v>
      </c>
      <c r="I2337" s="21">
        <f t="shared" ca="1" si="167"/>
        <v>0</v>
      </c>
      <c r="J2337" s="21" t="str">
        <f ca="1">IF(I2337=0,"",COUNTIF($I$2:I2337,"&gt;0"))</f>
        <v/>
      </c>
      <c r="K2337" s="21" t="str">
        <f t="shared" ca="1" si="173"/>
        <v/>
      </c>
    </row>
    <row r="2338" spans="1:11" s="18" customFormat="1" ht="14.25" x14ac:dyDescent="0.2">
      <c r="A2338" s="18" t="str">
        <f t="shared" si="168"/>
        <v>Eintrag 2337</v>
      </c>
      <c r="B2338" s="18">
        <v>100</v>
      </c>
      <c r="C2338" s="19">
        <v>100</v>
      </c>
      <c r="D2338" s="20">
        <v>10</v>
      </c>
      <c r="E2338" s="20">
        <v>10</v>
      </c>
      <c r="F2338" s="20">
        <v>10</v>
      </c>
      <c r="G2338" s="19">
        <f t="shared" si="174"/>
        <v>172</v>
      </c>
      <c r="H2338" s="22">
        <f t="shared" si="172"/>
        <v>2337</v>
      </c>
      <c r="I2338" s="21">
        <f t="shared" ca="1" si="167"/>
        <v>0</v>
      </c>
      <c r="J2338" s="21" t="str">
        <f ca="1">IF(I2338=0,"",COUNTIF($I$2:I2338,"&gt;0"))</f>
        <v/>
      </c>
      <c r="K2338" s="21" t="str">
        <f t="shared" ca="1" si="173"/>
        <v/>
      </c>
    </row>
    <row r="2339" spans="1:11" s="18" customFormat="1" ht="14.25" x14ac:dyDescent="0.2">
      <c r="A2339" s="18" t="str">
        <f t="shared" si="168"/>
        <v>Eintrag 2338</v>
      </c>
      <c r="B2339" s="18">
        <v>100</v>
      </c>
      <c r="C2339" s="19">
        <v>100</v>
      </c>
      <c r="D2339" s="20">
        <v>10</v>
      </c>
      <c r="E2339" s="20">
        <v>10</v>
      </c>
      <c r="F2339" s="20">
        <v>10</v>
      </c>
      <c r="G2339" s="19">
        <f t="shared" si="174"/>
        <v>172</v>
      </c>
      <c r="H2339" s="22">
        <f t="shared" si="172"/>
        <v>2338</v>
      </c>
      <c r="I2339" s="21">
        <f t="shared" ca="1" si="167"/>
        <v>0</v>
      </c>
      <c r="J2339" s="21" t="str">
        <f ca="1">IF(I2339=0,"",COUNTIF($I$2:I2339,"&gt;0"))</f>
        <v/>
      </c>
      <c r="K2339" s="21" t="str">
        <f t="shared" ca="1" si="173"/>
        <v/>
      </c>
    </row>
    <row r="2340" spans="1:11" s="18" customFormat="1" ht="14.25" x14ac:dyDescent="0.2">
      <c r="A2340" s="18" t="str">
        <f t="shared" si="168"/>
        <v>Eintrag 2339</v>
      </c>
      <c r="B2340" s="18">
        <v>100</v>
      </c>
      <c r="C2340" s="19">
        <v>100</v>
      </c>
      <c r="D2340" s="20">
        <v>10</v>
      </c>
      <c r="E2340" s="20">
        <v>10</v>
      </c>
      <c r="F2340" s="20">
        <v>10</v>
      </c>
      <c r="G2340" s="19">
        <f t="shared" si="174"/>
        <v>172</v>
      </c>
      <c r="H2340" s="22">
        <f t="shared" si="172"/>
        <v>2339</v>
      </c>
      <c r="I2340" s="21">
        <f t="shared" ca="1" si="167"/>
        <v>0</v>
      </c>
      <c r="J2340" s="21" t="str">
        <f ca="1">IF(I2340=0,"",COUNTIF($I$2:I2340,"&gt;0"))</f>
        <v/>
      </c>
      <c r="K2340" s="21" t="str">
        <f t="shared" ca="1" si="173"/>
        <v/>
      </c>
    </row>
    <row r="2341" spans="1:11" s="18" customFormat="1" ht="14.25" x14ac:dyDescent="0.2">
      <c r="A2341" s="18" t="str">
        <f t="shared" si="168"/>
        <v>Eintrag 2340</v>
      </c>
      <c r="B2341" s="18">
        <v>100</v>
      </c>
      <c r="C2341" s="19">
        <v>100</v>
      </c>
      <c r="D2341" s="20">
        <v>10</v>
      </c>
      <c r="E2341" s="20">
        <v>10</v>
      </c>
      <c r="F2341" s="20">
        <v>10</v>
      </c>
      <c r="G2341" s="19">
        <f t="shared" si="174"/>
        <v>172</v>
      </c>
      <c r="H2341" s="22">
        <f t="shared" ref="H2341:H2404" si="175">H2340+1</f>
        <v>2340</v>
      </c>
      <c r="I2341" s="21">
        <f t="shared" ca="1" si="167"/>
        <v>0</v>
      </c>
      <c r="J2341" s="21" t="str">
        <f ca="1">IF(I2341=0,"",COUNTIF($I$2:I2341,"&gt;0"))</f>
        <v/>
      </c>
      <c r="K2341" s="21" t="str">
        <f t="shared" ca="1" si="173"/>
        <v/>
      </c>
    </row>
    <row r="2342" spans="1:11" s="18" customFormat="1" ht="14.25" x14ac:dyDescent="0.2">
      <c r="A2342" s="18" t="str">
        <f t="shared" si="168"/>
        <v>Eintrag 2341</v>
      </c>
      <c r="B2342" s="18">
        <v>100</v>
      </c>
      <c r="C2342" s="19">
        <v>100</v>
      </c>
      <c r="D2342" s="20">
        <v>10</v>
      </c>
      <c r="E2342" s="20">
        <v>10</v>
      </c>
      <c r="F2342" s="20">
        <v>10</v>
      </c>
      <c r="G2342" s="19">
        <f t="shared" si="174"/>
        <v>172</v>
      </c>
      <c r="H2342" s="22">
        <f t="shared" si="175"/>
        <v>2341</v>
      </c>
      <c r="I2342" s="21">
        <f t="shared" ca="1" si="167"/>
        <v>0</v>
      </c>
      <c r="J2342" s="21" t="str">
        <f ca="1">IF(I2342=0,"",COUNTIF($I$2:I2342,"&gt;0"))</f>
        <v/>
      </c>
      <c r="K2342" s="21" t="str">
        <f t="shared" ca="1" si="173"/>
        <v/>
      </c>
    </row>
    <row r="2343" spans="1:11" s="18" customFormat="1" ht="14.25" x14ac:dyDescent="0.2">
      <c r="A2343" s="18" t="str">
        <f t="shared" si="168"/>
        <v>Eintrag 2342</v>
      </c>
      <c r="B2343" s="18">
        <v>100</v>
      </c>
      <c r="C2343" s="19">
        <v>100</v>
      </c>
      <c r="D2343" s="20">
        <v>10</v>
      </c>
      <c r="E2343" s="20">
        <v>10</v>
      </c>
      <c r="F2343" s="20">
        <v>10</v>
      </c>
      <c r="G2343" s="19">
        <f t="shared" si="174"/>
        <v>172</v>
      </c>
      <c r="H2343" s="22">
        <f t="shared" si="175"/>
        <v>2342</v>
      </c>
      <c r="I2343" s="21">
        <f t="shared" ca="1" si="167"/>
        <v>0</v>
      </c>
      <c r="J2343" s="21" t="str">
        <f ca="1">IF(I2343=0,"",COUNTIF($I$2:I2343,"&gt;0"))</f>
        <v/>
      </c>
      <c r="K2343" s="21" t="str">
        <f t="shared" ca="1" si="173"/>
        <v/>
      </c>
    </row>
    <row r="2344" spans="1:11" s="18" customFormat="1" ht="14.25" x14ac:dyDescent="0.2">
      <c r="A2344" s="18" t="str">
        <f t="shared" si="168"/>
        <v>Eintrag 2343</v>
      </c>
      <c r="B2344" s="18">
        <v>100</v>
      </c>
      <c r="C2344" s="19">
        <v>100</v>
      </c>
      <c r="D2344" s="20">
        <v>10</v>
      </c>
      <c r="E2344" s="20">
        <v>10</v>
      </c>
      <c r="F2344" s="20">
        <v>10</v>
      </c>
      <c r="G2344" s="19">
        <f t="shared" si="174"/>
        <v>172</v>
      </c>
      <c r="H2344" s="22">
        <f t="shared" si="175"/>
        <v>2343</v>
      </c>
      <c r="I2344" s="21">
        <f t="shared" ca="1" si="167"/>
        <v>0</v>
      </c>
      <c r="J2344" s="21" t="str">
        <f ca="1">IF(I2344=0,"",COUNTIF($I$2:I2344,"&gt;0"))</f>
        <v/>
      </c>
      <c r="K2344" s="21" t="str">
        <f t="shared" ca="1" si="173"/>
        <v/>
      </c>
    </row>
    <row r="2345" spans="1:11" s="18" customFormat="1" ht="14.25" x14ac:dyDescent="0.2">
      <c r="A2345" s="18" t="str">
        <f t="shared" si="168"/>
        <v>Eintrag 2344</v>
      </c>
      <c r="B2345" s="18">
        <v>100</v>
      </c>
      <c r="C2345" s="19">
        <v>100</v>
      </c>
      <c r="D2345" s="20">
        <v>10</v>
      </c>
      <c r="E2345" s="20">
        <v>10</v>
      </c>
      <c r="F2345" s="20">
        <v>10</v>
      </c>
      <c r="G2345" s="19">
        <f t="shared" si="174"/>
        <v>172</v>
      </c>
      <c r="H2345" s="22">
        <f t="shared" si="175"/>
        <v>2344</v>
      </c>
      <c r="I2345" s="21">
        <f t="shared" ca="1" si="167"/>
        <v>0</v>
      </c>
      <c r="J2345" s="21" t="str">
        <f ca="1">IF(I2345=0,"",COUNTIF($I$2:I2345,"&gt;0"))</f>
        <v/>
      </c>
      <c r="K2345" s="21" t="str">
        <f t="shared" ca="1" si="173"/>
        <v/>
      </c>
    </row>
    <row r="2346" spans="1:11" s="18" customFormat="1" ht="14.25" x14ac:dyDescent="0.2">
      <c r="A2346" s="18" t="str">
        <f t="shared" si="168"/>
        <v>Eintrag 2345</v>
      </c>
      <c r="B2346" s="18">
        <v>100</v>
      </c>
      <c r="C2346" s="19">
        <v>100</v>
      </c>
      <c r="D2346" s="20">
        <v>10</v>
      </c>
      <c r="E2346" s="20">
        <v>10</v>
      </c>
      <c r="F2346" s="20">
        <v>10</v>
      </c>
      <c r="G2346" s="19">
        <f t="shared" si="174"/>
        <v>172</v>
      </c>
      <c r="H2346" s="22">
        <f t="shared" si="175"/>
        <v>2345</v>
      </c>
      <c r="I2346" s="21">
        <f t="shared" ca="1" si="167"/>
        <v>0</v>
      </c>
      <c r="J2346" s="21" t="str">
        <f ca="1">IF(I2346=0,"",COUNTIF($I$2:I2346,"&gt;0"))</f>
        <v/>
      </c>
      <c r="K2346" s="21" t="str">
        <f t="shared" ca="1" si="173"/>
        <v/>
      </c>
    </row>
    <row r="2347" spans="1:11" s="18" customFormat="1" ht="14.25" x14ac:dyDescent="0.2">
      <c r="A2347" s="18" t="str">
        <f t="shared" si="168"/>
        <v>Eintrag 2346</v>
      </c>
      <c r="B2347" s="18">
        <v>100</v>
      </c>
      <c r="C2347" s="19">
        <v>100</v>
      </c>
      <c r="D2347" s="20">
        <v>10</v>
      </c>
      <c r="E2347" s="20">
        <v>10</v>
      </c>
      <c r="F2347" s="20">
        <v>10</v>
      </c>
      <c r="G2347" s="19">
        <f t="shared" si="174"/>
        <v>172</v>
      </c>
      <c r="H2347" s="22">
        <f t="shared" si="175"/>
        <v>2346</v>
      </c>
      <c r="I2347" s="21">
        <f t="shared" ca="1" si="167"/>
        <v>0</v>
      </c>
      <c r="J2347" s="21" t="str">
        <f ca="1">IF(I2347=0,"",COUNTIF($I$2:I2347,"&gt;0"))</f>
        <v/>
      </c>
      <c r="K2347" s="21" t="str">
        <f t="shared" ca="1" si="173"/>
        <v/>
      </c>
    </row>
    <row r="2348" spans="1:11" s="18" customFormat="1" ht="14.25" x14ac:dyDescent="0.2">
      <c r="A2348" s="18" t="str">
        <f t="shared" si="168"/>
        <v>Eintrag 2347</v>
      </c>
      <c r="B2348" s="18">
        <v>100</v>
      </c>
      <c r="C2348" s="19">
        <v>100</v>
      </c>
      <c r="D2348" s="20">
        <v>10</v>
      </c>
      <c r="E2348" s="20">
        <v>10</v>
      </c>
      <c r="F2348" s="20">
        <v>10</v>
      </c>
      <c r="G2348" s="19">
        <f t="shared" si="174"/>
        <v>172</v>
      </c>
      <c r="H2348" s="22">
        <f t="shared" si="175"/>
        <v>2347</v>
      </c>
      <c r="I2348" s="21">
        <f t="shared" ca="1" si="167"/>
        <v>0</v>
      </c>
      <c r="J2348" s="21" t="str">
        <f ca="1">IF(I2348=0,"",COUNTIF($I$2:I2348,"&gt;0"))</f>
        <v/>
      </c>
      <c r="K2348" s="21" t="str">
        <f t="shared" ca="1" si="173"/>
        <v/>
      </c>
    </row>
    <row r="2349" spans="1:11" s="18" customFormat="1" ht="14.25" x14ac:dyDescent="0.2">
      <c r="A2349" s="18" t="str">
        <f t="shared" si="168"/>
        <v>Eintrag 2348</v>
      </c>
      <c r="B2349" s="18">
        <v>100</v>
      </c>
      <c r="C2349" s="19">
        <v>100</v>
      </c>
      <c r="D2349" s="20">
        <v>10</v>
      </c>
      <c r="E2349" s="20">
        <v>10</v>
      </c>
      <c r="F2349" s="20">
        <v>10</v>
      </c>
      <c r="G2349" s="19">
        <f t="shared" si="174"/>
        <v>172</v>
      </c>
      <c r="H2349" s="22">
        <f t="shared" si="175"/>
        <v>2348</v>
      </c>
      <c r="I2349" s="21">
        <f t="shared" ca="1" si="167"/>
        <v>0</v>
      </c>
      <c r="J2349" s="21" t="str">
        <f ca="1">IF(I2349=0,"",COUNTIF($I$2:I2349,"&gt;0"))</f>
        <v/>
      </c>
      <c r="K2349" s="21" t="str">
        <f t="shared" ca="1" si="173"/>
        <v/>
      </c>
    </row>
    <row r="2350" spans="1:11" s="18" customFormat="1" ht="14.25" x14ac:dyDescent="0.2">
      <c r="A2350" s="18" t="str">
        <f t="shared" si="168"/>
        <v>Eintrag 2349</v>
      </c>
      <c r="B2350" s="18">
        <v>100</v>
      </c>
      <c r="C2350" s="19">
        <v>100</v>
      </c>
      <c r="D2350" s="20">
        <v>10</v>
      </c>
      <c r="E2350" s="20">
        <v>10</v>
      </c>
      <c r="F2350" s="20">
        <v>10</v>
      </c>
      <c r="G2350" s="19">
        <f t="shared" si="174"/>
        <v>172</v>
      </c>
      <c r="H2350" s="22">
        <f t="shared" si="175"/>
        <v>2349</v>
      </c>
      <c r="I2350" s="21">
        <f t="shared" ca="1" si="167"/>
        <v>0</v>
      </c>
      <c r="J2350" s="21" t="str">
        <f ca="1">IF(I2350=0,"",COUNTIF($I$2:I2350,"&gt;0"))</f>
        <v/>
      </c>
      <c r="K2350" s="21" t="str">
        <f t="shared" ca="1" si="173"/>
        <v/>
      </c>
    </row>
    <row r="2351" spans="1:11" s="18" customFormat="1" ht="14.25" x14ac:dyDescent="0.2">
      <c r="A2351" s="18" t="str">
        <f t="shared" si="168"/>
        <v>Eintrag 2350</v>
      </c>
      <c r="B2351" s="18">
        <v>100</v>
      </c>
      <c r="C2351" s="19">
        <v>100</v>
      </c>
      <c r="D2351" s="20">
        <v>10</v>
      </c>
      <c r="E2351" s="20">
        <v>10</v>
      </c>
      <c r="F2351" s="20">
        <v>10</v>
      </c>
      <c r="G2351" s="19">
        <f t="shared" si="174"/>
        <v>172</v>
      </c>
      <c r="H2351" s="22">
        <f t="shared" si="175"/>
        <v>2350</v>
      </c>
      <c r="I2351" s="21">
        <f t="shared" ca="1" si="167"/>
        <v>0</v>
      </c>
      <c r="J2351" s="21" t="str">
        <f ca="1">IF(I2351=0,"",COUNTIF($I$2:I2351,"&gt;0"))</f>
        <v/>
      </c>
      <c r="K2351" s="21" t="str">
        <f t="shared" ca="1" si="173"/>
        <v/>
      </c>
    </row>
    <row r="2352" spans="1:11" s="18" customFormat="1" ht="14.25" x14ac:dyDescent="0.2">
      <c r="A2352" s="18" t="str">
        <f t="shared" si="168"/>
        <v>Eintrag 2351</v>
      </c>
      <c r="B2352" s="18">
        <v>100</v>
      </c>
      <c r="C2352" s="19">
        <v>100</v>
      </c>
      <c r="D2352" s="20">
        <v>10</v>
      </c>
      <c r="E2352" s="20">
        <v>10</v>
      </c>
      <c r="F2352" s="20">
        <v>10</v>
      </c>
      <c r="G2352" s="19">
        <f t="shared" si="174"/>
        <v>172</v>
      </c>
      <c r="H2352" s="22">
        <f t="shared" si="175"/>
        <v>2351</v>
      </c>
      <c r="I2352" s="21">
        <f t="shared" ca="1" si="167"/>
        <v>0</v>
      </c>
      <c r="J2352" s="21" t="str">
        <f ca="1">IF(I2352=0,"",COUNTIF($I$2:I2352,"&gt;0"))</f>
        <v/>
      </c>
      <c r="K2352" s="21" t="str">
        <f t="shared" ca="1" si="173"/>
        <v/>
      </c>
    </row>
    <row r="2353" spans="1:11" s="18" customFormat="1" ht="14.25" x14ac:dyDescent="0.2">
      <c r="A2353" s="18" t="str">
        <f t="shared" si="168"/>
        <v>Eintrag 2352</v>
      </c>
      <c r="B2353" s="18">
        <v>100</v>
      </c>
      <c r="C2353" s="19">
        <v>100</v>
      </c>
      <c r="D2353" s="20">
        <v>10</v>
      </c>
      <c r="E2353" s="20">
        <v>10</v>
      </c>
      <c r="F2353" s="20">
        <v>10</v>
      </c>
      <c r="G2353" s="19">
        <f t="shared" si="174"/>
        <v>172</v>
      </c>
      <c r="H2353" s="22">
        <f t="shared" si="175"/>
        <v>2352</v>
      </c>
      <c r="I2353" s="21">
        <f t="shared" ca="1" si="167"/>
        <v>0</v>
      </c>
      <c r="J2353" s="21" t="str">
        <f ca="1">IF(I2353=0,"",COUNTIF($I$2:I2353,"&gt;0"))</f>
        <v/>
      </c>
      <c r="K2353" s="21" t="str">
        <f t="shared" ca="1" si="173"/>
        <v/>
      </c>
    </row>
    <row r="2354" spans="1:11" s="18" customFormat="1" ht="14.25" x14ac:dyDescent="0.2">
      <c r="A2354" s="18" t="str">
        <f t="shared" si="168"/>
        <v>Eintrag 2353</v>
      </c>
      <c r="B2354" s="18">
        <v>100</v>
      </c>
      <c r="C2354" s="19">
        <v>100</v>
      </c>
      <c r="D2354" s="20">
        <v>10</v>
      </c>
      <c r="E2354" s="20">
        <v>10</v>
      </c>
      <c r="F2354" s="20">
        <v>10</v>
      </c>
      <c r="G2354" s="19">
        <f t="shared" si="174"/>
        <v>172</v>
      </c>
      <c r="H2354" s="22">
        <f t="shared" si="175"/>
        <v>2353</v>
      </c>
      <c r="I2354" s="21">
        <f t="shared" ca="1" si="167"/>
        <v>0</v>
      </c>
      <c r="J2354" s="21" t="str">
        <f ca="1">IF(I2354=0,"",COUNTIF($I$2:I2354,"&gt;0"))</f>
        <v/>
      </c>
      <c r="K2354" s="21" t="str">
        <f t="shared" ca="1" si="173"/>
        <v/>
      </c>
    </row>
    <row r="2355" spans="1:11" s="18" customFormat="1" ht="14.25" x14ac:dyDescent="0.2">
      <c r="A2355" s="18" t="str">
        <f t="shared" si="168"/>
        <v>Eintrag 2354</v>
      </c>
      <c r="B2355" s="18">
        <v>100</v>
      </c>
      <c r="C2355" s="19">
        <v>100</v>
      </c>
      <c r="D2355" s="20">
        <v>10</v>
      </c>
      <c r="E2355" s="20">
        <v>10</v>
      </c>
      <c r="F2355" s="20">
        <v>10</v>
      </c>
      <c r="G2355" s="19">
        <f t="shared" si="174"/>
        <v>172</v>
      </c>
      <c r="H2355" s="22">
        <f t="shared" si="175"/>
        <v>2354</v>
      </c>
      <c r="I2355" s="21">
        <f t="shared" ca="1" si="167"/>
        <v>0</v>
      </c>
      <c r="J2355" s="21" t="str">
        <f ca="1">IF(I2355=0,"",COUNTIF($I$2:I2355,"&gt;0"))</f>
        <v/>
      </c>
      <c r="K2355" s="21" t="str">
        <f t="shared" ca="1" si="173"/>
        <v/>
      </c>
    </row>
    <row r="2356" spans="1:11" s="18" customFormat="1" ht="14.25" x14ac:dyDescent="0.2">
      <c r="A2356" s="18" t="str">
        <f t="shared" si="168"/>
        <v>Eintrag 2355</v>
      </c>
      <c r="B2356" s="18">
        <v>100</v>
      </c>
      <c r="C2356" s="19">
        <v>100</v>
      </c>
      <c r="D2356" s="20">
        <v>10</v>
      </c>
      <c r="E2356" s="20">
        <v>10</v>
      </c>
      <c r="F2356" s="20">
        <v>10</v>
      </c>
      <c r="G2356" s="19">
        <f t="shared" si="174"/>
        <v>172</v>
      </c>
      <c r="H2356" s="22">
        <f t="shared" si="175"/>
        <v>2355</v>
      </c>
      <c r="I2356" s="21">
        <f t="shared" ca="1" si="167"/>
        <v>0</v>
      </c>
      <c r="J2356" s="21" t="str">
        <f ca="1">IF(I2356=0,"",COUNTIF($I$2:I2356,"&gt;0"))</f>
        <v/>
      </c>
      <c r="K2356" s="21" t="str">
        <f t="shared" ca="1" si="173"/>
        <v/>
      </c>
    </row>
    <row r="2357" spans="1:11" s="18" customFormat="1" ht="14.25" x14ac:dyDescent="0.2">
      <c r="A2357" s="18" t="str">
        <f t="shared" si="168"/>
        <v>Eintrag 2356</v>
      </c>
      <c r="B2357" s="18">
        <v>100</v>
      </c>
      <c r="C2357" s="19">
        <v>100</v>
      </c>
      <c r="D2357" s="20">
        <v>10</v>
      </c>
      <c r="E2357" s="20">
        <v>10</v>
      </c>
      <c r="F2357" s="20">
        <v>10</v>
      </c>
      <c r="G2357" s="19">
        <f t="shared" si="174"/>
        <v>172</v>
      </c>
      <c r="H2357" s="22">
        <f t="shared" si="175"/>
        <v>2356</v>
      </c>
      <c r="I2357" s="21">
        <f t="shared" ca="1" si="167"/>
        <v>0</v>
      </c>
      <c r="J2357" s="21" t="str">
        <f ca="1">IF(I2357=0,"",COUNTIF($I$2:I2357,"&gt;0"))</f>
        <v/>
      </c>
      <c r="K2357" s="21" t="str">
        <f t="shared" ca="1" si="173"/>
        <v/>
      </c>
    </row>
    <row r="2358" spans="1:11" s="18" customFormat="1" ht="14.25" x14ac:dyDescent="0.2">
      <c r="A2358" s="18" t="str">
        <f t="shared" si="168"/>
        <v>Eintrag 2357</v>
      </c>
      <c r="B2358" s="18">
        <v>100</v>
      </c>
      <c r="C2358" s="19">
        <v>100</v>
      </c>
      <c r="D2358" s="20">
        <v>10</v>
      </c>
      <c r="E2358" s="20">
        <v>10</v>
      </c>
      <c r="F2358" s="20">
        <v>10</v>
      </c>
      <c r="G2358" s="19">
        <f t="shared" si="174"/>
        <v>172</v>
      </c>
      <c r="H2358" s="22">
        <f t="shared" si="175"/>
        <v>2357</v>
      </c>
      <c r="I2358" s="21">
        <f t="shared" ca="1" si="167"/>
        <v>0</v>
      </c>
      <c r="J2358" s="21" t="str">
        <f ca="1">IF(I2358=0,"",COUNTIF($I$2:I2358,"&gt;0"))</f>
        <v/>
      </c>
      <c r="K2358" s="21" t="str">
        <f t="shared" ca="1" si="173"/>
        <v/>
      </c>
    </row>
    <row r="2359" spans="1:11" s="18" customFormat="1" ht="14.25" x14ac:dyDescent="0.2">
      <c r="A2359" s="18" t="str">
        <f t="shared" si="168"/>
        <v>Eintrag 2358</v>
      </c>
      <c r="B2359" s="18">
        <v>100</v>
      </c>
      <c r="C2359" s="19">
        <v>100</v>
      </c>
      <c r="D2359" s="20">
        <v>10</v>
      </c>
      <c r="E2359" s="20">
        <v>10</v>
      </c>
      <c r="F2359" s="20">
        <v>10</v>
      </c>
      <c r="G2359" s="19">
        <f t="shared" si="174"/>
        <v>172</v>
      </c>
      <c r="H2359" s="22">
        <f t="shared" si="175"/>
        <v>2358</v>
      </c>
      <c r="I2359" s="21">
        <f t="shared" ca="1" si="167"/>
        <v>0</v>
      </c>
      <c r="J2359" s="21" t="str">
        <f ca="1">IF(I2359=0,"",COUNTIF($I$2:I2359,"&gt;0"))</f>
        <v/>
      </c>
      <c r="K2359" s="21" t="str">
        <f t="shared" ca="1" si="173"/>
        <v/>
      </c>
    </row>
    <row r="2360" spans="1:11" s="18" customFormat="1" ht="14.25" x14ac:dyDescent="0.2">
      <c r="A2360" s="18" t="str">
        <f t="shared" si="168"/>
        <v>Eintrag 2359</v>
      </c>
      <c r="B2360" s="18">
        <v>100</v>
      </c>
      <c r="C2360" s="19">
        <v>100</v>
      </c>
      <c r="D2360" s="20">
        <v>10</v>
      </c>
      <c r="E2360" s="20">
        <v>10</v>
      </c>
      <c r="F2360" s="20">
        <v>10</v>
      </c>
      <c r="G2360" s="19">
        <f t="shared" si="174"/>
        <v>172</v>
      </c>
      <c r="H2360" s="22">
        <f t="shared" si="175"/>
        <v>2359</v>
      </c>
      <c r="I2360" s="21">
        <f t="shared" ca="1" si="167"/>
        <v>0</v>
      </c>
      <c r="J2360" s="21" t="str">
        <f ca="1">IF(I2360=0,"",COUNTIF($I$2:I2360,"&gt;0"))</f>
        <v/>
      </c>
      <c r="K2360" s="21" t="str">
        <f t="shared" ca="1" si="173"/>
        <v/>
      </c>
    </row>
    <row r="2361" spans="1:11" s="18" customFormat="1" ht="14.25" x14ac:dyDescent="0.2">
      <c r="A2361" s="18" t="str">
        <f t="shared" si="168"/>
        <v>Eintrag 2360</v>
      </c>
      <c r="B2361" s="18">
        <v>100</v>
      </c>
      <c r="C2361" s="19">
        <v>100</v>
      </c>
      <c r="D2361" s="20">
        <v>10</v>
      </c>
      <c r="E2361" s="20">
        <v>10</v>
      </c>
      <c r="F2361" s="20">
        <v>10</v>
      </c>
      <c r="G2361" s="19">
        <f t="shared" si="174"/>
        <v>172</v>
      </c>
      <c r="H2361" s="22">
        <f t="shared" si="175"/>
        <v>2360</v>
      </c>
      <c r="I2361" s="21">
        <f t="shared" ca="1" si="167"/>
        <v>0</v>
      </c>
      <c r="J2361" s="21" t="str">
        <f ca="1">IF(I2361=0,"",COUNTIF($I$2:I2361,"&gt;0"))</f>
        <v/>
      </c>
      <c r="K2361" s="21" t="str">
        <f t="shared" ca="1" si="173"/>
        <v/>
      </c>
    </row>
    <row r="2362" spans="1:11" s="18" customFormat="1" ht="14.25" x14ac:dyDescent="0.2">
      <c r="A2362" s="18" t="str">
        <f t="shared" si="168"/>
        <v>Eintrag 2361</v>
      </c>
      <c r="B2362" s="18">
        <v>100</v>
      </c>
      <c r="C2362" s="19">
        <v>100</v>
      </c>
      <c r="D2362" s="20">
        <v>10</v>
      </c>
      <c r="E2362" s="20">
        <v>10</v>
      </c>
      <c r="F2362" s="20">
        <v>10</v>
      </c>
      <c r="G2362" s="19">
        <f t="shared" si="174"/>
        <v>172</v>
      </c>
      <c r="H2362" s="22">
        <f t="shared" si="175"/>
        <v>2361</v>
      </c>
      <c r="I2362" s="21">
        <f t="shared" ca="1" si="167"/>
        <v>0</v>
      </c>
      <c r="J2362" s="21" t="str">
        <f ca="1">IF(I2362=0,"",COUNTIF($I$2:I2362,"&gt;0"))</f>
        <v/>
      </c>
      <c r="K2362" s="21" t="str">
        <f t="shared" ca="1" si="173"/>
        <v/>
      </c>
    </row>
    <row r="2363" spans="1:11" s="18" customFormat="1" ht="14.25" x14ac:dyDescent="0.2">
      <c r="A2363" s="18" t="str">
        <f t="shared" si="168"/>
        <v>Eintrag 2362</v>
      </c>
      <c r="B2363" s="18">
        <v>100</v>
      </c>
      <c r="C2363" s="19">
        <v>100</v>
      </c>
      <c r="D2363" s="20">
        <v>10</v>
      </c>
      <c r="E2363" s="20">
        <v>10</v>
      </c>
      <c r="F2363" s="20">
        <v>10</v>
      </c>
      <c r="G2363" s="19">
        <f t="shared" si="174"/>
        <v>172</v>
      </c>
      <c r="H2363" s="22">
        <f t="shared" si="175"/>
        <v>2362</v>
      </c>
      <c r="I2363" s="21">
        <f t="shared" ref="I2363:I2426" ca="1" si="176">IFERROR(SEARCH(INDIRECT(CELL("address")),A2363),0)</f>
        <v>0</v>
      </c>
      <c r="J2363" s="21" t="str">
        <f ca="1">IF(I2363=0,"",COUNTIF($I$2:I2363,"&gt;0"))</f>
        <v/>
      </c>
      <c r="K2363" s="21" t="str">
        <f t="shared" ca="1" si="173"/>
        <v/>
      </c>
    </row>
    <row r="2364" spans="1:11" s="18" customFormat="1" ht="14.25" x14ac:dyDescent="0.2">
      <c r="A2364" s="18" t="str">
        <f t="shared" si="168"/>
        <v>Eintrag 2363</v>
      </c>
      <c r="B2364" s="18">
        <v>100</v>
      </c>
      <c r="C2364" s="19">
        <v>100</v>
      </c>
      <c r="D2364" s="20">
        <v>10</v>
      </c>
      <c r="E2364" s="20">
        <v>10</v>
      </c>
      <c r="F2364" s="20">
        <v>10</v>
      </c>
      <c r="G2364" s="19">
        <f t="shared" si="174"/>
        <v>172</v>
      </c>
      <c r="H2364" s="22">
        <f t="shared" si="175"/>
        <v>2363</v>
      </c>
      <c r="I2364" s="21">
        <f t="shared" ca="1" si="176"/>
        <v>0</v>
      </c>
      <c r="J2364" s="21" t="str">
        <f ca="1">IF(I2364=0,"",COUNTIF($I$2:I2364,"&gt;0"))</f>
        <v/>
      </c>
      <c r="K2364" s="21" t="str">
        <f t="shared" ca="1" si="173"/>
        <v/>
      </c>
    </row>
    <row r="2365" spans="1:11" s="18" customFormat="1" ht="14.25" x14ac:dyDescent="0.2">
      <c r="A2365" s="18" t="str">
        <f t="shared" si="168"/>
        <v>Eintrag 2364</v>
      </c>
      <c r="B2365" s="18">
        <v>100</v>
      </c>
      <c r="C2365" s="19">
        <v>100</v>
      </c>
      <c r="D2365" s="20">
        <v>10</v>
      </c>
      <c r="E2365" s="20">
        <v>10</v>
      </c>
      <c r="F2365" s="20">
        <v>10</v>
      </c>
      <c r="G2365" s="19">
        <f t="shared" si="174"/>
        <v>172</v>
      </c>
      <c r="H2365" s="22">
        <f t="shared" si="175"/>
        <v>2364</v>
      </c>
      <c r="I2365" s="21">
        <f t="shared" ca="1" si="176"/>
        <v>0</v>
      </c>
      <c r="J2365" s="21" t="str">
        <f ca="1">IF(I2365=0,"",COUNTIF($I$2:I2365,"&gt;0"))</f>
        <v/>
      </c>
      <c r="K2365" s="21" t="str">
        <f t="shared" ca="1" si="173"/>
        <v/>
      </c>
    </row>
    <row r="2366" spans="1:11" s="18" customFormat="1" ht="14.25" x14ac:dyDescent="0.2">
      <c r="A2366" s="18" t="str">
        <f t="shared" si="168"/>
        <v>Eintrag 2365</v>
      </c>
      <c r="B2366" s="18">
        <v>100</v>
      </c>
      <c r="C2366" s="19">
        <v>100</v>
      </c>
      <c r="D2366" s="20">
        <v>10</v>
      </c>
      <c r="E2366" s="20">
        <v>10</v>
      </c>
      <c r="F2366" s="20">
        <v>10</v>
      </c>
      <c r="G2366" s="19">
        <f t="shared" si="174"/>
        <v>172</v>
      </c>
      <c r="H2366" s="22">
        <f t="shared" si="175"/>
        <v>2365</v>
      </c>
      <c r="I2366" s="21">
        <f t="shared" ca="1" si="176"/>
        <v>0</v>
      </c>
      <c r="J2366" s="21" t="str">
        <f ca="1">IF(I2366=0,"",COUNTIF($I$2:I2366,"&gt;0"))</f>
        <v/>
      </c>
      <c r="K2366" s="21" t="str">
        <f t="shared" ca="1" si="173"/>
        <v/>
      </c>
    </row>
    <row r="2367" spans="1:11" s="18" customFormat="1" ht="14.25" x14ac:dyDescent="0.2">
      <c r="A2367" s="18" t="str">
        <f t="shared" si="168"/>
        <v>Eintrag 2366</v>
      </c>
      <c r="B2367" s="18">
        <v>100</v>
      </c>
      <c r="C2367" s="19">
        <v>100</v>
      </c>
      <c r="D2367" s="20">
        <v>10</v>
      </c>
      <c r="E2367" s="20">
        <v>10</v>
      </c>
      <c r="F2367" s="20">
        <v>10</v>
      </c>
      <c r="G2367" s="19">
        <f t="shared" si="174"/>
        <v>172</v>
      </c>
      <c r="H2367" s="22">
        <f t="shared" si="175"/>
        <v>2366</v>
      </c>
      <c r="I2367" s="21">
        <f t="shared" ca="1" si="176"/>
        <v>0</v>
      </c>
      <c r="J2367" s="21" t="str">
        <f ca="1">IF(I2367=0,"",COUNTIF($I$2:I2367,"&gt;0"))</f>
        <v/>
      </c>
      <c r="K2367" s="21" t="str">
        <f t="shared" ca="1" si="173"/>
        <v/>
      </c>
    </row>
    <row r="2368" spans="1:11" s="18" customFormat="1" ht="14.25" x14ac:dyDescent="0.2">
      <c r="A2368" s="18" t="str">
        <f t="shared" si="168"/>
        <v>Eintrag 2367</v>
      </c>
      <c r="B2368" s="18">
        <v>100</v>
      </c>
      <c r="C2368" s="19">
        <v>100</v>
      </c>
      <c r="D2368" s="20">
        <v>10</v>
      </c>
      <c r="E2368" s="20">
        <v>10</v>
      </c>
      <c r="F2368" s="20">
        <v>10</v>
      </c>
      <c r="G2368" s="19">
        <f t="shared" si="174"/>
        <v>172</v>
      </c>
      <c r="H2368" s="22">
        <f t="shared" si="175"/>
        <v>2367</v>
      </c>
      <c r="I2368" s="21">
        <f t="shared" ca="1" si="176"/>
        <v>0</v>
      </c>
      <c r="J2368" s="21" t="str">
        <f ca="1">IF(I2368=0,"",COUNTIF($I$2:I2368,"&gt;0"))</f>
        <v/>
      </c>
      <c r="K2368" s="21" t="str">
        <f t="shared" ca="1" si="173"/>
        <v/>
      </c>
    </row>
    <row r="2369" spans="1:11" s="18" customFormat="1" ht="14.25" x14ac:dyDescent="0.2">
      <c r="A2369" s="18" t="str">
        <f t="shared" si="168"/>
        <v>Eintrag 2368</v>
      </c>
      <c r="B2369" s="18">
        <v>100</v>
      </c>
      <c r="C2369" s="19">
        <v>100</v>
      </c>
      <c r="D2369" s="20">
        <v>10</v>
      </c>
      <c r="E2369" s="20">
        <v>10</v>
      </c>
      <c r="F2369" s="20">
        <v>10</v>
      </c>
      <c r="G2369" s="19">
        <f t="shared" si="174"/>
        <v>172</v>
      </c>
      <c r="H2369" s="22">
        <f t="shared" si="175"/>
        <v>2368</v>
      </c>
      <c r="I2369" s="21">
        <f t="shared" ca="1" si="176"/>
        <v>0</v>
      </c>
      <c r="J2369" s="21" t="str">
        <f ca="1">IF(I2369=0,"",COUNTIF($I$2:I2369,"&gt;0"))</f>
        <v/>
      </c>
      <c r="K2369" s="21" t="str">
        <f t="shared" ca="1" si="173"/>
        <v/>
      </c>
    </row>
    <row r="2370" spans="1:11" s="18" customFormat="1" ht="14.25" x14ac:dyDescent="0.2">
      <c r="A2370" s="18" t="str">
        <f t="shared" si="168"/>
        <v>Eintrag 2369</v>
      </c>
      <c r="B2370" s="18">
        <v>100</v>
      </c>
      <c r="C2370" s="19">
        <v>100</v>
      </c>
      <c r="D2370" s="20">
        <v>10</v>
      </c>
      <c r="E2370" s="20">
        <v>10</v>
      </c>
      <c r="F2370" s="20">
        <v>10</v>
      </c>
      <c r="G2370" s="19">
        <f t="shared" si="174"/>
        <v>172</v>
      </c>
      <c r="H2370" s="22">
        <f t="shared" si="175"/>
        <v>2369</v>
      </c>
      <c r="I2370" s="21">
        <f t="shared" ca="1" si="176"/>
        <v>0</v>
      </c>
      <c r="J2370" s="21" t="str">
        <f ca="1">IF(I2370=0,"",COUNTIF($I$2:I2370,"&gt;0"))</f>
        <v/>
      </c>
      <c r="K2370" s="21" t="str">
        <f t="shared" ref="K2370:K2433" ca="1" si="177">IFERROR(INDEX(A:A,MATCH(ROW(I2369),J:J,0)),"")</f>
        <v/>
      </c>
    </row>
    <row r="2371" spans="1:11" s="18" customFormat="1" ht="14.25" x14ac:dyDescent="0.2">
      <c r="A2371" s="18" t="str">
        <f t="shared" si="168"/>
        <v>Eintrag 2370</v>
      </c>
      <c r="B2371" s="18">
        <v>100</v>
      </c>
      <c r="C2371" s="19">
        <v>100</v>
      </c>
      <c r="D2371" s="20">
        <v>10</v>
      </c>
      <c r="E2371" s="20">
        <v>10</v>
      </c>
      <c r="F2371" s="20">
        <v>10</v>
      </c>
      <c r="G2371" s="19">
        <f t="shared" ref="G2371:G2434" si="178">D2371*9+E2371*4.1+F2371*4.1</f>
        <v>172</v>
      </c>
      <c r="H2371" s="22">
        <f t="shared" si="175"/>
        <v>2370</v>
      </c>
      <c r="I2371" s="21">
        <f t="shared" ca="1" si="176"/>
        <v>0</v>
      </c>
      <c r="J2371" s="21" t="str">
        <f ca="1">IF(I2371=0,"",COUNTIF($I$2:I2371,"&gt;0"))</f>
        <v/>
      </c>
      <c r="K2371" s="21" t="str">
        <f t="shared" ca="1" si="177"/>
        <v/>
      </c>
    </row>
    <row r="2372" spans="1:11" s="18" customFormat="1" ht="14.25" x14ac:dyDescent="0.2">
      <c r="A2372" s="18" t="str">
        <f t="shared" si="168"/>
        <v>Eintrag 2371</v>
      </c>
      <c r="B2372" s="18">
        <v>100</v>
      </c>
      <c r="C2372" s="19">
        <v>100</v>
      </c>
      <c r="D2372" s="20">
        <v>10</v>
      </c>
      <c r="E2372" s="20">
        <v>10</v>
      </c>
      <c r="F2372" s="20">
        <v>10</v>
      </c>
      <c r="G2372" s="19">
        <f t="shared" si="178"/>
        <v>172</v>
      </c>
      <c r="H2372" s="22">
        <f t="shared" si="175"/>
        <v>2371</v>
      </c>
      <c r="I2372" s="21">
        <f t="shared" ca="1" si="176"/>
        <v>0</v>
      </c>
      <c r="J2372" s="21" t="str">
        <f ca="1">IF(I2372=0,"",COUNTIF($I$2:I2372,"&gt;0"))</f>
        <v/>
      </c>
      <c r="K2372" s="21" t="str">
        <f t="shared" ca="1" si="177"/>
        <v/>
      </c>
    </row>
    <row r="2373" spans="1:11" s="18" customFormat="1" ht="14.25" x14ac:dyDescent="0.2">
      <c r="A2373" s="18" t="str">
        <f t="shared" ref="A2373:A2436" si="179">CONCATENATE("Eintrag ",H2373)</f>
        <v>Eintrag 2372</v>
      </c>
      <c r="B2373" s="18">
        <v>100</v>
      </c>
      <c r="C2373" s="19">
        <v>100</v>
      </c>
      <c r="D2373" s="20">
        <v>10</v>
      </c>
      <c r="E2373" s="20">
        <v>10</v>
      </c>
      <c r="F2373" s="20">
        <v>10</v>
      </c>
      <c r="G2373" s="19">
        <f t="shared" si="178"/>
        <v>172</v>
      </c>
      <c r="H2373" s="22">
        <f t="shared" si="175"/>
        <v>2372</v>
      </c>
      <c r="I2373" s="21">
        <f t="shared" ca="1" si="176"/>
        <v>0</v>
      </c>
      <c r="J2373" s="21" t="str">
        <f ca="1">IF(I2373=0,"",COUNTIF($I$2:I2373,"&gt;0"))</f>
        <v/>
      </c>
      <c r="K2373" s="21" t="str">
        <f t="shared" ca="1" si="177"/>
        <v/>
      </c>
    </row>
    <row r="2374" spans="1:11" s="18" customFormat="1" ht="14.25" x14ac:dyDescent="0.2">
      <c r="A2374" s="18" t="str">
        <f t="shared" si="179"/>
        <v>Eintrag 2373</v>
      </c>
      <c r="B2374" s="18">
        <v>100</v>
      </c>
      <c r="C2374" s="19">
        <v>100</v>
      </c>
      <c r="D2374" s="20">
        <v>10</v>
      </c>
      <c r="E2374" s="20">
        <v>10</v>
      </c>
      <c r="F2374" s="20">
        <v>10</v>
      </c>
      <c r="G2374" s="19">
        <f t="shared" si="178"/>
        <v>172</v>
      </c>
      <c r="H2374" s="22">
        <f t="shared" si="175"/>
        <v>2373</v>
      </c>
      <c r="I2374" s="21">
        <f t="shared" ca="1" si="176"/>
        <v>0</v>
      </c>
      <c r="J2374" s="21" t="str">
        <f ca="1">IF(I2374=0,"",COUNTIF($I$2:I2374,"&gt;0"))</f>
        <v/>
      </c>
      <c r="K2374" s="21" t="str">
        <f t="shared" ca="1" si="177"/>
        <v/>
      </c>
    </row>
    <row r="2375" spans="1:11" s="18" customFormat="1" ht="14.25" x14ac:dyDescent="0.2">
      <c r="A2375" s="18" t="str">
        <f t="shared" si="179"/>
        <v>Eintrag 2374</v>
      </c>
      <c r="B2375" s="18">
        <v>100</v>
      </c>
      <c r="C2375" s="19">
        <v>100</v>
      </c>
      <c r="D2375" s="20">
        <v>10</v>
      </c>
      <c r="E2375" s="20">
        <v>10</v>
      </c>
      <c r="F2375" s="20">
        <v>10</v>
      </c>
      <c r="G2375" s="19">
        <f t="shared" si="178"/>
        <v>172</v>
      </c>
      <c r="H2375" s="22">
        <f t="shared" si="175"/>
        <v>2374</v>
      </c>
      <c r="I2375" s="21">
        <f t="shared" ca="1" si="176"/>
        <v>0</v>
      </c>
      <c r="J2375" s="21" t="str">
        <f ca="1">IF(I2375=0,"",COUNTIF($I$2:I2375,"&gt;0"))</f>
        <v/>
      </c>
      <c r="K2375" s="21" t="str">
        <f t="shared" ca="1" si="177"/>
        <v/>
      </c>
    </row>
    <row r="2376" spans="1:11" s="18" customFormat="1" ht="14.25" x14ac:dyDescent="0.2">
      <c r="A2376" s="18" t="str">
        <f t="shared" si="179"/>
        <v>Eintrag 2375</v>
      </c>
      <c r="B2376" s="18">
        <v>100</v>
      </c>
      <c r="C2376" s="19">
        <v>100</v>
      </c>
      <c r="D2376" s="20">
        <v>10</v>
      </c>
      <c r="E2376" s="20">
        <v>10</v>
      </c>
      <c r="F2376" s="20">
        <v>10</v>
      </c>
      <c r="G2376" s="19">
        <f t="shared" si="178"/>
        <v>172</v>
      </c>
      <c r="H2376" s="22">
        <f t="shared" si="175"/>
        <v>2375</v>
      </c>
      <c r="I2376" s="21">
        <f t="shared" ca="1" si="176"/>
        <v>0</v>
      </c>
      <c r="J2376" s="21" t="str">
        <f ca="1">IF(I2376=0,"",COUNTIF($I$2:I2376,"&gt;0"))</f>
        <v/>
      </c>
      <c r="K2376" s="21" t="str">
        <f t="shared" ca="1" si="177"/>
        <v/>
      </c>
    </row>
    <row r="2377" spans="1:11" s="18" customFormat="1" ht="14.25" x14ac:dyDescent="0.2">
      <c r="A2377" s="18" t="str">
        <f t="shared" si="179"/>
        <v>Eintrag 2376</v>
      </c>
      <c r="B2377" s="18">
        <v>100</v>
      </c>
      <c r="C2377" s="19">
        <v>100</v>
      </c>
      <c r="D2377" s="20">
        <v>10</v>
      </c>
      <c r="E2377" s="20">
        <v>10</v>
      </c>
      <c r="F2377" s="20">
        <v>10</v>
      </c>
      <c r="G2377" s="19">
        <f t="shared" si="178"/>
        <v>172</v>
      </c>
      <c r="H2377" s="22">
        <f t="shared" si="175"/>
        <v>2376</v>
      </c>
      <c r="I2377" s="21">
        <f t="shared" ca="1" si="176"/>
        <v>0</v>
      </c>
      <c r="J2377" s="21" t="str">
        <f ca="1">IF(I2377=0,"",COUNTIF($I$2:I2377,"&gt;0"))</f>
        <v/>
      </c>
      <c r="K2377" s="21" t="str">
        <f t="shared" ca="1" si="177"/>
        <v/>
      </c>
    </row>
    <row r="2378" spans="1:11" s="18" customFormat="1" ht="14.25" x14ac:dyDescent="0.2">
      <c r="A2378" s="18" t="str">
        <f t="shared" si="179"/>
        <v>Eintrag 2377</v>
      </c>
      <c r="B2378" s="18">
        <v>100</v>
      </c>
      <c r="C2378" s="19">
        <v>100</v>
      </c>
      <c r="D2378" s="20">
        <v>10</v>
      </c>
      <c r="E2378" s="20">
        <v>10</v>
      </c>
      <c r="F2378" s="20">
        <v>10</v>
      </c>
      <c r="G2378" s="19">
        <f t="shared" si="178"/>
        <v>172</v>
      </c>
      <c r="H2378" s="22">
        <f t="shared" si="175"/>
        <v>2377</v>
      </c>
      <c r="I2378" s="21">
        <f t="shared" ca="1" si="176"/>
        <v>0</v>
      </c>
      <c r="J2378" s="21" t="str">
        <f ca="1">IF(I2378=0,"",COUNTIF($I$2:I2378,"&gt;0"))</f>
        <v/>
      </c>
      <c r="K2378" s="21" t="str">
        <f t="shared" ca="1" si="177"/>
        <v/>
      </c>
    </row>
    <row r="2379" spans="1:11" s="18" customFormat="1" ht="14.25" x14ac:dyDescent="0.2">
      <c r="A2379" s="18" t="str">
        <f t="shared" si="179"/>
        <v>Eintrag 2378</v>
      </c>
      <c r="B2379" s="18">
        <v>100</v>
      </c>
      <c r="C2379" s="19">
        <v>100</v>
      </c>
      <c r="D2379" s="20">
        <v>10</v>
      </c>
      <c r="E2379" s="20">
        <v>10</v>
      </c>
      <c r="F2379" s="20">
        <v>10</v>
      </c>
      <c r="G2379" s="19">
        <f t="shared" si="178"/>
        <v>172</v>
      </c>
      <c r="H2379" s="22">
        <f t="shared" si="175"/>
        <v>2378</v>
      </c>
      <c r="I2379" s="21">
        <f t="shared" ca="1" si="176"/>
        <v>0</v>
      </c>
      <c r="J2379" s="21" t="str">
        <f ca="1">IF(I2379=0,"",COUNTIF($I$2:I2379,"&gt;0"))</f>
        <v/>
      </c>
      <c r="K2379" s="21" t="str">
        <f t="shared" ca="1" si="177"/>
        <v/>
      </c>
    </row>
    <row r="2380" spans="1:11" s="18" customFormat="1" ht="14.25" x14ac:dyDescent="0.2">
      <c r="A2380" s="18" t="str">
        <f t="shared" si="179"/>
        <v>Eintrag 2379</v>
      </c>
      <c r="B2380" s="18">
        <v>100</v>
      </c>
      <c r="C2380" s="19">
        <v>100</v>
      </c>
      <c r="D2380" s="20">
        <v>10</v>
      </c>
      <c r="E2380" s="20">
        <v>10</v>
      </c>
      <c r="F2380" s="20">
        <v>10</v>
      </c>
      <c r="G2380" s="19">
        <f t="shared" si="178"/>
        <v>172</v>
      </c>
      <c r="H2380" s="22">
        <f t="shared" si="175"/>
        <v>2379</v>
      </c>
      <c r="I2380" s="21">
        <f t="shared" ca="1" si="176"/>
        <v>0</v>
      </c>
      <c r="J2380" s="21" t="str">
        <f ca="1">IF(I2380=0,"",COUNTIF($I$2:I2380,"&gt;0"))</f>
        <v/>
      </c>
      <c r="K2380" s="21" t="str">
        <f t="shared" ca="1" si="177"/>
        <v/>
      </c>
    </row>
    <row r="2381" spans="1:11" s="18" customFormat="1" ht="14.25" x14ac:dyDescent="0.2">
      <c r="A2381" s="18" t="str">
        <f t="shared" si="179"/>
        <v>Eintrag 2380</v>
      </c>
      <c r="B2381" s="18">
        <v>100</v>
      </c>
      <c r="C2381" s="19">
        <v>100</v>
      </c>
      <c r="D2381" s="20">
        <v>10</v>
      </c>
      <c r="E2381" s="20">
        <v>10</v>
      </c>
      <c r="F2381" s="20">
        <v>10</v>
      </c>
      <c r="G2381" s="19">
        <f t="shared" si="178"/>
        <v>172</v>
      </c>
      <c r="H2381" s="22">
        <f t="shared" si="175"/>
        <v>2380</v>
      </c>
      <c r="I2381" s="21">
        <f t="shared" ca="1" si="176"/>
        <v>0</v>
      </c>
      <c r="J2381" s="21" t="str">
        <f ca="1">IF(I2381=0,"",COUNTIF($I$2:I2381,"&gt;0"))</f>
        <v/>
      </c>
      <c r="K2381" s="21" t="str">
        <f t="shared" ca="1" si="177"/>
        <v/>
      </c>
    </row>
    <row r="2382" spans="1:11" s="18" customFormat="1" ht="14.25" x14ac:dyDescent="0.2">
      <c r="A2382" s="18" t="str">
        <f t="shared" si="179"/>
        <v>Eintrag 2381</v>
      </c>
      <c r="B2382" s="18">
        <v>100</v>
      </c>
      <c r="C2382" s="19">
        <v>100</v>
      </c>
      <c r="D2382" s="20">
        <v>10</v>
      </c>
      <c r="E2382" s="20">
        <v>10</v>
      </c>
      <c r="F2382" s="20">
        <v>10</v>
      </c>
      <c r="G2382" s="19">
        <f t="shared" si="178"/>
        <v>172</v>
      </c>
      <c r="H2382" s="22">
        <f t="shared" si="175"/>
        <v>2381</v>
      </c>
      <c r="I2382" s="21">
        <f t="shared" ca="1" si="176"/>
        <v>0</v>
      </c>
      <c r="J2382" s="21" t="str">
        <f ca="1">IF(I2382=0,"",COUNTIF($I$2:I2382,"&gt;0"))</f>
        <v/>
      </c>
      <c r="K2382" s="21" t="str">
        <f t="shared" ca="1" si="177"/>
        <v/>
      </c>
    </row>
    <row r="2383" spans="1:11" s="18" customFormat="1" ht="14.25" x14ac:dyDescent="0.2">
      <c r="A2383" s="18" t="str">
        <f t="shared" si="179"/>
        <v>Eintrag 2382</v>
      </c>
      <c r="B2383" s="18">
        <v>100</v>
      </c>
      <c r="C2383" s="19">
        <v>100</v>
      </c>
      <c r="D2383" s="20">
        <v>10</v>
      </c>
      <c r="E2383" s="20">
        <v>10</v>
      </c>
      <c r="F2383" s="20">
        <v>10</v>
      </c>
      <c r="G2383" s="19">
        <f t="shared" si="178"/>
        <v>172</v>
      </c>
      <c r="H2383" s="22">
        <f t="shared" si="175"/>
        <v>2382</v>
      </c>
      <c r="I2383" s="21">
        <f t="shared" ca="1" si="176"/>
        <v>0</v>
      </c>
      <c r="J2383" s="21" t="str">
        <f ca="1">IF(I2383=0,"",COUNTIF($I$2:I2383,"&gt;0"))</f>
        <v/>
      </c>
      <c r="K2383" s="21" t="str">
        <f t="shared" ca="1" si="177"/>
        <v/>
      </c>
    </row>
    <row r="2384" spans="1:11" s="18" customFormat="1" ht="14.25" x14ac:dyDescent="0.2">
      <c r="A2384" s="18" t="str">
        <f t="shared" si="179"/>
        <v>Eintrag 2383</v>
      </c>
      <c r="B2384" s="18">
        <v>100</v>
      </c>
      <c r="C2384" s="19">
        <v>100</v>
      </c>
      <c r="D2384" s="20">
        <v>10</v>
      </c>
      <c r="E2384" s="20">
        <v>10</v>
      </c>
      <c r="F2384" s="20">
        <v>10</v>
      </c>
      <c r="G2384" s="19">
        <f t="shared" si="178"/>
        <v>172</v>
      </c>
      <c r="H2384" s="22">
        <f t="shared" si="175"/>
        <v>2383</v>
      </c>
      <c r="I2384" s="21">
        <f t="shared" ca="1" si="176"/>
        <v>0</v>
      </c>
      <c r="J2384" s="21" t="str">
        <f ca="1">IF(I2384=0,"",COUNTIF($I$2:I2384,"&gt;0"))</f>
        <v/>
      </c>
      <c r="K2384" s="21" t="str">
        <f t="shared" ca="1" si="177"/>
        <v/>
      </c>
    </row>
    <row r="2385" spans="1:11" s="18" customFormat="1" ht="14.25" x14ac:dyDescent="0.2">
      <c r="A2385" s="18" t="str">
        <f t="shared" si="179"/>
        <v>Eintrag 2384</v>
      </c>
      <c r="B2385" s="18">
        <v>100</v>
      </c>
      <c r="C2385" s="19">
        <v>100</v>
      </c>
      <c r="D2385" s="20">
        <v>10</v>
      </c>
      <c r="E2385" s="20">
        <v>10</v>
      </c>
      <c r="F2385" s="20">
        <v>10</v>
      </c>
      <c r="G2385" s="19">
        <f t="shared" si="178"/>
        <v>172</v>
      </c>
      <c r="H2385" s="22">
        <f t="shared" si="175"/>
        <v>2384</v>
      </c>
      <c r="I2385" s="21">
        <f t="shared" ca="1" si="176"/>
        <v>0</v>
      </c>
      <c r="J2385" s="21" t="str">
        <f ca="1">IF(I2385=0,"",COUNTIF($I$2:I2385,"&gt;0"))</f>
        <v/>
      </c>
      <c r="K2385" s="21" t="str">
        <f t="shared" ca="1" si="177"/>
        <v/>
      </c>
    </row>
    <row r="2386" spans="1:11" s="18" customFormat="1" ht="14.25" x14ac:dyDescent="0.2">
      <c r="A2386" s="18" t="str">
        <f t="shared" si="179"/>
        <v>Eintrag 2385</v>
      </c>
      <c r="B2386" s="18">
        <v>100</v>
      </c>
      <c r="C2386" s="19">
        <v>100</v>
      </c>
      <c r="D2386" s="20">
        <v>10</v>
      </c>
      <c r="E2386" s="20">
        <v>10</v>
      </c>
      <c r="F2386" s="20">
        <v>10</v>
      </c>
      <c r="G2386" s="19">
        <f t="shared" si="178"/>
        <v>172</v>
      </c>
      <c r="H2386" s="22">
        <f t="shared" si="175"/>
        <v>2385</v>
      </c>
      <c r="I2386" s="21">
        <f t="shared" ca="1" si="176"/>
        <v>0</v>
      </c>
      <c r="J2386" s="21" t="str">
        <f ca="1">IF(I2386=0,"",COUNTIF($I$2:I2386,"&gt;0"))</f>
        <v/>
      </c>
      <c r="K2386" s="21" t="str">
        <f t="shared" ca="1" si="177"/>
        <v/>
      </c>
    </row>
    <row r="2387" spans="1:11" s="18" customFormat="1" ht="14.25" x14ac:dyDescent="0.2">
      <c r="A2387" s="18" t="str">
        <f t="shared" si="179"/>
        <v>Eintrag 2386</v>
      </c>
      <c r="B2387" s="18">
        <v>100</v>
      </c>
      <c r="C2387" s="19">
        <v>100</v>
      </c>
      <c r="D2387" s="20">
        <v>10</v>
      </c>
      <c r="E2387" s="20">
        <v>10</v>
      </c>
      <c r="F2387" s="20">
        <v>10</v>
      </c>
      <c r="G2387" s="19">
        <f t="shared" si="178"/>
        <v>172</v>
      </c>
      <c r="H2387" s="22">
        <f t="shared" si="175"/>
        <v>2386</v>
      </c>
      <c r="I2387" s="21">
        <f t="shared" ca="1" si="176"/>
        <v>0</v>
      </c>
      <c r="J2387" s="21" t="str">
        <f ca="1">IF(I2387=0,"",COUNTIF($I$2:I2387,"&gt;0"))</f>
        <v/>
      </c>
      <c r="K2387" s="21" t="str">
        <f t="shared" ca="1" si="177"/>
        <v/>
      </c>
    </row>
    <row r="2388" spans="1:11" s="18" customFormat="1" ht="14.25" x14ac:dyDescent="0.2">
      <c r="A2388" s="18" t="str">
        <f t="shared" si="179"/>
        <v>Eintrag 2387</v>
      </c>
      <c r="B2388" s="18">
        <v>100</v>
      </c>
      <c r="C2388" s="19">
        <v>100</v>
      </c>
      <c r="D2388" s="20">
        <v>10</v>
      </c>
      <c r="E2388" s="20">
        <v>10</v>
      </c>
      <c r="F2388" s="20">
        <v>10</v>
      </c>
      <c r="G2388" s="19">
        <f t="shared" si="178"/>
        <v>172</v>
      </c>
      <c r="H2388" s="22">
        <f t="shared" si="175"/>
        <v>2387</v>
      </c>
      <c r="I2388" s="21">
        <f t="shared" ca="1" si="176"/>
        <v>0</v>
      </c>
      <c r="J2388" s="21" t="str">
        <f ca="1">IF(I2388=0,"",COUNTIF($I$2:I2388,"&gt;0"))</f>
        <v/>
      </c>
      <c r="K2388" s="21" t="str">
        <f t="shared" ca="1" si="177"/>
        <v/>
      </c>
    </row>
    <row r="2389" spans="1:11" s="18" customFormat="1" ht="14.25" x14ac:dyDescent="0.2">
      <c r="A2389" s="18" t="str">
        <f t="shared" si="179"/>
        <v>Eintrag 2388</v>
      </c>
      <c r="B2389" s="18">
        <v>100</v>
      </c>
      <c r="C2389" s="19">
        <v>100</v>
      </c>
      <c r="D2389" s="20">
        <v>10</v>
      </c>
      <c r="E2389" s="20">
        <v>10</v>
      </c>
      <c r="F2389" s="20">
        <v>10</v>
      </c>
      <c r="G2389" s="19">
        <f t="shared" si="178"/>
        <v>172</v>
      </c>
      <c r="H2389" s="22">
        <f t="shared" si="175"/>
        <v>2388</v>
      </c>
      <c r="I2389" s="21">
        <f t="shared" ca="1" si="176"/>
        <v>0</v>
      </c>
      <c r="J2389" s="21" t="str">
        <f ca="1">IF(I2389=0,"",COUNTIF($I$2:I2389,"&gt;0"))</f>
        <v/>
      </c>
      <c r="K2389" s="21" t="str">
        <f t="shared" ca="1" si="177"/>
        <v/>
      </c>
    </row>
    <row r="2390" spans="1:11" s="18" customFormat="1" ht="14.25" x14ac:dyDescent="0.2">
      <c r="A2390" s="18" t="str">
        <f t="shared" si="179"/>
        <v>Eintrag 2389</v>
      </c>
      <c r="B2390" s="18">
        <v>100</v>
      </c>
      <c r="C2390" s="19">
        <v>100</v>
      </c>
      <c r="D2390" s="20">
        <v>10</v>
      </c>
      <c r="E2390" s="20">
        <v>10</v>
      </c>
      <c r="F2390" s="20">
        <v>10</v>
      </c>
      <c r="G2390" s="19">
        <f t="shared" si="178"/>
        <v>172</v>
      </c>
      <c r="H2390" s="22">
        <f t="shared" si="175"/>
        <v>2389</v>
      </c>
      <c r="I2390" s="21">
        <f t="shared" ca="1" si="176"/>
        <v>0</v>
      </c>
      <c r="J2390" s="21" t="str">
        <f ca="1">IF(I2390=0,"",COUNTIF($I$2:I2390,"&gt;0"))</f>
        <v/>
      </c>
      <c r="K2390" s="21" t="str">
        <f t="shared" ca="1" si="177"/>
        <v/>
      </c>
    </row>
    <row r="2391" spans="1:11" s="18" customFormat="1" ht="14.25" x14ac:dyDescent="0.2">
      <c r="A2391" s="18" t="str">
        <f t="shared" si="179"/>
        <v>Eintrag 2390</v>
      </c>
      <c r="B2391" s="18">
        <v>100</v>
      </c>
      <c r="C2391" s="19">
        <v>100</v>
      </c>
      <c r="D2391" s="20">
        <v>10</v>
      </c>
      <c r="E2391" s="20">
        <v>10</v>
      </c>
      <c r="F2391" s="20">
        <v>10</v>
      </c>
      <c r="G2391" s="19">
        <f t="shared" si="178"/>
        <v>172</v>
      </c>
      <c r="H2391" s="22">
        <f t="shared" si="175"/>
        <v>2390</v>
      </c>
      <c r="I2391" s="21">
        <f t="shared" ca="1" si="176"/>
        <v>0</v>
      </c>
      <c r="J2391" s="21" t="str">
        <f ca="1">IF(I2391=0,"",COUNTIF($I$2:I2391,"&gt;0"))</f>
        <v/>
      </c>
      <c r="K2391" s="21" t="str">
        <f t="shared" ca="1" si="177"/>
        <v/>
      </c>
    </row>
    <row r="2392" spans="1:11" s="18" customFormat="1" ht="14.25" x14ac:dyDescent="0.2">
      <c r="A2392" s="18" t="str">
        <f t="shared" si="179"/>
        <v>Eintrag 2391</v>
      </c>
      <c r="B2392" s="18">
        <v>100</v>
      </c>
      <c r="C2392" s="19">
        <v>100</v>
      </c>
      <c r="D2392" s="20">
        <v>10</v>
      </c>
      <c r="E2392" s="20">
        <v>10</v>
      </c>
      <c r="F2392" s="20">
        <v>10</v>
      </c>
      <c r="G2392" s="19">
        <f t="shared" si="178"/>
        <v>172</v>
      </c>
      <c r="H2392" s="22">
        <f t="shared" si="175"/>
        <v>2391</v>
      </c>
      <c r="I2392" s="21">
        <f t="shared" ca="1" si="176"/>
        <v>0</v>
      </c>
      <c r="J2392" s="21" t="str">
        <f ca="1">IF(I2392=0,"",COUNTIF($I$2:I2392,"&gt;0"))</f>
        <v/>
      </c>
      <c r="K2392" s="21" t="str">
        <f t="shared" ca="1" si="177"/>
        <v/>
      </c>
    </row>
    <row r="2393" spans="1:11" s="18" customFormat="1" ht="14.25" x14ac:dyDescent="0.2">
      <c r="A2393" s="18" t="str">
        <f t="shared" si="179"/>
        <v>Eintrag 2392</v>
      </c>
      <c r="B2393" s="18">
        <v>100</v>
      </c>
      <c r="C2393" s="19">
        <v>100</v>
      </c>
      <c r="D2393" s="20">
        <v>10</v>
      </c>
      <c r="E2393" s="20">
        <v>10</v>
      </c>
      <c r="F2393" s="20">
        <v>10</v>
      </c>
      <c r="G2393" s="19">
        <f t="shared" si="178"/>
        <v>172</v>
      </c>
      <c r="H2393" s="22">
        <f t="shared" si="175"/>
        <v>2392</v>
      </c>
      <c r="I2393" s="21">
        <f t="shared" ca="1" si="176"/>
        <v>0</v>
      </c>
      <c r="J2393" s="21" t="str">
        <f ca="1">IF(I2393=0,"",COUNTIF($I$2:I2393,"&gt;0"))</f>
        <v/>
      </c>
      <c r="K2393" s="21" t="str">
        <f t="shared" ca="1" si="177"/>
        <v/>
      </c>
    </row>
    <row r="2394" spans="1:11" s="18" customFormat="1" ht="14.25" x14ac:dyDescent="0.2">
      <c r="A2394" s="18" t="str">
        <f t="shared" si="179"/>
        <v>Eintrag 2393</v>
      </c>
      <c r="B2394" s="18">
        <v>100</v>
      </c>
      <c r="C2394" s="19">
        <v>100</v>
      </c>
      <c r="D2394" s="20">
        <v>10</v>
      </c>
      <c r="E2394" s="20">
        <v>10</v>
      </c>
      <c r="F2394" s="20">
        <v>10</v>
      </c>
      <c r="G2394" s="19">
        <f t="shared" si="178"/>
        <v>172</v>
      </c>
      <c r="H2394" s="22">
        <f t="shared" si="175"/>
        <v>2393</v>
      </c>
      <c r="I2394" s="21">
        <f t="shared" ca="1" si="176"/>
        <v>0</v>
      </c>
      <c r="J2394" s="21" t="str">
        <f ca="1">IF(I2394=0,"",COUNTIF($I$2:I2394,"&gt;0"))</f>
        <v/>
      </c>
      <c r="K2394" s="21" t="str">
        <f t="shared" ca="1" si="177"/>
        <v/>
      </c>
    </row>
    <row r="2395" spans="1:11" s="18" customFormat="1" ht="14.25" x14ac:dyDescent="0.2">
      <c r="A2395" s="18" t="str">
        <f t="shared" si="179"/>
        <v>Eintrag 2394</v>
      </c>
      <c r="B2395" s="18">
        <v>100</v>
      </c>
      <c r="C2395" s="19">
        <v>100</v>
      </c>
      <c r="D2395" s="20">
        <v>10</v>
      </c>
      <c r="E2395" s="20">
        <v>10</v>
      </c>
      <c r="F2395" s="20">
        <v>10</v>
      </c>
      <c r="G2395" s="19">
        <f t="shared" si="178"/>
        <v>172</v>
      </c>
      <c r="H2395" s="22">
        <f t="shared" si="175"/>
        <v>2394</v>
      </c>
      <c r="I2395" s="21">
        <f t="shared" ca="1" si="176"/>
        <v>0</v>
      </c>
      <c r="J2395" s="21" t="str">
        <f ca="1">IF(I2395=0,"",COUNTIF($I$2:I2395,"&gt;0"))</f>
        <v/>
      </c>
      <c r="K2395" s="21" t="str">
        <f t="shared" ca="1" si="177"/>
        <v/>
      </c>
    </row>
    <row r="2396" spans="1:11" s="18" customFormat="1" ht="14.25" x14ac:dyDescent="0.2">
      <c r="A2396" s="18" t="str">
        <f t="shared" si="179"/>
        <v>Eintrag 2395</v>
      </c>
      <c r="B2396" s="18">
        <v>100</v>
      </c>
      <c r="C2396" s="19">
        <v>100</v>
      </c>
      <c r="D2396" s="20">
        <v>10</v>
      </c>
      <c r="E2396" s="20">
        <v>10</v>
      </c>
      <c r="F2396" s="20">
        <v>10</v>
      </c>
      <c r="G2396" s="19">
        <f t="shared" si="178"/>
        <v>172</v>
      </c>
      <c r="H2396" s="22">
        <f t="shared" si="175"/>
        <v>2395</v>
      </c>
      <c r="I2396" s="21">
        <f t="shared" ca="1" si="176"/>
        <v>0</v>
      </c>
      <c r="J2396" s="21" t="str">
        <f ca="1">IF(I2396=0,"",COUNTIF($I$2:I2396,"&gt;0"))</f>
        <v/>
      </c>
      <c r="K2396" s="21" t="str">
        <f t="shared" ca="1" si="177"/>
        <v/>
      </c>
    </row>
    <row r="2397" spans="1:11" s="18" customFormat="1" ht="14.25" x14ac:dyDescent="0.2">
      <c r="A2397" s="18" t="str">
        <f t="shared" si="179"/>
        <v>Eintrag 2396</v>
      </c>
      <c r="B2397" s="18">
        <v>100</v>
      </c>
      <c r="C2397" s="19">
        <v>100</v>
      </c>
      <c r="D2397" s="20">
        <v>10</v>
      </c>
      <c r="E2397" s="20">
        <v>10</v>
      </c>
      <c r="F2397" s="20">
        <v>10</v>
      </c>
      <c r="G2397" s="19">
        <f t="shared" si="178"/>
        <v>172</v>
      </c>
      <c r="H2397" s="22">
        <f t="shared" si="175"/>
        <v>2396</v>
      </c>
      <c r="I2397" s="21">
        <f t="shared" ca="1" si="176"/>
        <v>0</v>
      </c>
      <c r="J2397" s="21" t="str">
        <f ca="1">IF(I2397=0,"",COUNTIF($I$2:I2397,"&gt;0"))</f>
        <v/>
      </c>
      <c r="K2397" s="21" t="str">
        <f t="shared" ca="1" si="177"/>
        <v/>
      </c>
    </row>
    <row r="2398" spans="1:11" s="18" customFormat="1" ht="14.25" x14ac:dyDescent="0.2">
      <c r="A2398" s="18" t="str">
        <f t="shared" si="179"/>
        <v>Eintrag 2397</v>
      </c>
      <c r="B2398" s="18">
        <v>100</v>
      </c>
      <c r="C2398" s="19">
        <v>100</v>
      </c>
      <c r="D2398" s="20">
        <v>10</v>
      </c>
      <c r="E2398" s="20">
        <v>10</v>
      </c>
      <c r="F2398" s="20">
        <v>10</v>
      </c>
      <c r="G2398" s="19">
        <f t="shared" si="178"/>
        <v>172</v>
      </c>
      <c r="H2398" s="22">
        <f t="shared" si="175"/>
        <v>2397</v>
      </c>
      <c r="I2398" s="21">
        <f t="shared" ca="1" si="176"/>
        <v>0</v>
      </c>
      <c r="J2398" s="21" t="str">
        <f ca="1">IF(I2398=0,"",COUNTIF($I$2:I2398,"&gt;0"))</f>
        <v/>
      </c>
      <c r="K2398" s="21" t="str">
        <f t="shared" ca="1" si="177"/>
        <v/>
      </c>
    </row>
    <row r="2399" spans="1:11" s="18" customFormat="1" ht="14.25" x14ac:dyDescent="0.2">
      <c r="A2399" s="18" t="str">
        <f t="shared" si="179"/>
        <v>Eintrag 2398</v>
      </c>
      <c r="B2399" s="18">
        <v>100</v>
      </c>
      <c r="C2399" s="19">
        <v>100</v>
      </c>
      <c r="D2399" s="20">
        <v>10</v>
      </c>
      <c r="E2399" s="20">
        <v>10</v>
      </c>
      <c r="F2399" s="20">
        <v>10</v>
      </c>
      <c r="G2399" s="19">
        <f t="shared" si="178"/>
        <v>172</v>
      </c>
      <c r="H2399" s="22">
        <f t="shared" si="175"/>
        <v>2398</v>
      </c>
      <c r="I2399" s="21">
        <f t="shared" ca="1" si="176"/>
        <v>0</v>
      </c>
      <c r="J2399" s="21" t="str">
        <f ca="1">IF(I2399=0,"",COUNTIF($I$2:I2399,"&gt;0"))</f>
        <v/>
      </c>
      <c r="K2399" s="21" t="str">
        <f t="shared" ca="1" si="177"/>
        <v/>
      </c>
    </row>
    <row r="2400" spans="1:11" s="18" customFormat="1" ht="14.25" x14ac:dyDescent="0.2">
      <c r="A2400" s="18" t="str">
        <f t="shared" si="179"/>
        <v>Eintrag 2399</v>
      </c>
      <c r="B2400" s="18">
        <v>100</v>
      </c>
      <c r="C2400" s="19">
        <v>100</v>
      </c>
      <c r="D2400" s="20">
        <v>10</v>
      </c>
      <c r="E2400" s="20">
        <v>10</v>
      </c>
      <c r="F2400" s="20">
        <v>10</v>
      </c>
      <c r="G2400" s="19">
        <f t="shared" si="178"/>
        <v>172</v>
      </c>
      <c r="H2400" s="22">
        <f t="shared" si="175"/>
        <v>2399</v>
      </c>
      <c r="I2400" s="21">
        <f t="shared" ca="1" si="176"/>
        <v>0</v>
      </c>
      <c r="J2400" s="21" t="str">
        <f ca="1">IF(I2400=0,"",COUNTIF($I$2:I2400,"&gt;0"))</f>
        <v/>
      </c>
      <c r="K2400" s="21" t="str">
        <f t="shared" ca="1" si="177"/>
        <v/>
      </c>
    </row>
    <row r="2401" spans="1:11" s="18" customFormat="1" ht="14.25" x14ac:dyDescent="0.2">
      <c r="A2401" s="18" t="str">
        <f t="shared" si="179"/>
        <v>Eintrag 2400</v>
      </c>
      <c r="B2401" s="18">
        <v>100</v>
      </c>
      <c r="C2401" s="19">
        <v>100</v>
      </c>
      <c r="D2401" s="20">
        <v>10</v>
      </c>
      <c r="E2401" s="20">
        <v>10</v>
      </c>
      <c r="F2401" s="20">
        <v>10</v>
      </c>
      <c r="G2401" s="19">
        <f t="shared" si="178"/>
        <v>172</v>
      </c>
      <c r="H2401" s="22">
        <f t="shared" si="175"/>
        <v>2400</v>
      </c>
      <c r="I2401" s="21">
        <f t="shared" ca="1" si="176"/>
        <v>0</v>
      </c>
      <c r="J2401" s="21" t="str">
        <f ca="1">IF(I2401=0,"",COUNTIF($I$2:I2401,"&gt;0"))</f>
        <v/>
      </c>
      <c r="K2401" s="21" t="str">
        <f t="shared" ca="1" si="177"/>
        <v/>
      </c>
    </row>
    <row r="2402" spans="1:11" s="18" customFormat="1" ht="14.25" x14ac:dyDescent="0.2">
      <c r="A2402" s="18" t="str">
        <f t="shared" si="179"/>
        <v>Eintrag 2401</v>
      </c>
      <c r="B2402" s="18">
        <v>100</v>
      </c>
      <c r="C2402" s="19">
        <v>100</v>
      </c>
      <c r="D2402" s="20">
        <v>10</v>
      </c>
      <c r="E2402" s="20">
        <v>10</v>
      </c>
      <c r="F2402" s="20">
        <v>10</v>
      </c>
      <c r="G2402" s="19">
        <f t="shared" si="178"/>
        <v>172</v>
      </c>
      <c r="H2402" s="22">
        <f t="shared" si="175"/>
        <v>2401</v>
      </c>
      <c r="I2402" s="21">
        <f t="shared" ca="1" si="176"/>
        <v>0</v>
      </c>
      <c r="J2402" s="21" t="str">
        <f ca="1">IF(I2402=0,"",COUNTIF($I$2:I2402,"&gt;0"))</f>
        <v/>
      </c>
      <c r="K2402" s="21" t="str">
        <f t="shared" ca="1" si="177"/>
        <v/>
      </c>
    </row>
    <row r="2403" spans="1:11" s="18" customFormat="1" ht="14.25" x14ac:dyDescent="0.2">
      <c r="A2403" s="18" t="str">
        <f t="shared" si="179"/>
        <v>Eintrag 2402</v>
      </c>
      <c r="B2403" s="18">
        <v>100</v>
      </c>
      <c r="C2403" s="19">
        <v>100</v>
      </c>
      <c r="D2403" s="20">
        <v>10</v>
      </c>
      <c r="E2403" s="20">
        <v>10</v>
      </c>
      <c r="F2403" s="20">
        <v>10</v>
      </c>
      <c r="G2403" s="19">
        <f t="shared" si="178"/>
        <v>172</v>
      </c>
      <c r="H2403" s="22">
        <f t="shared" si="175"/>
        <v>2402</v>
      </c>
      <c r="I2403" s="21">
        <f t="shared" ca="1" si="176"/>
        <v>0</v>
      </c>
      <c r="J2403" s="21" t="str">
        <f ca="1">IF(I2403=0,"",COUNTIF($I$2:I2403,"&gt;0"))</f>
        <v/>
      </c>
      <c r="K2403" s="21" t="str">
        <f t="shared" ca="1" si="177"/>
        <v/>
      </c>
    </row>
    <row r="2404" spans="1:11" s="18" customFormat="1" ht="14.25" x14ac:dyDescent="0.2">
      <c r="A2404" s="18" t="str">
        <f t="shared" si="179"/>
        <v>Eintrag 2403</v>
      </c>
      <c r="B2404" s="18">
        <v>100</v>
      </c>
      <c r="C2404" s="19">
        <v>100</v>
      </c>
      <c r="D2404" s="20">
        <v>10</v>
      </c>
      <c r="E2404" s="20">
        <v>10</v>
      </c>
      <c r="F2404" s="20">
        <v>10</v>
      </c>
      <c r="G2404" s="19">
        <f t="shared" si="178"/>
        <v>172</v>
      </c>
      <c r="H2404" s="22">
        <f t="shared" si="175"/>
        <v>2403</v>
      </c>
      <c r="I2404" s="21">
        <f t="shared" ca="1" si="176"/>
        <v>0</v>
      </c>
      <c r="J2404" s="21" t="str">
        <f ca="1">IF(I2404=0,"",COUNTIF($I$2:I2404,"&gt;0"))</f>
        <v/>
      </c>
      <c r="K2404" s="21" t="str">
        <f t="shared" ca="1" si="177"/>
        <v/>
      </c>
    </row>
    <row r="2405" spans="1:11" s="18" customFormat="1" ht="14.25" x14ac:dyDescent="0.2">
      <c r="A2405" s="18" t="str">
        <f t="shared" si="179"/>
        <v>Eintrag 2404</v>
      </c>
      <c r="B2405" s="18">
        <v>100</v>
      </c>
      <c r="C2405" s="19">
        <v>100</v>
      </c>
      <c r="D2405" s="20">
        <v>10</v>
      </c>
      <c r="E2405" s="20">
        <v>10</v>
      </c>
      <c r="F2405" s="20">
        <v>10</v>
      </c>
      <c r="G2405" s="19">
        <f t="shared" si="178"/>
        <v>172</v>
      </c>
      <c r="H2405" s="22">
        <f t="shared" ref="H2405:H2468" si="180">H2404+1</f>
        <v>2404</v>
      </c>
      <c r="I2405" s="21">
        <f t="shared" ca="1" si="176"/>
        <v>0</v>
      </c>
      <c r="J2405" s="21" t="str">
        <f ca="1">IF(I2405=0,"",COUNTIF($I$2:I2405,"&gt;0"))</f>
        <v/>
      </c>
      <c r="K2405" s="21" t="str">
        <f t="shared" ca="1" si="177"/>
        <v/>
      </c>
    </row>
    <row r="2406" spans="1:11" s="18" customFormat="1" ht="14.25" x14ac:dyDescent="0.2">
      <c r="A2406" s="18" t="str">
        <f t="shared" si="179"/>
        <v>Eintrag 2405</v>
      </c>
      <c r="B2406" s="18">
        <v>100</v>
      </c>
      <c r="C2406" s="19">
        <v>100</v>
      </c>
      <c r="D2406" s="20">
        <v>10</v>
      </c>
      <c r="E2406" s="20">
        <v>10</v>
      </c>
      <c r="F2406" s="20">
        <v>10</v>
      </c>
      <c r="G2406" s="19">
        <f t="shared" si="178"/>
        <v>172</v>
      </c>
      <c r="H2406" s="22">
        <f t="shared" si="180"/>
        <v>2405</v>
      </c>
      <c r="I2406" s="21">
        <f t="shared" ca="1" si="176"/>
        <v>0</v>
      </c>
      <c r="J2406" s="21" t="str">
        <f ca="1">IF(I2406=0,"",COUNTIF($I$2:I2406,"&gt;0"))</f>
        <v/>
      </c>
      <c r="K2406" s="21" t="str">
        <f t="shared" ca="1" si="177"/>
        <v/>
      </c>
    </row>
    <row r="2407" spans="1:11" s="18" customFormat="1" ht="14.25" x14ac:dyDescent="0.2">
      <c r="A2407" s="18" t="str">
        <f t="shared" si="179"/>
        <v>Eintrag 2406</v>
      </c>
      <c r="B2407" s="18">
        <v>100</v>
      </c>
      <c r="C2407" s="19">
        <v>100</v>
      </c>
      <c r="D2407" s="20">
        <v>10</v>
      </c>
      <c r="E2407" s="20">
        <v>10</v>
      </c>
      <c r="F2407" s="20">
        <v>10</v>
      </c>
      <c r="G2407" s="19">
        <f t="shared" si="178"/>
        <v>172</v>
      </c>
      <c r="H2407" s="22">
        <f t="shared" si="180"/>
        <v>2406</v>
      </c>
      <c r="I2407" s="21">
        <f t="shared" ca="1" si="176"/>
        <v>0</v>
      </c>
      <c r="J2407" s="21" t="str">
        <f ca="1">IF(I2407=0,"",COUNTIF($I$2:I2407,"&gt;0"))</f>
        <v/>
      </c>
      <c r="K2407" s="21" t="str">
        <f t="shared" ca="1" si="177"/>
        <v/>
      </c>
    </row>
    <row r="2408" spans="1:11" s="18" customFormat="1" ht="14.25" x14ac:dyDescent="0.2">
      <c r="A2408" s="18" t="str">
        <f t="shared" si="179"/>
        <v>Eintrag 2407</v>
      </c>
      <c r="B2408" s="18">
        <v>100</v>
      </c>
      <c r="C2408" s="19">
        <v>100</v>
      </c>
      <c r="D2408" s="20">
        <v>10</v>
      </c>
      <c r="E2408" s="20">
        <v>10</v>
      </c>
      <c r="F2408" s="20">
        <v>10</v>
      </c>
      <c r="G2408" s="19">
        <f t="shared" si="178"/>
        <v>172</v>
      </c>
      <c r="H2408" s="22">
        <f t="shared" si="180"/>
        <v>2407</v>
      </c>
      <c r="I2408" s="21">
        <f t="shared" ca="1" si="176"/>
        <v>0</v>
      </c>
      <c r="J2408" s="21" t="str">
        <f ca="1">IF(I2408=0,"",COUNTIF($I$2:I2408,"&gt;0"))</f>
        <v/>
      </c>
      <c r="K2408" s="21" t="str">
        <f t="shared" ca="1" si="177"/>
        <v/>
      </c>
    </row>
    <row r="2409" spans="1:11" s="18" customFormat="1" ht="14.25" x14ac:dyDescent="0.2">
      <c r="A2409" s="18" t="str">
        <f t="shared" si="179"/>
        <v>Eintrag 2408</v>
      </c>
      <c r="B2409" s="18">
        <v>100</v>
      </c>
      <c r="C2409" s="19">
        <v>100</v>
      </c>
      <c r="D2409" s="20">
        <v>10</v>
      </c>
      <c r="E2409" s="20">
        <v>10</v>
      </c>
      <c r="F2409" s="20">
        <v>10</v>
      </c>
      <c r="G2409" s="19">
        <f t="shared" si="178"/>
        <v>172</v>
      </c>
      <c r="H2409" s="22">
        <f t="shared" si="180"/>
        <v>2408</v>
      </c>
      <c r="I2409" s="21">
        <f t="shared" ca="1" si="176"/>
        <v>0</v>
      </c>
      <c r="J2409" s="21" t="str">
        <f ca="1">IF(I2409=0,"",COUNTIF($I$2:I2409,"&gt;0"))</f>
        <v/>
      </c>
      <c r="K2409" s="21" t="str">
        <f t="shared" ca="1" si="177"/>
        <v/>
      </c>
    </row>
    <row r="2410" spans="1:11" s="18" customFormat="1" ht="14.25" x14ac:dyDescent="0.2">
      <c r="A2410" s="18" t="str">
        <f t="shared" si="179"/>
        <v>Eintrag 2409</v>
      </c>
      <c r="B2410" s="18">
        <v>100</v>
      </c>
      <c r="C2410" s="19">
        <v>100</v>
      </c>
      <c r="D2410" s="20">
        <v>10</v>
      </c>
      <c r="E2410" s="20">
        <v>10</v>
      </c>
      <c r="F2410" s="20">
        <v>10</v>
      </c>
      <c r="G2410" s="19">
        <f t="shared" si="178"/>
        <v>172</v>
      </c>
      <c r="H2410" s="22">
        <f t="shared" si="180"/>
        <v>2409</v>
      </c>
      <c r="I2410" s="21">
        <f t="shared" ca="1" si="176"/>
        <v>0</v>
      </c>
      <c r="J2410" s="21" t="str">
        <f ca="1">IF(I2410=0,"",COUNTIF($I$2:I2410,"&gt;0"))</f>
        <v/>
      </c>
      <c r="K2410" s="21" t="str">
        <f t="shared" ca="1" si="177"/>
        <v/>
      </c>
    </row>
    <row r="2411" spans="1:11" s="18" customFormat="1" ht="14.25" x14ac:dyDescent="0.2">
      <c r="A2411" s="18" t="str">
        <f t="shared" si="179"/>
        <v>Eintrag 2410</v>
      </c>
      <c r="B2411" s="18">
        <v>100</v>
      </c>
      <c r="C2411" s="19">
        <v>100</v>
      </c>
      <c r="D2411" s="20">
        <v>10</v>
      </c>
      <c r="E2411" s="20">
        <v>10</v>
      </c>
      <c r="F2411" s="20">
        <v>10</v>
      </c>
      <c r="G2411" s="19">
        <f t="shared" si="178"/>
        <v>172</v>
      </c>
      <c r="H2411" s="22">
        <f t="shared" si="180"/>
        <v>2410</v>
      </c>
      <c r="I2411" s="21">
        <f t="shared" ca="1" si="176"/>
        <v>0</v>
      </c>
      <c r="J2411" s="21" t="str">
        <f ca="1">IF(I2411=0,"",COUNTIF($I$2:I2411,"&gt;0"))</f>
        <v/>
      </c>
      <c r="K2411" s="21" t="str">
        <f t="shared" ca="1" si="177"/>
        <v/>
      </c>
    </row>
    <row r="2412" spans="1:11" s="18" customFormat="1" ht="14.25" x14ac:dyDescent="0.2">
      <c r="A2412" s="18" t="str">
        <f t="shared" si="179"/>
        <v>Eintrag 2411</v>
      </c>
      <c r="B2412" s="18">
        <v>100</v>
      </c>
      <c r="C2412" s="19">
        <v>100</v>
      </c>
      <c r="D2412" s="20">
        <v>10</v>
      </c>
      <c r="E2412" s="20">
        <v>10</v>
      </c>
      <c r="F2412" s="20">
        <v>10</v>
      </c>
      <c r="G2412" s="19">
        <f t="shared" si="178"/>
        <v>172</v>
      </c>
      <c r="H2412" s="22">
        <f t="shared" si="180"/>
        <v>2411</v>
      </c>
      <c r="I2412" s="21">
        <f t="shared" ca="1" si="176"/>
        <v>0</v>
      </c>
      <c r="J2412" s="21" t="str">
        <f ca="1">IF(I2412=0,"",COUNTIF($I$2:I2412,"&gt;0"))</f>
        <v/>
      </c>
      <c r="K2412" s="21" t="str">
        <f t="shared" ca="1" si="177"/>
        <v/>
      </c>
    </row>
    <row r="2413" spans="1:11" s="18" customFormat="1" ht="14.25" x14ac:dyDescent="0.2">
      <c r="A2413" s="18" t="str">
        <f t="shared" si="179"/>
        <v>Eintrag 2412</v>
      </c>
      <c r="B2413" s="18">
        <v>100</v>
      </c>
      <c r="C2413" s="19">
        <v>100</v>
      </c>
      <c r="D2413" s="20">
        <v>10</v>
      </c>
      <c r="E2413" s="20">
        <v>10</v>
      </c>
      <c r="F2413" s="20">
        <v>10</v>
      </c>
      <c r="G2413" s="19">
        <f t="shared" si="178"/>
        <v>172</v>
      </c>
      <c r="H2413" s="22">
        <f t="shared" si="180"/>
        <v>2412</v>
      </c>
      <c r="I2413" s="21">
        <f t="shared" ca="1" si="176"/>
        <v>0</v>
      </c>
      <c r="J2413" s="21" t="str">
        <f ca="1">IF(I2413=0,"",COUNTIF($I$2:I2413,"&gt;0"))</f>
        <v/>
      </c>
      <c r="K2413" s="21" t="str">
        <f t="shared" ca="1" si="177"/>
        <v/>
      </c>
    </row>
    <row r="2414" spans="1:11" s="18" customFormat="1" ht="14.25" x14ac:dyDescent="0.2">
      <c r="A2414" s="18" t="str">
        <f t="shared" si="179"/>
        <v>Eintrag 2413</v>
      </c>
      <c r="B2414" s="18">
        <v>100</v>
      </c>
      <c r="C2414" s="19">
        <v>100</v>
      </c>
      <c r="D2414" s="20">
        <v>10</v>
      </c>
      <c r="E2414" s="20">
        <v>10</v>
      </c>
      <c r="F2414" s="20">
        <v>10</v>
      </c>
      <c r="G2414" s="19">
        <f t="shared" si="178"/>
        <v>172</v>
      </c>
      <c r="H2414" s="22">
        <f t="shared" si="180"/>
        <v>2413</v>
      </c>
      <c r="I2414" s="21">
        <f t="shared" ca="1" si="176"/>
        <v>0</v>
      </c>
      <c r="J2414" s="21" t="str">
        <f ca="1">IF(I2414=0,"",COUNTIF($I$2:I2414,"&gt;0"))</f>
        <v/>
      </c>
      <c r="K2414" s="21" t="str">
        <f t="shared" ca="1" si="177"/>
        <v/>
      </c>
    </row>
    <row r="2415" spans="1:11" s="18" customFormat="1" ht="14.25" x14ac:dyDescent="0.2">
      <c r="A2415" s="18" t="str">
        <f t="shared" si="179"/>
        <v>Eintrag 2414</v>
      </c>
      <c r="B2415" s="18">
        <v>100</v>
      </c>
      <c r="C2415" s="19">
        <v>100</v>
      </c>
      <c r="D2415" s="20">
        <v>10</v>
      </c>
      <c r="E2415" s="20">
        <v>10</v>
      </c>
      <c r="F2415" s="20">
        <v>10</v>
      </c>
      <c r="G2415" s="19">
        <f t="shared" si="178"/>
        <v>172</v>
      </c>
      <c r="H2415" s="22">
        <f t="shared" si="180"/>
        <v>2414</v>
      </c>
      <c r="I2415" s="21">
        <f t="shared" ca="1" si="176"/>
        <v>0</v>
      </c>
      <c r="J2415" s="21" t="str">
        <f ca="1">IF(I2415=0,"",COUNTIF($I$2:I2415,"&gt;0"))</f>
        <v/>
      </c>
      <c r="K2415" s="21" t="str">
        <f t="shared" ca="1" si="177"/>
        <v/>
      </c>
    </row>
    <row r="2416" spans="1:11" s="18" customFormat="1" ht="14.25" x14ac:dyDescent="0.2">
      <c r="A2416" s="18" t="str">
        <f t="shared" si="179"/>
        <v>Eintrag 2415</v>
      </c>
      <c r="B2416" s="18">
        <v>100</v>
      </c>
      <c r="C2416" s="19">
        <v>100</v>
      </c>
      <c r="D2416" s="20">
        <v>10</v>
      </c>
      <c r="E2416" s="20">
        <v>10</v>
      </c>
      <c r="F2416" s="20">
        <v>10</v>
      </c>
      <c r="G2416" s="19">
        <f t="shared" si="178"/>
        <v>172</v>
      </c>
      <c r="H2416" s="22">
        <f t="shared" si="180"/>
        <v>2415</v>
      </c>
      <c r="I2416" s="21">
        <f t="shared" ca="1" si="176"/>
        <v>0</v>
      </c>
      <c r="J2416" s="21" t="str">
        <f ca="1">IF(I2416=0,"",COUNTIF($I$2:I2416,"&gt;0"))</f>
        <v/>
      </c>
      <c r="K2416" s="21" t="str">
        <f t="shared" ca="1" si="177"/>
        <v/>
      </c>
    </row>
    <row r="2417" spans="1:11" s="18" customFormat="1" ht="14.25" x14ac:dyDescent="0.2">
      <c r="A2417" s="18" t="str">
        <f t="shared" si="179"/>
        <v>Eintrag 2416</v>
      </c>
      <c r="B2417" s="18">
        <v>100</v>
      </c>
      <c r="C2417" s="19">
        <v>100</v>
      </c>
      <c r="D2417" s="20">
        <v>10</v>
      </c>
      <c r="E2417" s="20">
        <v>10</v>
      </c>
      <c r="F2417" s="20">
        <v>10</v>
      </c>
      <c r="G2417" s="19">
        <f t="shared" si="178"/>
        <v>172</v>
      </c>
      <c r="H2417" s="22">
        <f t="shared" si="180"/>
        <v>2416</v>
      </c>
      <c r="I2417" s="21">
        <f t="shared" ca="1" si="176"/>
        <v>0</v>
      </c>
      <c r="J2417" s="21" t="str">
        <f ca="1">IF(I2417=0,"",COUNTIF($I$2:I2417,"&gt;0"))</f>
        <v/>
      </c>
      <c r="K2417" s="21" t="str">
        <f t="shared" ca="1" si="177"/>
        <v/>
      </c>
    </row>
    <row r="2418" spans="1:11" s="18" customFormat="1" ht="14.25" x14ac:dyDescent="0.2">
      <c r="A2418" s="18" t="str">
        <f t="shared" si="179"/>
        <v>Eintrag 2417</v>
      </c>
      <c r="B2418" s="18">
        <v>100</v>
      </c>
      <c r="C2418" s="19">
        <v>100</v>
      </c>
      <c r="D2418" s="20">
        <v>10</v>
      </c>
      <c r="E2418" s="20">
        <v>10</v>
      </c>
      <c r="F2418" s="20">
        <v>10</v>
      </c>
      <c r="G2418" s="19">
        <f t="shared" si="178"/>
        <v>172</v>
      </c>
      <c r="H2418" s="22">
        <f t="shared" si="180"/>
        <v>2417</v>
      </c>
      <c r="I2418" s="21">
        <f t="shared" ca="1" si="176"/>
        <v>0</v>
      </c>
      <c r="J2418" s="21" t="str">
        <f ca="1">IF(I2418=0,"",COUNTIF($I$2:I2418,"&gt;0"))</f>
        <v/>
      </c>
      <c r="K2418" s="21" t="str">
        <f t="shared" ca="1" si="177"/>
        <v/>
      </c>
    </row>
    <row r="2419" spans="1:11" s="18" customFormat="1" ht="14.25" x14ac:dyDescent="0.2">
      <c r="A2419" s="18" t="str">
        <f t="shared" si="179"/>
        <v>Eintrag 2418</v>
      </c>
      <c r="B2419" s="18">
        <v>100</v>
      </c>
      <c r="C2419" s="19">
        <v>100</v>
      </c>
      <c r="D2419" s="20">
        <v>10</v>
      </c>
      <c r="E2419" s="20">
        <v>10</v>
      </c>
      <c r="F2419" s="20">
        <v>10</v>
      </c>
      <c r="G2419" s="19">
        <f t="shared" si="178"/>
        <v>172</v>
      </c>
      <c r="H2419" s="22">
        <f t="shared" si="180"/>
        <v>2418</v>
      </c>
      <c r="I2419" s="21">
        <f t="shared" ca="1" si="176"/>
        <v>0</v>
      </c>
      <c r="J2419" s="21" t="str">
        <f ca="1">IF(I2419=0,"",COUNTIF($I$2:I2419,"&gt;0"))</f>
        <v/>
      </c>
      <c r="K2419" s="21" t="str">
        <f t="shared" ca="1" si="177"/>
        <v/>
      </c>
    </row>
    <row r="2420" spans="1:11" s="18" customFormat="1" ht="14.25" x14ac:dyDescent="0.2">
      <c r="A2420" s="18" t="str">
        <f t="shared" si="179"/>
        <v>Eintrag 2419</v>
      </c>
      <c r="B2420" s="18">
        <v>100</v>
      </c>
      <c r="C2420" s="19">
        <v>100</v>
      </c>
      <c r="D2420" s="20">
        <v>10</v>
      </c>
      <c r="E2420" s="20">
        <v>10</v>
      </c>
      <c r="F2420" s="20">
        <v>10</v>
      </c>
      <c r="G2420" s="19">
        <f t="shared" si="178"/>
        <v>172</v>
      </c>
      <c r="H2420" s="22">
        <f t="shared" si="180"/>
        <v>2419</v>
      </c>
      <c r="I2420" s="21">
        <f t="shared" ca="1" si="176"/>
        <v>0</v>
      </c>
      <c r="J2420" s="21" t="str">
        <f ca="1">IF(I2420=0,"",COUNTIF($I$2:I2420,"&gt;0"))</f>
        <v/>
      </c>
      <c r="K2420" s="21" t="str">
        <f t="shared" ca="1" si="177"/>
        <v/>
      </c>
    </row>
    <row r="2421" spans="1:11" s="18" customFormat="1" ht="14.25" x14ac:dyDescent="0.2">
      <c r="A2421" s="18" t="str">
        <f t="shared" si="179"/>
        <v>Eintrag 2420</v>
      </c>
      <c r="B2421" s="18">
        <v>100</v>
      </c>
      <c r="C2421" s="19">
        <v>100</v>
      </c>
      <c r="D2421" s="20">
        <v>10</v>
      </c>
      <c r="E2421" s="20">
        <v>10</v>
      </c>
      <c r="F2421" s="20">
        <v>10</v>
      </c>
      <c r="G2421" s="19">
        <f t="shared" si="178"/>
        <v>172</v>
      </c>
      <c r="H2421" s="22">
        <f t="shared" si="180"/>
        <v>2420</v>
      </c>
      <c r="I2421" s="21">
        <f t="shared" ca="1" si="176"/>
        <v>0</v>
      </c>
      <c r="J2421" s="21" t="str">
        <f ca="1">IF(I2421=0,"",COUNTIF($I$2:I2421,"&gt;0"))</f>
        <v/>
      </c>
      <c r="K2421" s="21" t="str">
        <f t="shared" ca="1" si="177"/>
        <v/>
      </c>
    </row>
    <row r="2422" spans="1:11" s="18" customFormat="1" ht="14.25" x14ac:dyDescent="0.2">
      <c r="A2422" s="18" t="str">
        <f t="shared" si="179"/>
        <v>Eintrag 2421</v>
      </c>
      <c r="B2422" s="18">
        <v>100</v>
      </c>
      <c r="C2422" s="19">
        <v>100</v>
      </c>
      <c r="D2422" s="20">
        <v>10</v>
      </c>
      <c r="E2422" s="20">
        <v>10</v>
      </c>
      <c r="F2422" s="20">
        <v>10</v>
      </c>
      <c r="G2422" s="19">
        <f t="shared" si="178"/>
        <v>172</v>
      </c>
      <c r="H2422" s="22">
        <f t="shared" si="180"/>
        <v>2421</v>
      </c>
      <c r="I2422" s="21">
        <f t="shared" ca="1" si="176"/>
        <v>0</v>
      </c>
      <c r="J2422" s="21" t="str">
        <f ca="1">IF(I2422=0,"",COUNTIF($I$2:I2422,"&gt;0"))</f>
        <v/>
      </c>
      <c r="K2422" s="21" t="str">
        <f t="shared" ca="1" si="177"/>
        <v/>
      </c>
    </row>
    <row r="2423" spans="1:11" s="18" customFormat="1" ht="14.25" x14ac:dyDescent="0.2">
      <c r="A2423" s="18" t="str">
        <f t="shared" si="179"/>
        <v>Eintrag 2422</v>
      </c>
      <c r="B2423" s="18">
        <v>100</v>
      </c>
      <c r="C2423" s="19">
        <v>100</v>
      </c>
      <c r="D2423" s="20">
        <v>10</v>
      </c>
      <c r="E2423" s="20">
        <v>10</v>
      </c>
      <c r="F2423" s="20">
        <v>10</v>
      </c>
      <c r="G2423" s="19">
        <f t="shared" si="178"/>
        <v>172</v>
      </c>
      <c r="H2423" s="22">
        <f t="shared" si="180"/>
        <v>2422</v>
      </c>
      <c r="I2423" s="21">
        <f t="shared" ca="1" si="176"/>
        <v>0</v>
      </c>
      <c r="J2423" s="21" t="str">
        <f ca="1">IF(I2423=0,"",COUNTIF($I$2:I2423,"&gt;0"))</f>
        <v/>
      </c>
      <c r="K2423" s="21" t="str">
        <f t="shared" ca="1" si="177"/>
        <v/>
      </c>
    </row>
    <row r="2424" spans="1:11" s="18" customFormat="1" ht="14.25" x14ac:dyDescent="0.2">
      <c r="A2424" s="18" t="str">
        <f t="shared" si="179"/>
        <v>Eintrag 2423</v>
      </c>
      <c r="B2424" s="18">
        <v>100</v>
      </c>
      <c r="C2424" s="19">
        <v>100</v>
      </c>
      <c r="D2424" s="20">
        <v>10</v>
      </c>
      <c r="E2424" s="20">
        <v>10</v>
      </c>
      <c r="F2424" s="20">
        <v>10</v>
      </c>
      <c r="G2424" s="19">
        <f t="shared" si="178"/>
        <v>172</v>
      </c>
      <c r="H2424" s="22">
        <f t="shared" si="180"/>
        <v>2423</v>
      </c>
      <c r="I2424" s="21">
        <f t="shared" ca="1" si="176"/>
        <v>0</v>
      </c>
      <c r="J2424" s="21" t="str">
        <f ca="1">IF(I2424=0,"",COUNTIF($I$2:I2424,"&gt;0"))</f>
        <v/>
      </c>
      <c r="K2424" s="21" t="str">
        <f t="shared" ca="1" si="177"/>
        <v/>
      </c>
    </row>
    <row r="2425" spans="1:11" s="18" customFormat="1" ht="14.25" x14ac:dyDescent="0.2">
      <c r="A2425" s="18" t="str">
        <f t="shared" si="179"/>
        <v>Eintrag 2424</v>
      </c>
      <c r="B2425" s="18">
        <v>100</v>
      </c>
      <c r="C2425" s="19">
        <v>100</v>
      </c>
      <c r="D2425" s="20">
        <v>10</v>
      </c>
      <c r="E2425" s="20">
        <v>10</v>
      </c>
      <c r="F2425" s="20">
        <v>10</v>
      </c>
      <c r="G2425" s="19">
        <f t="shared" si="178"/>
        <v>172</v>
      </c>
      <c r="H2425" s="22">
        <f t="shared" si="180"/>
        <v>2424</v>
      </c>
      <c r="I2425" s="21">
        <f t="shared" ca="1" si="176"/>
        <v>0</v>
      </c>
      <c r="J2425" s="21" t="str">
        <f ca="1">IF(I2425=0,"",COUNTIF($I$2:I2425,"&gt;0"))</f>
        <v/>
      </c>
      <c r="K2425" s="21" t="str">
        <f t="shared" ca="1" si="177"/>
        <v/>
      </c>
    </row>
    <row r="2426" spans="1:11" s="18" customFormat="1" ht="14.25" x14ac:dyDescent="0.2">
      <c r="A2426" s="18" t="str">
        <f t="shared" si="179"/>
        <v>Eintrag 2425</v>
      </c>
      <c r="B2426" s="18">
        <v>100</v>
      </c>
      <c r="C2426" s="19">
        <v>100</v>
      </c>
      <c r="D2426" s="20">
        <v>10</v>
      </c>
      <c r="E2426" s="20">
        <v>10</v>
      </c>
      <c r="F2426" s="20">
        <v>10</v>
      </c>
      <c r="G2426" s="19">
        <f t="shared" si="178"/>
        <v>172</v>
      </c>
      <c r="H2426" s="22">
        <f t="shared" si="180"/>
        <v>2425</v>
      </c>
      <c r="I2426" s="21">
        <f t="shared" ca="1" si="176"/>
        <v>0</v>
      </c>
      <c r="J2426" s="21" t="str">
        <f ca="1">IF(I2426=0,"",COUNTIF($I$2:I2426,"&gt;0"))</f>
        <v/>
      </c>
      <c r="K2426" s="21" t="str">
        <f t="shared" ca="1" si="177"/>
        <v/>
      </c>
    </row>
    <row r="2427" spans="1:11" s="18" customFormat="1" ht="14.25" x14ac:dyDescent="0.2">
      <c r="A2427" s="18" t="str">
        <f t="shared" si="179"/>
        <v>Eintrag 2426</v>
      </c>
      <c r="B2427" s="18">
        <v>100</v>
      </c>
      <c r="C2427" s="19">
        <v>100</v>
      </c>
      <c r="D2427" s="20">
        <v>10</v>
      </c>
      <c r="E2427" s="20">
        <v>10</v>
      </c>
      <c r="F2427" s="20">
        <v>10</v>
      </c>
      <c r="G2427" s="19">
        <f t="shared" si="178"/>
        <v>172</v>
      </c>
      <c r="H2427" s="22">
        <f t="shared" si="180"/>
        <v>2426</v>
      </c>
      <c r="I2427" s="21">
        <f t="shared" ref="I2427:I2490" ca="1" si="181">IFERROR(SEARCH(INDIRECT(CELL("address")),A2427),0)</f>
        <v>0</v>
      </c>
      <c r="J2427" s="21" t="str">
        <f ca="1">IF(I2427=0,"",COUNTIF($I$2:I2427,"&gt;0"))</f>
        <v/>
      </c>
      <c r="K2427" s="21" t="str">
        <f t="shared" ca="1" si="177"/>
        <v/>
      </c>
    </row>
    <row r="2428" spans="1:11" s="18" customFormat="1" ht="14.25" x14ac:dyDescent="0.2">
      <c r="A2428" s="18" t="str">
        <f t="shared" si="179"/>
        <v>Eintrag 2427</v>
      </c>
      <c r="B2428" s="18">
        <v>100</v>
      </c>
      <c r="C2428" s="19">
        <v>100</v>
      </c>
      <c r="D2428" s="20">
        <v>10</v>
      </c>
      <c r="E2428" s="20">
        <v>10</v>
      </c>
      <c r="F2428" s="20">
        <v>10</v>
      </c>
      <c r="G2428" s="19">
        <f t="shared" si="178"/>
        <v>172</v>
      </c>
      <c r="H2428" s="22">
        <f t="shared" si="180"/>
        <v>2427</v>
      </c>
      <c r="I2428" s="21">
        <f t="shared" ca="1" si="181"/>
        <v>0</v>
      </c>
      <c r="J2428" s="21" t="str">
        <f ca="1">IF(I2428=0,"",COUNTIF($I$2:I2428,"&gt;0"))</f>
        <v/>
      </c>
      <c r="K2428" s="21" t="str">
        <f t="shared" ca="1" si="177"/>
        <v/>
      </c>
    </row>
    <row r="2429" spans="1:11" s="18" customFormat="1" ht="14.25" x14ac:dyDescent="0.2">
      <c r="A2429" s="18" t="str">
        <f t="shared" si="179"/>
        <v>Eintrag 2428</v>
      </c>
      <c r="B2429" s="18">
        <v>100</v>
      </c>
      <c r="C2429" s="19">
        <v>100</v>
      </c>
      <c r="D2429" s="20">
        <v>10</v>
      </c>
      <c r="E2429" s="20">
        <v>10</v>
      </c>
      <c r="F2429" s="20">
        <v>10</v>
      </c>
      <c r="G2429" s="19">
        <f t="shared" si="178"/>
        <v>172</v>
      </c>
      <c r="H2429" s="22">
        <f t="shared" si="180"/>
        <v>2428</v>
      </c>
      <c r="I2429" s="21">
        <f t="shared" ca="1" si="181"/>
        <v>0</v>
      </c>
      <c r="J2429" s="21" t="str">
        <f ca="1">IF(I2429=0,"",COUNTIF($I$2:I2429,"&gt;0"))</f>
        <v/>
      </c>
      <c r="K2429" s="21" t="str">
        <f t="shared" ca="1" si="177"/>
        <v/>
      </c>
    </row>
    <row r="2430" spans="1:11" s="18" customFormat="1" ht="14.25" x14ac:dyDescent="0.2">
      <c r="A2430" s="18" t="str">
        <f t="shared" si="179"/>
        <v>Eintrag 2429</v>
      </c>
      <c r="B2430" s="18">
        <v>100</v>
      </c>
      <c r="C2430" s="19">
        <v>100</v>
      </c>
      <c r="D2430" s="20">
        <v>10</v>
      </c>
      <c r="E2430" s="20">
        <v>10</v>
      </c>
      <c r="F2430" s="20">
        <v>10</v>
      </c>
      <c r="G2430" s="19">
        <f t="shared" si="178"/>
        <v>172</v>
      </c>
      <c r="H2430" s="22">
        <f t="shared" si="180"/>
        <v>2429</v>
      </c>
      <c r="I2430" s="21">
        <f t="shared" ca="1" si="181"/>
        <v>0</v>
      </c>
      <c r="J2430" s="21" t="str">
        <f ca="1">IF(I2430=0,"",COUNTIF($I$2:I2430,"&gt;0"))</f>
        <v/>
      </c>
      <c r="K2430" s="21" t="str">
        <f t="shared" ca="1" si="177"/>
        <v/>
      </c>
    </row>
    <row r="2431" spans="1:11" s="18" customFormat="1" ht="14.25" x14ac:dyDescent="0.2">
      <c r="A2431" s="18" t="str">
        <f t="shared" si="179"/>
        <v>Eintrag 2430</v>
      </c>
      <c r="B2431" s="18">
        <v>100</v>
      </c>
      <c r="C2431" s="19">
        <v>100</v>
      </c>
      <c r="D2431" s="20">
        <v>10</v>
      </c>
      <c r="E2431" s="20">
        <v>10</v>
      </c>
      <c r="F2431" s="20">
        <v>10</v>
      </c>
      <c r="G2431" s="19">
        <f t="shared" si="178"/>
        <v>172</v>
      </c>
      <c r="H2431" s="22">
        <f t="shared" si="180"/>
        <v>2430</v>
      </c>
      <c r="I2431" s="21">
        <f t="shared" ca="1" si="181"/>
        <v>0</v>
      </c>
      <c r="J2431" s="21" t="str">
        <f ca="1">IF(I2431=0,"",COUNTIF($I$2:I2431,"&gt;0"))</f>
        <v/>
      </c>
      <c r="K2431" s="21" t="str">
        <f t="shared" ca="1" si="177"/>
        <v/>
      </c>
    </row>
    <row r="2432" spans="1:11" s="18" customFormat="1" ht="14.25" x14ac:dyDescent="0.2">
      <c r="A2432" s="18" t="str">
        <f t="shared" si="179"/>
        <v>Eintrag 2431</v>
      </c>
      <c r="B2432" s="18">
        <v>100</v>
      </c>
      <c r="C2432" s="19">
        <v>100</v>
      </c>
      <c r="D2432" s="20">
        <v>10</v>
      </c>
      <c r="E2432" s="20">
        <v>10</v>
      </c>
      <c r="F2432" s="20">
        <v>10</v>
      </c>
      <c r="G2432" s="19">
        <f t="shared" si="178"/>
        <v>172</v>
      </c>
      <c r="H2432" s="22">
        <f t="shared" si="180"/>
        <v>2431</v>
      </c>
      <c r="I2432" s="21">
        <f t="shared" ca="1" si="181"/>
        <v>0</v>
      </c>
      <c r="J2432" s="21" t="str">
        <f ca="1">IF(I2432=0,"",COUNTIF($I$2:I2432,"&gt;0"))</f>
        <v/>
      </c>
      <c r="K2432" s="21" t="str">
        <f t="shared" ca="1" si="177"/>
        <v/>
      </c>
    </row>
    <row r="2433" spans="1:11" s="18" customFormat="1" ht="14.25" x14ac:dyDescent="0.2">
      <c r="A2433" s="18" t="str">
        <f t="shared" si="179"/>
        <v>Eintrag 2432</v>
      </c>
      <c r="B2433" s="18">
        <v>100</v>
      </c>
      <c r="C2433" s="19">
        <v>100</v>
      </c>
      <c r="D2433" s="20">
        <v>10</v>
      </c>
      <c r="E2433" s="20">
        <v>10</v>
      </c>
      <c r="F2433" s="20">
        <v>10</v>
      </c>
      <c r="G2433" s="19">
        <f t="shared" si="178"/>
        <v>172</v>
      </c>
      <c r="H2433" s="22">
        <f t="shared" si="180"/>
        <v>2432</v>
      </c>
      <c r="I2433" s="21">
        <f t="shared" ca="1" si="181"/>
        <v>0</v>
      </c>
      <c r="J2433" s="21" t="str">
        <f ca="1">IF(I2433=0,"",COUNTIF($I$2:I2433,"&gt;0"))</f>
        <v/>
      </c>
      <c r="K2433" s="21" t="str">
        <f t="shared" ca="1" si="177"/>
        <v/>
      </c>
    </row>
    <row r="2434" spans="1:11" s="18" customFormat="1" ht="14.25" x14ac:dyDescent="0.2">
      <c r="A2434" s="18" t="str">
        <f t="shared" si="179"/>
        <v>Eintrag 2433</v>
      </c>
      <c r="B2434" s="18">
        <v>100</v>
      </c>
      <c r="C2434" s="19">
        <v>100</v>
      </c>
      <c r="D2434" s="20">
        <v>10</v>
      </c>
      <c r="E2434" s="20">
        <v>10</v>
      </c>
      <c r="F2434" s="20">
        <v>10</v>
      </c>
      <c r="G2434" s="19">
        <f t="shared" si="178"/>
        <v>172</v>
      </c>
      <c r="H2434" s="22">
        <f t="shared" si="180"/>
        <v>2433</v>
      </c>
      <c r="I2434" s="21">
        <f t="shared" ca="1" si="181"/>
        <v>0</v>
      </c>
      <c r="J2434" s="21" t="str">
        <f ca="1">IF(I2434=0,"",COUNTIF($I$2:I2434,"&gt;0"))</f>
        <v/>
      </c>
      <c r="K2434" s="21" t="str">
        <f t="shared" ref="K2434:K2497" ca="1" si="182">IFERROR(INDEX(A:A,MATCH(ROW(I2433),J:J,0)),"")</f>
        <v/>
      </c>
    </row>
    <row r="2435" spans="1:11" s="18" customFormat="1" ht="14.25" x14ac:dyDescent="0.2">
      <c r="A2435" s="18" t="str">
        <f t="shared" si="179"/>
        <v>Eintrag 2434</v>
      </c>
      <c r="B2435" s="18">
        <v>100</v>
      </c>
      <c r="C2435" s="19">
        <v>100</v>
      </c>
      <c r="D2435" s="20">
        <v>10</v>
      </c>
      <c r="E2435" s="20">
        <v>10</v>
      </c>
      <c r="F2435" s="20">
        <v>10</v>
      </c>
      <c r="G2435" s="19">
        <f t="shared" ref="G2435:G2498" si="183">D2435*9+E2435*4.1+F2435*4.1</f>
        <v>172</v>
      </c>
      <c r="H2435" s="22">
        <f t="shared" si="180"/>
        <v>2434</v>
      </c>
      <c r="I2435" s="21">
        <f t="shared" ca="1" si="181"/>
        <v>0</v>
      </c>
      <c r="J2435" s="21" t="str">
        <f ca="1">IF(I2435=0,"",COUNTIF($I$2:I2435,"&gt;0"))</f>
        <v/>
      </c>
      <c r="K2435" s="21" t="str">
        <f t="shared" ca="1" si="182"/>
        <v/>
      </c>
    </row>
    <row r="2436" spans="1:11" s="18" customFormat="1" ht="14.25" x14ac:dyDescent="0.2">
      <c r="A2436" s="18" t="str">
        <f t="shared" si="179"/>
        <v>Eintrag 2435</v>
      </c>
      <c r="B2436" s="18">
        <v>100</v>
      </c>
      <c r="C2436" s="19">
        <v>100</v>
      </c>
      <c r="D2436" s="20">
        <v>10</v>
      </c>
      <c r="E2436" s="20">
        <v>10</v>
      </c>
      <c r="F2436" s="20">
        <v>10</v>
      </c>
      <c r="G2436" s="19">
        <f t="shared" si="183"/>
        <v>172</v>
      </c>
      <c r="H2436" s="22">
        <f t="shared" si="180"/>
        <v>2435</v>
      </c>
      <c r="I2436" s="21">
        <f t="shared" ca="1" si="181"/>
        <v>0</v>
      </c>
      <c r="J2436" s="21" t="str">
        <f ca="1">IF(I2436=0,"",COUNTIF($I$2:I2436,"&gt;0"))</f>
        <v/>
      </c>
      <c r="K2436" s="21" t="str">
        <f t="shared" ca="1" si="182"/>
        <v/>
      </c>
    </row>
    <row r="2437" spans="1:11" s="18" customFormat="1" ht="14.25" x14ac:dyDescent="0.2">
      <c r="A2437" s="18" t="str">
        <f t="shared" ref="A2437:A2500" si="184">CONCATENATE("Eintrag ",H2437)</f>
        <v>Eintrag 2436</v>
      </c>
      <c r="B2437" s="18">
        <v>100</v>
      </c>
      <c r="C2437" s="19">
        <v>100</v>
      </c>
      <c r="D2437" s="20">
        <v>10</v>
      </c>
      <c r="E2437" s="20">
        <v>10</v>
      </c>
      <c r="F2437" s="20">
        <v>10</v>
      </c>
      <c r="G2437" s="19">
        <f t="shared" si="183"/>
        <v>172</v>
      </c>
      <c r="H2437" s="22">
        <f t="shared" si="180"/>
        <v>2436</v>
      </c>
      <c r="I2437" s="21">
        <f t="shared" ca="1" si="181"/>
        <v>0</v>
      </c>
      <c r="J2437" s="21" t="str">
        <f ca="1">IF(I2437=0,"",COUNTIF($I$2:I2437,"&gt;0"))</f>
        <v/>
      </c>
      <c r="K2437" s="21" t="str">
        <f t="shared" ca="1" si="182"/>
        <v/>
      </c>
    </row>
    <row r="2438" spans="1:11" s="18" customFormat="1" ht="14.25" x14ac:dyDescent="0.2">
      <c r="A2438" s="18" t="str">
        <f t="shared" si="184"/>
        <v>Eintrag 2437</v>
      </c>
      <c r="B2438" s="18">
        <v>100</v>
      </c>
      <c r="C2438" s="19">
        <v>100</v>
      </c>
      <c r="D2438" s="20">
        <v>10</v>
      </c>
      <c r="E2438" s="20">
        <v>10</v>
      </c>
      <c r="F2438" s="20">
        <v>10</v>
      </c>
      <c r="G2438" s="19">
        <f t="shared" si="183"/>
        <v>172</v>
      </c>
      <c r="H2438" s="22">
        <f t="shared" si="180"/>
        <v>2437</v>
      </c>
      <c r="I2438" s="21">
        <f t="shared" ca="1" si="181"/>
        <v>0</v>
      </c>
      <c r="J2438" s="21" t="str">
        <f ca="1">IF(I2438=0,"",COUNTIF($I$2:I2438,"&gt;0"))</f>
        <v/>
      </c>
      <c r="K2438" s="21" t="str">
        <f t="shared" ca="1" si="182"/>
        <v/>
      </c>
    </row>
    <row r="2439" spans="1:11" s="18" customFormat="1" ht="14.25" x14ac:dyDescent="0.2">
      <c r="A2439" s="18" t="str">
        <f t="shared" si="184"/>
        <v>Eintrag 2438</v>
      </c>
      <c r="B2439" s="18">
        <v>100</v>
      </c>
      <c r="C2439" s="19">
        <v>100</v>
      </c>
      <c r="D2439" s="20">
        <v>10</v>
      </c>
      <c r="E2439" s="20">
        <v>10</v>
      </c>
      <c r="F2439" s="20">
        <v>10</v>
      </c>
      <c r="G2439" s="19">
        <f t="shared" si="183"/>
        <v>172</v>
      </c>
      <c r="H2439" s="22">
        <f t="shared" si="180"/>
        <v>2438</v>
      </c>
      <c r="I2439" s="21">
        <f t="shared" ca="1" si="181"/>
        <v>0</v>
      </c>
      <c r="J2439" s="21" t="str">
        <f ca="1">IF(I2439=0,"",COUNTIF($I$2:I2439,"&gt;0"))</f>
        <v/>
      </c>
      <c r="K2439" s="21" t="str">
        <f t="shared" ca="1" si="182"/>
        <v/>
      </c>
    </row>
    <row r="2440" spans="1:11" s="18" customFormat="1" ht="14.25" x14ac:dyDescent="0.2">
      <c r="A2440" s="18" t="str">
        <f t="shared" si="184"/>
        <v>Eintrag 2439</v>
      </c>
      <c r="B2440" s="18">
        <v>100</v>
      </c>
      <c r="C2440" s="19">
        <v>100</v>
      </c>
      <c r="D2440" s="20">
        <v>10</v>
      </c>
      <c r="E2440" s="20">
        <v>10</v>
      </c>
      <c r="F2440" s="20">
        <v>10</v>
      </c>
      <c r="G2440" s="19">
        <f t="shared" si="183"/>
        <v>172</v>
      </c>
      <c r="H2440" s="22">
        <f t="shared" si="180"/>
        <v>2439</v>
      </c>
      <c r="I2440" s="21">
        <f t="shared" ca="1" si="181"/>
        <v>0</v>
      </c>
      <c r="J2440" s="21" t="str">
        <f ca="1">IF(I2440=0,"",COUNTIF($I$2:I2440,"&gt;0"))</f>
        <v/>
      </c>
      <c r="K2440" s="21" t="str">
        <f t="shared" ca="1" si="182"/>
        <v/>
      </c>
    </row>
    <row r="2441" spans="1:11" s="18" customFormat="1" ht="14.25" x14ac:dyDescent="0.2">
      <c r="A2441" s="18" t="str">
        <f t="shared" si="184"/>
        <v>Eintrag 2440</v>
      </c>
      <c r="B2441" s="18">
        <v>100</v>
      </c>
      <c r="C2441" s="19">
        <v>100</v>
      </c>
      <c r="D2441" s="20">
        <v>10</v>
      </c>
      <c r="E2441" s="20">
        <v>10</v>
      </c>
      <c r="F2441" s="20">
        <v>10</v>
      </c>
      <c r="G2441" s="19">
        <f t="shared" si="183"/>
        <v>172</v>
      </c>
      <c r="H2441" s="22">
        <f t="shared" si="180"/>
        <v>2440</v>
      </c>
      <c r="I2441" s="21">
        <f t="shared" ca="1" si="181"/>
        <v>0</v>
      </c>
      <c r="J2441" s="21" t="str">
        <f ca="1">IF(I2441=0,"",COUNTIF($I$2:I2441,"&gt;0"))</f>
        <v/>
      </c>
      <c r="K2441" s="21" t="str">
        <f t="shared" ca="1" si="182"/>
        <v/>
      </c>
    </row>
    <row r="2442" spans="1:11" s="18" customFormat="1" ht="14.25" x14ac:dyDescent="0.2">
      <c r="A2442" s="18" t="str">
        <f t="shared" si="184"/>
        <v>Eintrag 2441</v>
      </c>
      <c r="B2442" s="18">
        <v>100</v>
      </c>
      <c r="C2442" s="19">
        <v>100</v>
      </c>
      <c r="D2442" s="20">
        <v>10</v>
      </c>
      <c r="E2442" s="20">
        <v>10</v>
      </c>
      <c r="F2442" s="20">
        <v>10</v>
      </c>
      <c r="G2442" s="19">
        <f t="shared" si="183"/>
        <v>172</v>
      </c>
      <c r="H2442" s="22">
        <f t="shared" si="180"/>
        <v>2441</v>
      </c>
      <c r="I2442" s="21">
        <f t="shared" ca="1" si="181"/>
        <v>0</v>
      </c>
      <c r="J2442" s="21" t="str">
        <f ca="1">IF(I2442=0,"",COUNTIF($I$2:I2442,"&gt;0"))</f>
        <v/>
      </c>
      <c r="K2442" s="21" t="str">
        <f t="shared" ca="1" si="182"/>
        <v/>
      </c>
    </row>
    <row r="2443" spans="1:11" s="18" customFormat="1" ht="14.25" x14ac:dyDescent="0.2">
      <c r="A2443" s="18" t="str">
        <f t="shared" si="184"/>
        <v>Eintrag 2442</v>
      </c>
      <c r="B2443" s="18">
        <v>100</v>
      </c>
      <c r="C2443" s="19">
        <v>100</v>
      </c>
      <c r="D2443" s="20">
        <v>10</v>
      </c>
      <c r="E2443" s="20">
        <v>10</v>
      </c>
      <c r="F2443" s="20">
        <v>10</v>
      </c>
      <c r="G2443" s="19">
        <f t="shared" si="183"/>
        <v>172</v>
      </c>
      <c r="H2443" s="22">
        <f t="shared" si="180"/>
        <v>2442</v>
      </c>
      <c r="I2443" s="21">
        <f t="shared" ca="1" si="181"/>
        <v>0</v>
      </c>
      <c r="J2443" s="21" t="str">
        <f ca="1">IF(I2443=0,"",COUNTIF($I$2:I2443,"&gt;0"))</f>
        <v/>
      </c>
      <c r="K2443" s="21" t="str">
        <f t="shared" ca="1" si="182"/>
        <v/>
      </c>
    </row>
    <row r="2444" spans="1:11" s="18" customFormat="1" ht="14.25" x14ac:dyDescent="0.2">
      <c r="A2444" s="18" t="str">
        <f t="shared" si="184"/>
        <v>Eintrag 2443</v>
      </c>
      <c r="B2444" s="18">
        <v>100</v>
      </c>
      <c r="C2444" s="19">
        <v>100</v>
      </c>
      <c r="D2444" s="20">
        <v>10</v>
      </c>
      <c r="E2444" s="20">
        <v>10</v>
      </c>
      <c r="F2444" s="20">
        <v>10</v>
      </c>
      <c r="G2444" s="19">
        <f t="shared" si="183"/>
        <v>172</v>
      </c>
      <c r="H2444" s="22">
        <f t="shared" si="180"/>
        <v>2443</v>
      </c>
      <c r="I2444" s="21">
        <f t="shared" ca="1" si="181"/>
        <v>0</v>
      </c>
      <c r="J2444" s="21" t="str">
        <f ca="1">IF(I2444=0,"",COUNTIF($I$2:I2444,"&gt;0"))</f>
        <v/>
      </c>
      <c r="K2444" s="21" t="str">
        <f t="shared" ca="1" si="182"/>
        <v/>
      </c>
    </row>
    <row r="2445" spans="1:11" s="18" customFormat="1" ht="14.25" x14ac:dyDescent="0.2">
      <c r="A2445" s="18" t="str">
        <f t="shared" si="184"/>
        <v>Eintrag 2444</v>
      </c>
      <c r="B2445" s="18">
        <v>100</v>
      </c>
      <c r="C2445" s="19">
        <v>100</v>
      </c>
      <c r="D2445" s="20">
        <v>10</v>
      </c>
      <c r="E2445" s="20">
        <v>10</v>
      </c>
      <c r="F2445" s="20">
        <v>10</v>
      </c>
      <c r="G2445" s="19">
        <f t="shared" si="183"/>
        <v>172</v>
      </c>
      <c r="H2445" s="22">
        <f t="shared" si="180"/>
        <v>2444</v>
      </c>
      <c r="I2445" s="21">
        <f t="shared" ca="1" si="181"/>
        <v>0</v>
      </c>
      <c r="J2445" s="21" t="str">
        <f ca="1">IF(I2445=0,"",COUNTIF($I$2:I2445,"&gt;0"))</f>
        <v/>
      </c>
      <c r="K2445" s="21" t="str">
        <f t="shared" ca="1" si="182"/>
        <v/>
      </c>
    </row>
    <row r="2446" spans="1:11" s="18" customFormat="1" ht="14.25" x14ac:dyDescent="0.2">
      <c r="A2446" s="18" t="str">
        <f t="shared" si="184"/>
        <v>Eintrag 2445</v>
      </c>
      <c r="B2446" s="18">
        <v>100</v>
      </c>
      <c r="C2446" s="19">
        <v>100</v>
      </c>
      <c r="D2446" s="20">
        <v>10</v>
      </c>
      <c r="E2446" s="20">
        <v>10</v>
      </c>
      <c r="F2446" s="20">
        <v>10</v>
      </c>
      <c r="G2446" s="19">
        <f t="shared" si="183"/>
        <v>172</v>
      </c>
      <c r="H2446" s="22">
        <f t="shared" si="180"/>
        <v>2445</v>
      </c>
      <c r="I2446" s="21">
        <f t="shared" ca="1" si="181"/>
        <v>0</v>
      </c>
      <c r="J2446" s="21" t="str">
        <f ca="1">IF(I2446=0,"",COUNTIF($I$2:I2446,"&gt;0"))</f>
        <v/>
      </c>
      <c r="K2446" s="21" t="str">
        <f t="shared" ca="1" si="182"/>
        <v/>
      </c>
    </row>
    <row r="2447" spans="1:11" s="18" customFormat="1" ht="14.25" x14ac:dyDescent="0.2">
      <c r="A2447" s="18" t="str">
        <f t="shared" si="184"/>
        <v>Eintrag 2446</v>
      </c>
      <c r="B2447" s="18">
        <v>100</v>
      </c>
      <c r="C2447" s="19">
        <v>100</v>
      </c>
      <c r="D2447" s="20">
        <v>10</v>
      </c>
      <c r="E2447" s="20">
        <v>10</v>
      </c>
      <c r="F2447" s="20">
        <v>10</v>
      </c>
      <c r="G2447" s="19">
        <f t="shared" si="183"/>
        <v>172</v>
      </c>
      <c r="H2447" s="22">
        <f t="shared" si="180"/>
        <v>2446</v>
      </c>
      <c r="I2447" s="21">
        <f t="shared" ca="1" si="181"/>
        <v>0</v>
      </c>
      <c r="J2447" s="21" t="str">
        <f ca="1">IF(I2447=0,"",COUNTIF($I$2:I2447,"&gt;0"))</f>
        <v/>
      </c>
      <c r="K2447" s="21" t="str">
        <f t="shared" ca="1" si="182"/>
        <v/>
      </c>
    </row>
    <row r="2448" spans="1:11" s="18" customFormat="1" ht="14.25" x14ac:dyDescent="0.2">
      <c r="A2448" s="18" t="str">
        <f t="shared" si="184"/>
        <v>Eintrag 2447</v>
      </c>
      <c r="B2448" s="18">
        <v>100</v>
      </c>
      <c r="C2448" s="19">
        <v>100</v>
      </c>
      <c r="D2448" s="20">
        <v>10</v>
      </c>
      <c r="E2448" s="20">
        <v>10</v>
      </c>
      <c r="F2448" s="20">
        <v>10</v>
      </c>
      <c r="G2448" s="19">
        <f t="shared" si="183"/>
        <v>172</v>
      </c>
      <c r="H2448" s="22">
        <f t="shared" si="180"/>
        <v>2447</v>
      </c>
      <c r="I2448" s="21">
        <f t="shared" ca="1" si="181"/>
        <v>0</v>
      </c>
      <c r="J2448" s="21" t="str">
        <f ca="1">IF(I2448=0,"",COUNTIF($I$2:I2448,"&gt;0"))</f>
        <v/>
      </c>
      <c r="K2448" s="21" t="str">
        <f t="shared" ca="1" si="182"/>
        <v/>
      </c>
    </row>
    <row r="2449" spans="1:11" s="18" customFormat="1" ht="14.25" x14ac:dyDescent="0.2">
      <c r="A2449" s="18" t="str">
        <f t="shared" si="184"/>
        <v>Eintrag 2448</v>
      </c>
      <c r="B2449" s="18">
        <v>100</v>
      </c>
      <c r="C2449" s="19">
        <v>100</v>
      </c>
      <c r="D2449" s="20">
        <v>10</v>
      </c>
      <c r="E2449" s="20">
        <v>10</v>
      </c>
      <c r="F2449" s="20">
        <v>10</v>
      </c>
      <c r="G2449" s="19">
        <f t="shared" si="183"/>
        <v>172</v>
      </c>
      <c r="H2449" s="22">
        <f t="shared" si="180"/>
        <v>2448</v>
      </c>
      <c r="I2449" s="21">
        <f t="shared" ca="1" si="181"/>
        <v>0</v>
      </c>
      <c r="J2449" s="21" t="str">
        <f ca="1">IF(I2449=0,"",COUNTIF($I$2:I2449,"&gt;0"))</f>
        <v/>
      </c>
      <c r="K2449" s="21" t="str">
        <f t="shared" ca="1" si="182"/>
        <v/>
      </c>
    </row>
    <row r="2450" spans="1:11" s="18" customFormat="1" ht="14.25" x14ac:dyDescent="0.2">
      <c r="A2450" s="18" t="str">
        <f t="shared" si="184"/>
        <v>Eintrag 2449</v>
      </c>
      <c r="B2450" s="18">
        <v>100</v>
      </c>
      <c r="C2450" s="19">
        <v>100</v>
      </c>
      <c r="D2450" s="20">
        <v>10</v>
      </c>
      <c r="E2450" s="20">
        <v>10</v>
      </c>
      <c r="F2450" s="20">
        <v>10</v>
      </c>
      <c r="G2450" s="19">
        <f t="shared" si="183"/>
        <v>172</v>
      </c>
      <c r="H2450" s="22">
        <f t="shared" si="180"/>
        <v>2449</v>
      </c>
      <c r="I2450" s="21">
        <f t="shared" ca="1" si="181"/>
        <v>0</v>
      </c>
      <c r="J2450" s="21" t="str">
        <f ca="1">IF(I2450=0,"",COUNTIF($I$2:I2450,"&gt;0"))</f>
        <v/>
      </c>
      <c r="K2450" s="21" t="str">
        <f t="shared" ca="1" si="182"/>
        <v/>
      </c>
    </row>
    <row r="2451" spans="1:11" s="18" customFormat="1" ht="14.25" x14ac:dyDescent="0.2">
      <c r="A2451" s="18" t="str">
        <f t="shared" si="184"/>
        <v>Eintrag 2450</v>
      </c>
      <c r="B2451" s="18">
        <v>100</v>
      </c>
      <c r="C2451" s="19">
        <v>100</v>
      </c>
      <c r="D2451" s="20">
        <v>10</v>
      </c>
      <c r="E2451" s="20">
        <v>10</v>
      </c>
      <c r="F2451" s="20">
        <v>10</v>
      </c>
      <c r="G2451" s="19">
        <f t="shared" si="183"/>
        <v>172</v>
      </c>
      <c r="H2451" s="22">
        <f t="shared" si="180"/>
        <v>2450</v>
      </c>
      <c r="I2451" s="21">
        <f t="shared" ca="1" si="181"/>
        <v>0</v>
      </c>
      <c r="J2451" s="21" t="str">
        <f ca="1">IF(I2451=0,"",COUNTIF($I$2:I2451,"&gt;0"))</f>
        <v/>
      </c>
      <c r="K2451" s="21" t="str">
        <f t="shared" ca="1" si="182"/>
        <v/>
      </c>
    </row>
    <row r="2452" spans="1:11" s="18" customFormat="1" ht="14.25" x14ac:dyDescent="0.2">
      <c r="A2452" s="18" t="str">
        <f t="shared" si="184"/>
        <v>Eintrag 2451</v>
      </c>
      <c r="B2452" s="18">
        <v>100</v>
      </c>
      <c r="C2452" s="19">
        <v>100</v>
      </c>
      <c r="D2452" s="20">
        <v>10</v>
      </c>
      <c r="E2452" s="20">
        <v>10</v>
      </c>
      <c r="F2452" s="20">
        <v>10</v>
      </c>
      <c r="G2452" s="19">
        <f t="shared" si="183"/>
        <v>172</v>
      </c>
      <c r="H2452" s="22">
        <f t="shared" si="180"/>
        <v>2451</v>
      </c>
      <c r="I2452" s="21">
        <f t="shared" ca="1" si="181"/>
        <v>0</v>
      </c>
      <c r="J2452" s="21" t="str">
        <f ca="1">IF(I2452=0,"",COUNTIF($I$2:I2452,"&gt;0"))</f>
        <v/>
      </c>
      <c r="K2452" s="21" t="str">
        <f t="shared" ca="1" si="182"/>
        <v/>
      </c>
    </row>
    <row r="2453" spans="1:11" s="18" customFormat="1" ht="14.25" x14ac:dyDescent="0.2">
      <c r="A2453" s="18" t="str">
        <f t="shared" si="184"/>
        <v>Eintrag 2452</v>
      </c>
      <c r="B2453" s="18">
        <v>100</v>
      </c>
      <c r="C2453" s="19">
        <v>100</v>
      </c>
      <c r="D2453" s="20">
        <v>10</v>
      </c>
      <c r="E2453" s="20">
        <v>10</v>
      </c>
      <c r="F2453" s="20">
        <v>10</v>
      </c>
      <c r="G2453" s="19">
        <f t="shared" si="183"/>
        <v>172</v>
      </c>
      <c r="H2453" s="22">
        <f t="shared" si="180"/>
        <v>2452</v>
      </c>
      <c r="I2453" s="21">
        <f t="shared" ca="1" si="181"/>
        <v>0</v>
      </c>
      <c r="J2453" s="21" t="str">
        <f ca="1">IF(I2453=0,"",COUNTIF($I$2:I2453,"&gt;0"))</f>
        <v/>
      </c>
      <c r="K2453" s="21" t="str">
        <f t="shared" ca="1" si="182"/>
        <v/>
      </c>
    </row>
    <row r="2454" spans="1:11" s="18" customFormat="1" ht="14.25" x14ac:dyDescent="0.2">
      <c r="A2454" s="18" t="str">
        <f t="shared" si="184"/>
        <v>Eintrag 2453</v>
      </c>
      <c r="B2454" s="18">
        <v>100</v>
      </c>
      <c r="C2454" s="19">
        <v>100</v>
      </c>
      <c r="D2454" s="20">
        <v>10</v>
      </c>
      <c r="E2454" s="20">
        <v>10</v>
      </c>
      <c r="F2454" s="20">
        <v>10</v>
      </c>
      <c r="G2454" s="19">
        <f t="shared" si="183"/>
        <v>172</v>
      </c>
      <c r="H2454" s="22">
        <f t="shared" si="180"/>
        <v>2453</v>
      </c>
      <c r="I2454" s="21">
        <f t="shared" ca="1" si="181"/>
        <v>0</v>
      </c>
      <c r="J2454" s="21" t="str">
        <f ca="1">IF(I2454=0,"",COUNTIF($I$2:I2454,"&gt;0"))</f>
        <v/>
      </c>
      <c r="K2454" s="21" t="str">
        <f t="shared" ca="1" si="182"/>
        <v/>
      </c>
    </row>
    <row r="2455" spans="1:11" s="18" customFormat="1" ht="14.25" x14ac:dyDescent="0.2">
      <c r="A2455" s="18" t="str">
        <f t="shared" si="184"/>
        <v>Eintrag 2454</v>
      </c>
      <c r="B2455" s="18">
        <v>100</v>
      </c>
      <c r="C2455" s="19">
        <v>100</v>
      </c>
      <c r="D2455" s="20">
        <v>10</v>
      </c>
      <c r="E2455" s="20">
        <v>10</v>
      </c>
      <c r="F2455" s="20">
        <v>10</v>
      </c>
      <c r="G2455" s="19">
        <f t="shared" si="183"/>
        <v>172</v>
      </c>
      <c r="H2455" s="22">
        <f t="shared" si="180"/>
        <v>2454</v>
      </c>
      <c r="I2455" s="21">
        <f t="shared" ca="1" si="181"/>
        <v>0</v>
      </c>
      <c r="J2455" s="21" t="str">
        <f ca="1">IF(I2455=0,"",COUNTIF($I$2:I2455,"&gt;0"))</f>
        <v/>
      </c>
      <c r="K2455" s="21" t="str">
        <f t="shared" ca="1" si="182"/>
        <v/>
      </c>
    </row>
    <row r="2456" spans="1:11" s="18" customFormat="1" ht="14.25" x14ac:dyDescent="0.2">
      <c r="A2456" s="18" t="str">
        <f t="shared" si="184"/>
        <v>Eintrag 2455</v>
      </c>
      <c r="B2456" s="18">
        <v>100</v>
      </c>
      <c r="C2456" s="19">
        <v>100</v>
      </c>
      <c r="D2456" s="20">
        <v>10</v>
      </c>
      <c r="E2456" s="20">
        <v>10</v>
      </c>
      <c r="F2456" s="20">
        <v>10</v>
      </c>
      <c r="G2456" s="19">
        <f t="shared" si="183"/>
        <v>172</v>
      </c>
      <c r="H2456" s="22">
        <f t="shared" si="180"/>
        <v>2455</v>
      </c>
      <c r="I2456" s="21">
        <f t="shared" ca="1" si="181"/>
        <v>0</v>
      </c>
      <c r="J2456" s="21" t="str">
        <f ca="1">IF(I2456=0,"",COUNTIF($I$2:I2456,"&gt;0"))</f>
        <v/>
      </c>
      <c r="K2456" s="21" t="str">
        <f t="shared" ca="1" si="182"/>
        <v/>
      </c>
    </row>
    <row r="2457" spans="1:11" s="18" customFormat="1" ht="14.25" x14ac:dyDescent="0.2">
      <c r="A2457" s="18" t="str">
        <f t="shared" si="184"/>
        <v>Eintrag 2456</v>
      </c>
      <c r="B2457" s="18">
        <v>100</v>
      </c>
      <c r="C2457" s="19">
        <v>100</v>
      </c>
      <c r="D2457" s="20">
        <v>10</v>
      </c>
      <c r="E2457" s="20">
        <v>10</v>
      </c>
      <c r="F2457" s="20">
        <v>10</v>
      </c>
      <c r="G2457" s="19">
        <f t="shared" si="183"/>
        <v>172</v>
      </c>
      <c r="H2457" s="22">
        <f t="shared" si="180"/>
        <v>2456</v>
      </c>
      <c r="I2457" s="21">
        <f t="shared" ca="1" si="181"/>
        <v>0</v>
      </c>
      <c r="J2457" s="21" t="str">
        <f ca="1">IF(I2457=0,"",COUNTIF($I$2:I2457,"&gt;0"))</f>
        <v/>
      </c>
      <c r="K2457" s="21" t="str">
        <f t="shared" ca="1" si="182"/>
        <v/>
      </c>
    </row>
    <row r="2458" spans="1:11" s="18" customFormat="1" ht="14.25" x14ac:dyDescent="0.2">
      <c r="A2458" s="18" t="str">
        <f t="shared" si="184"/>
        <v>Eintrag 2457</v>
      </c>
      <c r="B2458" s="18">
        <v>100</v>
      </c>
      <c r="C2458" s="19">
        <v>100</v>
      </c>
      <c r="D2458" s="20">
        <v>10</v>
      </c>
      <c r="E2458" s="20">
        <v>10</v>
      </c>
      <c r="F2458" s="20">
        <v>10</v>
      </c>
      <c r="G2458" s="19">
        <f t="shared" si="183"/>
        <v>172</v>
      </c>
      <c r="H2458" s="22">
        <f t="shared" si="180"/>
        <v>2457</v>
      </c>
      <c r="I2458" s="21">
        <f t="shared" ca="1" si="181"/>
        <v>0</v>
      </c>
      <c r="J2458" s="21" t="str">
        <f ca="1">IF(I2458=0,"",COUNTIF($I$2:I2458,"&gt;0"))</f>
        <v/>
      </c>
      <c r="K2458" s="21" t="str">
        <f t="shared" ca="1" si="182"/>
        <v/>
      </c>
    </row>
    <row r="2459" spans="1:11" s="18" customFormat="1" ht="14.25" x14ac:dyDescent="0.2">
      <c r="A2459" s="18" t="str">
        <f t="shared" si="184"/>
        <v>Eintrag 2458</v>
      </c>
      <c r="B2459" s="18">
        <v>100</v>
      </c>
      <c r="C2459" s="19">
        <v>100</v>
      </c>
      <c r="D2459" s="20">
        <v>10</v>
      </c>
      <c r="E2459" s="20">
        <v>10</v>
      </c>
      <c r="F2459" s="20">
        <v>10</v>
      </c>
      <c r="G2459" s="19">
        <f t="shared" si="183"/>
        <v>172</v>
      </c>
      <c r="H2459" s="22">
        <f t="shared" si="180"/>
        <v>2458</v>
      </c>
      <c r="I2459" s="21">
        <f t="shared" ca="1" si="181"/>
        <v>0</v>
      </c>
      <c r="J2459" s="21" t="str">
        <f ca="1">IF(I2459=0,"",COUNTIF($I$2:I2459,"&gt;0"))</f>
        <v/>
      </c>
      <c r="K2459" s="21" t="str">
        <f t="shared" ca="1" si="182"/>
        <v/>
      </c>
    </row>
    <row r="2460" spans="1:11" s="18" customFormat="1" ht="14.25" x14ac:dyDescent="0.2">
      <c r="A2460" s="18" t="str">
        <f t="shared" si="184"/>
        <v>Eintrag 2459</v>
      </c>
      <c r="B2460" s="18">
        <v>100</v>
      </c>
      <c r="C2460" s="19">
        <v>100</v>
      </c>
      <c r="D2460" s="20">
        <v>10</v>
      </c>
      <c r="E2460" s="20">
        <v>10</v>
      </c>
      <c r="F2460" s="20">
        <v>10</v>
      </c>
      <c r="G2460" s="19">
        <f t="shared" si="183"/>
        <v>172</v>
      </c>
      <c r="H2460" s="22">
        <f t="shared" si="180"/>
        <v>2459</v>
      </c>
      <c r="I2460" s="21">
        <f t="shared" ca="1" si="181"/>
        <v>0</v>
      </c>
      <c r="J2460" s="21" t="str">
        <f ca="1">IF(I2460=0,"",COUNTIF($I$2:I2460,"&gt;0"))</f>
        <v/>
      </c>
      <c r="K2460" s="21" t="str">
        <f t="shared" ca="1" si="182"/>
        <v/>
      </c>
    </row>
    <row r="2461" spans="1:11" s="18" customFormat="1" ht="14.25" x14ac:dyDescent="0.2">
      <c r="A2461" s="18" t="str">
        <f t="shared" si="184"/>
        <v>Eintrag 2460</v>
      </c>
      <c r="B2461" s="18">
        <v>100</v>
      </c>
      <c r="C2461" s="19">
        <v>100</v>
      </c>
      <c r="D2461" s="20">
        <v>10</v>
      </c>
      <c r="E2461" s="20">
        <v>10</v>
      </c>
      <c r="F2461" s="20">
        <v>10</v>
      </c>
      <c r="G2461" s="19">
        <f t="shared" si="183"/>
        <v>172</v>
      </c>
      <c r="H2461" s="22">
        <f t="shared" si="180"/>
        <v>2460</v>
      </c>
      <c r="I2461" s="21">
        <f t="shared" ca="1" si="181"/>
        <v>0</v>
      </c>
      <c r="J2461" s="21" t="str">
        <f ca="1">IF(I2461=0,"",COUNTIF($I$2:I2461,"&gt;0"))</f>
        <v/>
      </c>
      <c r="K2461" s="21" t="str">
        <f t="shared" ca="1" si="182"/>
        <v/>
      </c>
    </row>
    <row r="2462" spans="1:11" s="18" customFormat="1" ht="14.25" x14ac:dyDescent="0.2">
      <c r="A2462" s="18" t="str">
        <f t="shared" si="184"/>
        <v>Eintrag 2461</v>
      </c>
      <c r="B2462" s="18">
        <v>100</v>
      </c>
      <c r="C2462" s="19">
        <v>100</v>
      </c>
      <c r="D2462" s="20">
        <v>10</v>
      </c>
      <c r="E2462" s="20">
        <v>10</v>
      </c>
      <c r="F2462" s="20">
        <v>10</v>
      </c>
      <c r="G2462" s="19">
        <f t="shared" si="183"/>
        <v>172</v>
      </c>
      <c r="H2462" s="22">
        <f t="shared" si="180"/>
        <v>2461</v>
      </c>
      <c r="I2462" s="21">
        <f t="shared" ca="1" si="181"/>
        <v>0</v>
      </c>
      <c r="J2462" s="21" t="str">
        <f ca="1">IF(I2462=0,"",COUNTIF($I$2:I2462,"&gt;0"))</f>
        <v/>
      </c>
      <c r="K2462" s="21" t="str">
        <f t="shared" ca="1" si="182"/>
        <v/>
      </c>
    </row>
    <row r="2463" spans="1:11" s="18" customFormat="1" ht="14.25" x14ac:dyDescent="0.2">
      <c r="A2463" s="18" t="str">
        <f t="shared" si="184"/>
        <v>Eintrag 2462</v>
      </c>
      <c r="B2463" s="18">
        <v>100</v>
      </c>
      <c r="C2463" s="19">
        <v>100</v>
      </c>
      <c r="D2463" s="20">
        <v>10</v>
      </c>
      <c r="E2463" s="20">
        <v>10</v>
      </c>
      <c r="F2463" s="20">
        <v>10</v>
      </c>
      <c r="G2463" s="19">
        <f t="shared" si="183"/>
        <v>172</v>
      </c>
      <c r="H2463" s="22">
        <f t="shared" si="180"/>
        <v>2462</v>
      </c>
      <c r="I2463" s="21">
        <f t="shared" ca="1" si="181"/>
        <v>0</v>
      </c>
      <c r="J2463" s="21" t="str">
        <f ca="1">IF(I2463=0,"",COUNTIF($I$2:I2463,"&gt;0"))</f>
        <v/>
      </c>
      <c r="K2463" s="21" t="str">
        <f t="shared" ca="1" si="182"/>
        <v/>
      </c>
    </row>
    <row r="2464" spans="1:11" s="18" customFormat="1" ht="14.25" x14ac:dyDescent="0.2">
      <c r="A2464" s="18" t="str">
        <f t="shared" si="184"/>
        <v>Eintrag 2463</v>
      </c>
      <c r="B2464" s="18">
        <v>100</v>
      </c>
      <c r="C2464" s="19">
        <v>100</v>
      </c>
      <c r="D2464" s="20">
        <v>10</v>
      </c>
      <c r="E2464" s="20">
        <v>10</v>
      </c>
      <c r="F2464" s="20">
        <v>10</v>
      </c>
      <c r="G2464" s="19">
        <f t="shared" si="183"/>
        <v>172</v>
      </c>
      <c r="H2464" s="22">
        <f t="shared" si="180"/>
        <v>2463</v>
      </c>
      <c r="I2464" s="21">
        <f t="shared" ca="1" si="181"/>
        <v>0</v>
      </c>
      <c r="J2464" s="21" t="str">
        <f ca="1">IF(I2464=0,"",COUNTIF($I$2:I2464,"&gt;0"))</f>
        <v/>
      </c>
      <c r="K2464" s="21" t="str">
        <f t="shared" ca="1" si="182"/>
        <v/>
      </c>
    </row>
    <row r="2465" spans="1:11" s="18" customFormat="1" ht="14.25" x14ac:dyDescent="0.2">
      <c r="A2465" s="18" t="str">
        <f t="shared" si="184"/>
        <v>Eintrag 2464</v>
      </c>
      <c r="B2465" s="18">
        <v>100</v>
      </c>
      <c r="C2465" s="19">
        <v>100</v>
      </c>
      <c r="D2465" s="20">
        <v>10</v>
      </c>
      <c r="E2465" s="20">
        <v>10</v>
      </c>
      <c r="F2465" s="20">
        <v>10</v>
      </c>
      <c r="G2465" s="19">
        <f t="shared" si="183"/>
        <v>172</v>
      </c>
      <c r="H2465" s="22">
        <f t="shared" si="180"/>
        <v>2464</v>
      </c>
      <c r="I2465" s="21">
        <f t="shared" ca="1" si="181"/>
        <v>0</v>
      </c>
      <c r="J2465" s="21" t="str">
        <f ca="1">IF(I2465=0,"",COUNTIF($I$2:I2465,"&gt;0"))</f>
        <v/>
      </c>
      <c r="K2465" s="21" t="str">
        <f t="shared" ca="1" si="182"/>
        <v/>
      </c>
    </row>
    <row r="2466" spans="1:11" s="18" customFormat="1" ht="14.25" x14ac:dyDescent="0.2">
      <c r="A2466" s="18" t="str">
        <f t="shared" si="184"/>
        <v>Eintrag 2465</v>
      </c>
      <c r="B2466" s="18">
        <v>100</v>
      </c>
      <c r="C2466" s="19">
        <v>100</v>
      </c>
      <c r="D2466" s="20">
        <v>10</v>
      </c>
      <c r="E2466" s="20">
        <v>10</v>
      </c>
      <c r="F2466" s="20">
        <v>10</v>
      </c>
      <c r="G2466" s="19">
        <f t="shared" si="183"/>
        <v>172</v>
      </c>
      <c r="H2466" s="22">
        <f t="shared" si="180"/>
        <v>2465</v>
      </c>
      <c r="I2466" s="21">
        <f t="shared" ca="1" si="181"/>
        <v>0</v>
      </c>
      <c r="J2466" s="21" t="str">
        <f ca="1">IF(I2466=0,"",COUNTIF($I$2:I2466,"&gt;0"))</f>
        <v/>
      </c>
      <c r="K2466" s="21" t="str">
        <f t="shared" ca="1" si="182"/>
        <v/>
      </c>
    </row>
    <row r="2467" spans="1:11" s="18" customFormat="1" ht="14.25" x14ac:dyDescent="0.2">
      <c r="A2467" s="18" t="str">
        <f t="shared" si="184"/>
        <v>Eintrag 2466</v>
      </c>
      <c r="B2467" s="18">
        <v>100</v>
      </c>
      <c r="C2467" s="19">
        <v>100</v>
      </c>
      <c r="D2467" s="20">
        <v>10</v>
      </c>
      <c r="E2467" s="20">
        <v>10</v>
      </c>
      <c r="F2467" s="20">
        <v>10</v>
      </c>
      <c r="G2467" s="19">
        <f t="shared" si="183"/>
        <v>172</v>
      </c>
      <c r="H2467" s="22">
        <f t="shared" si="180"/>
        <v>2466</v>
      </c>
      <c r="I2467" s="21">
        <f t="shared" ca="1" si="181"/>
        <v>0</v>
      </c>
      <c r="J2467" s="21" t="str">
        <f ca="1">IF(I2467=0,"",COUNTIF($I$2:I2467,"&gt;0"))</f>
        <v/>
      </c>
      <c r="K2467" s="21" t="str">
        <f t="shared" ca="1" si="182"/>
        <v/>
      </c>
    </row>
    <row r="2468" spans="1:11" s="18" customFormat="1" ht="14.25" x14ac:dyDescent="0.2">
      <c r="A2468" s="18" t="str">
        <f t="shared" si="184"/>
        <v>Eintrag 2467</v>
      </c>
      <c r="B2468" s="18">
        <v>100</v>
      </c>
      <c r="C2468" s="19">
        <v>100</v>
      </c>
      <c r="D2468" s="20">
        <v>10</v>
      </c>
      <c r="E2468" s="20">
        <v>10</v>
      </c>
      <c r="F2468" s="20">
        <v>10</v>
      </c>
      <c r="G2468" s="19">
        <f t="shared" si="183"/>
        <v>172</v>
      </c>
      <c r="H2468" s="22">
        <f t="shared" si="180"/>
        <v>2467</v>
      </c>
      <c r="I2468" s="21">
        <f t="shared" ca="1" si="181"/>
        <v>0</v>
      </c>
      <c r="J2468" s="21" t="str">
        <f ca="1">IF(I2468=0,"",COUNTIF($I$2:I2468,"&gt;0"))</f>
        <v/>
      </c>
      <c r="K2468" s="21" t="str">
        <f t="shared" ca="1" si="182"/>
        <v/>
      </c>
    </row>
    <row r="2469" spans="1:11" s="18" customFormat="1" ht="14.25" x14ac:dyDescent="0.2">
      <c r="A2469" s="18" t="str">
        <f t="shared" si="184"/>
        <v>Eintrag 2468</v>
      </c>
      <c r="B2469" s="18">
        <v>100</v>
      </c>
      <c r="C2469" s="19">
        <v>100</v>
      </c>
      <c r="D2469" s="20">
        <v>10</v>
      </c>
      <c r="E2469" s="20">
        <v>10</v>
      </c>
      <c r="F2469" s="20">
        <v>10</v>
      </c>
      <c r="G2469" s="19">
        <f t="shared" si="183"/>
        <v>172</v>
      </c>
      <c r="H2469" s="22">
        <f t="shared" ref="H2469:H2532" si="185">H2468+1</f>
        <v>2468</v>
      </c>
      <c r="I2469" s="21">
        <f t="shared" ca="1" si="181"/>
        <v>0</v>
      </c>
      <c r="J2469" s="21" t="str">
        <f ca="1">IF(I2469=0,"",COUNTIF($I$2:I2469,"&gt;0"))</f>
        <v/>
      </c>
      <c r="K2469" s="21" t="str">
        <f t="shared" ca="1" si="182"/>
        <v/>
      </c>
    </row>
    <row r="2470" spans="1:11" s="18" customFormat="1" ht="14.25" x14ac:dyDescent="0.2">
      <c r="A2470" s="18" t="str">
        <f t="shared" si="184"/>
        <v>Eintrag 2469</v>
      </c>
      <c r="B2470" s="18">
        <v>100</v>
      </c>
      <c r="C2470" s="19">
        <v>100</v>
      </c>
      <c r="D2470" s="20">
        <v>10</v>
      </c>
      <c r="E2470" s="20">
        <v>10</v>
      </c>
      <c r="F2470" s="20">
        <v>10</v>
      </c>
      <c r="G2470" s="19">
        <f t="shared" si="183"/>
        <v>172</v>
      </c>
      <c r="H2470" s="22">
        <f t="shared" si="185"/>
        <v>2469</v>
      </c>
      <c r="I2470" s="21">
        <f t="shared" ca="1" si="181"/>
        <v>0</v>
      </c>
      <c r="J2470" s="21" t="str">
        <f ca="1">IF(I2470=0,"",COUNTIF($I$2:I2470,"&gt;0"))</f>
        <v/>
      </c>
      <c r="K2470" s="21" t="str">
        <f t="shared" ca="1" si="182"/>
        <v/>
      </c>
    </row>
    <row r="2471" spans="1:11" s="18" customFormat="1" ht="14.25" x14ac:dyDescent="0.2">
      <c r="A2471" s="18" t="str">
        <f t="shared" si="184"/>
        <v>Eintrag 2470</v>
      </c>
      <c r="B2471" s="18">
        <v>100</v>
      </c>
      <c r="C2471" s="19">
        <v>100</v>
      </c>
      <c r="D2471" s="20">
        <v>10</v>
      </c>
      <c r="E2471" s="20">
        <v>10</v>
      </c>
      <c r="F2471" s="20">
        <v>10</v>
      </c>
      <c r="G2471" s="19">
        <f t="shared" si="183"/>
        <v>172</v>
      </c>
      <c r="H2471" s="22">
        <f t="shared" si="185"/>
        <v>2470</v>
      </c>
      <c r="I2471" s="21">
        <f t="shared" ca="1" si="181"/>
        <v>0</v>
      </c>
      <c r="J2471" s="21" t="str">
        <f ca="1">IF(I2471=0,"",COUNTIF($I$2:I2471,"&gt;0"))</f>
        <v/>
      </c>
      <c r="K2471" s="21" t="str">
        <f t="shared" ca="1" si="182"/>
        <v/>
      </c>
    </row>
    <row r="2472" spans="1:11" s="18" customFormat="1" ht="14.25" x14ac:dyDescent="0.2">
      <c r="A2472" s="18" t="str">
        <f t="shared" si="184"/>
        <v>Eintrag 2471</v>
      </c>
      <c r="B2472" s="18">
        <v>100</v>
      </c>
      <c r="C2472" s="19">
        <v>100</v>
      </c>
      <c r="D2472" s="20">
        <v>10</v>
      </c>
      <c r="E2472" s="20">
        <v>10</v>
      </c>
      <c r="F2472" s="20">
        <v>10</v>
      </c>
      <c r="G2472" s="19">
        <f t="shared" si="183"/>
        <v>172</v>
      </c>
      <c r="H2472" s="22">
        <f t="shared" si="185"/>
        <v>2471</v>
      </c>
      <c r="I2472" s="21">
        <f t="shared" ca="1" si="181"/>
        <v>0</v>
      </c>
      <c r="J2472" s="21" t="str">
        <f ca="1">IF(I2472=0,"",COUNTIF($I$2:I2472,"&gt;0"))</f>
        <v/>
      </c>
      <c r="K2472" s="21" t="str">
        <f t="shared" ca="1" si="182"/>
        <v/>
      </c>
    </row>
    <row r="2473" spans="1:11" s="18" customFormat="1" ht="14.25" x14ac:dyDescent="0.2">
      <c r="A2473" s="18" t="str">
        <f t="shared" si="184"/>
        <v>Eintrag 2472</v>
      </c>
      <c r="B2473" s="18">
        <v>100</v>
      </c>
      <c r="C2473" s="19">
        <v>100</v>
      </c>
      <c r="D2473" s="20">
        <v>10</v>
      </c>
      <c r="E2473" s="20">
        <v>10</v>
      </c>
      <c r="F2473" s="20">
        <v>10</v>
      </c>
      <c r="G2473" s="19">
        <f t="shared" si="183"/>
        <v>172</v>
      </c>
      <c r="H2473" s="22">
        <f t="shared" si="185"/>
        <v>2472</v>
      </c>
      <c r="I2473" s="21">
        <f t="shared" ca="1" si="181"/>
        <v>0</v>
      </c>
      <c r="J2473" s="21" t="str">
        <f ca="1">IF(I2473=0,"",COUNTIF($I$2:I2473,"&gt;0"))</f>
        <v/>
      </c>
      <c r="K2473" s="21" t="str">
        <f t="shared" ca="1" si="182"/>
        <v/>
      </c>
    </row>
    <row r="2474" spans="1:11" s="18" customFormat="1" ht="14.25" x14ac:dyDescent="0.2">
      <c r="A2474" s="18" t="str">
        <f t="shared" si="184"/>
        <v>Eintrag 2473</v>
      </c>
      <c r="B2474" s="18">
        <v>100</v>
      </c>
      <c r="C2474" s="19">
        <v>100</v>
      </c>
      <c r="D2474" s="20">
        <v>10</v>
      </c>
      <c r="E2474" s="20">
        <v>10</v>
      </c>
      <c r="F2474" s="20">
        <v>10</v>
      </c>
      <c r="G2474" s="19">
        <f t="shared" si="183"/>
        <v>172</v>
      </c>
      <c r="H2474" s="22">
        <f t="shared" si="185"/>
        <v>2473</v>
      </c>
      <c r="I2474" s="21">
        <f t="shared" ca="1" si="181"/>
        <v>0</v>
      </c>
      <c r="J2474" s="21" t="str">
        <f ca="1">IF(I2474=0,"",COUNTIF($I$2:I2474,"&gt;0"))</f>
        <v/>
      </c>
      <c r="K2474" s="21" t="str">
        <f t="shared" ca="1" si="182"/>
        <v/>
      </c>
    </row>
    <row r="2475" spans="1:11" s="18" customFormat="1" ht="14.25" x14ac:dyDescent="0.2">
      <c r="A2475" s="18" t="str">
        <f t="shared" si="184"/>
        <v>Eintrag 2474</v>
      </c>
      <c r="B2475" s="18">
        <v>100</v>
      </c>
      <c r="C2475" s="19">
        <v>100</v>
      </c>
      <c r="D2475" s="20">
        <v>10</v>
      </c>
      <c r="E2475" s="20">
        <v>10</v>
      </c>
      <c r="F2475" s="20">
        <v>10</v>
      </c>
      <c r="G2475" s="19">
        <f t="shared" si="183"/>
        <v>172</v>
      </c>
      <c r="H2475" s="22">
        <f t="shared" si="185"/>
        <v>2474</v>
      </c>
      <c r="I2475" s="21">
        <f t="shared" ca="1" si="181"/>
        <v>0</v>
      </c>
      <c r="J2475" s="21" t="str">
        <f ca="1">IF(I2475=0,"",COUNTIF($I$2:I2475,"&gt;0"))</f>
        <v/>
      </c>
      <c r="K2475" s="21" t="str">
        <f t="shared" ca="1" si="182"/>
        <v/>
      </c>
    </row>
    <row r="2476" spans="1:11" s="18" customFormat="1" ht="14.25" x14ac:dyDescent="0.2">
      <c r="A2476" s="18" t="str">
        <f t="shared" si="184"/>
        <v>Eintrag 2475</v>
      </c>
      <c r="B2476" s="18">
        <v>100</v>
      </c>
      <c r="C2476" s="19">
        <v>100</v>
      </c>
      <c r="D2476" s="20">
        <v>10</v>
      </c>
      <c r="E2476" s="20">
        <v>10</v>
      </c>
      <c r="F2476" s="20">
        <v>10</v>
      </c>
      <c r="G2476" s="19">
        <f t="shared" si="183"/>
        <v>172</v>
      </c>
      <c r="H2476" s="22">
        <f t="shared" si="185"/>
        <v>2475</v>
      </c>
      <c r="I2476" s="21">
        <f t="shared" ca="1" si="181"/>
        <v>0</v>
      </c>
      <c r="J2476" s="21" t="str">
        <f ca="1">IF(I2476=0,"",COUNTIF($I$2:I2476,"&gt;0"))</f>
        <v/>
      </c>
      <c r="K2476" s="21" t="str">
        <f t="shared" ca="1" si="182"/>
        <v/>
      </c>
    </row>
    <row r="2477" spans="1:11" s="18" customFormat="1" ht="14.25" x14ac:dyDescent="0.2">
      <c r="A2477" s="18" t="str">
        <f t="shared" si="184"/>
        <v>Eintrag 2476</v>
      </c>
      <c r="B2477" s="18">
        <v>100</v>
      </c>
      <c r="C2477" s="19">
        <v>100</v>
      </c>
      <c r="D2477" s="20">
        <v>10</v>
      </c>
      <c r="E2477" s="20">
        <v>10</v>
      </c>
      <c r="F2477" s="20">
        <v>10</v>
      </c>
      <c r="G2477" s="19">
        <f t="shared" si="183"/>
        <v>172</v>
      </c>
      <c r="H2477" s="22">
        <f t="shared" si="185"/>
        <v>2476</v>
      </c>
      <c r="I2477" s="21">
        <f t="shared" ca="1" si="181"/>
        <v>0</v>
      </c>
      <c r="J2477" s="21" t="str">
        <f ca="1">IF(I2477=0,"",COUNTIF($I$2:I2477,"&gt;0"))</f>
        <v/>
      </c>
      <c r="K2477" s="21" t="str">
        <f t="shared" ca="1" si="182"/>
        <v/>
      </c>
    </row>
    <row r="2478" spans="1:11" s="18" customFormat="1" ht="14.25" x14ac:dyDescent="0.2">
      <c r="A2478" s="18" t="str">
        <f t="shared" si="184"/>
        <v>Eintrag 2477</v>
      </c>
      <c r="B2478" s="18">
        <v>100</v>
      </c>
      <c r="C2478" s="19">
        <v>100</v>
      </c>
      <c r="D2478" s="20">
        <v>10</v>
      </c>
      <c r="E2478" s="20">
        <v>10</v>
      </c>
      <c r="F2478" s="20">
        <v>10</v>
      </c>
      <c r="G2478" s="19">
        <f t="shared" si="183"/>
        <v>172</v>
      </c>
      <c r="H2478" s="22">
        <f t="shared" si="185"/>
        <v>2477</v>
      </c>
      <c r="I2478" s="21">
        <f t="shared" ca="1" si="181"/>
        <v>0</v>
      </c>
      <c r="J2478" s="21" t="str">
        <f ca="1">IF(I2478=0,"",COUNTIF($I$2:I2478,"&gt;0"))</f>
        <v/>
      </c>
      <c r="K2478" s="21" t="str">
        <f t="shared" ca="1" si="182"/>
        <v/>
      </c>
    </row>
    <row r="2479" spans="1:11" s="18" customFormat="1" ht="14.25" x14ac:dyDescent="0.2">
      <c r="A2479" s="18" t="str">
        <f t="shared" si="184"/>
        <v>Eintrag 2478</v>
      </c>
      <c r="B2479" s="18">
        <v>100</v>
      </c>
      <c r="C2479" s="19">
        <v>100</v>
      </c>
      <c r="D2479" s="20">
        <v>10</v>
      </c>
      <c r="E2479" s="20">
        <v>10</v>
      </c>
      <c r="F2479" s="20">
        <v>10</v>
      </c>
      <c r="G2479" s="19">
        <f t="shared" si="183"/>
        <v>172</v>
      </c>
      <c r="H2479" s="22">
        <f t="shared" si="185"/>
        <v>2478</v>
      </c>
      <c r="I2479" s="21">
        <f t="shared" ca="1" si="181"/>
        <v>0</v>
      </c>
      <c r="J2479" s="21" t="str">
        <f ca="1">IF(I2479=0,"",COUNTIF($I$2:I2479,"&gt;0"))</f>
        <v/>
      </c>
      <c r="K2479" s="21" t="str">
        <f t="shared" ca="1" si="182"/>
        <v/>
      </c>
    </row>
    <row r="2480" spans="1:11" s="18" customFormat="1" ht="14.25" x14ac:dyDescent="0.2">
      <c r="A2480" s="18" t="str">
        <f t="shared" si="184"/>
        <v>Eintrag 2479</v>
      </c>
      <c r="B2480" s="18">
        <v>100</v>
      </c>
      <c r="C2480" s="19">
        <v>100</v>
      </c>
      <c r="D2480" s="20">
        <v>10</v>
      </c>
      <c r="E2480" s="20">
        <v>10</v>
      </c>
      <c r="F2480" s="20">
        <v>10</v>
      </c>
      <c r="G2480" s="19">
        <f t="shared" si="183"/>
        <v>172</v>
      </c>
      <c r="H2480" s="22">
        <f t="shared" si="185"/>
        <v>2479</v>
      </c>
      <c r="I2480" s="21">
        <f t="shared" ca="1" si="181"/>
        <v>0</v>
      </c>
      <c r="J2480" s="21" t="str">
        <f ca="1">IF(I2480=0,"",COUNTIF($I$2:I2480,"&gt;0"))</f>
        <v/>
      </c>
      <c r="K2480" s="21" t="str">
        <f t="shared" ca="1" si="182"/>
        <v/>
      </c>
    </row>
    <row r="2481" spans="1:11" s="18" customFormat="1" ht="14.25" x14ac:dyDescent="0.2">
      <c r="A2481" s="18" t="str">
        <f t="shared" si="184"/>
        <v>Eintrag 2480</v>
      </c>
      <c r="B2481" s="18">
        <v>100</v>
      </c>
      <c r="C2481" s="19">
        <v>100</v>
      </c>
      <c r="D2481" s="20">
        <v>10</v>
      </c>
      <c r="E2481" s="20">
        <v>10</v>
      </c>
      <c r="F2481" s="20">
        <v>10</v>
      </c>
      <c r="G2481" s="19">
        <f t="shared" si="183"/>
        <v>172</v>
      </c>
      <c r="H2481" s="22">
        <f t="shared" si="185"/>
        <v>2480</v>
      </c>
      <c r="I2481" s="21">
        <f t="shared" ca="1" si="181"/>
        <v>0</v>
      </c>
      <c r="J2481" s="21" t="str">
        <f ca="1">IF(I2481=0,"",COUNTIF($I$2:I2481,"&gt;0"))</f>
        <v/>
      </c>
      <c r="K2481" s="21" t="str">
        <f t="shared" ca="1" si="182"/>
        <v/>
      </c>
    </row>
    <row r="2482" spans="1:11" s="18" customFormat="1" ht="14.25" x14ac:dyDescent="0.2">
      <c r="A2482" s="18" t="str">
        <f t="shared" si="184"/>
        <v>Eintrag 2481</v>
      </c>
      <c r="B2482" s="18">
        <v>100</v>
      </c>
      <c r="C2482" s="19">
        <v>100</v>
      </c>
      <c r="D2482" s="20">
        <v>10</v>
      </c>
      <c r="E2482" s="20">
        <v>10</v>
      </c>
      <c r="F2482" s="20">
        <v>10</v>
      </c>
      <c r="G2482" s="19">
        <f t="shared" si="183"/>
        <v>172</v>
      </c>
      <c r="H2482" s="22">
        <f t="shared" si="185"/>
        <v>2481</v>
      </c>
      <c r="I2482" s="21">
        <f t="shared" ca="1" si="181"/>
        <v>0</v>
      </c>
      <c r="J2482" s="21" t="str">
        <f ca="1">IF(I2482=0,"",COUNTIF($I$2:I2482,"&gt;0"))</f>
        <v/>
      </c>
      <c r="K2482" s="21" t="str">
        <f t="shared" ca="1" si="182"/>
        <v/>
      </c>
    </row>
    <row r="2483" spans="1:11" s="18" customFormat="1" ht="14.25" x14ac:dyDescent="0.2">
      <c r="A2483" s="18" t="str">
        <f t="shared" si="184"/>
        <v>Eintrag 2482</v>
      </c>
      <c r="B2483" s="18">
        <v>100</v>
      </c>
      <c r="C2483" s="19">
        <v>100</v>
      </c>
      <c r="D2483" s="20">
        <v>10</v>
      </c>
      <c r="E2483" s="20">
        <v>10</v>
      </c>
      <c r="F2483" s="20">
        <v>10</v>
      </c>
      <c r="G2483" s="19">
        <f t="shared" si="183"/>
        <v>172</v>
      </c>
      <c r="H2483" s="22">
        <f t="shared" si="185"/>
        <v>2482</v>
      </c>
      <c r="I2483" s="21">
        <f t="shared" ca="1" si="181"/>
        <v>0</v>
      </c>
      <c r="J2483" s="21" t="str">
        <f ca="1">IF(I2483=0,"",COUNTIF($I$2:I2483,"&gt;0"))</f>
        <v/>
      </c>
      <c r="K2483" s="21" t="str">
        <f t="shared" ca="1" si="182"/>
        <v/>
      </c>
    </row>
    <row r="2484" spans="1:11" s="18" customFormat="1" ht="14.25" x14ac:dyDescent="0.2">
      <c r="A2484" s="18" t="str">
        <f t="shared" si="184"/>
        <v>Eintrag 2483</v>
      </c>
      <c r="B2484" s="18">
        <v>100</v>
      </c>
      <c r="C2484" s="19">
        <v>100</v>
      </c>
      <c r="D2484" s="20">
        <v>10</v>
      </c>
      <c r="E2484" s="20">
        <v>10</v>
      </c>
      <c r="F2484" s="20">
        <v>10</v>
      </c>
      <c r="G2484" s="19">
        <f t="shared" si="183"/>
        <v>172</v>
      </c>
      <c r="H2484" s="22">
        <f t="shared" si="185"/>
        <v>2483</v>
      </c>
      <c r="I2484" s="21">
        <f t="shared" ca="1" si="181"/>
        <v>0</v>
      </c>
      <c r="J2484" s="21" t="str">
        <f ca="1">IF(I2484=0,"",COUNTIF($I$2:I2484,"&gt;0"))</f>
        <v/>
      </c>
      <c r="K2484" s="21" t="str">
        <f t="shared" ca="1" si="182"/>
        <v/>
      </c>
    </row>
    <row r="2485" spans="1:11" s="18" customFormat="1" ht="14.25" x14ac:dyDescent="0.2">
      <c r="A2485" s="18" t="str">
        <f t="shared" si="184"/>
        <v>Eintrag 2484</v>
      </c>
      <c r="B2485" s="18">
        <v>100</v>
      </c>
      <c r="C2485" s="19">
        <v>100</v>
      </c>
      <c r="D2485" s="20">
        <v>10</v>
      </c>
      <c r="E2485" s="20">
        <v>10</v>
      </c>
      <c r="F2485" s="20">
        <v>10</v>
      </c>
      <c r="G2485" s="19">
        <f t="shared" si="183"/>
        <v>172</v>
      </c>
      <c r="H2485" s="22">
        <f t="shared" si="185"/>
        <v>2484</v>
      </c>
      <c r="I2485" s="21">
        <f t="shared" ca="1" si="181"/>
        <v>0</v>
      </c>
      <c r="J2485" s="21" t="str">
        <f ca="1">IF(I2485=0,"",COUNTIF($I$2:I2485,"&gt;0"))</f>
        <v/>
      </c>
      <c r="K2485" s="21" t="str">
        <f t="shared" ca="1" si="182"/>
        <v/>
      </c>
    </row>
    <row r="2486" spans="1:11" s="18" customFormat="1" ht="14.25" x14ac:dyDescent="0.2">
      <c r="A2486" s="18" t="str">
        <f t="shared" si="184"/>
        <v>Eintrag 2485</v>
      </c>
      <c r="B2486" s="18">
        <v>100</v>
      </c>
      <c r="C2486" s="19">
        <v>100</v>
      </c>
      <c r="D2486" s="20">
        <v>10</v>
      </c>
      <c r="E2486" s="20">
        <v>10</v>
      </c>
      <c r="F2486" s="20">
        <v>10</v>
      </c>
      <c r="G2486" s="19">
        <f t="shared" si="183"/>
        <v>172</v>
      </c>
      <c r="H2486" s="22">
        <f t="shared" si="185"/>
        <v>2485</v>
      </c>
      <c r="I2486" s="21">
        <f t="shared" ca="1" si="181"/>
        <v>0</v>
      </c>
      <c r="J2486" s="21" t="str">
        <f ca="1">IF(I2486=0,"",COUNTIF($I$2:I2486,"&gt;0"))</f>
        <v/>
      </c>
      <c r="K2486" s="21" t="str">
        <f t="shared" ca="1" si="182"/>
        <v/>
      </c>
    </row>
    <row r="2487" spans="1:11" s="18" customFormat="1" ht="14.25" x14ac:dyDescent="0.2">
      <c r="A2487" s="18" t="str">
        <f t="shared" si="184"/>
        <v>Eintrag 2486</v>
      </c>
      <c r="B2487" s="18">
        <v>100</v>
      </c>
      <c r="C2487" s="19">
        <v>100</v>
      </c>
      <c r="D2487" s="20">
        <v>10</v>
      </c>
      <c r="E2487" s="20">
        <v>10</v>
      </c>
      <c r="F2487" s="20">
        <v>10</v>
      </c>
      <c r="G2487" s="19">
        <f t="shared" si="183"/>
        <v>172</v>
      </c>
      <c r="H2487" s="22">
        <f t="shared" si="185"/>
        <v>2486</v>
      </c>
      <c r="I2487" s="21">
        <f t="shared" ca="1" si="181"/>
        <v>0</v>
      </c>
      <c r="J2487" s="21" t="str">
        <f ca="1">IF(I2487=0,"",COUNTIF($I$2:I2487,"&gt;0"))</f>
        <v/>
      </c>
      <c r="K2487" s="21" t="str">
        <f t="shared" ca="1" si="182"/>
        <v/>
      </c>
    </row>
    <row r="2488" spans="1:11" s="18" customFormat="1" ht="14.25" x14ac:dyDescent="0.2">
      <c r="A2488" s="18" t="str">
        <f t="shared" si="184"/>
        <v>Eintrag 2487</v>
      </c>
      <c r="B2488" s="18">
        <v>100</v>
      </c>
      <c r="C2488" s="19">
        <v>100</v>
      </c>
      <c r="D2488" s="20">
        <v>10</v>
      </c>
      <c r="E2488" s="20">
        <v>10</v>
      </c>
      <c r="F2488" s="20">
        <v>10</v>
      </c>
      <c r="G2488" s="19">
        <f t="shared" si="183"/>
        <v>172</v>
      </c>
      <c r="H2488" s="22">
        <f t="shared" si="185"/>
        <v>2487</v>
      </c>
      <c r="I2488" s="21">
        <f t="shared" ca="1" si="181"/>
        <v>0</v>
      </c>
      <c r="J2488" s="21" t="str">
        <f ca="1">IF(I2488=0,"",COUNTIF($I$2:I2488,"&gt;0"))</f>
        <v/>
      </c>
      <c r="K2488" s="21" t="str">
        <f t="shared" ca="1" si="182"/>
        <v/>
      </c>
    </row>
    <row r="2489" spans="1:11" s="18" customFormat="1" ht="14.25" x14ac:dyDescent="0.2">
      <c r="A2489" s="18" t="str">
        <f t="shared" si="184"/>
        <v>Eintrag 2488</v>
      </c>
      <c r="B2489" s="18">
        <v>100</v>
      </c>
      <c r="C2489" s="19">
        <v>100</v>
      </c>
      <c r="D2489" s="20">
        <v>10</v>
      </c>
      <c r="E2489" s="20">
        <v>10</v>
      </c>
      <c r="F2489" s="20">
        <v>10</v>
      </c>
      <c r="G2489" s="19">
        <f t="shared" si="183"/>
        <v>172</v>
      </c>
      <c r="H2489" s="22">
        <f t="shared" si="185"/>
        <v>2488</v>
      </c>
      <c r="I2489" s="21">
        <f t="shared" ca="1" si="181"/>
        <v>0</v>
      </c>
      <c r="J2489" s="21" t="str">
        <f ca="1">IF(I2489=0,"",COUNTIF($I$2:I2489,"&gt;0"))</f>
        <v/>
      </c>
      <c r="K2489" s="21" t="str">
        <f t="shared" ca="1" si="182"/>
        <v/>
      </c>
    </row>
    <row r="2490" spans="1:11" s="18" customFormat="1" ht="14.25" x14ac:dyDescent="0.2">
      <c r="A2490" s="18" t="str">
        <f t="shared" si="184"/>
        <v>Eintrag 2489</v>
      </c>
      <c r="B2490" s="18">
        <v>100</v>
      </c>
      <c r="C2490" s="19">
        <v>100</v>
      </c>
      <c r="D2490" s="20">
        <v>10</v>
      </c>
      <c r="E2490" s="20">
        <v>10</v>
      </c>
      <c r="F2490" s="20">
        <v>10</v>
      </c>
      <c r="G2490" s="19">
        <f t="shared" si="183"/>
        <v>172</v>
      </c>
      <c r="H2490" s="22">
        <f t="shared" si="185"/>
        <v>2489</v>
      </c>
      <c r="I2490" s="21">
        <f t="shared" ca="1" si="181"/>
        <v>0</v>
      </c>
      <c r="J2490" s="21" t="str">
        <f ca="1">IF(I2490=0,"",COUNTIF($I$2:I2490,"&gt;0"))</f>
        <v/>
      </c>
      <c r="K2490" s="21" t="str">
        <f t="shared" ca="1" si="182"/>
        <v/>
      </c>
    </row>
    <row r="2491" spans="1:11" s="18" customFormat="1" ht="14.25" x14ac:dyDescent="0.2">
      <c r="A2491" s="18" t="str">
        <f t="shared" si="184"/>
        <v>Eintrag 2490</v>
      </c>
      <c r="B2491" s="18">
        <v>100</v>
      </c>
      <c r="C2491" s="19">
        <v>100</v>
      </c>
      <c r="D2491" s="20">
        <v>10</v>
      </c>
      <c r="E2491" s="20">
        <v>10</v>
      </c>
      <c r="F2491" s="20">
        <v>10</v>
      </c>
      <c r="G2491" s="19">
        <f t="shared" si="183"/>
        <v>172</v>
      </c>
      <c r="H2491" s="22">
        <f t="shared" si="185"/>
        <v>2490</v>
      </c>
      <c r="I2491" s="21">
        <f t="shared" ref="I2491:I2554" ca="1" si="186">IFERROR(SEARCH(INDIRECT(CELL("address")),A2491),0)</f>
        <v>0</v>
      </c>
      <c r="J2491" s="21" t="str">
        <f ca="1">IF(I2491=0,"",COUNTIF($I$2:I2491,"&gt;0"))</f>
        <v/>
      </c>
      <c r="K2491" s="21" t="str">
        <f t="shared" ca="1" si="182"/>
        <v/>
      </c>
    </row>
    <row r="2492" spans="1:11" s="18" customFormat="1" ht="14.25" x14ac:dyDescent="0.2">
      <c r="A2492" s="18" t="str">
        <f t="shared" si="184"/>
        <v>Eintrag 2491</v>
      </c>
      <c r="B2492" s="18">
        <v>100</v>
      </c>
      <c r="C2492" s="19">
        <v>100</v>
      </c>
      <c r="D2492" s="20">
        <v>10</v>
      </c>
      <c r="E2492" s="20">
        <v>10</v>
      </c>
      <c r="F2492" s="20">
        <v>10</v>
      </c>
      <c r="G2492" s="19">
        <f t="shared" si="183"/>
        <v>172</v>
      </c>
      <c r="H2492" s="22">
        <f t="shared" si="185"/>
        <v>2491</v>
      </c>
      <c r="I2492" s="21">
        <f t="shared" ca="1" si="186"/>
        <v>0</v>
      </c>
      <c r="J2492" s="21" t="str">
        <f ca="1">IF(I2492=0,"",COUNTIF($I$2:I2492,"&gt;0"))</f>
        <v/>
      </c>
      <c r="K2492" s="21" t="str">
        <f t="shared" ca="1" si="182"/>
        <v/>
      </c>
    </row>
    <row r="2493" spans="1:11" s="18" customFormat="1" ht="14.25" x14ac:dyDescent="0.2">
      <c r="A2493" s="18" t="str">
        <f t="shared" si="184"/>
        <v>Eintrag 2492</v>
      </c>
      <c r="B2493" s="18">
        <v>100</v>
      </c>
      <c r="C2493" s="19">
        <v>100</v>
      </c>
      <c r="D2493" s="20">
        <v>10</v>
      </c>
      <c r="E2493" s="20">
        <v>10</v>
      </c>
      <c r="F2493" s="20">
        <v>10</v>
      </c>
      <c r="G2493" s="19">
        <f t="shared" si="183"/>
        <v>172</v>
      </c>
      <c r="H2493" s="22">
        <f t="shared" si="185"/>
        <v>2492</v>
      </c>
      <c r="I2493" s="21">
        <f t="shared" ca="1" si="186"/>
        <v>0</v>
      </c>
      <c r="J2493" s="21" t="str">
        <f ca="1">IF(I2493=0,"",COUNTIF($I$2:I2493,"&gt;0"))</f>
        <v/>
      </c>
      <c r="K2493" s="21" t="str">
        <f t="shared" ca="1" si="182"/>
        <v/>
      </c>
    </row>
    <row r="2494" spans="1:11" s="18" customFormat="1" ht="14.25" x14ac:dyDescent="0.2">
      <c r="A2494" s="18" t="str">
        <f t="shared" si="184"/>
        <v>Eintrag 2493</v>
      </c>
      <c r="B2494" s="18">
        <v>100</v>
      </c>
      <c r="C2494" s="19">
        <v>100</v>
      </c>
      <c r="D2494" s="20">
        <v>10</v>
      </c>
      <c r="E2494" s="20">
        <v>10</v>
      </c>
      <c r="F2494" s="20">
        <v>10</v>
      </c>
      <c r="G2494" s="19">
        <f t="shared" si="183"/>
        <v>172</v>
      </c>
      <c r="H2494" s="22">
        <f t="shared" si="185"/>
        <v>2493</v>
      </c>
      <c r="I2494" s="21">
        <f t="shared" ca="1" si="186"/>
        <v>0</v>
      </c>
      <c r="J2494" s="21" t="str">
        <f ca="1">IF(I2494=0,"",COUNTIF($I$2:I2494,"&gt;0"))</f>
        <v/>
      </c>
      <c r="K2494" s="21" t="str">
        <f t="shared" ca="1" si="182"/>
        <v/>
      </c>
    </row>
    <row r="2495" spans="1:11" s="18" customFormat="1" ht="14.25" x14ac:dyDescent="0.2">
      <c r="A2495" s="18" t="str">
        <f t="shared" si="184"/>
        <v>Eintrag 2494</v>
      </c>
      <c r="B2495" s="18">
        <v>100</v>
      </c>
      <c r="C2495" s="19">
        <v>100</v>
      </c>
      <c r="D2495" s="20">
        <v>10</v>
      </c>
      <c r="E2495" s="20">
        <v>10</v>
      </c>
      <c r="F2495" s="20">
        <v>10</v>
      </c>
      <c r="G2495" s="19">
        <f t="shared" si="183"/>
        <v>172</v>
      </c>
      <c r="H2495" s="22">
        <f t="shared" si="185"/>
        <v>2494</v>
      </c>
      <c r="I2495" s="21">
        <f t="shared" ca="1" si="186"/>
        <v>0</v>
      </c>
      <c r="J2495" s="21" t="str">
        <f ca="1">IF(I2495=0,"",COUNTIF($I$2:I2495,"&gt;0"))</f>
        <v/>
      </c>
      <c r="K2495" s="21" t="str">
        <f t="shared" ca="1" si="182"/>
        <v/>
      </c>
    </row>
    <row r="2496" spans="1:11" s="18" customFormat="1" ht="14.25" x14ac:dyDescent="0.2">
      <c r="A2496" s="18" t="str">
        <f t="shared" si="184"/>
        <v>Eintrag 2495</v>
      </c>
      <c r="B2496" s="18">
        <v>100</v>
      </c>
      <c r="C2496" s="19">
        <v>100</v>
      </c>
      <c r="D2496" s="20">
        <v>10</v>
      </c>
      <c r="E2496" s="20">
        <v>10</v>
      </c>
      <c r="F2496" s="20">
        <v>10</v>
      </c>
      <c r="G2496" s="19">
        <f t="shared" si="183"/>
        <v>172</v>
      </c>
      <c r="H2496" s="22">
        <f t="shared" si="185"/>
        <v>2495</v>
      </c>
      <c r="I2496" s="21">
        <f t="shared" ca="1" si="186"/>
        <v>0</v>
      </c>
      <c r="J2496" s="21" t="str">
        <f ca="1">IF(I2496=0,"",COUNTIF($I$2:I2496,"&gt;0"))</f>
        <v/>
      </c>
      <c r="K2496" s="21" t="str">
        <f t="shared" ca="1" si="182"/>
        <v/>
      </c>
    </row>
    <row r="2497" spans="1:11" s="18" customFormat="1" ht="14.25" x14ac:dyDescent="0.2">
      <c r="A2497" s="18" t="str">
        <f t="shared" si="184"/>
        <v>Eintrag 2496</v>
      </c>
      <c r="B2497" s="18">
        <v>100</v>
      </c>
      <c r="C2497" s="19">
        <v>100</v>
      </c>
      <c r="D2497" s="20">
        <v>10</v>
      </c>
      <c r="E2497" s="20">
        <v>10</v>
      </c>
      <c r="F2497" s="20">
        <v>10</v>
      </c>
      <c r="G2497" s="19">
        <f t="shared" si="183"/>
        <v>172</v>
      </c>
      <c r="H2497" s="22">
        <f t="shared" si="185"/>
        <v>2496</v>
      </c>
      <c r="I2497" s="21">
        <f t="shared" ca="1" si="186"/>
        <v>0</v>
      </c>
      <c r="J2497" s="21" t="str">
        <f ca="1">IF(I2497=0,"",COUNTIF($I$2:I2497,"&gt;0"))</f>
        <v/>
      </c>
      <c r="K2497" s="21" t="str">
        <f t="shared" ca="1" si="182"/>
        <v/>
      </c>
    </row>
    <row r="2498" spans="1:11" s="18" customFormat="1" ht="14.25" x14ac:dyDescent="0.2">
      <c r="A2498" s="18" t="str">
        <f t="shared" si="184"/>
        <v>Eintrag 2497</v>
      </c>
      <c r="B2498" s="18">
        <v>100</v>
      </c>
      <c r="C2498" s="19">
        <v>100</v>
      </c>
      <c r="D2498" s="20">
        <v>10</v>
      </c>
      <c r="E2498" s="20">
        <v>10</v>
      </c>
      <c r="F2498" s="20">
        <v>10</v>
      </c>
      <c r="G2498" s="19">
        <f t="shared" si="183"/>
        <v>172</v>
      </c>
      <c r="H2498" s="22">
        <f t="shared" si="185"/>
        <v>2497</v>
      </c>
      <c r="I2498" s="21">
        <f t="shared" ca="1" si="186"/>
        <v>0</v>
      </c>
      <c r="J2498" s="21" t="str">
        <f ca="1">IF(I2498=0,"",COUNTIF($I$2:I2498,"&gt;0"))</f>
        <v/>
      </c>
      <c r="K2498" s="21" t="str">
        <f t="shared" ref="K2498:K2561" ca="1" si="187">IFERROR(INDEX(A:A,MATCH(ROW(I2497),J:J,0)),"")</f>
        <v/>
      </c>
    </row>
    <row r="2499" spans="1:11" s="18" customFormat="1" ht="14.25" x14ac:dyDescent="0.2">
      <c r="A2499" s="18" t="str">
        <f t="shared" si="184"/>
        <v>Eintrag 2498</v>
      </c>
      <c r="B2499" s="18">
        <v>100</v>
      </c>
      <c r="C2499" s="19">
        <v>100</v>
      </c>
      <c r="D2499" s="20">
        <v>10</v>
      </c>
      <c r="E2499" s="20">
        <v>10</v>
      </c>
      <c r="F2499" s="20">
        <v>10</v>
      </c>
      <c r="G2499" s="19">
        <f t="shared" ref="G2499:G2562" si="188">D2499*9+E2499*4.1+F2499*4.1</f>
        <v>172</v>
      </c>
      <c r="H2499" s="22">
        <f t="shared" si="185"/>
        <v>2498</v>
      </c>
      <c r="I2499" s="21">
        <f t="shared" ca="1" si="186"/>
        <v>0</v>
      </c>
      <c r="J2499" s="21" t="str">
        <f ca="1">IF(I2499=0,"",COUNTIF($I$2:I2499,"&gt;0"))</f>
        <v/>
      </c>
      <c r="K2499" s="21" t="str">
        <f t="shared" ca="1" si="187"/>
        <v/>
      </c>
    </row>
    <row r="2500" spans="1:11" s="18" customFormat="1" ht="14.25" x14ac:dyDescent="0.2">
      <c r="A2500" s="18" t="str">
        <f t="shared" si="184"/>
        <v>Eintrag 2499</v>
      </c>
      <c r="B2500" s="18">
        <v>100</v>
      </c>
      <c r="C2500" s="19">
        <v>100</v>
      </c>
      <c r="D2500" s="20">
        <v>10</v>
      </c>
      <c r="E2500" s="20">
        <v>10</v>
      </c>
      <c r="F2500" s="20">
        <v>10</v>
      </c>
      <c r="G2500" s="19">
        <f t="shared" si="188"/>
        <v>172</v>
      </c>
      <c r="H2500" s="22">
        <f t="shared" si="185"/>
        <v>2499</v>
      </c>
      <c r="I2500" s="21">
        <f t="shared" ca="1" si="186"/>
        <v>0</v>
      </c>
      <c r="J2500" s="21" t="str">
        <f ca="1">IF(I2500=0,"",COUNTIF($I$2:I2500,"&gt;0"))</f>
        <v/>
      </c>
      <c r="K2500" s="21" t="str">
        <f t="shared" ca="1" si="187"/>
        <v/>
      </c>
    </row>
    <row r="2501" spans="1:11" s="18" customFormat="1" ht="14.25" x14ac:dyDescent="0.2">
      <c r="A2501" s="18" t="str">
        <f t="shared" ref="A2501:A2564" si="189">CONCATENATE("Eintrag ",H2501)</f>
        <v>Eintrag 2500</v>
      </c>
      <c r="B2501" s="18">
        <v>100</v>
      </c>
      <c r="C2501" s="19">
        <v>100</v>
      </c>
      <c r="D2501" s="20">
        <v>10</v>
      </c>
      <c r="E2501" s="20">
        <v>10</v>
      </c>
      <c r="F2501" s="20">
        <v>10</v>
      </c>
      <c r="G2501" s="19">
        <f t="shared" si="188"/>
        <v>172</v>
      </c>
      <c r="H2501" s="22">
        <f t="shared" si="185"/>
        <v>2500</v>
      </c>
      <c r="I2501" s="21">
        <f t="shared" ca="1" si="186"/>
        <v>0</v>
      </c>
      <c r="J2501" s="21" t="str">
        <f ca="1">IF(I2501=0,"",COUNTIF($I$2:I2501,"&gt;0"))</f>
        <v/>
      </c>
      <c r="K2501" s="21" t="str">
        <f t="shared" ca="1" si="187"/>
        <v/>
      </c>
    </row>
    <row r="2502" spans="1:11" s="18" customFormat="1" ht="14.25" x14ac:dyDescent="0.2">
      <c r="A2502" s="18" t="str">
        <f t="shared" si="189"/>
        <v>Eintrag 2501</v>
      </c>
      <c r="B2502" s="18">
        <v>100</v>
      </c>
      <c r="C2502" s="19">
        <v>100</v>
      </c>
      <c r="D2502" s="20">
        <v>10</v>
      </c>
      <c r="E2502" s="20">
        <v>10</v>
      </c>
      <c r="F2502" s="20">
        <v>10</v>
      </c>
      <c r="G2502" s="19">
        <f t="shared" si="188"/>
        <v>172</v>
      </c>
      <c r="H2502" s="22">
        <f t="shared" si="185"/>
        <v>2501</v>
      </c>
      <c r="I2502" s="21">
        <f t="shared" ca="1" si="186"/>
        <v>0</v>
      </c>
      <c r="J2502" s="21" t="str">
        <f ca="1">IF(I2502=0,"",COUNTIF($I$2:I2502,"&gt;0"))</f>
        <v/>
      </c>
      <c r="K2502" s="21" t="str">
        <f t="shared" ca="1" si="187"/>
        <v/>
      </c>
    </row>
    <row r="2503" spans="1:11" s="18" customFormat="1" ht="14.25" x14ac:dyDescent="0.2">
      <c r="A2503" s="18" t="str">
        <f t="shared" si="189"/>
        <v>Eintrag 2502</v>
      </c>
      <c r="B2503" s="18">
        <v>100</v>
      </c>
      <c r="C2503" s="19">
        <v>100</v>
      </c>
      <c r="D2503" s="20">
        <v>10</v>
      </c>
      <c r="E2503" s="20">
        <v>10</v>
      </c>
      <c r="F2503" s="20">
        <v>10</v>
      </c>
      <c r="G2503" s="19">
        <f t="shared" si="188"/>
        <v>172</v>
      </c>
      <c r="H2503" s="22">
        <f t="shared" si="185"/>
        <v>2502</v>
      </c>
      <c r="I2503" s="21">
        <f t="shared" ca="1" si="186"/>
        <v>0</v>
      </c>
      <c r="J2503" s="21" t="str">
        <f ca="1">IF(I2503=0,"",COUNTIF($I$2:I2503,"&gt;0"))</f>
        <v/>
      </c>
      <c r="K2503" s="21" t="str">
        <f t="shared" ca="1" si="187"/>
        <v/>
      </c>
    </row>
    <row r="2504" spans="1:11" s="18" customFormat="1" ht="14.25" x14ac:dyDescent="0.2">
      <c r="A2504" s="18" t="str">
        <f t="shared" si="189"/>
        <v>Eintrag 2503</v>
      </c>
      <c r="B2504" s="18">
        <v>100</v>
      </c>
      <c r="C2504" s="19">
        <v>100</v>
      </c>
      <c r="D2504" s="20">
        <v>10</v>
      </c>
      <c r="E2504" s="20">
        <v>10</v>
      </c>
      <c r="F2504" s="20">
        <v>10</v>
      </c>
      <c r="G2504" s="19">
        <f t="shared" si="188"/>
        <v>172</v>
      </c>
      <c r="H2504" s="22">
        <f t="shared" si="185"/>
        <v>2503</v>
      </c>
      <c r="I2504" s="21">
        <f t="shared" ca="1" si="186"/>
        <v>0</v>
      </c>
      <c r="J2504" s="21" t="str">
        <f ca="1">IF(I2504=0,"",COUNTIF($I$2:I2504,"&gt;0"))</f>
        <v/>
      </c>
      <c r="K2504" s="21" t="str">
        <f t="shared" ca="1" si="187"/>
        <v/>
      </c>
    </row>
    <row r="2505" spans="1:11" s="18" customFormat="1" ht="14.25" x14ac:dyDescent="0.2">
      <c r="A2505" s="18" t="str">
        <f t="shared" si="189"/>
        <v>Eintrag 2504</v>
      </c>
      <c r="B2505" s="18">
        <v>100</v>
      </c>
      <c r="C2505" s="19">
        <v>100</v>
      </c>
      <c r="D2505" s="20">
        <v>10</v>
      </c>
      <c r="E2505" s="20">
        <v>10</v>
      </c>
      <c r="F2505" s="20">
        <v>10</v>
      </c>
      <c r="G2505" s="19">
        <f t="shared" si="188"/>
        <v>172</v>
      </c>
      <c r="H2505" s="22">
        <f t="shared" si="185"/>
        <v>2504</v>
      </c>
      <c r="I2505" s="21">
        <f t="shared" ca="1" si="186"/>
        <v>0</v>
      </c>
      <c r="J2505" s="21" t="str">
        <f ca="1">IF(I2505=0,"",COUNTIF($I$2:I2505,"&gt;0"))</f>
        <v/>
      </c>
      <c r="K2505" s="21" t="str">
        <f t="shared" ca="1" si="187"/>
        <v/>
      </c>
    </row>
    <row r="2506" spans="1:11" s="18" customFormat="1" ht="14.25" x14ac:dyDescent="0.2">
      <c r="A2506" s="18" t="str">
        <f t="shared" si="189"/>
        <v>Eintrag 2505</v>
      </c>
      <c r="B2506" s="18">
        <v>100</v>
      </c>
      <c r="C2506" s="19">
        <v>100</v>
      </c>
      <c r="D2506" s="20">
        <v>10</v>
      </c>
      <c r="E2506" s="20">
        <v>10</v>
      </c>
      <c r="F2506" s="20">
        <v>10</v>
      </c>
      <c r="G2506" s="19">
        <f t="shared" si="188"/>
        <v>172</v>
      </c>
      <c r="H2506" s="22">
        <f t="shared" si="185"/>
        <v>2505</v>
      </c>
      <c r="I2506" s="21">
        <f t="shared" ca="1" si="186"/>
        <v>0</v>
      </c>
      <c r="J2506" s="21" t="str">
        <f ca="1">IF(I2506=0,"",COUNTIF($I$2:I2506,"&gt;0"))</f>
        <v/>
      </c>
      <c r="K2506" s="21" t="str">
        <f t="shared" ca="1" si="187"/>
        <v/>
      </c>
    </row>
    <row r="2507" spans="1:11" s="18" customFormat="1" ht="14.25" x14ac:dyDescent="0.2">
      <c r="A2507" s="18" t="str">
        <f t="shared" si="189"/>
        <v>Eintrag 2506</v>
      </c>
      <c r="B2507" s="18">
        <v>100</v>
      </c>
      <c r="C2507" s="19">
        <v>100</v>
      </c>
      <c r="D2507" s="20">
        <v>10</v>
      </c>
      <c r="E2507" s="20">
        <v>10</v>
      </c>
      <c r="F2507" s="20">
        <v>10</v>
      </c>
      <c r="G2507" s="19">
        <f t="shared" si="188"/>
        <v>172</v>
      </c>
      <c r="H2507" s="22">
        <f t="shared" si="185"/>
        <v>2506</v>
      </c>
      <c r="I2507" s="21">
        <f t="shared" ca="1" si="186"/>
        <v>0</v>
      </c>
      <c r="J2507" s="21" t="str">
        <f ca="1">IF(I2507=0,"",COUNTIF($I$2:I2507,"&gt;0"))</f>
        <v/>
      </c>
      <c r="K2507" s="21" t="str">
        <f t="shared" ca="1" si="187"/>
        <v/>
      </c>
    </row>
    <row r="2508" spans="1:11" s="18" customFormat="1" ht="14.25" x14ac:dyDescent="0.2">
      <c r="A2508" s="18" t="str">
        <f t="shared" si="189"/>
        <v>Eintrag 2507</v>
      </c>
      <c r="B2508" s="18">
        <v>100</v>
      </c>
      <c r="C2508" s="19">
        <v>100</v>
      </c>
      <c r="D2508" s="20">
        <v>10</v>
      </c>
      <c r="E2508" s="20">
        <v>10</v>
      </c>
      <c r="F2508" s="20">
        <v>10</v>
      </c>
      <c r="G2508" s="19">
        <f t="shared" si="188"/>
        <v>172</v>
      </c>
      <c r="H2508" s="22">
        <f t="shared" si="185"/>
        <v>2507</v>
      </c>
      <c r="I2508" s="21">
        <f t="shared" ca="1" si="186"/>
        <v>0</v>
      </c>
      <c r="J2508" s="21" t="str">
        <f ca="1">IF(I2508=0,"",COUNTIF($I$2:I2508,"&gt;0"))</f>
        <v/>
      </c>
      <c r="K2508" s="21" t="str">
        <f t="shared" ca="1" si="187"/>
        <v/>
      </c>
    </row>
    <row r="2509" spans="1:11" s="18" customFormat="1" ht="14.25" x14ac:dyDescent="0.2">
      <c r="A2509" s="18" t="str">
        <f t="shared" si="189"/>
        <v>Eintrag 2508</v>
      </c>
      <c r="B2509" s="18">
        <v>100</v>
      </c>
      <c r="C2509" s="19">
        <v>100</v>
      </c>
      <c r="D2509" s="20">
        <v>10</v>
      </c>
      <c r="E2509" s="20">
        <v>10</v>
      </c>
      <c r="F2509" s="20">
        <v>10</v>
      </c>
      <c r="G2509" s="19">
        <f t="shared" si="188"/>
        <v>172</v>
      </c>
      <c r="H2509" s="22">
        <f t="shared" si="185"/>
        <v>2508</v>
      </c>
      <c r="I2509" s="21">
        <f t="shared" ca="1" si="186"/>
        <v>0</v>
      </c>
      <c r="J2509" s="21" t="str">
        <f ca="1">IF(I2509=0,"",COUNTIF($I$2:I2509,"&gt;0"))</f>
        <v/>
      </c>
      <c r="K2509" s="21" t="str">
        <f t="shared" ca="1" si="187"/>
        <v/>
      </c>
    </row>
    <row r="2510" spans="1:11" s="18" customFormat="1" ht="14.25" x14ac:dyDescent="0.2">
      <c r="A2510" s="18" t="str">
        <f t="shared" si="189"/>
        <v>Eintrag 2509</v>
      </c>
      <c r="B2510" s="18">
        <v>100</v>
      </c>
      <c r="C2510" s="19">
        <v>100</v>
      </c>
      <c r="D2510" s="20">
        <v>10</v>
      </c>
      <c r="E2510" s="20">
        <v>10</v>
      </c>
      <c r="F2510" s="20">
        <v>10</v>
      </c>
      <c r="G2510" s="19">
        <f t="shared" si="188"/>
        <v>172</v>
      </c>
      <c r="H2510" s="22">
        <f t="shared" si="185"/>
        <v>2509</v>
      </c>
      <c r="I2510" s="21">
        <f t="shared" ca="1" si="186"/>
        <v>0</v>
      </c>
      <c r="J2510" s="21" t="str">
        <f ca="1">IF(I2510=0,"",COUNTIF($I$2:I2510,"&gt;0"))</f>
        <v/>
      </c>
      <c r="K2510" s="21" t="str">
        <f t="shared" ca="1" si="187"/>
        <v/>
      </c>
    </row>
    <row r="2511" spans="1:11" s="18" customFormat="1" ht="14.25" x14ac:dyDescent="0.2">
      <c r="A2511" s="18" t="str">
        <f t="shared" si="189"/>
        <v>Eintrag 2510</v>
      </c>
      <c r="B2511" s="18">
        <v>100</v>
      </c>
      <c r="C2511" s="19">
        <v>100</v>
      </c>
      <c r="D2511" s="20">
        <v>10</v>
      </c>
      <c r="E2511" s="20">
        <v>10</v>
      </c>
      <c r="F2511" s="20">
        <v>10</v>
      </c>
      <c r="G2511" s="19">
        <f t="shared" si="188"/>
        <v>172</v>
      </c>
      <c r="H2511" s="22">
        <f t="shared" si="185"/>
        <v>2510</v>
      </c>
      <c r="I2511" s="21">
        <f t="shared" ca="1" si="186"/>
        <v>0</v>
      </c>
      <c r="J2511" s="21" t="str">
        <f ca="1">IF(I2511=0,"",COUNTIF($I$2:I2511,"&gt;0"))</f>
        <v/>
      </c>
      <c r="K2511" s="21" t="str">
        <f t="shared" ca="1" si="187"/>
        <v/>
      </c>
    </row>
    <row r="2512" spans="1:11" s="18" customFormat="1" ht="14.25" x14ac:dyDescent="0.2">
      <c r="A2512" s="18" t="str">
        <f t="shared" si="189"/>
        <v>Eintrag 2511</v>
      </c>
      <c r="B2512" s="18">
        <v>100</v>
      </c>
      <c r="C2512" s="19">
        <v>100</v>
      </c>
      <c r="D2512" s="20">
        <v>10</v>
      </c>
      <c r="E2512" s="20">
        <v>10</v>
      </c>
      <c r="F2512" s="20">
        <v>10</v>
      </c>
      <c r="G2512" s="19">
        <f t="shared" si="188"/>
        <v>172</v>
      </c>
      <c r="H2512" s="22">
        <f t="shared" si="185"/>
        <v>2511</v>
      </c>
      <c r="I2512" s="21">
        <f t="shared" ca="1" si="186"/>
        <v>0</v>
      </c>
      <c r="J2512" s="21" t="str">
        <f ca="1">IF(I2512=0,"",COUNTIF($I$2:I2512,"&gt;0"))</f>
        <v/>
      </c>
      <c r="K2512" s="21" t="str">
        <f t="shared" ca="1" si="187"/>
        <v/>
      </c>
    </row>
    <row r="2513" spans="1:11" s="18" customFormat="1" ht="14.25" x14ac:dyDescent="0.2">
      <c r="A2513" s="18" t="str">
        <f t="shared" si="189"/>
        <v>Eintrag 2512</v>
      </c>
      <c r="B2513" s="18">
        <v>100</v>
      </c>
      <c r="C2513" s="19">
        <v>100</v>
      </c>
      <c r="D2513" s="20">
        <v>10</v>
      </c>
      <c r="E2513" s="20">
        <v>10</v>
      </c>
      <c r="F2513" s="20">
        <v>10</v>
      </c>
      <c r="G2513" s="19">
        <f t="shared" si="188"/>
        <v>172</v>
      </c>
      <c r="H2513" s="22">
        <f t="shared" si="185"/>
        <v>2512</v>
      </c>
      <c r="I2513" s="21">
        <f t="shared" ca="1" si="186"/>
        <v>0</v>
      </c>
      <c r="J2513" s="21" t="str">
        <f ca="1">IF(I2513=0,"",COUNTIF($I$2:I2513,"&gt;0"))</f>
        <v/>
      </c>
      <c r="K2513" s="21" t="str">
        <f t="shared" ca="1" si="187"/>
        <v/>
      </c>
    </row>
    <row r="2514" spans="1:11" s="18" customFormat="1" ht="14.25" x14ac:dyDescent="0.2">
      <c r="A2514" s="18" t="str">
        <f t="shared" si="189"/>
        <v>Eintrag 2513</v>
      </c>
      <c r="B2514" s="18">
        <v>100</v>
      </c>
      <c r="C2514" s="19">
        <v>100</v>
      </c>
      <c r="D2514" s="20">
        <v>10</v>
      </c>
      <c r="E2514" s="20">
        <v>10</v>
      </c>
      <c r="F2514" s="20">
        <v>10</v>
      </c>
      <c r="G2514" s="19">
        <f t="shared" si="188"/>
        <v>172</v>
      </c>
      <c r="H2514" s="22">
        <f t="shared" si="185"/>
        <v>2513</v>
      </c>
      <c r="I2514" s="21">
        <f t="shared" ca="1" si="186"/>
        <v>0</v>
      </c>
      <c r="J2514" s="21" t="str">
        <f ca="1">IF(I2514=0,"",COUNTIF($I$2:I2514,"&gt;0"))</f>
        <v/>
      </c>
      <c r="K2514" s="21" t="str">
        <f t="shared" ca="1" si="187"/>
        <v/>
      </c>
    </row>
    <row r="2515" spans="1:11" s="18" customFormat="1" ht="14.25" x14ac:dyDescent="0.2">
      <c r="A2515" s="18" t="str">
        <f t="shared" si="189"/>
        <v>Eintrag 2514</v>
      </c>
      <c r="B2515" s="18">
        <v>100</v>
      </c>
      <c r="C2515" s="19">
        <v>100</v>
      </c>
      <c r="D2515" s="20">
        <v>10</v>
      </c>
      <c r="E2515" s="20">
        <v>10</v>
      </c>
      <c r="F2515" s="20">
        <v>10</v>
      </c>
      <c r="G2515" s="19">
        <f t="shared" si="188"/>
        <v>172</v>
      </c>
      <c r="H2515" s="22">
        <f t="shared" si="185"/>
        <v>2514</v>
      </c>
      <c r="I2515" s="21">
        <f t="shared" ca="1" si="186"/>
        <v>0</v>
      </c>
      <c r="J2515" s="21" t="str">
        <f ca="1">IF(I2515=0,"",COUNTIF($I$2:I2515,"&gt;0"))</f>
        <v/>
      </c>
      <c r="K2515" s="21" t="str">
        <f t="shared" ca="1" si="187"/>
        <v/>
      </c>
    </row>
    <row r="2516" spans="1:11" s="18" customFormat="1" ht="14.25" x14ac:dyDescent="0.2">
      <c r="A2516" s="18" t="str">
        <f t="shared" si="189"/>
        <v>Eintrag 2515</v>
      </c>
      <c r="B2516" s="18">
        <v>100</v>
      </c>
      <c r="C2516" s="19">
        <v>100</v>
      </c>
      <c r="D2516" s="20">
        <v>10</v>
      </c>
      <c r="E2516" s="20">
        <v>10</v>
      </c>
      <c r="F2516" s="20">
        <v>10</v>
      </c>
      <c r="G2516" s="19">
        <f t="shared" si="188"/>
        <v>172</v>
      </c>
      <c r="H2516" s="22">
        <f t="shared" si="185"/>
        <v>2515</v>
      </c>
      <c r="I2516" s="21">
        <f t="shared" ca="1" si="186"/>
        <v>0</v>
      </c>
      <c r="J2516" s="21" t="str">
        <f ca="1">IF(I2516=0,"",COUNTIF($I$2:I2516,"&gt;0"))</f>
        <v/>
      </c>
      <c r="K2516" s="21" t="str">
        <f t="shared" ca="1" si="187"/>
        <v/>
      </c>
    </row>
    <row r="2517" spans="1:11" s="18" customFormat="1" ht="14.25" x14ac:dyDescent="0.2">
      <c r="A2517" s="18" t="str">
        <f t="shared" si="189"/>
        <v>Eintrag 2516</v>
      </c>
      <c r="B2517" s="18">
        <v>100</v>
      </c>
      <c r="C2517" s="19">
        <v>100</v>
      </c>
      <c r="D2517" s="20">
        <v>10</v>
      </c>
      <c r="E2517" s="20">
        <v>10</v>
      </c>
      <c r="F2517" s="20">
        <v>10</v>
      </c>
      <c r="G2517" s="19">
        <f t="shared" si="188"/>
        <v>172</v>
      </c>
      <c r="H2517" s="22">
        <f t="shared" si="185"/>
        <v>2516</v>
      </c>
      <c r="I2517" s="21">
        <f t="shared" ca="1" si="186"/>
        <v>0</v>
      </c>
      <c r="J2517" s="21" t="str">
        <f ca="1">IF(I2517=0,"",COUNTIF($I$2:I2517,"&gt;0"))</f>
        <v/>
      </c>
      <c r="K2517" s="21" t="str">
        <f t="shared" ca="1" si="187"/>
        <v/>
      </c>
    </row>
    <row r="2518" spans="1:11" s="18" customFormat="1" ht="14.25" x14ac:dyDescent="0.2">
      <c r="A2518" s="18" t="str">
        <f t="shared" si="189"/>
        <v>Eintrag 2517</v>
      </c>
      <c r="B2518" s="18">
        <v>100</v>
      </c>
      <c r="C2518" s="19">
        <v>100</v>
      </c>
      <c r="D2518" s="20">
        <v>10</v>
      </c>
      <c r="E2518" s="20">
        <v>10</v>
      </c>
      <c r="F2518" s="20">
        <v>10</v>
      </c>
      <c r="G2518" s="19">
        <f t="shared" si="188"/>
        <v>172</v>
      </c>
      <c r="H2518" s="22">
        <f t="shared" si="185"/>
        <v>2517</v>
      </c>
      <c r="I2518" s="21">
        <f t="shared" ca="1" si="186"/>
        <v>0</v>
      </c>
      <c r="J2518" s="21" t="str">
        <f ca="1">IF(I2518=0,"",COUNTIF($I$2:I2518,"&gt;0"))</f>
        <v/>
      </c>
      <c r="K2518" s="21" t="str">
        <f t="shared" ca="1" si="187"/>
        <v/>
      </c>
    </row>
    <row r="2519" spans="1:11" s="18" customFormat="1" ht="14.25" x14ac:dyDescent="0.2">
      <c r="A2519" s="18" t="str">
        <f t="shared" si="189"/>
        <v>Eintrag 2518</v>
      </c>
      <c r="B2519" s="18">
        <v>100</v>
      </c>
      <c r="C2519" s="19">
        <v>100</v>
      </c>
      <c r="D2519" s="20">
        <v>10</v>
      </c>
      <c r="E2519" s="20">
        <v>10</v>
      </c>
      <c r="F2519" s="20">
        <v>10</v>
      </c>
      <c r="G2519" s="19">
        <f t="shared" si="188"/>
        <v>172</v>
      </c>
      <c r="H2519" s="22">
        <f t="shared" si="185"/>
        <v>2518</v>
      </c>
      <c r="I2519" s="21">
        <f t="shared" ca="1" si="186"/>
        <v>0</v>
      </c>
      <c r="J2519" s="21" t="str">
        <f ca="1">IF(I2519=0,"",COUNTIF($I$2:I2519,"&gt;0"))</f>
        <v/>
      </c>
      <c r="K2519" s="21" t="str">
        <f t="shared" ca="1" si="187"/>
        <v/>
      </c>
    </row>
    <row r="2520" spans="1:11" s="18" customFormat="1" ht="14.25" x14ac:dyDescent="0.2">
      <c r="A2520" s="18" t="str">
        <f t="shared" si="189"/>
        <v>Eintrag 2519</v>
      </c>
      <c r="B2520" s="18">
        <v>100</v>
      </c>
      <c r="C2520" s="19">
        <v>100</v>
      </c>
      <c r="D2520" s="20">
        <v>10</v>
      </c>
      <c r="E2520" s="20">
        <v>10</v>
      </c>
      <c r="F2520" s="20">
        <v>10</v>
      </c>
      <c r="G2520" s="19">
        <f t="shared" si="188"/>
        <v>172</v>
      </c>
      <c r="H2520" s="22">
        <f t="shared" si="185"/>
        <v>2519</v>
      </c>
      <c r="I2520" s="21">
        <f t="shared" ca="1" si="186"/>
        <v>0</v>
      </c>
      <c r="J2520" s="21" t="str">
        <f ca="1">IF(I2520=0,"",COUNTIF($I$2:I2520,"&gt;0"))</f>
        <v/>
      </c>
      <c r="K2520" s="21" t="str">
        <f t="shared" ca="1" si="187"/>
        <v/>
      </c>
    </row>
    <row r="2521" spans="1:11" s="18" customFormat="1" ht="14.25" x14ac:dyDescent="0.2">
      <c r="A2521" s="18" t="str">
        <f t="shared" si="189"/>
        <v>Eintrag 2520</v>
      </c>
      <c r="B2521" s="18">
        <v>100</v>
      </c>
      <c r="C2521" s="19">
        <v>100</v>
      </c>
      <c r="D2521" s="20">
        <v>10</v>
      </c>
      <c r="E2521" s="20">
        <v>10</v>
      </c>
      <c r="F2521" s="20">
        <v>10</v>
      </c>
      <c r="G2521" s="19">
        <f t="shared" si="188"/>
        <v>172</v>
      </c>
      <c r="H2521" s="22">
        <f t="shared" si="185"/>
        <v>2520</v>
      </c>
      <c r="I2521" s="21">
        <f t="shared" ca="1" si="186"/>
        <v>0</v>
      </c>
      <c r="J2521" s="21" t="str">
        <f ca="1">IF(I2521=0,"",COUNTIF($I$2:I2521,"&gt;0"))</f>
        <v/>
      </c>
      <c r="K2521" s="21" t="str">
        <f t="shared" ca="1" si="187"/>
        <v/>
      </c>
    </row>
    <row r="2522" spans="1:11" s="18" customFormat="1" ht="14.25" x14ac:dyDescent="0.2">
      <c r="A2522" s="18" t="str">
        <f t="shared" si="189"/>
        <v>Eintrag 2521</v>
      </c>
      <c r="B2522" s="18">
        <v>100</v>
      </c>
      <c r="C2522" s="19">
        <v>100</v>
      </c>
      <c r="D2522" s="20">
        <v>10</v>
      </c>
      <c r="E2522" s="20">
        <v>10</v>
      </c>
      <c r="F2522" s="20">
        <v>10</v>
      </c>
      <c r="G2522" s="19">
        <f t="shared" si="188"/>
        <v>172</v>
      </c>
      <c r="H2522" s="22">
        <f t="shared" si="185"/>
        <v>2521</v>
      </c>
      <c r="I2522" s="21">
        <f t="shared" ca="1" si="186"/>
        <v>0</v>
      </c>
      <c r="J2522" s="21" t="str">
        <f ca="1">IF(I2522=0,"",COUNTIF($I$2:I2522,"&gt;0"))</f>
        <v/>
      </c>
      <c r="K2522" s="21" t="str">
        <f t="shared" ca="1" si="187"/>
        <v/>
      </c>
    </row>
    <row r="2523" spans="1:11" s="18" customFormat="1" ht="14.25" x14ac:dyDescent="0.2">
      <c r="A2523" s="18" t="str">
        <f t="shared" si="189"/>
        <v>Eintrag 2522</v>
      </c>
      <c r="B2523" s="18">
        <v>100</v>
      </c>
      <c r="C2523" s="19">
        <v>100</v>
      </c>
      <c r="D2523" s="20">
        <v>10</v>
      </c>
      <c r="E2523" s="20">
        <v>10</v>
      </c>
      <c r="F2523" s="20">
        <v>10</v>
      </c>
      <c r="G2523" s="19">
        <f t="shared" si="188"/>
        <v>172</v>
      </c>
      <c r="H2523" s="22">
        <f t="shared" si="185"/>
        <v>2522</v>
      </c>
      <c r="I2523" s="21">
        <f t="shared" ca="1" si="186"/>
        <v>0</v>
      </c>
      <c r="J2523" s="21" t="str">
        <f ca="1">IF(I2523=0,"",COUNTIF($I$2:I2523,"&gt;0"))</f>
        <v/>
      </c>
      <c r="K2523" s="21" t="str">
        <f t="shared" ca="1" si="187"/>
        <v/>
      </c>
    </row>
    <row r="2524" spans="1:11" s="18" customFormat="1" ht="14.25" x14ac:dyDescent="0.2">
      <c r="A2524" s="18" t="str">
        <f t="shared" si="189"/>
        <v>Eintrag 2523</v>
      </c>
      <c r="B2524" s="18">
        <v>100</v>
      </c>
      <c r="C2524" s="19">
        <v>100</v>
      </c>
      <c r="D2524" s="20">
        <v>10</v>
      </c>
      <c r="E2524" s="20">
        <v>10</v>
      </c>
      <c r="F2524" s="20">
        <v>10</v>
      </c>
      <c r="G2524" s="19">
        <f t="shared" si="188"/>
        <v>172</v>
      </c>
      <c r="H2524" s="22">
        <f t="shared" si="185"/>
        <v>2523</v>
      </c>
      <c r="I2524" s="21">
        <f t="shared" ca="1" si="186"/>
        <v>0</v>
      </c>
      <c r="J2524" s="21" t="str">
        <f ca="1">IF(I2524=0,"",COUNTIF($I$2:I2524,"&gt;0"))</f>
        <v/>
      </c>
      <c r="K2524" s="21" t="str">
        <f t="shared" ca="1" si="187"/>
        <v/>
      </c>
    </row>
    <row r="2525" spans="1:11" s="18" customFormat="1" ht="14.25" x14ac:dyDescent="0.2">
      <c r="A2525" s="18" t="str">
        <f t="shared" si="189"/>
        <v>Eintrag 2524</v>
      </c>
      <c r="B2525" s="18">
        <v>100</v>
      </c>
      <c r="C2525" s="19">
        <v>100</v>
      </c>
      <c r="D2525" s="20">
        <v>10</v>
      </c>
      <c r="E2525" s="20">
        <v>10</v>
      </c>
      <c r="F2525" s="20">
        <v>10</v>
      </c>
      <c r="G2525" s="19">
        <f t="shared" si="188"/>
        <v>172</v>
      </c>
      <c r="H2525" s="22">
        <f t="shared" si="185"/>
        <v>2524</v>
      </c>
      <c r="I2525" s="21">
        <f t="shared" ca="1" si="186"/>
        <v>0</v>
      </c>
      <c r="J2525" s="21" t="str">
        <f ca="1">IF(I2525=0,"",COUNTIF($I$2:I2525,"&gt;0"))</f>
        <v/>
      </c>
      <c r="K2525" s="21" t="str">
        <f t="shared" ca="1" si="187"/>
        <v/>
      </c>
    </row>
    <row r="2526" spans="1:11" s="18" customFormat="1" ht="14.25" x14ac:dyDescent="0.2">
      <c r="A2526" s="18" t="str">
        <f t="shared" si="189"/>
        <v>Eintrag 2525</v>
      </c>
      <c r="B2526" s="18">
        <v>100</v>
      </c>
      <c r="C2526" s="19">
        <v>100</v>
      </c>
      <c r="D2526" s="20">
        <v>10</v>
      </c>
      <c r="E2526" s="20">
        <v>10</v>
      </c>
      <c r="F2526" s="20">
        <v>10</v>
      </c>
      <c r="G2526" s="19">
        <f t="shared" si="188"/>
        <v>172</v>
      </c>
      <c r="H2526" s="22">
        <f t="shared" si="185"/>
        <v>2525</v>
      </c>
      <c r="I2526" s="21">
        <f t="shared" ca="1" si="186"/>
        <v>0</v>
      </c>
      <c r="J2526" s="21" t="str">
        <f ca="1">IF(I2526=0,"",COUNTIF($I$2:I2526,"&gt;0"))</f>
        <v/>
      </c>
      <c r="K2526" s="21" t="str">
        <f t="shared" ca="1" si="187"/>
        <v/>
      </c>
    </row>
    <row r="2527" spans="1:11" s="18" customFormat="1" ht="14.25" x14ac:dyDescent="0.2">
      <c r="A2527" s="18" t="str">
        <f t="shared" si="189"/>
        <v>Eintrag 2526</v>
      </c>
      <c r="B2527" s="18">
        <v>100</v>
      </c>
      <c r="C2527" s="19">
        <v>100</v>
      </c>
      <c r="D2527" s="20">
        <v>10</v>
      </c>
      <c r="E2527" s="20">
        <v>10</v>
      </c>
      <c r="F2527" s="20">
        <v>10</v>
      </c>
      <c r="G2527" s="19">
        <f t="shared" si="188"/>
        <v>172</v>
      </c>
      <c r="H2527" s="22">
        <f t="shared" si="185"/>
        <v>2526</v>
      </c>
      <c r="I2527" s="21">
        <f t="shared" ca="1" si="186"/>
        <v>0</v>
      </c>
      <c r="J2527" s="21" t="str">
        <f ca="1">IF(I2527=0,"",COUNTIF($I$2:I2527,"&gt;0"))</f>
        <v/>
      </c>
      <c r="K2527" s="21" t="str">
        <f t="shared" ca="1" si="187"/>
        <v/>
      </c>
    </row>
    <row r="2528" spans="1:11" s="18" customFormat="1" ht="14.25" x14ac:dyDescent="0.2">
      <c r="A2528" s="18" t="str">
        <f t="shared" si="189"/>
        <v>Eintrag 2527</v>
      </c>
      <c r="B2528" s="18">
        <v>100</v>
      </c>
      <c r="C2528" s="19">
        <v>100</v>
      </c>
      <c r="D2528" s="20">
        <v>10</v>
      </c>
      <c r="E2528" s="20">
        <v>10</v>
      </c>
      <c r="F2528" s="20">
        <v>10</v>
      </c>
      <c r="G2528" s="19">
        <f t="shared" si="188"/>
        <v>172</v>
      </c>
      <c r="H2528" s="22">
        <f t="shared" si="185"/>
        <v>2527</v>
      </c>
      <c r="I2528" s="21">
        <f t="shared" ca="1" si="186"/>
        <v>0</v>
      </c>
      <c r="J2528" s="21" t="str">
        <f ca="1">IF(I2528=0,"",COUNTIF($I$2:I2528,"&gt;0"))</f>
        <v/>
      </c>
      <c r="K2528" s="21" t="str">
        <f t="shared" ca="1" si="187"/>
        <v/>
      </c>
    </row>
    <row r="2529" spans="1:11" s="18" customFormat="1" ht="14.25" x14ac:dyDescent="0.2">
      <c r="A2529" s="18" t="str">
        <f t="shared" si="189"/>
        <v>Eintrag 2528</v>
      </c>
      <c r="B2529" s="18">
        <v>100</v>
      </c>
      <c r="C2529" s="19">
        <v>100</v>
      </c>
      <c r="D2529" s="20">
        <v>10</v>
      </c>
      <c r="E2529" s="20">
        <v>10</v>
      </c>
      <c r="F2529" s="20">
        <v>10</v>
      </c>
      <c r="G2529" s="19">
        <f t="shared" si="188"/>
        <v>172</v>
      </c>
      <c r="H2529" s="22">
        <f t="shared" si="185"/>
        <v>2528</v>
      </c>
      <c r="I2529" s="21">
        <f t="shared" ca="1" si="186"/>
        <v>0</v>
      </c>
      <c r="J2529" s="21" t="str">
        <f ca="1">IF(I2529=0,"",COUNTIF($I$2:I2529,"&gt;0"))</f>
        <v/>
      </c>
      <c r="K2529" s="21" t="str">
        <f t="shared" ca="1" si="187"/>
        <v/>
      </c>
    </row>
    <row r="2530" spans="1:11" s="18" customFormat="1" ht="14.25" x14ac:dyDescent="0.2">
      <c r="A2530" s="18" t="str">
        <f t="shared" si="189"/>
        <v>Eintrag 2529</v>
      </c>
      <c r="B2530" s="18">
        <v>100</v>
      </c>
      <c r="C2530" s="19">
        <v>100</v>
      </c>
      <c r="D2530" s="20">
        <v>10</v>
      </c>
      <c r="E2530" s="20">
        <v>10</v>
      </c>
      <c r="F2530" s="20">
        <v>10</v>
      </c>
      <c r="G2530" s="19">
        <f t="shared" si="188"/>
        <v>172</v>
      </c>
      <c r="H2530" s="22">
        <f t="shared" si="185"/>
        <v>2529</v>
      </c>
      <c r="I2530" s="21">
        <f t="shared" ca="1" si="186"/>
        <v>0</v>
      </c>
      <c r="J2530" s="21" t="str">
        <f ca="1">IF(I2530=0,"",COUNTIF($I$2:I2530,"&gt;0"))</f>
        <v/>
      </c>
      <c r="K2530" s="21" t="str">
        <f t="shared" ca="1" si="187"/>
        <v/>
      </c>
    </row>
    <row r="2531" spans="1:11" s="18" customFormat="1" ht="14.25" x14ac:dyDescent="0.2">
      <c r="A2531" s="18" t="str">
        <f t="shared" si="189"/>
        <v>Eintrag 2530</v>
      </c>
      <c r="B2531" s="18">
        <v>100</v>
      </c>
      <c r="C2531" s="19">
        <v>100</v>
      </c>
      <c r="D2531" s="20">
        <v>10</v>
      </c>
      <c r="E2531" s="20">
        <v>10</v>
      </c>
      <c r="F2531" s="20">
        <v>10</v>
      </c>
      <c r="G2531" s="19">
        <f t="shared" si="188"/>
        <v>172</v>
      </c>
      <c r="H2531" s="22">
        <f t="shared" si="185"/>
        <v>2530</v>
      </c>
      <c r="I2531" s="21">
        <f t="shared" ca="1" si="186"/>
        <v>0</v>
      </c>
      <c r="J2531" s="21" t="str">
        <f ca="1">IF(I2531=0,"",COUNTIF($I$2:I2531,"&gt;0"))</f>
        <v/>
      </c>
      <c r="K2531" s="21" t="str">
        <f t="shared" ca="1" si="187"/>
        <v/>
      </c>
    </row>
    <row r="2532" spans="1:11" s="18" customFormat="1" ht="14.25" x14ac:dyDescent="0.2">
      <c r="A2532" s="18" t="str">
        <f t="shared" si="189"/>
        <v>Eintrag 2531</v>
      </c>
      <c r="B2532" s="18">
        <v>100</v>
      </c>
      <c r="C2532" s="19">
        <v>100</v>
      </c>
      <c r="D2532" s="20">
        <v>10</v>
      </c>
      <c r="E2532" s="20">
        <v>10</v>
      </c>
      <c r="F2532" s="20">
        <v>10</v>
      </c>
      <c r="G2532" s="19">
        <f t="shared" si="188"/>
        <v>172</v>
      </c>
      <c r="H2532" s="22">
        <f t="shared" si="185"/>
        <v>2531</v>
      </c>
      <c r="I2532" s="21">
        <f t="shared" ca="1" si="186"/>
        <v>0</v>
      </c>
      <c r="J2532" s="21" t="str">
        <f ca="1">IF(I2532=0,"",COUNTIF($I$2:I2532,"&gt;0"))</f>
        <v/>
      </c>
      <c r="K2532" s="21" t="str">
        <f t="shared" ca="1" si="187"/>
        <v/>
      </c>
    </row>
    <row r="2533" spans="1:11" s="18" customFormat="1" ht="14.25" x14ac:dyDescent="0.2">
      <c r="A2533" s="18" t="str">
        <f t="shared" si="189"/>
        <v>Eintrag 2532</v>
      </c>
      <c r="B2533" s="18">
        <v>100</v>
      </c>
      <c r="C2533" s="19">
        <v>100</v>
      </c>
      <c r="D2533" s="20">
        <v>10</v>
      </c>
      <c r="E2533" s="20">
        <v>10</v>
      </c>
      <c r="F2533" s="20">
        <v>10</v>
      </c>
      <c r="G2533" s="19">
        <f t="shared" si="188"/>
        <v>172</v>
      </c>
      <c r="H2533" s="22">
        <f t="shared" ref="H2533:H2596" si="190">H2532+1</f>
        <v>2532</v>
      </c>
      <c r="I2533" s="21">
        <f t="shared" ca="1" si="186"/>
        <v>0</v>
      </c>
      <c r="J2533" s="21" t="str">
        <f ca="1">IF(I2533=0,"",COUNTIF($I$2:I2533,"&gt;0"))</f>
        <v/>
      </c>
      <c r="K2533" s="21" t="str">
        <f t="shared" ca="1" si="187"/>
        <v/>
      </c>
    </row>
    <row r="2534" spans="1:11" s="18" customFormat="1" ht="14.25" x14ac:dyDescent="0.2">
      <c r="A2534" s="18" t="str">
        <f t="shared" si="189"/>
        <v>Eintrag 2533</v>
      </c>
      <c r="B2534" s="18">
        <v>100</v>
      </c>
      <c r="C2534" s="19">
        <v>100</v>
      </c>
      <c r="D2534" s="20">
        <v>10</v>
      </c>
      <c r="E2534" s="20">
        <v>10</v>
      </c>
      <c r="F2534" s="20">
        <v>10</v>
      </c>
      <c r="G2534" s="19">
        <f t="shared" si="188"/>
        <v>172</v>
      </c>
      <c r="H2534" s="22">
        <f t="shared" si="190"/>
        <v>2533</v>
      </c>
      <c r="I2534" s="21">
        <f t="shared" ca="1" si="186"/>
        <v>0</v>
      </c>
      <c r="J2534" s="21" t="str">
        <f ca="1">IF(I2534=0,"",COUNTIF($I$2:I2534,"&gt;0"))</f>
        <v/>
      </c>
      <c r="K2534" s="21" t="str">
        <f t="shared" ca="1" si="187"/>
        <v/>
      </c>
    </row>
    <row r="2535" spans="1:11" s="18" customFormat="1" ht="14.25" x14ac:dyDescent="0.2">
      <c r="A2535" s="18" t="str">
        <f t="shared" si="189"/>
        <v>Eintrag 2534</v>
      </c>
      <c r="B2535" s="18">
        <v>100</v>
      </c>
      <c r="C2535" s="19">
        <v>100</v>
      </c>
      <c r="D2535" s="20">
        <v>10</v>
      </c>
      <c r="E2535" s="20">
        <v>10</v>
      </c>
      <c r="F2535" s="20">
        <v>10</v>
      </c>
      <c r="G2535" s="19">
        <f t="shared" si="188"/>
        <v>172</v>
      </c>
      <c r="H2535" s="22">
        <f t="shared" si="190"/>
        <v>2534</v>
      </c>
      <c r="I2535" s="21">
        <f t="shared" ca="1" si="186"/>
        <v>0</v>
      </c>
      <c r="J2535" s="21" t="str">
        <f ca="1">IF(I2535=0,"",COUNTIF($I$2:I2535,"&gt;0"))</f>
        <v/>
      </c>
      <c r="K2535" s="21" t="str">
        <f t="shared" ca="1" si="187"/>
        <v/>
      </c>
    </row>
    <row r="2536" spans="1:11" s="18" customFormat="1" ht="14.25" x14ac:dyDescent="0.2">
      <c r="A2536" s="18" t="str">
        <f t="shared" si="189"/>
        <v>Eintrag 2535</v>
      </c>
      <c r="B2536" s="18">
        <v>100</v>
      </c>
      <c r="C2536" s="19">
        <v>100</v>
      </c>
      <c r="D2536" s="20">
        <v>10</v>
      </c>
      <c r="E2536" s="20">
        <v>10</v>
      </c>
      <c r="F2536" s="20">
        <v>10</v>
      </c>
      <c r="G2536" s="19">
        <f t="shared" si="188"/>
        <v>172</v>
      </c>
      <c r="H2536" s="22">
        <f t="shared" si="190"/>
        <v>2535</v>
      </c>
      <c r="I2536" s="21">
        <f t="shared" ca="1" si="186"/>
        <v>0</v>
      </c>
      <c r="J2536" s="21" t="str">
        <f ca="1">IF(I2536=0,"",COUNTIF($I$2:I2536,"&gt;0"))</f>
        <v/>
      </c>
      <c r="K2536" s="21" t="str">
        <f t="shared" ca="1" si="187"/>
        <v/>
      </c>
    </row>
    <row r="2537" spans="1:11" s="18" customFormat="1" ht="14.25" x14ac:dyDescent="0.2">
      <c r="A2537" s="18" t="str">
        <f t="shared" si="189"/>
        <v>Eintrag 2536</v>
      </c>
      <c r="B2537" s="18">
        <v>100</v>
      </c>
      <c r="C2537" s="19">
        <v>100</v>
      </c>
      <c r="D2537" s="20">
        <v>10</v>
      </c>
      <c r="E2537" s="20">
        <v>10</v>
      </c>
      <c r="F2537" s="20">
        <v>10</v>
      </c>
      <c r="G2537" s="19">
        <f t="shared" si="188"/>
        <v>172</v>
      </c>
      <c r="H2537" s="22">
        <f t="shared" si="190"/>
        <v>2536</v>
      </c>
      <c r="I2537" s="21">
        <f t="shared" ca="1" si="186"/>
        <v>0</v>
      </c>
      <c r="J2537" s="21" t="str">
        <f ca="1">IF(I2537=0,"",COUNTIF($I$2:I2537,"&gt;0"))</f>
        <v/>
      </c>
      <c r="K2537" s="21" t="str">
        <f t="shared" ca="1" si="187"/>
        <v/>
      </c>
    </row>
    <row r="2538" spans="1:11" s="18" customFormat="1" ht="14.25" x14ac:dyDescent="0.2">
      <c r="A2538" s="18" t="str">
        <f t="shared" si="189"/>
        <v>Eintrag 2537</v>
      </c>
      <c r="B2538" s="18">
        <v>100</v>
      </c>
      <c r="C2538" s="19">
        <v>100</v>
      </c>
      <c r="D2538" s="20">
        <v>10</v>
      </c>
      <c r="E2538" s="20">
        <v>10</v>
      </c>
      <c r="F2538" s="20">
        <v>10</v>
      </c>
      <c r="G2538" s="19">
        <f t="shared" si="188"/>
        <v>172</v>
      </c>
      <c r="H2538" s="22">
        <f t="shared" si="190"/>
        <v>2537</v>
      </c>
      <c r="I2538" s="21">
        <f t="shared" ca="1" si="186"/>
        <v>0</v>
      </c>
      <c r="J2538" s="21" t="str">
        <f ca="1">IF(I2538=0,"",COUNTIF($I$2:I2538,"&gt;0"))</f>
        <v/>
      </c>
      <c r="K2538" s="21" t="str">
        <f t="shared" ca="1" si="187"/>
        <v/>
      </c>
    </row>
    <row r="2539" spans="1:11" s="18" customFormat="1" ht="14.25" x14ac:dyDescent="0.2">
      <c r="A2539" s="18" t="str">
        <f t="shared" si="189"/>
        <v>Eintrag 2538</v>
      </c>
      <c r="B2539" s="18">
        <v>100</v>
      </c>
      <c r="C2539" s="19">
        <v>100</v>
      </c>
      <c r="D2539" s="20">
        <v>10</v>
      </c>
      <c r="E2539" s="20">
        <v>10</v>
      </c>
      <c r="F2539" s="20">
        <v>10</v>
      </c>
      <c r="G2539" s="19">
        <f t="shared" si="188"/>
        <v>172</v>
      </c>
      <c r="H2539" s="22">
        <f t="shared" si="190"/>
        <v>2538</v>
      </c>
      <c r="I2539" s="21">
        <f t="shared" ca="1" si="186"/>
        <v>0</v>
      </c>
      <c r="J2539" s="21" t="str">
        <f ca="1">IF(I2539=0,"",COUNTIF($I$2:I2539,"&gt;0"))</f>
        <v/>
      </c>
      <c r="K2539" s="21" t="str">
        <f t="shared" ca="1" si="187"/>
        <v/>
      </c>
    </row>
    <row r="2540" spans="1:11" s="18" customFormat="1" ht="14.25" x14ac:dyDescent="0.2">
      <c r="A2540" s="18" t="str">
        <f t="shared" si="189"/>
        <v>Eintrag 2539</v>
      </c>
      <c r="B2540" s="18">
        <v>100</v>
      </c>
      <c r="C2540" s="19">
        <v>100</v>
      </c>
      <c r="D2540" s="20">
        <v>10</v>
      </c>
      <c r="E2540" s="20">
        <v>10</v>
      </c>
      <c r="F2540" s="20">
        <v>10</v>
      </c>
      <c r="G2540" s="19">
        <f t="shared" si="188"/>
        <v>172</v>
      </c>
      <c r="H2540" s="22">
        <f t="shared" si="190"/>
        <v>2539</v>
      </c>
      <c r="I2540" s="21">
        <f t="shared" ca="1" si="186"/>
        <v>0</v>
      </c>
      <c r="J2540" s="21" t="str">
        <f ca="1">IF(I2540=0,"",COUNTIF($I$2:I2540,"&gt;0"))</f>
        <v/>
      </c>
      <c r="K2540" s="21" t="str">
        <f t="shared" ca="1" si="187"/>
        <v/>
      </c>
    </row>
    <row r="2541" spans="1:11" s="18" customFormat="1" ht="14.25" x14ac:dyDescent="0.2">
      <c r="A2541" s="18" t="str">
        <f t="shared" si="189"/>
        <v>Eintrag 2540</v>
      </c>
      <c r="B2541" s="18">
        <v>100</v>
      </c>
      <c r="C2541" s="19">
        <v>100</v>
      </c>
      <c r="D2541" s="20">
        <v>10</v>
      </c>
      <c r="E2541" s="20">
        <v>10</v>
      </c>
      <c r="F2541" s="20">
        <v>10</v>
      </c>
      <c r="G2541" s="19">
        <f t="shared" si="188"/>
        <v>172</v>
      </c>
      <c r="H2541" s="22">
        <f t="shared" si="190"/>
        <v>2540</v>
      </c>
      <c r="I2541" s="21">
        <f t="shared" ca="1" si="186"/>
        <v>0</v>
      </c>
      <c r="J2541" s="21" t="str">
        <f ca="1">IF(I2541=0,"",COUNTIF($I$2:I2541,"&gt;0"))</f>
        <v/>
      </c>
      <c r="K2541" s="21" t="str">
        <f t="shared" ca="1" si="187"/>
        <v/>
      </c>
    </row>
    <row r="2542" spans="1:11" s="18" customFormat="1" ht="14.25" x14ac:dyDescent="0.2">
      <c r="A2542" s="18" t="str">
        <f t="shared" si="189"/>
        <v>Eintrag 2541</v>
      </c>
      <c r="B2542" s="18">
        <v>100</v>
      </c>
      <c r="C2542" s="19">
        <v>100</v>
      </c>
      <c r="D2542" s="20">
        <v>10</v>
      </c>
      <c r="E2542" s="20">
        <v>10</v>
      </c>
      <c r="F2542" s="20">
        <v>10</v>
      </c>
      <c r="G2542" s="19">
        <f t="shared" si="188"/>
        <v>172</v>
      </c>
      <c r="H2542" s="22">
        <f t="shared" si="190"/>
        <v>2541</v>
      </c>
      <c r="I2542" s="21">
        <f t="shared" ca="1" si="186"/>
        <v>0</v>
      </c>
      <c r="J2542" s="21" t="str">
        <f ca="1">IF(I2542=0,"",COUNTIF($I$2:I2542,"&gt;0"))</f>
        <v/>
      </c>
      <c r="K2542" s="21" t="str">
        <f t="shared" ca="1" si="187"/>
        <v/>
      </c>
    </row>
    <row r="2543" spans="1:11" s="18" customFormat="1" ht="14.25" x14ac:dyDescent="0.2">
      <c r="A2543" s="18" t="str">
        <f t="shared" si="189"/>
        <v>Eintrag 2542</v>
      </c>
      <c r="B2543" s="18">
        <v>100</v>
      </c>
      <c r="C2543" s="19">
        <v>100</v>
      </c>
      <c r="D2543" s="20">
        <v>10</v>
      </c>
      <c r="E2543" s="20">
        <v>10</v>
      </c>
      <c r="F2543" s="20">
        <v>10</v>
      </c>
      <c r="G2543" s="19">
        <f t="shared" si="188"/>
        <v>172</v>
      </c>
      <c r="H2543" s="22">
        <f t="shared" si="190"/>
        <v>2542</v>
      </c>
      <c r="I2543" s="21">
        <f t="shared" ca="1" si="186"/>
        <v>0</v>
      </c>
      <c r="J2543" s="21" t="str">
        <f ca="1">IF(I2543=0,"",COUNTIF($I$2:I2543,"&gt;0"))</f>
        <v/>
      </c>
      <c r="K2543" s="21" t="str">
        <f t="shared" ca="1" si="187"/>
        <v/>
      </c>
    </row>
    <row r="2544" spans="1:11" s="18" customFormat="1" ht="14.25" x14ac:dyDescent="0.2">
      <c r="A2544" s="18" t="str">
        <f t="shared" si="189"/>
        <v>Eintrag 2543</v>
      </c>
      <c r="B2544" s="18">
        <v>100</v>
      </c>
      <c r="C2544" s="19">
        <v>100</v>
      </c>
      <c r="D2544" s="20">
        <v>10</v>
      </c>
      <c r="E2544" s="20">
        <v>10</v>
      </c>
      <c r="F2544" s="20">
        <v>10</v>
      </c>
      <c r="G2544" s="19">
        <f t="shared" si="188"/>
        <v>172</v>
      </c>
      <c r="H2544" s="22">
        <f t="shared" si="190"/>
        <v>2543</v>
      </c>
      <c r="I2544" s="21">
        <f t="shared" ca="1" si="186"/>
        <v>0</v>
      </c>
      <c r="J2544" s="21" t="str">
        <f ca="1">IF(I2544=0,"",COUNTIF($I$2:I2544,"&gt;0"))</f>
        <v/>
      </c>
      <c r="K2544" s="21" t="str">
        <f t="shared" ca="1" si="187"/>
        <v/>
      </c>
    </row>
    <row r="2545" spans="1:11" s="18" customFormat="1" ht="14.25" x14ac:dyDescent="0.2">
      <c r="A2545" s="18" t="str">
        <f t="shared" si="189"/>
        <v>Eintrag 2544</v>
      </c>
      <c r="B2545" s="18">
        <v>100</v>
      </c>
      <c r="C2545" s="19">
        <v>100</v>
      </c>
      <c r="D2545" s="20">
        <v>10</v>
      </c>
      <c r="E2545" s="20">
        <v>10</v>
      </c>
      <c r="F2545" s="20">
        <v>10</v>
      </c>
      <c r="G2545" s="19">
        <f t="shared" si="188"/>
        <v>172</v>
      </c>
      <c r="H2545" s="22">
        <f t="shared" si="190"/>
        <v>2544</v>
      </c>
      <c r="I2545" s="21">
        <f t="shared" ca="1" si="186"/>
        <v>0</v>
      </c>
      <c r="J2545" s="21" t="str">
        <f ca="1">IF(I2545=0,"",COUNTIF($I$2:I2545,"&gt;0"))</f>
        <v/>
      </c>
      <c r="K2545" s="21" t="str">
        <f t="shared" ca="1" si="187"/>
        <v/>
      </c>
    </row>
    <row r="2546" spans="1:11" s="18" customFormat="1" ht="14.25" x14ac:dyDescent="0.2">
      <c r="A2546" s="18" t="str">
        <f t="shared" si="189"/>
        <v>Eintrag 2545</v>
      </c>
      <c r="B2546" s="18">
        <v>100</v>
      </c>
      <c r="C2546" s="19">
        <v>100</v>
      </c>
      <c r="D2546" s="20">
        <v>10</v>
      </c>
      <c r="E2546" s="20">
        <v>10</v>
      </c>
      <c r="F2546" s="20">
        <v>10</v>
      </c>
      <c r="G2546" s="19">
        <f t="shared" si="188"/>
        <v>172</v>
      </c>
      <c r="H2546" s="22">
        <f t="shared" si="190"/>
        <v>2545</v>
      </c>
      <c r="I2546" s="21">
        <f t="shared" ca="1" si="186"/>
        <v>0</v>
      </c>
      <c r="J2546" s="21" t="str">
        <f ca="1">IF(I2546=0,"",COUNTIF($I$2:I2546,"&gt;0"))</f>
        <v/>
      </c>
      <c r="K2546" s="21" t="str">
        <f t="shared" ca="1" si="187"/>
        <v/>
      </c>
    </row>
    <row r="2547" spans="1:11" s="18" customFormat="1" ht="14.25" x14ac:dyDescent="0.2">
      <c r="A2547" s="18" t="str">
        <f t="shared" si="189"/>
        <v>Eintrag 2546</v>
      </c>
      <c r="B2547" s="18">
        <v>100</v>
      </c>
      <c r="C2547" s="19">
        <v>100</v>
      </c>
      <c r="D2547" s="20">
        <v>10</v>
      </c>
      <c r="E2547" s="20">
        <v>10</v>
      </c>
      <c r="F2547" s="20">
        <v>10</v>
      </c>
      <c r="G2547" s="19">
        <f t="shared" si="188"/>
        <v>172</v>
      </c>
      <c r="H2547" s="22">
        <f t="shared" si="190"/>
        <v>2546</v>
      </c>
      <c r="I2547" s="21">
        <f t="shared" ca="1" si="186"/>
        <v>0</v>
      </c>
      <c r="J2547" s="21" t="str">
        <f ca="1">IF(I2547=0,"",COUNTIF($I$2:I2547,"&gt;0"))</f>
        <v/>
      </c>
      <c r="K2547" s="21" t="str">
        <f t="shared" ca="1" si="187"/>
        <v/>
      </c>
    </row>
    <row r="2548" spans="1:11" s="18" customFormat="1" ht="14.25" x14ac:dyDescent="0.2">
      <c r="A2548" s="18" t="str">
        <f t="shared" si="189"/>
        <v>Eintrag 2547</v>
      </c>
      <c r="B2548" s="18">
        <v>100</v>
      </c>
      <c r="C2548" s="19">
        <v>100</v>
      </c>
      <c r="D2548" s="20">
        <v>10</v>
      </c>
      <c r="E2548" s="20">
        <v>10</v>
      </c>
      <c r="F2548" s="20">
        <v>10</v>
      </c>
      <c r="G2548" s="19">
        <f t="shared" si="188"/>
        <v>172</v>
      </c>
      <c r="H2548" s="22">
        <f t="shared" si="190"/>
        <v>2547</v>
      </c>
      <c r="I2548" s="21">
        <f t="shared" ca="1" si="186"/>
        <v>0</v>
      </c>
      <c r="J2548" s="21" t="str">
        <f ca="1">IF(I2548=0,"",COUNTIF($I$2:I2548,"&gt;0"))</f>
        <v/>
      </c>
      <c r="K2548" s="21" t="str">
        <f t="shared" ca="1" si="187"/>
        <v/>
      </c>
    </row>
    <row r="2549" spans="1:11" s="18" customFormat="1" ht="14.25" x14ac:dyDescent="0.2">
      <c r="A2549" s="18" t="str">
        <f t="shared" si="189"/>
        <v>Eintrag 2548</v>
      </c>
      <c r="B2549" s="18">
        <v>100</v>
      </c>
      <c r="C2549" s="19">
        <v>100</v>
      </c>
      <c r="D2549" s="20">
        <v>10</v>
      </c>
      <c r="E2549" s="20">
        <v>10</v>
      </c>
      <c r="F2549" s="20">
        <v>10</v>
      </c>
      <c r="G2549" s="19">
        <f t="shared" si="188"/>
        <v>172</v>
      </c>
      <c r="H2549" s="22">
        <f t="shared" si="190"/>
        <v>2548</v>
      </c>
      <c r="I2549" s="21">
        <f t="shared" ca="1" si="186"/>
        <v>0</v>
      </c>
      <c r="J2549" s="21" t="str">
        <f ca="1">IF(I2549=0,"",COUNTIF($I$2:I2549,"&gt;0"))</f>
        <v/>
      </c>
      <c r="K2549" s="21" t="str">
        <f t="shared" ca="1" si="187"/>
        <v/>
      </c>
    </row>
    <row r="2550" spans="1:11" s="18" customFormat="1" ht="14.25" x14ac:dyDescent="0.2">
      <c r="A2550" s="18" t="str">
        <f t="shared" si="189"/>
        <v>Eintrag 2549</v>
      </c>
      <c r="B2550" s="18">
        <v>100</v>
      </c>
      <c r="C2550" s="19">
        <v>100</v>
      </c>
      <c r="D2550" s="20">
        <v>10</v>
      </c>
      <c r="E2550" s="20">
        <v>10</v>
      </c>
      <c r="F2550" s="20">
        <v>10</v>
      </c>
      <c r="G2550" s="19">
        <f t="shared" si="188"/>
        <v>172</v>
      </c>
      <c r="H2550" s="22">
        <f t="shared" si="190"/>
        <v>2549</v>
      </c>
      <c r="I2550" s="21">
        <f t="shared" ca="1" si="186"/>
        <v>0</v>
      </c>
      <c r="J2550" s="21" t="str">
        <f ca="1">IF(I2550=0,"",COUNTIF($I$2:I2550,"&gt;0"))</f>
        <v/>
      </c>
      <c r="K2550" s="21" t="str">
        <f t="shared" ca="1" si="187"/>
        <v/>
      </c>
    </row>
    <row r="2551" spans="1:11" s="18" customFormat="1" ht="14.25" x14ac:dyDescent="0.2">
      <c r="A2551" s="18" t="str">
        <f t="shared" si="189"/>
        <v>Eintrag 2550</v>
      </c>
      <c r="B2551" s="18">
        <v>100</v>
      </c>
      <c r="C2551" s="19">
        <v>100</v>
      </c>
      <c r="D2551" s="20">
        <v>10</v>
      </c>
      <c r="E2551" s="20">
        <v>10</v>
      </c>
      <c r="F2551" s="20">
        <v>10</v>
      </c>
      <c r="G2551" s="19">
        <f t="shared" si="188"/>
        <v>172</v>
      </c>
      <c r="H2551" s="22">
        <f t="shared" si="190"/>
        <v>2550</v>
      </c>
      <c r="I2551" s="21">
        <f t="shared" ca="1" si="186"/>
        <v>0</v>
      </c>
      <c r="J2551" s="21" t="str">
        <f ca="1">IF(I2551=0,"",COUNTIF($I$2:I2551,"&gt;0"))</f>
        <v/>
      </c>
      <c r="K2551" s="21" t="str">
        <f t="shared" ca="1" si="187"/>
        <v/>
      </c>
    </row>
    <row r="2552" spans="1:11" s="18" customFormat="1" ht="14.25" x14ac:dyDescent="0.2">
      <c r="A2552" s="18" t="str">
        <f t="shared" si="189"/>
        <v>Eintrag 2551</v>
      </c>
      <c r="B2552" s="18">
        <v>100</v>
      </c>
      <c r="C2552" s="19">
        <v>100</v>
      </c>
      <c r="D2552" s="20">
        <v>10</v>
      </c>
      <c r="E2552" s="20">
        <v>10</v>
      </c>
      <c r="F2552" s="20">
        <v>10</v>
      </c>
      <c r="G2552" s="19">
        <f t="shared" si="188"/>
        <v>172</v>
      </c>
      <c r="H2552" s="22">
        <f t="shared" si="190"/>
        <v>2551</v>
      </c>
      <c r="I2552" s="21">
        <f t="shared" ca="1" si="186"/>
        <v>0</v>
      </c>
      <c r="J2552" s="21" t="str">
        <f ca="1">IF(I2552=0,"",COUNTIF($I$2:I2552,"&gt;0"))</f>
        <v/>
      </c>
      <c r="K2552" s="21" t="str">
        <f t="shared" ca="1" si="187"/>
        <v/>
      </c>
    </row>
    <row r="2553" spans="1:11" s="18" customFormat="1" ht="14.25" x14ac:dyDescent="0.2">
      <c r="A2553" s="18" t="str">
        <f t="shared" si="189"/>
        <v>Eintrag 2552</v>
      </c>
      <c r="B2553" s="18">
        <v>100</v>
      </c>
      <c r="C2553" s="19">
        <v>100</v>
      </c>
      <c r="D2553" s="20">
        <v>10</v>
      </c>
      <c r="E2553" s="20">
        <v>10</v>
      </c>
      <c r="F2553" s="20">
        <v>10</v>
      </c>
      <c r="G2553" s="19">
        <f t="shared" si="188"/>
        <v>172</v>
      </c>
      <c r="H2553" s="22">
        <f t="shared" si="190"/>
        <v>2552</v>
      </c>
      <c r="I2553" s="21">
        <f t="shared" ca="1" si="186"/>
        <v>0</v>
      </c>
      <c r="J2553" s="21" t="str">
        <f ca="1">IF(I2553=0,"",COUNTIF($I$2:I2553,"&gt;0"))</f>
        <v/>
      </c>
      <c r="K2553" s="21" t="str">
        <f t="shared" ca="1" si="187"/>
        <v/>
      </c>
    </row>
    <row r="2554" spans="1:11" s="18" customFormat="1" ht="14.25" x14ac:dyDescent="0.2">
      <c r="A2554" s="18" t="str">
        <f t="shared" si="189"/>
        <v>Eintrag 2553</v>
      </c>
      <c r="B2554" s="18">
        <v>100</v>
      </c>
      <c r="C2554" s="19">
        <v>100</v>
      </c>
      <c r="D2554" s="20">
        <v>10</v>
      </c>
      <c r="E2554" s="20">
        <v>10</v>
      </c>
      <c r="F2554" s="20">
        <v>10</v>
      </c>
      <c r="G2554" s="19">
        <f t="shared" si="188"/>
        <v>172</v>
      </c>
      <c r="H2554" s="22">
        <f t="shared" si="190"/>
        <v>2553</v>
      </c>
      <c r="I2554" s="21">
        <f t="shared" ca="1" si="186"/>
        <v>0</v>
      </c>
      <c r="J2554" s="21" t="str">
        <f ca="1">IF(I2554=0,"",COUNTIF($I$2:I2554,"&gt;0"))</f>
        <v/>
      </c>
      <c r="K2554" s="21" t="str">
        <f t="shared" ca="1" si="187"/>
        <v/>
      </c>
    </row>
    <row r="2555" spans="1:11" s="18" customFormat="1" ht="14.25" x14ac:dyDescent="0.2">
      <c r="A2555" s="18" t="str">
        <f t="shared" si="189"/>
        <v>Eintrag 2554</v>
      </c>
      <c r="B2555" s="18">
        <v>100</v>
      </c>
      <c r="C2555" s="19">
        <v>100</v>
      </c>
      <c r="D2555" s="20">
        <v>10</v>
      </c>
      <c r="E2555" s="20">
        <v>10</v>
      </c>
      <c r="F2555" s="20">
        <v>10</v>
      </c>
      <c r="G2555" s="19">
        <f t="shared" si="188"/>
        <v>172</v>
      </c>
      <c r="H2555" s="22">
        <f t="shared" si="190"/>
        <v>2554</v>
      </c>
      <c r="I2555" s="21">
        <f t="shared" ref="I2555:I2618" ca="1" si="191">IFERROR(SEARCH(INDIRECT(CELL("address")),A2555),0)</f>
        <v>0</v>
      </c>
      <c r="J2555" s="21" t="str">
        <f ca="1">IF(I2555=0,"",COUNTIF($I$2:I2555,"&gt;0"))</f>
        <v/>
      </c>
      <c r="K2555" s="21" t="str">
        <f t="shared" ca="1" si="187"/>
        <v/>
      </c>
    </row>
    <row r="2556" spans="1:11" s="18" customFormat="1" ht="14.25" x14ac:dyDescent="0.2">
      <c r="A2556" s="18" t="str">
        <f t="shared" si="189"/>
        <v>Eintrag 2555</v>
      </c>
      <c r="B2556" s="18">
        <v>100</v>
      </c>
      <c r="C2556" s="19">
        <v>100</v>
      </c>
      <c r="D2556" s="20">
        <v>10</v>
      </c>
      <c r="E2556" s="20">
        <v>10</v>
      </c>
      <c r="F2556" s="20">
        <v>10</v>
      </c>
      <c r="G2556" s="19">
        <f t="shared" si="188"/>
        <v>172</v>
      </c>
      <c r="H2556" s="22">
        <f t="shared" si="190"/>
        <v>2555</v>
      </c>
      <c r="I2556" s="21">
        <f t="shared" ca="1" si="191"/>
        <v>0</v>
      </c>
      <c r="J2556" s="21" t="str">
        <f ca="1">IF(I2556=0,"",COUNTIF($I$2:I2556,"&gt;0"))</f>
        <v/>
      </c>
      <c r="K2556" s="21" t="str">
        <f t="shared" ca="1" si="187"/>
        <v/>
      </c>
    </row>
    <row r="2557" spans="1:11" s="18" customFormat="1" ht="14.25" x14ac:dyDescent="0.2">
      <c r="A2557" s="18" t="str">
        <f t="shared" si="189"/>
        <v>Eintrag 2556</v>
      </c>
      <c r="B2557" s="18">
        <v>100</v>
      </c>
      <c r="C2557" s="19">
        <v>100</v>
      </c>
      <c r="D2557" s="20">
        <v>10</v>
      </c>
      <c r="E2557" s="20">
        <v>10</v>
      </c>
      <c r="F2557" s="20">
        <v>10</v>
      </c>
      <c r="G2557" s="19">
        <f t="shared" si="188"/>
        <v>172</v>
      </c>
      <c r="H2557" s="22">
        <f t="shared" si="190"/>
        <v>2556</v>
      </c>
      <c r="I2557" s="21">
        <f t="shared" ca="1" si="191"/>
        <v>0</v>
      </c>
      <c r="J2557" s="21" t="str">
        <f ca="1">IF(I2557=0,"",COUNTIF($I$2:I2557,"&gt;0"))</f>
        <v/>
      </c>
      <c r="K2557" s="21" t="str">
        <f t="shared" ca="1" si="187"/>
        <v/>
      </c>
    </row>
    <row r="2558" spans="1:11" s="18" customFormat="1" ht="14.25" x14ac:dyDescent="0.2">
      <c r="A2558" s="18" t="str">
        <f t="shared" si="189"/>
        <v>Eintrag 2557</v>
      </c>
      <c r="B2558" s="18">
        <v>100</v>
      </c>
      <c r="C2558" s="19">
        <v>100</v>
      </c>
      <c r="D2558" s="20">
        <v>10</v>
      </c>
      <c r="E2558" s="20">
        <v>10</v>
      </c>
      <c r="F2558" s="20">
        <v>10</v>
      </c>
      <c r="G2558" s="19">
        <f t="shared" si="188"/>
        <v>172</v>
      </c>
      <c r="H2558" s="22">
        <f t="shared" si="190"/>
        <v>2557</v>
      </c>
      <c r="I2558" s="21">
        <f t="shared" ca="1" si="191"/>
        <v>0</v>
      </c>
      <c r="J2558" s="21" t="str">
        <f ca="1">IF(I2558=0,"",COUNTIF($I$2:I2558,"&gt;0"))</f>
        <v/>
      </c>
      <c r="K2558" s="21" t="str">
        <f t="shared" ca="1" si="187"/>
        <v/>
      </c>
    </row>
    <row r="2559" spans="1:11" s="18" customFormat="1" ht="14.25" x14ac:dyDescent="0.2">
      <c r="A2559" s="18" t="str">
        <f t="shared" si="189"/>
        <v>Eintrag 2558</v>
      </c>
      <c r="B2559" s="18">
        <v>100</v>
      </c>
      <c r="C2559" s="19">
        <v>100</v>
      </c>
      <c r="D2559" s="20">
        <v>10</v>
      </c>
      <c r="E2559" s="20">
        <v>10</v>
      </c>
      <c r="F2559" s="20">
        <v>10</v>
      </c>
      <c r="G2559" s="19">
        <f t="shared" si="188"/>
        <v>172</v>
      </c>
      <c r="H2559" s="22">
        <f t="shared" si="190"/>
        <v>2558</v>
      </c>
      <c r="I2559" s="21">
        <f t="shared" ca="1" si="191"/>
        <v>0</v>
      </c>
      <c r="J2559" s="21" t="str">
        <f ca="1">IF(I2559=0,"",COUNTIF($I$2:I2559,"&gt;0"))</f>
        <v/>
      </c>
      <c r="K2559" s="21" t="str">
        <f t="shared" ca="1" si="187"/>
        <v/>
      </c>
    </row>
    <row r="2560" spans="1:11" s="18" customFormat="1" ht="14.25" x14ac:dyDescent="0.2">
      <c r="A2560" s="18" t="str">
        <f t="shared" si="189"/>
        <v>Eintrag 2559</v>
      </c>
      <c r="B2560" s="18">
        <v>100</v>
      </c>
      <c r="C2560" s="19">
        <v>100</v>
      </c>
      <c r="D2560" s="20">
        <v>10</v>
      </c>
      <c r="E2560" s="20">
        <v>10</v>
      </c>
      <c r="F2560" s="20">
        <v>10</v>
      </c>
      <c r="G2560" s="19">
        <f t="shared" si="188"/>
        <v>172</v>
      </c>
      <c r="H2560" s="22">
        <f t="shared" si="190"/>
        <v>2559</v>
      </c>
      <c r="I2560" s="21">
        <f t="shared" ca="1" si="191"/>
        <v>0</v>
      </c>
      <c r="J2560" s="21" t="str">
        <f ca="1">IF(I2560=0,"",COUNTIF($I$2:I2560,"&gt;0"))</f>
        <v/>
      </c>
      <c r="K2560" s="21" t="str">
        <f t="shared" ca="1" si="187"/>
        <v/>
      </c>
    </row>
    <row r="2561" spans="1:11" s="18" customFormat="1" ht="14.25" x14ac:dyDescent="0.2">
      <c r="A2561" s="18" t="str">
        <f t="shared" si="189"/>
        <v>Eintrag 2560</v>
      </c>
      <c r="B2561" s="18">
        <v>100</v>
      </c>
      <c r="C2561" s="19">
        <v>100</v>
      </c>
      <c r="D2561" s="20">
        <v>10</v>
      </c>
      <c r="E2561" s="20">
        <v>10</v>
      </c>
      <c r="F2561" s="20">
        <v>10</v>
      </c>
      <c r="G2561" s="19">
        <f t="shared" si="188"/>
        <v>172</v>
      </c>
      <c r="H2561" s="22">
        <f t="shared" si="190"/>
        <v>2560</v>
      </c>
      <c r="I2561" s="21">
        <f t="shared" ca="1" si="191"/>
        <v>0</v>
      </c>
      <c r="J2561" s="21" t="str">
        <f ca="1">IF(I2561=0,"",COUNTIF($I$2:I2561,"&gt;0"))</f>
        <v/>
      </c>
      <c r="K2561" s="21" t="str">
        <f t="shared" ca="1" si="187"/>
        <v/>
      </c>
    </row>
    <row r="2562" spans="1:11" s="18" customFormat="1" ht="14.25" x14ac:dyDescent="0.2">
      <c r="A2562" s="18" t="str">
        <f t="shared" si="189"/>
        <v>Eintrag 2561</v>
      </c>
      <c r="B2562" s="18">
        <v>100</v>
      </c>
      <c r="C2562" s="19">
        <v>100</v>
      </c>
      <c r="D2562" s="20">
        <v>10</v>
      </c>
      <c r="E2562" s="20">
        <v>10</v>
      </c>
      <c r="F2562" s="20">
        <v>10</v>
      </c>
      <c r="G2562" s="19">
        <f t="shared" si="188"/>
        <v>172</v>
      </c>
      <c r="H2562" s="22">
        <f t="shared" si="190"/>
        <v>2561</v>
      </c>
      <c r="I2562" s="21">
        <f t="shared" ca="1" si="191"/>
        <v>0</v>
      </c>
      <c r="J2562" s="21" t="str">
        <f ca="1">IF(I2562=0,"",COUNTIF($I$2:I2562,"&gt;0"))</f>
        <v/>
      </c>
      <c r="K2562" s="21" t="str">
        <f t="shared" ref="K2562:K2625" ca="1" si="192">IFERROR(INDEX(A:A,MATCH(ROW(I2561),J:J,0)),"")</f>
        <v/>
      </c>
    </row>
    <row r="2563" spans="1:11" s="18" customFormat="1" ht="14.25" x14ac:dyDescent="0.2">
      <c r="A2563" s="18" t="str">
        <f t="shared" si="189"/>
        <v>Eintrag 2562</v>
      </c>
      <c r="B2563" s="18">
        <v>100</v>
      </c>
      <c r="C2563" s="19">
        <v>100</v>
      </c>
      <c r="D2563" s="20">
        <v>10</v>
      </c>
      <c r="E2563" s="20">
        <v>10</v>
      </c>
      <c r="F2563" s="20">
        <v>10</v>
      </c>
      <c r="G2563" s="19">
        <f t="shared" ref="G2563:G2626" si="193">D2563*9+E2563*4.1+F2563*4.1</f>
        <v>172</v>
      </c>
      <c r="H2563" s="22">
        <f t="shared" si="190"/>
        <v>2562</v>
      </c>
      <c r="I2563" s="21">
        <f t="shared" ca="1" si="191"/>
        <v>0</v>
      </c>
      <c r="J2563" s="21" t="str">
        <f ca="1">IF(I2563=0,"",COUNTIF($I$2:I2563,"&gt;0"))</f>
        <v/>
      </c>
      <c r="K2563" s="21" t="str">
        <f t="shared" ca="1" si="192"/>
        <v/>
      </c>
    </row>
    <row r="2564" spans="1:11" s="18" customFormat="1" ht="14.25" x14ac:dyDescent="0.2">
      <c r="A2564" s="18" t="str">
        <f t="shared" si="189"/>
        <v>Eintrag 2563</v>
      </c>
      <c r="B2564" s="18">
        <v>100</v>
      </c>
      <c r="C2564" s="19">
        <v>100</v>
      </c>
      <c r="D2564" s="20">
        <v>10</v>
      </c>
      <c r="E2564" s="20">
        <v>10</v>
      </c>
      <c r="F2564" s="20">
        <v>10</v>
      </c>
      <c r="G2564" s="19">
        <f t="shared" si="193"/>
        <v>172</v>
      </c>
      <c r="H2564" s="22">
        <f t="shared" si="190"/>
        <v>2563</v>
      </c>
      <c r="I2564" s="21">
        <f t="shared" ca="1" si="191"/>
        <v>0</v>
      </c>
      <c r="J2564" s="21" t="str">
        <f ca="1">IF(I2564=0,"",COUNTIF($I$2:I2564,"&gt;0"))</f>
        <v/>
      </c>
      <c r="K2564" s="21" t="str">
        <f t="shared" ca="1" si="192"/>
        <v/>
      </c>
    </row>
    <row r="2565" spans="1:11" s="18" customFormat="1" ht="14.25" x14ac:dyDescent="0.2">
      <c r="A2565" s="18" t="str">
        <f t="shared" ref="A2565:A2628" si="194">CONCATENATE("Eintrag ",H2565)</f>
        <v>Eintrag 2564</v>
      </c>
      <c r="B2565" s="18">
        <v>100</v>
      </c>
      <c r="C2565" s="19">
        <v>100</v>
      </c>
      <c r="D2565" s="20">
        <v>10</v>
      </c>
      <c r="E2565" s="20">
        <v>10</v>
      </c>
      <c r="F2565" s="20">
        <v>10</v>
      </c>
      <c r="G2565" s="19">
        <f t="shared" si="193"/>
        <v>172</v>
      </c>
      <c r="H2565" s="22">
        <f t="shared" si="190"/>
        <v>2564</v>
      </c>
      <c r="I2565" s="21">
        <f t="shared" ca="1" si="191"/>
        <v>0</v>
      </c>
      <c r="J2565" s="21" t="str">
        <f ca="1">IF(I2565=0,"",COUNTIF($I$2:I2565,"&gt;0"))</f>
        <v/>
      </c>
      <c r="K2565" s="21" t="str">
        <f t="shared" ca="1" si="192"/>
        <v/>
      </c>
    </row>
    <row r="2566" spans="1:11" s="18" customFormat="1" ht="14.25" x14ac:dyDescent="0.2">
      <c r="A2566" s="18" t="str">
        <f t="shared" si="194"/>
        <v>Eintrag 2565</v>
      </c>
      <c r="B2566" s="18">
        <v>100</v>
      </c>
      <c r="C2566" s="19">
        <v>100</v>
      </c>
      <c r="D2566" s="20">
        <v>10</v>
      </c>
      <c r="E2566" s="20">
        <v>10</v>
      </c>
      <c r="F2566" s="20">
        <v>10</v>
      </c>
      <c r="G2566" s="19">
        <f t="shared" si="193"/>
        <v>172</v>
      </c>
      <c r="H2566" s="22">
        <f t="shared" si="190"/>
        <v>2565</v>
      </c>
      <c r="I2566" s="21">
        <f t="shared" ca="1" si="191"/>
        <v>0</v>
      </c>
      <c r="J2566" s="21" t="str">
        <f ca="1">IF(I2566=0,"",COUNTIF($I$2:I2566,"&gt;0"))</f>
        <v/>
      </c>
      <c r="K2566" s="21" t="str">
        <f t="shared" ca="1" si="192"/>
        <v/>
      </c>
    </row>
    <row r="2567" spans="1:11" s="18" customFormat="1" ht="14.25" x14ac:dyDescent="0.2">
      <c r="A2567" s="18" t="str">
        <f t="shared" si="194"/>
        <v>Eintrag 2566</v>
      </c>
      <c r="B2567" s="18">
        <v>100</v>
      </c>
      <c r="C2567" s="19">
        <v>100</v>
      </c>
      <c r="D2567" s="20">
        <v>10</v>
      </c>
      <c r="E2567" s="20">
        <v>10</v>
      </c>
      <c r="F2567" s="20">
        <v>10</v>
      </c>
      <c r="G2567" s="19">
        <f t="shared" si="193"/>
        <v>172</v>
      </c>
      <c r="H2567" s="22">
        <f t="shared" si="190"/>
        <v>2566</v>
      </c>
      <c r="I2567" s="21">
        <f t="shared" ca="1" si="191"/>
        <v>0</v>
      </c>
      <c r="J2567" s="21" t="str">
        <f ca="1">IF(I2567=0,"",COUNTIF($I$2:I2567,"&gt;0"))</f>
        <v/>
      </c>
      <c r="K2567" s="21" t="str">
        <f t="shared" ca="1" si="192"/>
        <v/>
      </c>
    </row>
    <row r="2568" spans="1:11" s="18" customFormat="1" ht="14.25" x14ac:dyDescent="0.2">
      <c r="A2568" s="18" t="str">
        <f t="shared" si="194"/>
        <v>Eintrag 2567</v>
      </c>
      <c r="B2568" s="18">
        <v>100</v>
      </c>
      <c r="C2568" s="19">
        <v>100</v>
      </c>
      <c r="D2568" s="20">
        <v>10</v>
      </c>
      <c r="E2568" s="20">
        <v>10</v>
      </c>
      <c r="F2568" s="20">
        <v>10</v>
      </c>
      <c r="G2568" s="19">
        <f t="shared" si="193"/>
        <v>172</v>
      </c>
      <c r="H2568" s="22">
        <f t="shared" si="190"/>
        <v>2567</v>
      </c>
      <c r="I2568" s="21">
        <f t="shared" ca="1" si="191"/>
        <v>0</v>
      </c>
      <c r="J2568" s="21" t="str">
        <f ca="1">IF(I2568=0,"",COUNTIF($I$2:I2568,"&gt;0"))</f>
        <v/>
      </c>
      <c r="K2568" s="21" t="str">
        <f t="shared" ca="1" si="192"/>
        <v/>
      </c>
    </row>
    <row r="2569" spans="1:11" s="18" customFormat="1" ht="14.25" x14ac:dyDescent="0.2">
      <c r="A2569" s="18" t="str">
        <f t="shared" si="194"/>
        <v>Eintrag 2568</v>
      </c>
      <c r="B2569" s="18">
        <v>100</v>
      </c>
      <c r="C2569" s="19">
        <v>100</v>
      </c>
      <c r="D2569" s="20">
        <v>10</v>
      </c>
      <c r="E2569" s="20">
        <v>10</v>
      </c>
      <c r="F2569" s="20">
        <v>10</v>
      </c>
      <c r="G2569" s="19">
        <f t="shared" si="193"/>
        <v>172</v>
      </c>
      <c r="H2569" s="22">
        <f t="shared" si="190"/>
        <v>2568</v>
      </c>
      <c r="I2569" s="21">
        <f t="shared" ca="1" si="191"/>
        <v>0</v>
      </c>
      <c r="J2569" s="21" t="str">
        <f ca="1">IF(I2569=0,"",COUNTIF($I$2:I2569,"&gt;0"))</f>
        <v/>
      </c>
      <c r="K2569" s="21" t="str">
        <f t="shared" ca="1" si="192"/>
        <v/>
      </c>
    </row>
    <row r="2570" spans="1:11" s="18" customFormat="1" ht="14.25" x14ac:dyDescent="0.2">
      <c r="A2570" s="18" t="str">
        <f t="shared" si="194"/>
        <v>Eintrag 2569</v>
      </c>
      <c r="B2570" s="18">
        <v>100</v>
      </c>
      <c r="C2570" s="19">
        <v>100</v>
      </c>
      <c r="D2570" s="20">
        <v>10</v>
      </c>
      <c r="E2570" s="20">
        <v>10</v>
      </c>
      <c r="F2570" s="20">
        <v>10</v>
      </c>
      <c r="G2570" s="19">
        <f t="shared" si="193"/>
        <v>172</v>
      </c>
      <c r="H2570" s="22">
        <f t="shared" si="190"/>
        <v>2569</v>
      </c>
      <c r="I2570" s="21">
        <f t="shared" ca="1" si="191"/>
        <v>0</v>
      </c>
      <c r="J2570" s="21" t="str">
        <f ca="1">IF(I2570=0,"",COUNTIF($I$2:I2570,"&gt;0"))</f>
        <v/>
      </c>
      <c r="K2570" s="21" t="str">
        <f t="shared" ca="1" si="192"/>
        <v/>
      </c>
    </row>
    <row r="2571" spans="1:11" s="18" customFormat="1" ht="14.25" x14ac:dyDescent="0.2">
      <c r="A2571" s="18" t="str">
        <f t="shared" si="194"/>
        <v>Eintrag 2570</v>
      </c>
      <c r="B2571" s="18">
        <v>100</v>
      </c>
      <c r="C2571" s="19">
        <v>100</v>
      </c>
      <c r="D2571" s="20">
        <v>10</v>
      </c>
      <c r="E2571" s="20">
        <v>10</v>
      </c>
      <c r="F2571" s="20">
        <v>10</v>
      </c>
      <c r="G2571" s="19">
        <f t="shared" si="193"/>
        <v>172</v>
      </c>
      <c r="H2571" s="22">
        <f t="shared" si="190"/>
        <v>2570</v>
      </c>
      <c r="I2571" s="21">
        <f t="shared" ca="1" si="191"/>
        <v>0</v>
      </c>
      <c r="J2571" s="21" t="str">
        <f ca="1">IF(I2571=0,"",COUNTIF($I$2:I2571,"&gt;0"))</f>
        <v/>
      </c>
      <c r="K2571" s="21" t="str">
        <f t="shared" ca="1" si="192"/>
        <v/>
      </c>
    </row>
    <row r="2572" spans="1:11" s="18" customFormat="1" ht="14.25" x14ac:dyDescent="0.2">
      <c r="A2572" s="18" t="str">
        <f t="shared" si="194"/>
        <v>Eintrag 2571</v>
      </c>
      <c r="B2572" s="18">
        <v>100</v>
      </c>
      <c r="C2572" s="19">
        <v>100</v>
      </c>
      <c r="D2572" s="20">
        <v>10</v>
      </c>
      <c r="E2572" s="20">
        <v>10</v>
      </c>
      <c r="F2572" s="20">
        <v>10</v>
      </c>
      <c r="G2572" s="19">
        <f t="shared" si="193"/>
        <v>172</v>
      </c>
      <c r="H2572" s="22">
        <f t="shared" si="190"/>
        <v>2571</v>
      </c>
      <c r="I2572" s="21">
        <f t="shared" ca="1" si="191"/>
        <v>0</v>
      </c>
      <c r="J2572" s="21" t="str">
        <f ca="1">IF(I2572=0,"",COUNTIF($I$2:I2572,"&gt;0"))</f>
        <v/>
      </c>
      <c r="K2572" s="21" t="str">
        <f t="shared" ca="1" si="192"/>
        <v/>
      </c>
    </row>
    <row r="2573" spans="1:11" s="18" customFormat="1" ht="14.25" x14ac:dyDescent="0.2">
      <c r="A2573" s="18" t="str">
        <f t="shared" si="194"/>
        <v>Eintrag 2572</v>
      </c>
      <c r="B2573" s="18">
        <v>100</v>
      </c>
      <c r="C2573" s="19">
        <v>100</v>
      </c>
      <c r="D2573" s="20">
        <v>10</v>
      </c>
      <c r="E2573" s="20">
        <v>10</v>
      </c>
      <c r="F2573" s="20">
        <v>10</v>
      </c>
      <c r="G2573" s="19">
        <f t="shared" si="193"/>
        <v>172</v>
      </c>
      <c r="H2573" s="22">
        <f t="shared" si="190"/>
        <v>2572</v>
      </c>
      <c r="I2573" s="21">
        <f t="shared" ca="1" si="191"/>
        <v>0</v>
      </c>
      <c r="J2573" s="21" t="str">
        <f ca="1">IF(I2573=0,"",COUNTIF($I$2:I2573,"&gt;0"))</f>
        <v/>
      </c>
      <c r="K2573" s="21" t="str">
        <f t="shared" ca="1" si="192"/>
        <v/>
      </c>
    </row>
    <row r="2574" spans="1:11" s="18" customFormat="1" ht="14.25" x14ac:dyDescent="0.2">
      <c r="A2574" s="18" t="str">
        <f t="shared" si="194"/>
        <v>Eintrag 2573</v>
      </c>
      <c r="B2574" s="18">
        <v>100</v>
      </c>
      <c r="C2574" s="19">
        <v>100</v>
      </c>
      <c r="D2574" s="20">
        <v>10</v>
      </c>
      <c r="E2574" s="20">
        <v>10</v>
      </c>
      <c r="F2574" s="20">
        <v>10</v>
      </c>
      <c r="G2574" s="19">
        <f t="shared" si="193"/>
        <v>172</v>
      </c>
      <c r="H2574" s="22">
        <f t="shared" si="190"/>
        <v>2573</v>
      </c>
      <c r="I2574" s="21">
        <f t="shared" ca="1" si="191"/>
        <v>0</v>
      </c>
      <c r="J2574" s="21" t="str">
        <f ca="1">IF(I2574=0,"",COUNTIF($I$2:I2574,"&gt;0"))</f>
        <v/>
      </c>
      <c r="K2574" s="21" t="str">
        <f t="shared" ca="1" si="192"/>
        <v/>
      </c>
    </row>
    <row r="2575" spans="1:11" s="18" customFormat="1" ht="14.25" x14ac:dyDescent="0.2">
      <c r="A2575" s="18" t="str">
        <f t="shared" si="194"/>
        <v>Eintrag 2574</v>
      </c>
      <c r="B2575" s="18">
        <v>100</v>
      </c>
      <c r="C2575" s="19">
        <v>100</v>
      </c>
      <c r="D2575" s="20">
        <v>10</v>
      </c>
      <c r="E2575" s="20">
        <v>10</v>
      </c>
      <c r="F2575" s="20">
        <v>10</v>
      </c>
      <c r="G2575" s="19">
        <f t="shared" si="193"/>
        <v>172</v>
      </c>
      <c r="H2575" s="22">
        <f t="shared" si="190"/>
        <v>2574</v>
      </c>
      <c r="I2575" s="21">
        <f t="shared" ca="1" si="191"/>
        <v>0</v>
      </c>
      <c r="J2575" s="21" t="str">
        <f ca="1">IF(I2575=0,"",COUNTIF($I$2:I2575,"&gt;0"))</f>
        <v/>
      </c>
      <c r="K2575" s="21" t="str">
        <f t="shared" ca="1" si="192"/>
        <v/>
      </c>
    </row>
    <row r="2576" spans="1:11" s="18" customFormat="1" ht="14.25" x14ac:dyDescent="0.2">
      <c r="A2576" s="18" t="str">
        <f t="shared" si="194"/>
        <v>Eintrag 2575</v>
      </c>
      <c r="B2576" s="18">
        <v>100</v>
      </c>
      <c r="C2576" s="19">
        <v>100</v>
      </c>
      <c r="D2576" s="20">
        <v>10</v>
      </c>
      <c r="E2576" s="20">
        <v>10</v>
      </c>
      <c r="F2576" s="20">
        <v>10</v>
      </c>
      <c r="G2576" s="19">
        <f t="shared" si="193"/>
        <v>172</v>
      </c>
      <c r="H2576" s="22">
        <f t="shared" si="190"/>
        <v>2575</v>
      </c>
      <c r="I2576" s="21">
        <f t="shared" ca="1" si="191"/>
        <v>0</v>
      </c>
      <c r="J2576" s="21" t="str">
        <f ca="1">IF(I2576=0,"",COUNTIF($I$2:I2576,"&gt;0"))</f>
        <v/>
      </c>
      <c r="K2576" s="21" t="str">
        <f t="shared" ca="1" si="192"/>
        <v/>
      </c>
    </row>
    <row r="2577" spans="1:11" s="18" customFormat="1" ht="14.25" x14ac:dyDescent="0.2">
      <c r="A2577" s="18" t="str">
        <f t="shared" si="194"/>
        <v>Eintrag 2576</v>
      </c>
      <c r="B2577" s="18">
        <v>100</v>
      </c>
      <c r="C2577" s="19">
        <v>100</v>
      </c>
      <c r="D2577" s="20">
        <v>10</v>
      </c>
      <c r="E2577" s="20">
        <v>10</v>
      </c>
      <c r="F2577" s="20">
        <v>10</v>
      </c>
      <c r="G2577" s="19">
        <f t="shared" si="193"/>
        <v>172</v>
      </c>
      <c r="H2577" s="22">
        <f t="shared" si="190"/>
        <v>2576</v>
      </c>
      <c r="I2577" s="21">
        <f t="shared" ca="1" si="191"/>
        <v>0</v>
      </c>
      <c r="J2577" s="21" t="str">
        <f ca="1">IF(I2577=0,"",COUNTIF($I$2:I2577,"&gt;0"))</f>
        <v/>
      </c>
      <c r="K2577" s="21" t="str">
        <f t="shared" ca="1" si="192"/>
        <v/>
      </c>
    </row>
    <row r="2578" spans="1:11" s="18" customFormat="1" ht="14.25" x14ac:dyDescent="0.2">
      <c r="A2578" s="18" t="str">
        <f t="shared" si="194"/>
        <v>Eintrag 2577</v>
      </c>
      <c r="B2578" s="18">
        <v>100</v>
      </c>
      <c r="C2578" s="19">
        <v>100</v>
      </c>
      <c r="D2578" s="20">
        <v>10</v>
      </c>
      <c r="E2578" s="20">
        <v>10</v>
      </c>
      <c r="F2578" s="20">
        <v>10</v>
      </c>
      <c r="G2578" s="19">
        <f t="shared" si="193"/>
        <v>172</v>
      </c>
      <c r="H2578" s="22">
        <f t="shared" si="190"/>
        <v>2577</v>
      </c>
      <c r="I2578" s="21">
        <f t="shared" ca="1" si="191"/>
        <v>0</v>
      </c>
      <c r="J2578" s="21" t="str">
        <f ca="1">IF(I2578=0,"",COUNTIF($I$2:I2578,"&gt;0"))</f>
        <v/>
      </c>
      <c r="K2578" s="21" t="str">
        <f t="shared" ca="1" si="192"/>
        <v/>
      </c>
    </row>
    <row r="2579" spans="1:11" s="18" customFormat="1" ht="14.25" x14ac:dyDescent="0.2">
      <c r="A2579" s="18" t="str">
        <f t="shared" si="194"/>
        <v>Eintrag 2578</v>
      </c>
      <c r="B2579" s="18">
        <v>100</v>
      </c>
      <c r="C2579" s="19">
        <v>100</v>
      </c>
      <c r="D2579" s="20">
        <v>10</v>
      </c>
      <c r="E2579" s="20">
        <v>10</v>
      </c>
      <c r="F2579" s="20">
        <v>10</v>
      </c>
      <c r="G2579" s="19">
        <f t="shared" si="193"/>
        <v>172</v>
      </c>
      <c r="H2579" s="22">
        <f t="shared" si="190"/>
        <v>2578</v>
      </c>
      <c r="I2579" s="21">
        <f t="shared" ca="1" si="191"/>
        <v>0</v>
      </c>
      <c r="J2579" s="21" t="str">
        <f ca="1">IF(I2579=0,"",COUNTIF($I$2:I2579,"&gt;0"))</f>
        <v/>
      </c>
      <c r="K2579" s="21" t="str">
        <f t="shared" ca="1" si="192"/>
        <v/>
      </c>
    </row>
    <row r="2580" spans="1:11" s="18" customFormat="1" ht="14.25" x14ac:dyDescent="0.2">
      <c r="A2580" s="18" t="str">
        <f t="shared" si="194"/>
        <v>Eintrag 2579</v>
      </c>
      <c r="B2580" s="18">
        <v>100</v>
      </c>
      <c r="C2580" s="19">
        <v>100</v>
      </c>
      <c r="D2580" s="20">
        <v>10</v>
      </c>
      <c r="E2580" s="20">
        <v>10</v>
      </c>
      <c r="F2580" s="20">
        <v>10</v>
      </c>
      <c r="G2580" s="19">
        <f t="shared" si="193"/>
        <v>172</v>
      </c>
      <c r="H2580" s="22">
        <f t="shared" si="190"/>
        <v>2579</v>
      </c>
      <c r="I2580" s="21">
        <f t="shared" ca="1" si="191"/>
        <v>0</v>
      </c>
      <c r="J2580" s="21" t="str">
        <f ca="1">IF(I2580=0,"",COUNTIF($I$2:I2580,"&gt;0"))</f>
        <v/>
      </c>
      <c r="K2580" s="21" t="str">
        <f t="shared" ca="1" si="192"/>
        <v/>
      </c>
    </row>
    <row r="2581" spans="1:11" s="18" customFormat="1" ht="14.25" x14ac:dyDescent="0.2">
      <c r="A2581" s="18" t="str">
        <f t="shared" si="194"/>
        <v>Eintrag 2580</v>
      </c>
      <c r="B2581" s="18">
        <v>100</v>
      </c>
      <c r="C2581" s="19">
        <v>100</v>
      </c>
      <c r="D2581" s="20">
        <v>10</v>
      </c>
      <c r="E2581" s="20">
        <v>10</v>
      </c>
      <c r="F2581" s="20">
        <v>10</v>
      </c>
      <c r="G2581" s="19">
        <f t="shared" si="193"/>
        <v>172</v>
      </c>
      <c r="H2581" s="22">
        <f t="shared" si="190"/>
        <v>2580</v>
      </c>
      <c r="I2581" s="21">
        <f t="shared" ca="1" si="191"/>
        <v>0</v>
      </c>
      <c r="J2581" s="21" t="str">
        <f ca="1">IF(I2581=0,"",COUNTIF($I$2:I2581,"&gt;0"))</f>
        <v/>
      </c>
      <c r="K2581" s="21" t="str">
        <f t="shared" ca="1" si="192"/>
        <v/>
      </c>
    </row>
    <row r="2582" spans="1:11" s="18" customFormat="1" ht="14.25" x14ac:dyDescent="0.2">
      <c r="A2582" s="18" t="str">
        <f t="shared" si="194"/>
        <v>Eintrag 2581</v>
      </c>
      <c r="B2582" s="18">
        <v>100</v>
      </c>
      <c r="C2582" s="19">
        <v>100</v>
      </c>
      <c r="D2582" s="20">
        <v>10</v>
      </c>
      <c r="E2582" s="20">
        <v>10</v>
      </c>
      <c r="F2582" s="20">
        <v>10</v>
      </c>
      <c r="G2582" s="19">
        <f t="shared" si="193"/>
        <v>172</v>
      </c>
      <c r="H2582" s="22">
        <f t="shared" si="190"/>
        <v>2581</v>
      </c>
      <c r="I2582" s="21">
        <f t="shared" ca="1" si="191"/>
        <v>0</v>
      </c>
      <c r="J2582" s="21" t="str">
        <f ca="1">IF(I2582=0,"",COUNTIF($I$2:I2582,"&gt;0"))</f>
        <v/>
      </c>
      <c r="K2582" s="21" t="str">
        <f t="shared" ca="1" si="192"/>
        <v/>
      </c>
    </row>
    <row r="2583" spans="1:11" s="18" customFormat="1" ht="14.25" x14ac:dyDescent="0.2">
      <c r="A2583" s="18" t="str">
        <f t="shared" si="194"/>
        <v>Eintrag 2582</v>
      </c>
      <c r="B2583" s="18">
        <v>100</v>
      </c>
      <c r="C2583" s="19">
        <v>100</v>
      </c>
      <c r="D2583" s="20">
        <v>10</v>
      </c>
      <c r="E2583" s="20">
        <v>10</v>
      </c>
      <c r="F2583" s="20">
        <v>10</v>
      </c>
      <c r="G2583" s="19">
        <f t="shared" si="193"/>
        <v>172</v>
      </c>
      <c r="H2583" s="22">
        <f t="shared" si="190"/>
        <v>2582</v>
      </c>
      <c r="I2583" s="21">
        <f t="shared" ca="1" si="191"/>
        <v>0</v>
      </c>
      <c r="J2583" s="21" t="str">
        <f ca="1">IF(I2583=0,"",COUNTIF($I$2:I2583,"&gt;0"))</f>
        <v/>
      </c>
      <c r="K2583" s="21" t="str">
        <f t="shared" ca="1" si="192"/>
        <v/>
      </c>
    </row>
    <row r="2584" spans="1:11" s="18" customFormat="1" ht="14.25" x14ac:dyDescent="0.2">
      <c r="A2584" s="18" t="str">
        <f t="shared" si="194"/>
        <v>Eintrag 2583</v>
      </c>
      <c r="B2584" s="18">
        <v>100</v>
      </c>
      <c r="C2584" s="19">
        <v>100</v>
      </c>
      <c r="D2584" s="20">
        <v>10</v>
      </c>
      <c r="E2584" s="20">
        <v>10</v>
      </c>
      <c r="F2584" s="20">
        <v>10</v>
      </c>
      <c r="G2584" s="19">
        <f t="shared" si="193"/>
        <v>172</v>
      </c>
      <c r="H2584" s="22">
        <f t="shared" si="190"/>
        <v>2583</v>
      </c>
      <c r="I2584" s="21">
        <f t="shared" ca="1" si="191"/>
        <v>0</v>
      </c>
      <c r="J2584" s="21" t="str">
        <f ca="1">IF(I2584=0,"",COUNTIF($I$2:I2584,"&gt;0"))</f>
        <v/>
      </c>
      <c r="K2584" s="21" t="str">
        <f t="shared" ca="1" si="192"/>
        <v/>
      </c>
    </row>
    <row r="2585" spans="1:11" s="18" customFormat="1" ht="14.25" x14ac:dyDescent="0.2">
      <c r="A2585" s="18" t="str">
        <f t="shared" si="194"/>
        <v>Eintrag 2584</v>
      </c>
      <c r="B2585" s="18">
        <v>100</v>
      </c>
      <c r="C2585" s="19">
        <v>100</v>
      </c>
      <c r="D2585" s="20">
        <v>10</v>
      </c>
      <c r="E2585" s="20">
        <v>10</v>
      </c>
      <c r="F2585" s="20">
        <v>10</v>
      </c>
      <c r="G2585" s="19">
        <f t="shared" si="193"/>
        <v>172</v>
      </c>
      <c r="H2585" s="22">
        <f t="shared" si="190"/>
        <v>2584</v>
      </c>
      <c r="I2585" s="21">
        <f t="shared" ca="1" si="191"/>
        <v>0</v>
      </c>
      <c r="J2585" s="21" t="str">
        <f ca="1">IF(I2585=0,"",COUNTIF($I$2:I2585,"&gt;0"))</f>
        <v/>
      </c>
      <c r="K2585" s="21" t="str">
        <f t="shared" ca="1" si="192"/>
        <v/>
      </c>
    </row>
    <row r="2586" spans="1:11" s="18" customFormat="1" ht="14.25" x14ac:dyDescent="0.2">
      <c r="A2586" s="18" t="str">
        <f t="shared" si="194"/>
        <v>Eintrag 2585</v>
      </c>
      <c r="B2586" s="18">
        <v>100</v>
      </c>
      <c r="C2586" s="19">
        <v>100</v>
      </c>
      <c r="D2586" s="20">
        <v>10</v>
      </c>
      <c r="E2586" s="20">
        <v>10</v>
      </c>
      <c r="F2586" s="20">
        <v>10</v>
      </c>
      <c r="G2586" s="19">
        <f t="shared" si="193"/>
        <v>172</v>
      </c>
      <c r="H2586" s="22">
        <f t="shared" si="190"/>
        <v>2585</v>
      </c>
      <c r="I2586" s="21">
        <f t="shared" ca="1" si="191"/>
        <v>0</v>
      </c>
      <c r="J2586" s="21" t="str">
        <f ca="1">IF(I2586=0,"",COUNTIF($I$2:I2586,"&gt;0"))</f>
        <v/>
      </c>
      <c r="K2586" s="21" t="str">
        <f t="shared" ca="1" si="192"/>
        <v/>
      </c>
    </row>
    <row r="2587" spans="1:11" s="18" customFormat="1" ht="14.25" x14ac:dyDescent="0.2">
      <c r="A2587" s="18" t="str">
        <f t="shared" si="194"/>
        <v>Eintrag 2586</v>
      </c>
      <c r="B2587" s="18">
        <v>100</v>
      </c>
      <c r="C2587" s="19">
        <v>100</v>
      </c>
      <c r="D2587" s="20">
        <v>10</v>
      </c>
      <c r="E2587" s="20">
        <v>10</v>
      </c>
      <c r="F2587" s="20">
        <v>10</v>
      </c>
      <c r="G2587" s="19">
        <f t="shared" si="193"/>
        <v>172</v>
      </c>
      <c r="H2587" s="22">
        <f t="shared" si="190"/>
        <v>2586</v>
      </c>
      <c r="I2587" s="21">
        <f t="shared" ca="1" si="191"/>
        <v>0</v>
      </c>
      <c r="J2587" s="21" t="str">
        <f ca="1">IF(I2587=0,"",COUNTIF($I$2:I2587,"&gt;0"))</f>
        <v/>
      </c>
      <c r="K2587" s="21" t="str">
        <f t="shared" ca="1" si="192"/>
        <v/>
      </c>
    </row>
    <row r="2588" spans="1:11" s="18" customFormat="1" ht="14.25" x14ac:dyDescent="0.2">
      <c r="A2588" s="18" t="str">
        <f t="shared" si="194"/>
        <v>Eintrag 2587</v>
      </c>
      <c r="B2588" s="18">
        <v>100</v>
      </c>
      <c r="C2588" s="19">
        <v>100</v>
      </c>
      <c r="D2588" s="20">
        <v>10</v>
      </c>
      <c r="E2588" s="20">
        <v>10</v>
      </c>
      <c r="F2588" s="20">
        <v>10</v>
      </c>
      <c r="G2588" s="19">
        <f t="shared" si="193"/>
        <v>172</v>
      </c>
      <c r="H2588" s="22">
        <f t="shared" si="190"/>
        <v>2587</v>
      </c>
      <c r="I2588" s="21">
        <f t="shared" ca="1" si="191"/>
        <v>0</v>
      </c>
      <c r="J2588" s="21" t="str">
        <f ca="1">IF(I2588=0,"",COUNTIF($I$2:I2588,"&gt;0"))</f>
        <v/>
      </c>
      <c r="K2588" s="21" t="str">
        <f t="shared" ca="1" si="192"/>
        <v/>
      </c>
    </row>
    <row r="2589" spans="1:11" s="18" customFormat="1" ht="14.25" x14ac:dyDescent="0.2">
      <c r="A2589" s="18" t="str">
        <f t="shared" si="194"/>
        <v>Eintrag 2588</v>
      </c>
      <c r="B2589" s="18">
        <v>100</v>
      </c>
      <c r="C2589" s="19">
        <v>100</v>
      </c>
      <c r="D2589" s="20">
        <v>10</v>
      </c>
      <c r="E2589" s="20">
        <v>10</v>
      </c>
      <c r="F2589" s="20">
        <v>10</v>
      </c>
      <c r="G2589" s="19">
        <f t="shared" si="193"/>
        <v>172</v>
      </c>
      <c r="H2589" s="22">
        <f t="shared" si="190"/>
        <v>2588</v>
      </c>
      <c r="I2589" s="21">
        <f t="shared" ca="1" si="191"/>
        <v>0</v>
      </c>
      <c r="J2589" s="21" t="str">
        <f ca="1">IF(I2589=0,"",COUNTIF($I$2:I2589,"&gt;0"))</f>
        <v/>
      </c>
      <c r="K2589" s="21" t="str">
        <f t="shared" ca="1" si="192"/>
        <v/>
      </c>
    </row>
    <row r="2590" spans="1:11" s="18" customFormat="1" ht="14.25" x14ac:dyDescent="0.2">
      <c r="A2590" s="18" t="str">
        <f t="shared" si="194"/>
        <v>Eintrag 2589</v>
      </c>
      <c r="B2590" s="18">
        <v>100</v>
      </c>
      <c r="C2590" s="19">
        <v>100</v>
      </c>
      <c r="D2590" s="20">
        <v>10</v>
      </c>
      <c r="E2590" s="20">
        <v>10</v>
      </c>
      <c r="F2590" s="20">
        <v>10</v>
      </c>
      <c r="G2590" s="19">
        <f t="shared" si="193"/>
        <v>172</v>
      </c>
      <c r="H2590" s="22">
        <f t="shared" si="190"/>
        <v>2589</v>
      </c>
      <c r="I2590" s="21">
        <f t="shared" ca="1" si="191"/>
        <v>0</v>
      </c>
      <c r="J2590" s="21" t="str">
        <f ca="1">IF(I2590=0,"",COUNTIF($I$2:I2590,"&gt;0"))</f>
        <v/>
      </c>
      <c r="K2590" s="21" t="str">
        <f t="shared" ca="1" si="192"/>
        <v/>
      </c>
    </row>
    <row r="2591" spans="1:11" s="18" customFormat="1" ht="14.25" x14ac:dyDescent="0.2">
      <c r="A2591" s="18" t="str">
        <f t="shared" si="194"/>
        <v>Eintrag 2590</v>
      </c>
      <c r="B2591" s="18">
        <v>100</v>
      </c>
      <c r="C2591" s="19">
        <v>100</v>
      </c>
      <c r="D2591" s="20">
        <v>10</v>
      </c>
      <c r="E2591" s="20">
        <v>10</v>
      </c>
      <c r="F2591" s="20">
        <v>10</v>
      </c>
      <c r="G2591" s="19">
        <f t="shared" si="193"/>
        <v>172</v>
      </c>
      <c r="H2591" s="22">
        <f t="shared" si="190"/>
        <v>2590</v>
      </c>
      <c r="I2591" s="21">
        <f t="shared" ca="1" si="191"/>
        <v>0</v>
      </c>
      <c r="J2591" s="21" t="str">
        <f ca="1">IF(I2591=0,"",COUNTIF($I$2:I2591,"&gt;0"))</f>
        <v/>
      </c>
      <c r="K2591" s="21" t="str">
        <f t="shared" ca="1" si="192"/>
        <v/>
      </c>
    </row>
    <row r="2592" spans="1:11" s="18" customFormat="1" ht="14.25" x14ac:dyDescent="0.2">
      <c r="A2592" s="18" t="str">
        <f t="shared" si="194"/>
        <v>Eintrag 2591</v>
      </c>
      <c r="B2592" s="18">
        <v>100</v>
      </c>
      <c r="C2592" s="19">
        <v>100</v>
      </c>
      <c r="D2592" s="20">
        <v>10</v>
      </c>
      <c r="E2592" s="20">
        <v>10</v>
      </c>
      <c r="F2592" s="20">
        <v>10</v>
      </c>
      <c r="G2592" s="19">
        <f t="shared" si="193"/>
        <v>172</v>
      </c>
      <c r="H2592" s="22">
        <f t="shared" si="190"/>
        <v>2591</v>
      </c>
      <c r="I2592" s="21">
        <f t="shared" ca="1" si="191"/>
        <v>0</v>
      </c>
      <c r="J2592" s="21" t="str">
        <f ca="1">IF(I2592=0,"",COUNTIF($I$2:I2592,"&gt;0"))</f>
        <v/>
      </c>
      <c r="K2592" s="21" t="str">
        <f t="shared" ca="1" si="192"/>
        <v/>
      </c>
    </row>
    <row r="2593" spans="1:11" s="18" customFormat="1" ht="14.25" x14ac:dyDescent="0.2">
      <c r="A2593" s="18" t="str">
        <f t="shared" si="194"/>
        <v>Eintrag 2592</v>
      </c>
      <c r="B2593" s="18">
        <v>100</v>
      </c>
      <c r="C2593" s="19">
        <v>100</v>
      </c>
      <c r="D2593" s="20">
        <v>10</v>
      </c>
      <c r="E2593" s="20">
        <v>10</v>
      </c>
      <c r="F2593" s="20">
        <v>10</v>
      </c>
      <c r="G2593" s="19">
        <f t="shared" si="193"/>
        <v>172</v>
      </c>
      <c r="H2593" s="22">
        <f t="shared" si="190"/>
        <v>2592</v>
      </c>
      <c r="I2593" s="21">
        <f t="shared" ca="1" si="191"/>
        <v>0</v>
      </c>
      <c r="J2593" s="21" t="str">
        <f ca="1">IF(I2593=0,"",COUNTIF($I$2:I2593,"&gt;0"))</f>
        <v/>
      </c>
      <c r="K2593" s="21" t="str">
        <f t="shared" ca="1" si="192"/>
        <v/>
      </c>
    </row>
    <row r="2594" spans="1:11" s="18" customFormat="1" ht="14.25" x14ac:dyDescent="0.2">
      <c r="A2594" s="18" t="str">
        <f t="shared" si="194"/>
        <v>Eintrag 2593</v>
      </c>
      <c r="B2594" s="18">
        <v>100</v>
      </c>
      <c r="C2594" s="19">
        <v>100</v>
      </c>
      <c r="D2594" s="20">
        <v>10</v>
      </c>
      <c r="E2594" s="20">
        <v>10</v>
      </c>
      <c r="F2594" s="20">
        <v>10</v>
      </c>
      <c r="G2594" s="19">
        <f t="shared" si="193"/>
        <v>172</v>
      </c>
      <c r="H2594" s="22">
        <f t="shared" si="190"/>
        <v>2593</v>
      </c>
      <c r="I2594" s="21">
        <f t="shared" ca="1" si="191"/>
        <v>0</v>
      </c>
      <c r="J2594" s="21" t="str">
        <f ca="1">IF(I2594=0,"",COUNTIF($I$2:I2594,"&gt;0"))</f>
        <v/>
      </c>
      <c r="K2594" s="21" t="str">
        <f t="shared" ca="1" si="192"/>
        <v/>
      </c>
    </row>
    <row r="2595" spans="1:11" s="18" customFormat="1" ht="14.25" x14ac:dyDescent="0.2">
      <c r="A2595" s="18" t="str">
        <f t="shared" si="194"/>
        <v>Eintrag 2594</v>
      </c>
      <c r="B2595" s="18">
        <v>100</v>
      </c>
      <c r="C2595" s="19">
        <v>100</v>
      </c>
      <c r="D2595" s="20">
        <v>10</v>
      </c>
      <c r="E2595" s="20">
        <v>10</v>
      </c>
      <c r="F2595" s="20">
        <v>10</v>
      </c>
      <c r="G2595" s="19">
        <f t="shared" si="193"/>
        <v>172</v>
      </c>
      <c r="H2595" s="22">
        <f t="shared" si="190"/>
        <v>2594</v>
      </c>
      <c r="I2595" s="21">
        <f t="shared" ca="1" si="191"/>
        <v>0</v>
      </c>
      <c r="J2595" s="21" t="str">
        <f ca="1">IF(I2595=0,"",COUNTIF($I$2:I2595,"&gt;0"))</f>
        <v/>
      </c>
      <c r="K2595" s="21" t="str">
        <f t="shared" ca="1" si="192"/>
        <v/>
      </c>
    </row>
    <row r="2596" spans="1:11" s="18" customFormat="1" ht="14.25" x14ac:dyDescent="0.2">
      <c r="A2596" s="18" t="str">
        <f t="shared" si="194"/>
        <v>Eintrag 2595</v>
      </c>
      <c r="B2596" s="18">
        <v>100</v>
      </c>
      <c r="C2596" s="19">
        <v>100</v>
      </c>
      <c r="D2596" s="20">
        <v>10</v>
      </c>
      <c r="E2596" s="20">
        <v>10</v>
      </c>
      <c r="F2596" s="20">
        <v>10</v>
      </c>
      <c r="G2596" s="19">
        <f t="shared" si="193"/>
        <v>172</v>
      </c>
      <c r="H2596" s="22">
        <f t="shared" si="190"/>
        <v>2595</v>
      </c>
      <c r="I2596" s="21">
        <f t="shared" ca="1" si="191"/>
        <v>0</v>
      </c>
      <c r="J2596" s="21" t="str">
        <f ca="1">IF(I2596=0,"",COUNTIF($I$2:I2596,"&gt;0"))</f>
        <v/>
      </c>
      <c r="K2596" s="21" t="str">
        <f t="shared" ca="1" si="192"/>
        <v/>
      </c>
    </row>
    <row r="2597" spans="1:11" s="18" customFormat="1" ht="14.25" x14ac:dyDescent="0.2">
      <c r="A2597" s="18" t="str">
        <f t="shared" si="194"/>
        <v>Eintrag 2596</v>
      </c>
      <c r="B2597" s="18">
        <v>100</v>
      </c>
      <c r="C2597" s="19">
        <v>100</v>
      </c>
      <c r="D2597" s="20">
        <v>10</v>
      </c>
      <c r="E2597" s="20">
        <v>10</v>
      </c>
      <c r="F2597" s="20">
        <v>10</v>
      </c>
      <c r="G2597" s="19">
        <f t="shared" si="193"/>
        <v>172</v>
      </c>
      <c r="H2597" s="22">
        <f t="shared" ref="H2597:H2660" si="195">H2596+1</f>
        <v>2596</v>
      </c>
      <c r="I2597" s="21">
        <f t="shared" ca="1" si="191"/>
        <v>0</v>
      </c>
      <c r="J2597" s="21" t="str">
        <f ca="1">IF(I2597=0,"",COUNTIF($I$2:I2597,"&gt;0"))</f>
        <v/>
      </c>
      <c r="K2597" s="21" t="str">
        <f t="shared" ca="1" si="192"/>
        <v/>
      </c>
    </row>
    <row r="2598" spans="1:11" s="18" customFormat="1" ht="14.25" x14ac:dyDescent="0.2">
      <c r="A2598" s="18" t="str">
        <f t="shared" si="194"/>
        <v>Eintrag 2597</v>
      </c>
      <c r="B2598" s="18">
        <v>100</v>
      </c>
      <c r="C2598" s="19">
        <v>100</v>
      </c>
      <c r="D2598" s="20">
        <v>10</v>
      </c>
      <c r="E2598" s="20">
        <v>10</v>
      </c>
      <c r="F2598" s="20">
        <v>10</v>
      </c>
      <c r="G2598" s="19">
        <f t="shared" si="193"/>
        <v>172</v>
      </c>
      <c r="H2598" s="22">
        <f t="shared" si="195"/>
        <v>2597</v>
      </c>
      <c r="I2598" s="21">
        <f t="shared" ca="1" si="191"/>
        <v>0</v>
      </c>
      <c r="J2598" s="21" t="str">
        <f ca="1">IF(I2598=0,"",COUNTIF($I$2:I2598,"&gt;0"))</f>
        <v/>
      </c>
      <c r="K2598" s="21" t="str">
        <f t="shared" ca="1" si="192"/>
        <v/>
      </c>
    </row>
    <row r="2599" spans="1:11" s="18" customFormat="1" ht="14.25" x14ac:dyDescent="0.2">
      <c r="A2599" s="18" t="str">
        <f t="shared" si="194"/>
        <v>Eintrag 2598</v>
      </c>
      <c r="B2599" s="18">
        <v>100</v>
      </c>
      <c r="C2599" s="19">
        <v>100</v>
      </c>
      <c r="D2599" s="20">
        <v>10</v>
      </c>
      <c r="E2599" s="20">
        <v>10</v>
      </c>
      <c r="F2599" s="20">
        <v>10</v>
      </c>
      <c r="G2599" s="19">
        <f t="shared" si="193"/>
        <v>172</v>
      </c>
      <c r="H2599" s="22">
        <f t="shared" si="195"/>
        <v>2598</v>
      </c>
      <c r="I2599" s="21">
        <f t="shared" ca="1" si="191"/>
        <v>0</v>
      </c>
      <c r="J2599" s="21" t="str">
        <f ca="1">IF(I2599=0,"",COUNTIF($I$2:I2599,"&gt;0"))</f>
        <v/>
      </c>
      <c r="K2599" s="21" t="str">
        <f t="shared" ca="1" si="192"/>
        <v/>
      </c>
    </row>
    <row r="2600" spans="1:11" s="18" customFormat="1" ht="14.25" x14ac:dyDescent="0.2">
      <c r="A2600" s="18" t="str">
        <f t="shared" si="194"/>
        <v>Eintrag 2599</v>
      </c>
      <c r="B2600" s="18">
        <v>100</v>
      </c>
      <c r="C2600" s="19">
        <v>100</v>
      </c>
      <c r="D2600" s="20">
        <v>10</v>
      </c>
      <c r="E2600" s="20">
        <v>10</v>
      </c>
      <c r="F2600" s="20">
        <v>10</v>
      </c>
      <c r="G2600" s="19">
        <f t="shared" si="193"/>
        <v>172</v>
      </c>
      <c r="H2600" s="22">
        <f t="shared" si="195"/>
        <v>2599</v>
      </c>
      <c r="I2600" s="21">
        <f t="shared" ca="1" si="191"/>
        <v>0</v>
      </c>
      <c r="J2600" s="21" t="str">
        <f ca="1">IF(I2600=0,"",COUNTIF($I$2:I2600,"&gt;0"))</f>
        <v/>
      </c>
      <c r="K2600" s="21" t="str">
        <f t="shared" ca="1" si="192"/>
        <v/>
      </c>
    </row>
    <row r="2601" spans="1:11" s="18" customFormat="1" ht="14.25" x14ac:dyDescent="0.2">
      <c r="A2601" s="18" t="str">
        <f t="shared" si="194"/>
        <v>Eintrag 2600</v>
      </c>
      <c r="B2601" s="18">
        <v>100</v>
      </c>
      <c r="C2601" s="19">
        <v>100</v>
      </c>
      <c r="D2601" s="20">
        <v>10</v>
      </c>
      <c r="E2601" s="20">
        <v>10</v>
      </c>
      <c r="F2601" s="20">
        <v>10</v>
      </c>
      <c r="G2601" s="19">
        <f t="shared" si="193"/>
        <v>172</v>
      </c>
      <c r="H2601" s="22">
        <f t="shared" si="195"/>
        <v>2600</v>
      </c>
      <c r="I2601" s="21">
        <f t="shared" ca="1" si="191"/>
        <v>0</v>
      </c>
      <c r="J2601" s="21" t="str">
        <f ca="1">IF(I2601=0,"",COUNTIF($I$2:I2601,"&gt;0"))</f>
        <v/>
      </c>
      <c r="K2601" s="21" t="str">
        <f t="shared" ca="1" si="192"/>
        <v/>
      </c>
    </row>
    <row r="2602" spans="1:11" s="18" customFormat="1" ht="14.25" x14ac:dyDescent="0.2">
      <c r="A2602" s="18" t="str">
        <f t="shared" si="194"/>
        <v>Eintrag 2601</v>
      </c>
      <c r="B2602" s="18">
        <v>100</v>
      </c>
      <c r="C2602" s="19">
        <v>100</v>
      </c>
      <c r="D2602" s="20">
        <v>10</v>
      </c>
      <c r="E2602" s="20">
        <v>10</v>
      </c>
      <c r="F2602" s="20">
        <v>10</v>
      </c>
      <c r="G2602" s="19">
        <f t="shared" si="193"/>
        <v>172</v>
      </c>
      <c r="H2602" s="22">
        <f t="shared" si="195"/>
        <v>2601</v>
      </c>
      <c r="I2602" s="21">
        <f t="shared" ca="1" si="191"/>
        <v>0</v>
      </c>
      <c r="J2602" s="21" t="str">
        <f ca="1">IF(I2602=0,"",COUNTIF($I$2:I2602,"&gt;0"))</f>
        <v/>
      </c>
      <c r="K2602" s="21" t="str">
        <f t="shared" ca="1" si="192"/>
        <v/>
      </c>
    </row>
    <row r="2603" spans="1:11" s="18" customFormat="1" ht="14.25" x14ac:dyDescent="0.2">
      <c r="A2603" s="18" t="str">
        <f t="shared" si="194"/>
        <v>Eintrag 2602</v>
      </c>
      <c r="B2603" s="18">
        <v>100</v>
      </c>
      <c r="C2603" s="19">
        <v>100</v>
      </c>
      <c r="D2603" s="20">
        <v>10</v>
      </c>
      <c r="E2603" s="20">
        <v>10</v>
      </c>
      <c r="F2603" s="20">
        <v>10</v>
      </c>
      <c r="G2603" s="19">
        <f t="shared" si="193"/>
        <v>172</v>
      </c>
      <c r="H2603" s="22">
        <f t="shared" si="195"/>
        <v>2602</v>
      </c>
      <c r="I2603" s="21">
        <f t="shared" ca="1" si="191"/>
        <v>0</v>
      </c>
      <c r="J2603" s="21" t="str">
        <f ca="1">IF(I2603=0,"",COUNTIF($I$2:I2603,"&gt;0"))</f>
        <v/>
      </c>
      <c r="K2603" s="21" t="str">
        <f t="shared" ca="1" si="192"/>
        <v/>
      </c>
    </row>
    <row r="2604" spans="1:11" s="18" customFormat="1" ht="14.25" x14ac:dyDescent="0.2">
      <c r="A2604" s="18" t="str">
        <f t="shared" si="194"/>
        <v>Eintrag 2603</v>
      </c>
      <c r="B2604" s="18">
        <v>100</v>
      </c>
      <c r="C2604" s="19">
        <v>100</v>
      </c>
      <c r="D2604" s="20">
        <v>10</v>
      </c>
      <c r="E2604" s="20">
        <v>10</v>
      </c>
      <c r="F2604" s="20">
        <v>10</v>
      </c>
      <c r="G2604" s="19">
        <f t="shared" si="193"/>
        <v>172</v>
      </c>
      <c r="H2604" s="22">
        <f t="shared" si="195"/>
        <v>2603</v>
      </c>
      <c r="I2604" s="21">
        <f t="shared" ca="1" si="191"/>
        <v>0</v>
      </c>
      <c r="J2604" s="21" t="str">
        <f ca="1">IF(I2604=0,"",COUNTIF($I$2:I2604,"&gt;0"))</f>
        <v/>
      </c>
      <c r="K2604" s="21" t="str">
        <f t="shared" ca="1" si="192"/>
        <v/>
      </c>
    </row>
    <row r="2605" spans="1:11" s="18" customFormat="1" ht="14.25" x14ac:dyDescent="0.2">
      <c r="A2605" s="18" t="str">
        <f t="shared" si="194"/>
        <v>Eintrag 2604</v>
      </c>
      <c r="B2605" s="18">
        <v>100</v>
      </c>
      <c r="C2605" s="19">
        <v>100</v>
      </c>
      <c r="D2605" s="20">
        <v>10</v>
      </c>
      <c r="E2605" s="20">
        <v>10</v>
      </c>
      <c r="F2605" s="20">
        <v>10</v>
      </c>
      <c r="G2605" s="19">
        <f t="shared" si="193"/>
        <v>172</v>
      </c>
      <c r="H2605" s="22">
        <f t="shared" si="195"/>
        <v>2604</v>
      </c>
      <c r="I2605" s="21">
        <f t="shared" ca="1" si="191"/>
        <v>0</v>
      </c>
      <c r="J2605" s="21" t="str">
        <f ca="1">IF(I2605=0,"",COUNTIF($I$2:I2605,"&gt;0"))</f>
        <v/>
      </c>
      <c r="K2605" s="21" t="str">
        <f t="shared" ca="1" si="192"/>
        <v/>
      </c>
    </row>
    <row r="2606" spans="1:11" s="18" customFormat="1" ht="14.25" x14ac:dyDescent="0.2">
      <c r="A2606" s="18" t="str">
        <f t="shared" si="194"/>
        <v>Eintrag 2605</v>
      </c>
      <c r="B2606" s="18">
        <v>100</v>
      </c>
      <c r="C2606" s="19">
        <v>100</v>
      </c>
      <c r="D2606" s="20">
        <v>10</v>
      </c>
      <c r="E2606" s="20">
        <v>10</v>
      </c>
      <c r="F2606" s="20">
        <v>10</v>
      </c>
      <c r="G2606" s="19">
        <f t="shared" si="193"/>
        <v>172</v>
      </c>
      <c r="H2606" s="22">
        <f t="shared" si="195"/>
        <v>2605</v>
      </c>
      <c r="I2606" s="21">
        <f t="shared" ca="1" si="191"/>
        <v>0</v>
      </c>
      <c r="J2606" s="21" t="str">
        <f ca="1">IF(I2606=0,"",COUNTIF($I$2:I2606,"&gt;0"))</f>
        <v/>
      </c>
      <c r="K2606" s="21" t="str">
        <f t="shared" ca="1" si="192"/>
        <v/>
      </c>
    </row>
    <row r="2607" spans="1:11" s="18" customFormat="1" ht="14.25" x14ac:dyDescent="0.2">
      <c r="A2607" s="18" t="str">
        <f t="shared" si="194"/>
        <v>Eintrag 2606</v>
      </c>
      <c r="B2607" s="18">
        <v>100</v>
      </c>
      <c r="C2607" s="19">
        <v>100</v>
      </c>
      <c r="D2607" s="20">
        <v>10</v>
      </c>
      <c r="E2607" s="20">
        <v>10</v>
      </c>
      <c r="F2607" s="20">
        <v>10</v>
      </c>
      <c r="G2607" s="19">
        <f t="shared" si="193"/>
        <v>172</v>
      </c>
      <c r="H2607" s="22">
        <f t="shared" si="195"/>
        <v>2606</v>
      </c>
      <c r="I2607" s="21">
        <f t="shared" ca="1" si="191"/>
        <v>0</v>
      </c>
      <c r="J2607" s="21" t="str">
        <f ca="1">IF(I2607=0,"",COUNTIF($I$2:I2607,"&gt;0"))</f>
        <v/>
      </c>
      <c r="K2607" s="21" t="str">
        <f t="shared" ca="1" si="192"/>
        <v/>
      </c>
    </row>
    <row r="2608" spans="1:11" s="18" customFormat="1" ht="14.25" x14ac:dyDescent="0.2">
      <c r="A2608" s="18" t="str">
        <f t="shared" si="194"/>
        <v>Eintrag 2607</v>
      </c>
      <c r="B2608" s="18">
        <v>100</v>
      </c>
      <c r="C2608" s="19">
        <v>100</v>
      </c>
      <c r="D2608" s="20">
        <v>10</v>
      </c>
      <c r="E2608" s="20">
        <v>10</v>
      </c>
      <c r="F2608" s="20">
        <v>10</v>
      </c>
      <c r="G2608" s="19">
        <f t="shared" si="193"/>
        <v>172</v>
      </c>
      <c r="H2608" s="22">
        <f t="shared" si="195"/>
        <v>2607</v>
      </c>
      <c r="I2608" s="21">
        <f t="shared" ca="1" si="191"/>
        <v>0</v>
      </c>
      <c r="J2608" s="21" t="str">
        <f ca="1">IF(I2608=0,"",COUNTIF($I$2:I2608,"&gt;0"))</f>
        <v/>
      </c>
      <c r="K2608" s="21" t="str">
        <f t="shared" ca="1" si="192"/>
        <v/>
      </c>
    </row>
    <row r="2609" spans="1:11" s="18" customFormat="1" ht="14.25" x14ac:dyDescent="0.2">
      <c r="A2609" s="18" t="str">
        <f t="shared" si="194"/>
        <v>Eintrag 2608</v>
      </c>
      <c r="B2609" s="18">
        <v>100</v>
      </c>
      <c r="C2609" s="19">
        <v>100</v>
      </c>
      <c r="D2609" s="20">
        <v>10</v>
      </c>
      <c r="E2609" s="20">
        <v>10</v>
      </c>
      <c r="F2609" s="20">
        <v>10</v>
      </c>
      <c r="G2609" s="19">
        <f t="shared" si="193"/>
        <v>172</v>
      </c>
      <c r="H2609" s="22">
        <f t="shared" si="195"/>
        <v>2608</v>
      </c>
      <c r="I2609" s="21">
        <f t="shared" ca="1" si="191"/>
        <v>0</v>
      </c>
      <c r="J2609" s="21" t="str">
        <f ca="1">IF(I2609=0,"",COUNTIF($I$2:I2609,"&gt;0"))</f>
        <v/>
      </c>
      <c r="K2609" s="21" t="str">
        <f t="shared" ca="1" si="192"/>
        <v/>
      </c>
    </row>
    <row r="2610" spans="1:11" s="18" customFormat="1" ht="14.25" x14ac:dyDescent="0.2">
      <c r="A2610" s="18" t="str">
        <f t="shared" si="194"/>
        <v>Eintrag 2609</v>
      </c>
      <c r="B2610" s="18">
        <v>100</v>
      </c>
      <c r="C2610" s="19">
        <v>100</v>
      </c>
      <c r="D2610" s="20">
        <v>10</v>
      </c>
      <c r="E2610" s="20">
        <v>10</v>
      </c>
      <c r="F2610" s="20">
        <v>10</v>
      </c>
      <c r="G2610" s="19">
        <f t="shared" si="193"/>
        <v>172</v>
      </c>
      <c r="H2610" s="22">
        <f t="shared" si="195"/>
        <v>2609</v>
      </c>
      <c r="I2610" s="21">
        <f t="shared" ca="1" si="191"/>
        <v>0</v>
      </c>
      <c r="J2610" s="21" t="str">
        <f ca="1">IF(I2610=0,"",COUNTIF($I$2:I2610,"&gt;0"))</f>
        <v/>
      </c>
      <c r="K2610" s="21" t="str">
        <f t="shared" ca="1" si="192"/>
        <v/>
      </c>
    </row>
    <row r="2611" spans="1:11" s="18" customFormat="1" ht="14.25" x14ac:dyDescent="0.2">
      <c r="A2611" s="18" t="str">
        <f t="shared" si="194"/>
        <v>Eintrag 2610</v>
      </c>
      <c r="B2611" s="18">
        <v>100</v>
      </c>
      <c r="C2611" s="19">
        <v>100</v>
      </c>
      <c r="D2611" s="20">
        <v>10</v>
      </c>
      <c r="E2611" s="20">
        <v>10</v>
      </c>
      <c r="F2611" s="20">
        <v>10</v>
      </c>
      <c r="G2611" s="19">
        <f t="shared" si="193"/>
        <v>172</v>
      </c>
      <c r="H2611" s="22">
        <f t="shared" si="195"/>
        <v>2610</v>
      </c>
      <c r="I2611" s="21">
        <f t="shared" ca="1" si="191"/>
        <v>0</v>
      </c>
      <c r="J2611" s="21" t="str">
        <f ca="1">IF(I2611=0,"",COUNTIF($I$2:I2611,"&gt;0"))</f>
        <v/>
      </c>
      <c r="K2611" s="21" t="str">
        <f t="shared" ca="1" si="192"/>
        <v/>
      </c>
    </row>
    <row r="2612" spans="1:11" s="18" customFormat="1" ht="14.25" x14ac:dyDescent="0.2">
      <c r="A2612" s="18" t="str">
        <f t="shared" si="194"/>
        <v>Eintrag 2611</v>
      </c>
      <c r="B2612" s="18">
        <v>100</v>
      </c>
      <c r="C2612" s="19">
        <v>100</v>
      </c>
      <c r="D2612" s="20">
        <v>10</v>
      </c>
      <c r="E2612" s="20">
        <v>10</v>
      </c>
      <c r="F2612" s="20">
        <v>10</v>
      </c>
      <c r="G2612" s="19">
        <f t="shared" si="193"/>
        <v>172</v>
      </c>
      <c r="H2612" s="22">
        <f t="shared" si="195"/>
        <v>2611</v>
      </c>
      <c r="I2612" s="21">
        <f t="shared" ca="1" si="191"/>
        <v>0</v>
      </c>
      <c r="J2612" s="21" t="str">
        <f ca="1">IF(I2612=0,"",COUNTIF($I$2:I2612,"&gt;0"))</f>
        <v/>
      </c>
      <c r="K2612" s="21" t="str">
        <f t="shared" ca="1" si="192"/>
        <v/>
      </c>
    </row>
    <row r="2613" spans="1:11" s="18" customFormat="1" ht="14.25" x14ac:dyDescent="0.2">
      <c r="A2613" s="18" t="str">
        <f t="shared" si="194"/>
        <v>Eintrag 2612</v>
      </c>
      <c r="B2613" s="18">
        <v>100</v>
      </c>
      <c r="C2613" s="19">
        <v>100</v>
      </c>
      <c r="D2613" s="20">
        <v>10</v>
      </c>
      <c r="E2613" s="20">
        <v>10</v>
      </c>
      <c r="F2613" s="20">
        <v>10</v>
      </c>
      <c r="G2613" s="19">
        <f t="shared" si="193"/>
        <v>172</v>
      </c>
      <c r="H2613" s="22">
        <f t="shared" si="195"/>
        <v>2612</v>
      </c>
      <c r="I2613" s="21">
        <f t="shared" ca="1" si="191"/>
        <v>0</v>
      </c>
      <c r="J2613" s="21" t="str">
        <f ca="1">IF(I2613=0,"",COUNTIF($I$2:I2613,"&gt;0"))</f>
        <v/>
      </c>
      <c r="K2613" s="21" t="str">
        <f t="shared" ca="1" si="192"/>
        <v/>
      </c>
    </row>
    <row r="2614" spans="1:11" s="18" customFormat="1" ht="14.25" x14ac:dyDescent="0.2">
      <c r="A2614" s="18" t="str">
        <f t="shared" si="194"/>
        <v>Eintrag 2613</v>
      </c>
      <c r="B2614" s="18">
        <v>100</v>
      </c>
      <c r="C2614" s="19">
        <v>100</v>
      </c>
      <c r="D2614" s="20">
        <v>10</v>
      </c>
      <c r="E2614" s="20">
        <v>10</v>
      </c>
      <c r="F2614" s="20">
        <v>10</v>
      </c>
      <c r="G2614" s="19">
        <f t="shared" si="193"/>
        <v>172</v>
      </c>
      <c r="H2614" s="22">
        <f t="shared" si="195"/>
        <v>2613</v>
      </c>
      <c r="I2614" s="21">
        <f t="shared" ca="1" si="191"/>
        <v>0</v>
      </c>
      <c r="J2614" s="21" t="str">
        <f ca="1">IF(I2614=0,"",COUNTIF($I$2:I2614,"&gt;0"))</f>
        <v/>
      </c>
      <c r="K2614" s="21" t="str">
        <f t="shared" ca="1" si="192"/>
        <v/>
      </c>
    </row>
    <row r="2615" spans="1:11" s="18" customFormat="1" ht="14.25" x14ac:dyDescent="0.2">
      <c r="A2615" s="18" t="str">
        <f t="shared" si="194"/>
        <v>Eintrag 2614</v>
      </c>
      <c r="B2615" s="18">
        <v>100</v>
      </c>
      <c r="C2615" s="19">
        <v>100</v>
      </c>
      <c r="D2615" s="20">
        <v>10</v>
      </c>
      <c r="E2615" s="20">
        <v>10</v>
      </c>
      <c r="F2615" s="20">
        <v>10</v>
      </c>
      <c r="G2615" s="19">
        <f t="shared" si="193"/>
        <v>172</v>
      </c>
      <c r="H2615" s="22">
        <f t="shared" si="195"/>
        <v>2614</v>
      </c>
      <c r="I2615" s="21">
        <f t="shared" ca="1" si="191"/>
        <v>0</v>
      </c>
      <c r="J2615" s="21" t="str">
        <f ca="1">IF(I2615=0,"",COUNTIF($I$2:I2615,"&gt;0"))</f>
        <v/>
      </c>
      <c r="K2615" s="21" t="str">
        <f t="shared" ca="1" si="192"/>
        <v/>
      </c>
    </row>
    <row r="2616" spans="1:11" s="18" customFormat="1" ht="14.25" x14ac:dyDescent="0.2">
      <c r="A2616" s="18" t="str">
        <f t="shared" si="194"/>
        <v>Eintrag 2615</v>
      </c>
      <c r="B2616" s="18">
        <v>100</v>
      </c>
      <c r="C2616" s="19">
        <v>100</v>
      </c>
      <c r="D2616" s="20">
        <v>10</v>
      </c>
      <c r="E2616" s="20">
        <v>10</v>
      </c>
      <c r="F2616" s="20">
        <v>10</v>
      </c>
      <c r="G2616" s="19">
        <f t="shared" si="193"/>
        <v>172</v>
      </c>
      <c r="H2616" s="22">
        <f t="shared" si="195"/>
        <v>2615</v>
      </c>
      <c r="I2616" s="21">
        <f t="shared" ca="1" si="191"/>
        <v>0</v>
      </c>
      <c r="J2616" s="21" t="str">
        <f ca="1">IF(I2616=0,"",COUNTIF($I$2:I2616,"&gt;0"))</f>
        <v/>
      </c>
      <c r="K2616" s="21" t="str">
        <f t="shared" ca="1" si="192"/>
        <v/>
      </c>
    </row>
    <row r="2617" spans="1:11" s="18" customFormat="1" ht="14.25" x14ac:dyDescent="0.2">
      <c r="A2617" s="18" t="str">
        <f t="shared" si="194"/>
        <v>Eintrag 2616</v>
      </c>
      <c r="B2617" s="18">
        <v>100</v>
      </c>
      <c r="C2617" s="19">
        <v>100</v>
      </c>
      <c r="D2617" s="20">
        <v>10</v>
      </c>
      <c r="E2617" s="20">
        <v>10</v>
      </c>
      <c r="F2617" s="20">
        <v>10</v>
      </c>
      <c r="G2617" s="19">
        <f t="shared" si="193"/>
        <v>172</v>
      </c>
      <c r="H2617" s="22">
        <f t="shared" si="195"/>
        <v>2616</v>
      </c>
      <c r="I2617" s="21">
        <f t="shared" ca="1" si="191"/>
        <v>0</v>
      </c>
      <c r="J2617" s="21" t="str">
        <f ca="1">IF(I2617=0,"",COUNTIF($I$2:I2617,"&gt;0"))</f>
        <v/>
      </c>
      <c r="K2617" s="21" t="str">
        <f t="shared" ca="1" si="192"/>
        <v/>
      </c>
    </row>
    <row r="2618" spans="1:11" s="18" customFormat="1" ht="14.25" x14ac:dyDescent="0.2">
      <c r="A2618" s="18" t="str">
        <f t="shared" si="194"/>
        <v>Eintrag 2617</v>
      </c>
      <c r="B2618" s="18">
        <v>100</v>
      </c>
      <c r="C2618" s="19">
        <v>100</v>
      </c>
      <c r="D2618" s="20">
        <v>10</v>
      </c>
      <c r="E2618" s="20">
        <v>10</v>
      </c>
      <c r="F2618" s="20">
        <v>10</v>
      </c>
      <c r="G2618" s="19">
        <f t="shared" si="193"/>
        <v>172</v>
      </c>
      <c r="H2618" s="22">
        <f t="shared" si="195"/>
        <v>2617</v>
      </c>
      <c r="I2618" s="21">
        <f t="shared" ca="1" si="191"/>
        <v>0</v>
      </c>
      <c r="J2618" s="21" t="str">
        <f ca="1">IF(I2618=0,"",COUNTIF($I$2:I2618,"&gt;0"))</f>
        <v/>
      </c>
      <c r="K2618" s="21" t="str">
        <f t="shared" ca="1" si="192"/>
        <v/>
      </c>
    </row>
    <row r="2619" spans="1:11" s="18" customFormat="1" ht="14.25" x14ac:dyDescent="0.2">
      <c r="A2619" s="18" t="str">
        <f t="shared" si="194"/>
        <v>Eintrag 2618</v>
      </c>
      <c r="B2619" s="18">
        <v>100</v>
      </c>
      <c r="C2619" s="19">
        <v>100</v>
      </c>
      <c r="D2619" s="20">
        <v>10</v>
      </c>
      <c r="E2619" s="20">
        <v>10</v>
      </c>
      <c r="F2619" s="20">
        <v>10</v>
      </c>
      <c r="G2619" s="19">
        <f t="shared" si="193"/>
        <v>172</v>
      </c>
      <c r="H2619" s="22">
        <f t="shared" si="195"/>
        <v>2618</v>
      </c>
      <c r="I2619" s="21">
        <f t="shared" ref="I2619:I2682" ca="1" si="196">IFERROR(SEARCH(INDIRECT(CELL("address")),A2619),0)</f>
        <v>0</v>
      </c>
      <c r="J2619" s="21" t="str">
        <f ca="1">IF(I2619=0,"",COUNTIF($I$2:I2619,"&gt;0"))</f>
        <v/>
      </c>
      <c r="K2619" s="21" t="str">
        <f t="shared" ca="1" si="192"/>
        <v/>
      </c>
    </row>
    <row r="2620" spans="1:11" s="18" customFormat="1" ht="14.25" x14ac:dyDescent="0.2">
      <c r="A2620" s="18" t="str">
        <f t="shared" si="194"/>
        <v>Eintrag 2619</v>
      </c>
      <c r="B2620" s="18">
        <v>100</v>
      </c>
      <c r="C2620" s="19">
        <v>100</v>
      </c>
      <c r="D2620" s="20">
        <v>10</v>
      </c>
      <c r="E2620" s="20">
        <v>10</v>
      </c>
      <c r="F2620" s="20">
        <v>10</v>
      </c>
      <c r="G2620" s="19">
        <f t="shared" si="193"/>
        <v>172</v>
      </c>
      <c r="H2620" s="22">
        <f t="shared" si="195"/>
        <v>2619</v>
      </c>
      <c r="I2620" s="21">
        <f t="shared" ca="1" si="196"/>
        <v>0</v>
      </c>
      <c r="J2620" s="21" t="str">
        <f ca="1">IF(I2620=0,"",COUNTIF($I$2:I2620,"&gt;0"))</f>
        <v/>
      </c>
      <c r="K2620" s="21" t="str">
        <f t="shared" ca="1" si="192"/>
        <v/>
      </c>
    </row>
    <row r="2621" spans="1:11" s="18" customFormat="1" ht="14.25" x14ac:dyDescent="0.2">
      <c r="A2621" s="18" t="str">
        <f t="shared" si="194"/>
        <v>Eintrag 2620</v>
      </c>
      <c r="B2621" s="18">
        <v>100</v>
      </c>
      <c r="C2621" s="19">
        <v>100</v>
      </c>
      <c r="D2621" s="20">
        <v>10</v>
      </c>
      <c r="E2621" s="20">
        <v>10</v>
      </c>
      <c r="F2621" s="20">
        <v>10</v>
      </c>
      <c r="G2621" s="19">
        <f t="shared" si="193"/>
        <v>172</v>
      </c>
      <c r="H2621" s="22">
        <f t="shared" si="195"/>
        <v>2620</v>
      </c>
      <c r="I2621" s="21">
        <f t="shared" ca="1" si="196"/>
        <v>0</v>
      </c>
      <c r="J2621" s="21" t="str">
        <f ca="1">IF(I2621=0,"",COUNTIF($I$2:I2621,"&gt;0"))</f>
        <v/>
      </c>
      <c r="K2621" s="21" t="str">
        <f t="shared" ca="1" si="192"/>
        <v/>
      </c>
    </row>
    <row r="2622" spans="1:11" s="18" customFormat="1" ht="14.25" x14ac:dyDescent="0.2">
      <c r="A2622" s="18" t="str">
        <f t="shared" si="194"/>
        <v>Eintrag 2621</v>
      </c>
      <c r="B2622" s="18">
        <v>100</v>
      </c>
      <c r="C2622" s="19">
        <v>100</v>
      </c>
      <c r="D2622" s="20">
        <v>10</v>
      </c>
      <c r="E2622" s="20">
        <v>10</v>
      </c>
      <c r="F2622" s="20">
        <v>10</v>
      </c>
      <c r="G2622" s="19">
        <f t="shared" si="193"/>
        <v>172</v>
      </c>
      <c r="H2622" s="22">
        <f t="shared" si="195"/>
        <v>2621</v>
      </c>
      <c r="I2622" s="21">
        <f t="shared" ca="1" si="196"/>
        <v>0</v>
      </c>
      <c r="J2622" s="21" t="str">
        <f ca="1">IF(I2622=0,"",COUNTIF($I$2:I2622,"&gt;0"))</f>
        <v/>
      </c>
      <c r="K2622" s="21" t="str">
        <f t="shared" ca="1" si="192"/>
        <v/>
      </c>
    </row>
    <row r="2623" spans="1:11" s="18" customFormat="1" ht="14.25" x14ac:dyDescent="0.2">
      <c r="A2623" s="18" t="str">
        <f t="shared" si="194"/>
        <v>Eintrag 2622</v>
      </c>
      <c r="B2623" s="18">
        <v>100</v>
      </c>
      <c r="C2623" s="19">
        <v>100</v>
      </c>
      <c r="D2623" s="20">
        <v>10</v>
      </c>
      <c r="E2623" s="20">
        <v>10</v>
      </c>
      <c r="F2623" s="20">
        <v>10</v>
      </c>
      <c r="G2623" s="19">
        <f t="shared" si="193"/>
        <v>172</v>
      </c>
      <c r="H2623" s="22">
        <f t="shared" si="195"/>
        <v>2622</v>
      </c>
      <c r="I2623" s="21">
        <f t="shared" ca="1" si="196"/>
        <v>0</v>
      </c>
      <c r="J2623" s="21" t="str">
        <f ca="1">IF(I2623=0,"",COUNTIF($I$2:I2623,"&gt;0"))</f>
        <v/>
      </c>
      <c r="K2623" s="21" t="str">
        <f t="shared" ca="1" si="192"/>
        <v/>
      </c>
    </row>
    <row r="2624" spans="1:11" s="18" customFormat="1" ht="14.25" x14ac:dyDescent="0.2">
      <c r="A2624" s="18" t="str">
        <f t="shared" si="194"/>
        <v>Eintrag 2623</v>
      </c>
      <c r="B2624" s="18">
        <v>100</v>
      </c>
      <c r="C2624" s="19">
        <v>100</v>
      </c>
      <c r="D2624" s="20">
        <v>10</v>
      </c>
      <c r="E2624" s="20">
        <v>10</v>
      </c>
      <c r="F2624" s="20">
        <v>10</v>
      </c>
      <c r="G2624" s="19">
        <f t="shared" si="193"/>
        <v>172</v>
      </c>
      <c r="H2624" s="22">
        <f t="shared" si="195"/>
        <v>2623</v>
      </c>
      <c r="I2624" s="21">
        <f t="shared" ca="1" si="196"/>
        <v>0</v>
      </c>
      <c r="J2624" s="21" t="str">
        <f ca="1">IF(I2624=0,"",COUNTIF($I$2:I2624,"&gt;0"))</f>
        <v/>
      </c>
      <c r="K2624" s="21" t="str">
        <f t="shared" ca="1" si="192"/>
        <v/>
      </c>
    </row>
    <row r="2625" spans="1:11" s="18" customFormat="1" ht="14.25" x14ac:dyDescent="0.2">
      <c r="A2625" s="18" t="str">
        <f t="shared" si="194"/>
        <v>Eintrag 2624</v>
      </c>
      <c r="B2625" s="18">
        <v>100</v>
      </c>
      <c r="C2625" s="19">
        <v>100</v>
      </c>
      <c r="D2625" s="20">
        <v>10</v>
      </c>
      <c r="E2625" s="20">
        <v>10</v>
      </c>
      <c r="F2625" s="20">
        <v>10</v>
      </c>
      <c r="G2625" s="19">
        <f t="shared" si="193"/>
        <v>172</v>
      </c>
      <c r="H2625" s="22">
        <f t="shared" si="195"/>
        <v>2624</v>
      </c>
      <c r="I2625" s="21">
        <f t="shared" ca="1" si="196"/>
        <v>0</v>
      </c>
      <c r="J2625" s="21" t="str">
        <f ca="1">IF(I2625=0,"",COUNTIF($I$2:I2625,"&gt;0"))</f>
        <v/>
      </c>
      <c r="K2625" s="21" t="str">
        <f t="shared" ca="1" si="192"/>
        <v/>
      </c>
    </row>
    <row r="2626" spans="1:11" s="18" customFormat="1" ht="14.25" x14ac:dyDescent="0.2">
      <c r="A2626" s="18" t="str">
        <f t="shared" si="194"/>
        <v>Eintrag 2625</v>
      </c>
      <c r="B2626" s="18">
        <v>100</v>
      </c>
      <c r="C2626" s="19">
        <v>100</v>
      </c>
      <c r="D2626" s="20">
        <v>10</v>
      </c>
      <c r="E2626" s="20">
        <v>10</v>
      </c>
      <c r="F2626" s="20">
        <v>10</v>
      </c>
      <c r="G2626" s="19">
        <f t="shared" si="193"/>
        <v>172</v>
      </c>
      <c r="H2626" s="22">
        <f t="shared" si="195"/>
        <v>2625</v>
      </c>
      <c r="I2626" s="21">
        <f t="shared" ca="1" si="196"/>
        <v>0</v>
      </c>
      <c r="J2626" s="21" t="str">
        <f ca="1">IF(I2626=0,"",COUNTIF($I$2:I2626,"&gt;0"))</f>
        <v/>
      </c>
      <c r="K2626" s="21" t="str">
        <f t="shared" ref="K2626:K2689" ca="1" si="197">IFERROR(INDEX(A:A,MATCH(ROW(I2625),J:J,0)),"")</f>
        <v/>
      </c>
    </row>
    <row r="2627" spans="1:11" s="18" customFormat="1" ht="14.25" x14ac:dyDescent="0.2">
      <c r="A2627" s="18" t="str">
        <f t="shared" si="194"/>
        <v>Eintrag 2626</v>
      </c>
      <c r="B2627" s="18">
        <v>100</v>
      </c>
      <c r="C2627" s="19">
        <v>100</v>
      </c>
      <c r="D2627" s="20">
        <v>10</v>
      </c>
      <c r="E2627" s="20">
        <v>10</v>
      </c>
      <c r="F2627" s="20">
        <v>10</v>
      </c>
      <c r="G2627" s="19">
        <f t="shared" ref="G2627:G2690" si="198">D2627*9+E2627*4.1+F2627*4.1</f>
        <v>172</v>
      </c>
      <c r="H2627" s="22">
        <f t="shared" si="195"/>
        <v>2626</v>
      </c>
      <c r="I2627" s="21">
        <f t="shared" ca="1" si="196"/>
        <v>0</v>
      </c>
      <c r="J2627" s="21" t="str">
        <f ca="1">IF(I2627=0,"",COUNTIF($I$2:I2627,"&gt;0"))</f>
        <v/>
      </c>
      <c r="K2627" s="21" t="str">
        <f t="shared" ca="1" si="197"/>
        <v/>
      </c>
    </row>
    <row r="2628" spans="1:11" s="18" customFormat="1" ht="14.25" x14ac:dyDescent="0.2">
      <c r="A2628" s="18" t="str">
        <f t="shared" si="194"/>
        <v>Eintrag 2627</v>
      </c>
      <c r="B2628" s="18">
        <v>100</v>
      </c>
      <c r="C2628" s="19">
        <v>100</v>
      </c>
      <c r="D2628" s="20">
        <v>10</v>
      </c>
      <c r="E2628" s="20">
        <v>10</v>
      </c>
      <c r="F2628" s="20">
        <v>10</v>
      </c>
      <c r="G2628" s="19">
        <f t="shared" si="198"/>
        <v>172</v>
      </c>
      <c r="H2628" s="22">
        <f t="shared" si="195"/>
        <v>2627</v>
      </c>
      <c r="I2628" s="21">
        <f t="shared" ca="1" si="196"/>
        <v>0</v>
      </c>
      <c r="J2628" s="21" t="str">
        <f ca="1">IF(I2628=0,"",COUNTIF($I$2:I2628,"&gt;0"))</f>
        <v/>
      </c>
      <c r="K2628" s="21" t="str">
        <f t="shared" ca="1" si="197"/>
        <v/>
      </c>
    </row>
    <row r="2629" spans="1:11" s="18" customFormat="1" ht="14.25" x14ac:dyDescent="0.2">
      <c r="A2629" s="18" t="str">
        <f t="shared" ref="A2629:A2692" si="199">CONCATENATE("Eintrag ",H2629)</f>
        <v>Eintrag 2628</v>
      </c>
      <c r="B2629" s="18">
        <v>100</v>
      </c>
      <c r="C2629" s="19">
        <v>100</v>
      </c>
      <c r="D2629" s="20">
        <v>10</v>
      </c>
      <c r="E2629" s="20">
        <v>10</v>
      </c>
      <c r="F2629" s="20">
        <v>10</v>
      </c>
      <c r="G2629" s="19">
        <f t="shared" si="198"/>
        <v>172</v>
      </c>
      <c r="H2629" s="22">
        <f t="shared" si="195"/>
        <v>2628</v>
      </c>
      <c r="I2629" s="21">
        <f t="shared" ca="1" si="196"/>
        <v>0</v>
      </c>
      <c r="J2629" s="21" t="str">
        <f ca="1">IF(I2629=0,"",COUNTIF($I$2:I2629,"&gt;0"))</f>
        <v/>
      </c>
      <c r="K2629" s="21" t="str">
        <f t="shared" ca="1" si="197"/>
        <v/>
      </c>
    </row>
    <row r="2630" spans="1:11" s="18" customFormat="1" ht="14.25" x14ac:dyDescent="0.2">
      <c r="A2630" s="18" t="str">
        <f t="shared" si="199"/>
        <v>Eintrag 2629</v>
      </c>
      <c r="B2630" s="18">
        <v>100</v>
      </c>
      <c r="C2630" s="19">
        <v>100</v>
      </c>
      <c r="D2630" s="20">
        <v>10</v>
      </c>
      <c r="E2630" s="20">
        <v>10</v>
      </c>
      <c r="F2630" s="20">
        <v>10</v>
      </c>
      <c r="G2630" s="19">
        <f t="shared" si="198"/>
        <v>172</v>
      </c>
      <c r="H2630" s="22">
        <f t="shared" si="195"/>
        <v>2629</v>
      </c>
      <c r="I2630" s="21">
        <f t="shared" ca="1" si="196"/>
        <v>0</v>
      </c>
      <c r="J2630" s="21" t="str">
        <f ca="1">IF(I2630=0,"",COUNTIF($I$2:I2630,"&gt;0"))</f>
        <v/>
      </c>
      <c r="K2630" s="21" t="str">
        <f t="shared" ca="1" si="197"/>
        <v/>
      </c>
    </row>
    <row r="2631" spans="1:11" s="18" customFormat="1" ht="14.25" x14ac:dyDescent="0.2">
      <c r="A2631" s="18" t="str">
        <f t="shared" si="199"/>
        <v>Eintrag 2630</v>
      </c>
      <c r="B2631" s="18">
        <v>100</v>
      </c>
      <c r="C2631" s="19">
        <v>100</v>
      </c>
      <c r="D2631" s="20">
        <v>10</v>
      </c>
      <c r="E2631" s="20">
        <v>10</v>
      </c>
      <c r="F2631" s="20">
        <v>10</v>
      </c>
      <c r="G2631" s="19">
        <f t="shared" si="198"/>
        <v>172</v>
      </c>
      <c r="H2631" s="22">
        <f t="shared" si="195"/>
        <v>2630</v>
      </c>
      <c r="I2631" s="21">
        <f t="shared" ca="1" si="196"/>
        <v>0</v>
      </c>
      <c r="J2631" s="21" t="str">
        <f ca="1">IF(I2631=0,"",COUNTIF($I$2:I2631,"&gt;0"))</f>
        <v/>
      </c>
      <c r="K2631" s="21" t="str">
        <f t="shared" ca="1" si="197"/>
        <v/>
      </c>
    </row>
    <row r="2632" spans="1:11" s="18" customFormat="1" ht="14.25" x14ac:dyDescent="0.2">
      <c r="A2632" s="18" t="str">
        <f t="shared" si="199"/>
        <v>Eintrag 2631</v>
      </c>
      <c r="B2632" s="18">
        <v>100</v>
      </c>
      <c r="C2632" s="19">
        <v>100</v>
      </c>
      <c r="D2632" s="20">
        <v>10</v>
      </c>
      <c r="E2632" s="20">
        <v>10</v>
      </c>
      <c r="F2632" s="20">
        <v>10</v>
      </c>
      <c r="G2632" s="19">
        <f t="shared" si="198"/>
        <v>172</v>
      </c>
      <c r="H2632" s="22">
        <f t="shared" si="195"/>
        <v>2631</v>
      </c>
      <c r="I2632" s="21">
        <f t="shared" ca="1" si="196"/>
        <v>0</v>
      </c>
      <c r="J2632" s="21" t="str">
        <f ca="1">IF(I2632=0,"",COUNTIF($I$2:I2632,"&gt;0"))</f>
        <v/>
      </c>
      <c r="K2632" s="21" t="str">
        <f t="shared" ca="1" si="197"/>
        <v/>
      </c>
    </row>
    <row r="2633" spans="1:11" s="18" customFormat="1" ht="14.25" x14ac:dyDescent="0.2">
      <c r="A2633" s="18" t="str">
        <f t="shared" si="199"/>
        <v>Eintrag 2632</v>
      </c>
      <c r="B2633" s="18">
        <v>100</v>
      </c>
      <c r="C2633" s="19">
        <v>100</v>
      </c>
      <c r="D2633" s="20">
        <v>10</v>
      </c>
      <c r="E2633" s="20">
        <v>10</v>
      </c>
      <c r="F2633" s="20">
        <v>10</v>
      </c>
      <c r="G2633" s="19">
        <f t="shared" si="198"/>
        <v>172</v>
      </c>
      <c r="H2633" s="22">
        <f t="shared" si="195"/>
        <v>2632</v>
      </c>
      <c r="I2633" s="21">
        <f t="shared" ca="1" si="196"/>
        <v>0</v>
      </c>
      <c r="J2633" s="21" t="str">
        <f ca="1">IF(I2633=0,"",COUNTIF($I$2:I2633,"&gt;0"))</f>
        <v/>
      </c>
      <c r="K2633" s="21" t="str">
        <f t="shared" ca="1" si="197"/>
        <v/>
      </c>
    </row>
    <row r="2634" spans="1:11" s="18" customFormat="1" ht="14.25" x14ac:dyDescent="0.2">
      <c r="A2634" s="18" t="str">
        <f t="shared" si="199"/>
        <v>Eintrag 2633</v>
      </c>
      <c r="B2634" s="18">
        <v>100</v>
      </c>
      <c r="C2634" s="19">
        <v>100</v>
      </c>
      <c r="D2634" s="20">
        <v>10</v>
      </c>
      <c r="E2634" s="20">
        <v>10</v>
      </c>
      <c r="F2634" s="20">
        <v>10</v>
      </c>
      <c r="G2634" s="19">
        <f t="shared" si="198"/>
        <v>172</v>
      </c>
      <c r="H2634" s="22">
        <f t="shared" si="195"/>
        <v>2633</v>
      </c>
      <c r="I2634" s="21">
        <f t="shared" ca="1" si="196"/>
        <v>0</v>
      </c>
      <c r="J2634" s="21" t="str">
        <f ca="1">IF(I2634=0,"",COUNTIF($I$2:I2634,"&gt;0"))</f>
        <v/>
      </c>
      <c r="K2634" s="21" t="str">
        <f t="shared" ca="1" si="197"/>
        <v/>
      </c>
    </row>
    <row r="2635" spans="1:11" s="18" customFormat="1" ht="14.25" x14ac:dyDescent="0.2">
      <c r="A2635" s="18" t="str">
        <f t="shared" si="199"/>
        <v>Eintrag 2634</v>
      </c>
      <c r="B2635" s="18">
        <v>100</v>
      </c>
      <c r="C2635" s="19">
        <v>100</v>
      </c>
      <c r="D2635" s="20">
        <v>10</v>
      </c>
      <c r="E2635" s="20">
        <v>10</v>
      </c>
      <c r="F2635" s="20">
        <v>10</v>
      </c>
      <c r="G2635" s="19">
        <f t="shared" si="198"/>
        <v>172</v>
      </c>
      <c r="H2635" s="22">
        <f t="shared" si="195"/>
        <v>2634</v>
      </c>
      <c r="I2635" s="21">
        <f t="shared" ca="1" si="196"/>
        <v>0</v>
      </c>
      <c r="J2635" s="21" t="str">
        <f ca="1">IF(I2635=0,"",COUNTIF($I$2:I2635,"&gt;0"))</f>
        <v/>
      </c>
      <c r="K2635" s="21" t="str">
        <f t="shared" ca="1" si="197"/>
        <v/>
      </c>
    </row>
    <row r="2636" spans="1:11" s="18" customFormat="1" ht="14.25" x14ac:dyDescent="0.2">
      <c r="A2636" s="18" t="str">
        <f t="shared" si="199"/>
        <v>Eintrag 2635</v>
      </c>
      <c r="B2636" s="18">
        <v>100</v>
      </c>
      <c r="C2636" s="19">
        <v>100</v>
      </c>
      <c r="D2636" s="20">
        <v>10</v>
      </c>
      <c r="E2636" s="20">
        <v>10</v>
      </c>
      <c r="F2636" s="20">
        <v>10</v>
      </c>
      <c r="G2636" s="19">
        <f t="shared" si="198"/>
        <v>172</v>
      </c>
      <c r="H2636" s="22">
        <f t="shared" si="195"/>
        <v>2635</v>
      </c>
      <c r="I2636" s="21">
        <f t="shared" ca="1" si="196"/>
        <v>0</v>
      </c>
      <c r="J2636" s="21" t="str">
        <f ca="1">IF(I2636=0,"",COUNTIF($I$2:I2636,"&gt;0"))</f>
        <v/>
      </c>
      <c r="K2636" s="21" t="str">
        <f t="shared" ca="1" si="197"/>
        <v/>
      </c>
    </row>
    <row r="2637" spans="1:11" s="18" customFormat="1" ht="14.25" x14ac:dyDescent="0.2">
      <c r="A2637" s="18" t="str">
        <f t="shared" si="199"/>
        <v>Eintrag 2636</v>
      </c>
      <c r="B2637" s="18">
        <v>100</v>
      </c>
      <c r="C2637" s="19">
        <v>100</v>
      </c>
      <c r="D2637" s="20">
        <v>10</v>
      </c>
      <c r="E2637" s="20">
        <v>10</v>
      </c>
      <c r="F2637" s="20">
        <v>10</v>
      </c>
      <c r="G2637" s="19">
        <f t="shared" si="198"/>
        <v>172</v>
      </c>
      <c r="H2637" s="22">
        <f t="shared" si="195"/>
        <v>2636</v>
      </c>
      <c r="I2637" s="21">
        <f t="shared" ca="1" si="196"/>
        <v>0</v>
      </c>
      <c r="J2637" s="21" t="str">
        <f ca="1">IF(I2637=0,"",COUNTIF($I$2:I2637,"&gt;0"))</f>
        <v/>
      </c>
      <c r="K2637" s="21" t="str">
        <f t="shared" ca="1" si="197"/>
        <v/>
      </c>
    </row>
    <row r="2638" spans="1:11" s="18" customFormat="1" ht="14.25" x14ac:dyDescent="0.2">
      <c r="A2638" s="18" t="str">
        <f t="shared" si="199"/>
        <v>Eintrag 2637</v>
      </c>
      <c r="B2638" s="18">
        <v>100</v>
      </c>
      <c r="C2638" s="19">
        <v>100</v>
      </c>
      <c r="D2638" s="20">
        <v>10</v>
      </c>
      <c r="E2638" s="20">
        <v>10</v>
      </c>
      <c r="F2638" s="20">
        <v>10</v>
      </c>
      <c r="G2638" s="19">
        <f t="shared" si="198"/>
        <v>172</v>
      </c>
      <c r="H2638" s="22">
        <f t="shared" si="195"/>
        <v>2637</v>
      </c>
      <c r="I2638" s="21">
        <f t="shared" ca="1" si="196"/>
        <v>0</v>
      </c>
      <c r="J2638" s="21" t="str">
        <f ca="1">IF(I2638=0,"",COUNTIF($I$2:I2638,"&gt;0"))</f>
        <v/>
      </c>
      <c r="K2638" s="21" t="str">
        <f t="shared" ca="1" si="197"/>
        <v/>
      </c>
    </row>
    <row r="2639" spans="1:11" s="18" customFormat="1" ht="14.25" x14ac:dyDescent="0.2">
      <c r="A2639" s="18" t="str">
        <f t="shared" si="199"/>
        <v>Eintrag 2638</v>
      </c>
      <c r="B2639" s="18">
        <v>100</v>
      </c>
      <c r="C2639" s="19">
        <v>100</v>
      </c>
      <c r="D2639" s="20">
        <v>10</v>
      </c>
      <c r="E2639" s="20">
        <v>10</v>
      </c>
      <c r="F2639" s="20">
        <v>10</v>
      </c>
      <c r="G2639" s="19">
        <f t="shared" si="198"/>
        <v>172</v>
      </c>
      <c r="H2639" s="22">
        <f t="shared" si="195"/>
        <v>2638</v>
      </c>
      <c r="I2639" s="21">
        <f t="shared" ca="1" si="196"/>
        <v>0</v>
      </c>
      <c r="J2639" s="21" t="str">
        <f ca="1">IF(I2639=0,"",COUNTIF($I$2:I2639,"&gt;0"))</f>
        <v/>
      </c>
      <c r="K2639" s="21" t="str">
        <f t="shared" ca="1" si="197"/>
        <v/>
      </c>
    </row>
    <row r="2640" spans="1:11" s="18" customFormat="1" ht="14.25" x14ac:dyDescent="0.2">
      <c r="A2640" s="18" t="str">
        <f t="shared" si="199"/>
        <v>Eintrag 2639</v>
      </c>
      <c r="B2640" s="18">
        <v>100</v>
      </c>
      <c r="C2640" s="19">
        <v>100</v>
      </c>
      <c r="D2640" s="20">
        <v>10</v>
      </c>
      <c r="E2640" s="20">
        <v>10</v>
      </c>
      <c r="F2640" s="20">
        <v>10</v>
      </c>
      <c r="G2640" s="19">
        <f t="shared" si="198"/>
        <v>172</v>
      </c>
      <c r="H2640" s="22">
        <f t="shared" si="195"/>
        <v>2639</v>
      </c>
      <c r="I2640" s="21">
        <f t="shared" ca="1" si="196"/>
        <v>0</v>
      </c>
      <c r="J2640" s="21" t="str">
        <f ca="1">IF(I2640=0,"",COUNTIF($I$2:I2640,"&gt;0"))</f>
        <v/>
      </c>
      <c r="K2640" s="21" t="str">
        <f t="shared" ca="1" si="197"/>
        <v/>
      </c>
    </row>
    <row r="2641" spans="1:11" s="18" customFormat="1" ht="14.25" x14ac:dyDescent="0.2">
      <c r="A2641" s="18" t="str">
        <f t="shared" si="199"/>
        <v>Eintrag 2640</v>
      </c>
      <c r="B2641" s="18">
        <v>100</v>
      </c>
      <c r="C2641" s="19">
        <v>100</v>
      </c>
      <c r="D2641" s="20">
        <v>10</v>
      </c>
      <c r="E2641" s="20">
        <v>10</v>
      </c>
      <c r="F2641" s="20">
        <v>10</v>
      </c>
      <c r="G2641" s="19">
        <f t="shared" si="198"/>
        <v>172</v>
      </c>
      <c r="H2641" s="22">
        <f t="shared" si="195"/>
        <v>2640</v>
      </c>
      <c r="I2641" s="21">
        <f t="shared" ca="1" si="196"/>
        <v>0</v>
      </c>
      <c r="J2641" s="21" t="str">
        <f ca="1">IF(I2641=0,"",COUNTIF($I$2:I2641,"&gt;0"))</f>
        <v/>
      </c>
      <c r="K2641" s="21" t="str">
        <f t="shared" ca="1" si="197"/>
        <v/>
      </c>
    </row>
    <row r="2642" spans="1:11" s="18" customFormat="1" ht="14.25" x14ac:dyDescent="0.2">
      <c r="A2642" s="18" t="str">
        <f t="shared" si="199"/>
        <v>Eintrag 2641</v>
      </c>
      <c r="B2642" s="18">
        <v>100</v>
      </c>
      <c r="C2642" s="19">
        <v>100</v>
      </c>
      <c r="D2642" s="20">
        <v>10</v>
      </c>
      <c r="E2642" s="20">
        <v>10</v>
      </c>
      <c r="F2642" s="20">
        <v>10</v>
      </c>
      <c r="G2642" s="19">
        <f t="shared" si="198"/>
        <v>172</v>
      </c>
      <c r="H2642" s="22">
        <f t="shared" si="195"/>
        <v>2641</v>
      </c>
      <c r="I2642" s="21">
        <f t="shared" ca="1" si="196"/>
        <v>0</v>
      </c>
      <c r="J2642" s="21" t="str">
        <f ca="1">IF(I2642=0,"",COUNTIF($I$2:I2642,"&gt;0"))</f>
        <v/>
      </c>
      <c r="K2642" s="21" t="str">
        <f t="shared" ca="1" si="197"/>
        <v/>
      </c>
    </row>
    <row r="2643" spans="1:11" s="18" customFormat="1" ht="14.25" x14ac:dyDescent="0.2">
      <c r="A2643" s="18" t="str">
        <f t="shared" si="199"/>
        <v>Eintrag 2642</v>
      </c>
      <c r="B2643" s="18">
        <v>100</v>
      </c>
      <c r="C2643" s="19">
        <v>100</v>
      </c>
      <c r="D2643" s="20">
        <v>10</v>
      </c>
      <c r="E2643" s="20">
        <v>10</v>
      </c>
      <c r="F2643" s="20">
        <v>10</v>
      </c>
      <c r="G2643" s="19">
        <f t="shared" si="198"/>
        <v>172</v>
      </c>
      <c r="H2643" s="22">
        <f t="shared" si="195"/>
        <v>2642</v>
      </c>
      <c r="I2643" s="21">
        <f t="shared" ca="1" si="196"/>
        <v>0</v>
      </c>
      <c r="J2643" s="21" t="str">
        <f ca="1">IF(I2643=0,"",COUNTIF($I$2:I2643,"&gt;0"))</f>
        <v/>
      </c>
      <c r="K2643" s="21" t="str">
        <f t="shared" ca="1" si="197"/>
        <v/>
      </c>
    </row>
    <row r="2644" spans="1:11" s="18" customFormat="1" ht="14.25" x14ac:dyDescent="0.2">
      <c r="A2644" s="18" t="str">
        <f t="shared" si="199"/>
        <v>Eintrag 2643</v>
      </c>
      <c r="B2644" s="18">
        <v>100</v>
      </c>
      <c r="C2644" s="19">
        <v>100</v>
      </c>
      <c r="D2644" s="20">
        <v>10</v>
      </c>
      <c r="E2644" s="20">
        <v>10</v>
      </c>
      <c r="F2644" s="20">
        <v>10</v>
      </c>
      <c r="G2644" s="19">
        <f t="shared" si="198"/>
        <v>172</v>
      </c>
      <c r="H2644" s="22">
        <f t="shared" si="195"/>
        <v>2643</v>
      </c>
      <c r="I2644" s="21">
        <f t="shared" ca="1" si="196"/>
        <v>0</v>
      </c>
      <c r="J2644" s="21" t="str">
        <f ca="1">IF(I2644=0,"",COUNTIF($I$2:I2644,"&gt;0"))</f>
        <v/>
      </c>
      <c r="K2644" s="21" t="str">
        <f t="shared" ca="1" si="197"/>
        <v/>
      </c>
    </row>
    <row r="2645" spans="1:11" s="18" customFormat="1" ht="14.25" x14ac:dyDescent="0.2">
      <c r="A2645" s="18" t="str">
        <f t="shared" si="199"/>
        <v>Eintrag 2644</v>
      </c>
      <c r="B2645" s="18">
        <v>100</v>
      </c>
      <c r="C2645" s="19">
        <v>100</v>
      </c>
      <c r="D2645" s="20">
        <v>10</v>
      </c>
      <c r="E2645" s="20">
        <v>10</v>
      </c>
      <c r="F2645" s="20">
        <v>10</v>
      </c>
      <c r="G2645" s="19">
        <f t="shared" si="198"/>
        <v>172</v>
      </c>
      <c r="H2645" s="22">
        <f t="shared" si="195"/>
        <v>2644</v>
      </c>
      <c r="I2645" s="21">
        <f t="shared" ca="1" si="196"/>
        <v>0</v>
      </c>
      <c r="J2645" s="21" t="str">
        <f ca="1">IF(I2645=0,"",COUNTIF($I$2:I2645,"&gt;0"))</f>
        <v/>
      </c>
      <c r="K2645" s="21" t="str">
        <f t="shared" ca="1" si="197"/>
        <v/>
      </c>
    </row>
    <row r="2646" spans="1:11" s="18" customFormat="1" ht="14.25" x14ac:dyDescent="0.2">
      <c r="A2646" s="18" t="str">
        <f t="shared" si="199"/>
        <v>Eintrag 2645</v>
      </c>
      <c r="B2646" s="18">
        <v>100</v>
      </c>
      <c r="C2646" s="19">
        <v>100</v>
      </c>
      <c r="D2646" s="20">
        <v>10</v>
      </c>
      <c r="E2646" s="20">
        <v>10</v>
      </c>
      <c r="F2646" s="20">
        <v>10</v>
      </c>
      <c r="G2646" s="19">
        <f t="shared" si="198"/>
        <v>172</v>
      </c>
      <c r="H2646" s="22">
        <f t="shared" si="195"/>
        <v>2645</v>
      </c>
      <c r="I2646" s="21">
        <f t="shared" ca="1" si="196"/>
        <v>0</v>
      </c>
      <c r="J2646" s="21" t="str">
        <f ca="1">IF(I2646=0,"",COUNTIF($I$2:I2646,"&gt;0"))</f>
        <v/>
      </c>
      <c r="K2646" s="21" t="str">
        <f t="shared" ca="1" si="197"/>
        <v/>
      </c>
    </row>
    <row r="2647" spans="1:11" s="18" customFormat="1" ht="14.25" x14ac:dyDescent="0.2">
      <c r="A2647" s="18" t="str">
        <f t="shared" si="199"/>
        <v>Eintrag 2646</v>
      </c>
      <c r="B2647" s="18">
        <v>100</v>
      </c>
      <c r="C2647" s="19">
        <v>100</v>
      </c>
      <c r="D2647" s="20">
        <v>10</v>
      </c>
      <c r="E2647" s="20">
        <v>10</v>
      </c>
      <c r="F2647" s="20">
        <v>10</v>
      </c>
      <c r="G2647" s="19">
        <f t="shared" si="198"/>
        <v>172</v>
      </c>
      <c r="H2647" s="22">
        <f t="shared" si="195"/>
        <v>2646</v>
      </c>
      <c r="I2647" s="21">
        <f t="shared" ca="1" si="196"/>
        <v>0</v>
      </c>
      <c r="J2647" s="21" t="str">
        <f ca="1">IF(I2647=0,"",COUNTIF($I$2:I2647,"&gt;0"))</f>
        <v/>
      </c>
      <c r="K2647" s="21" t="str">
        <f t="shared" ca="1" si="197"/>
        <v/>
      </c>
    </row>
    <row r="2648" spans="1:11" s="18" customFormat="1" ht="14.25" x14ac:dyDescent="0.2">
      <c r="A2648" s="18" t="str">
        <f t="shared" si="199"/>
        <v>Eintrag 2647</v>
      </c>
      <c r="B2648" s="18">
        <v>100</v>
      </c>
      <c r="C2648" s="19">
        <v>100</v>
      </c>
      <c r="D2648" s="20">
        <v>10</v>
      </c>
      <c r="E2648" s="20">
        <v>10</v>
      </c>
      <c r="F2648" s="20">
        <v>10</v>
      </c>
      <c r="G2648" s="19">
        <f t="shared" si="198"/>
        <v>172</v>
      </c>
      <c r="H2648" s="22">
        <f t="shared" si="195"/>
        <v>2647</v>
      </c>
      <c r="I2648" s="21">
        <f t="shared" ca="1" si="196"/>
        <v>0</v>
      </c>
      <c r="J2648" s="21" t="str">
        <f ca="1">IF(I2648=0,"",COUNTIF($I$2:I2648,"&gt;0"))</f>
        <v/>
      </c>
      <c r="K2648" s="21" t="str">
        <f t="shared" ca="1" si="197"/>
        <v/>
      </c>
    </row>
    <row r="2649" spans="1:11" s="18" customFormat="1" ht="14.25" x14ac:dyDescent="0.2">
      <c r="A2649" s="18" t="str">
        <f t="shared" si="199"/>
        <v>Eintrag 2648</v>
      </c>
      <c r="B2649" s="18">
        <v>100</v>
      </c>
      <c r="C2649" s="19">
        <v>100</v>
      </c>
      <c r="D2649" s="20">
        <v>10</v>
      </c>
      <c r="E2649" s="20">
        <v>10</v>
      </c>
      <c r="F2649" s="20">
        <v>10</v>
      </c>
      <c r="G2649" s="19">
        <f t="shared" si="198"/>
        <v>172</v>
      </c>
      <c r="H2649" s="22">
        <f t="shared" si="195"/>
        <v>2648</v>
      </c>
      <c r="I2649" s="21">
        <f t="shared" ca="1" si="196"/>
        <v>0</v>
      </c>
      <c r="J2649" s="21" t="str">
        <f ca="1">IF(I2649=0,"",COUNTIF($I$2:I2649,"&gt;0"))</f>
        <v/>
      </c>
      <c r="K2649" s="21" t="str">
        <f t="shared" ca="1" si="197"/>
        <v/>
      </c>
    </row>
    <row r="2650" spans="1:11" s="18" customFormat="1" ht="14.25" x14ac:dyDescent="0.2">
      <c r="A2650" s="18" t="str">
        <f t="shared" si="199"/>
        <v>Eintrag 2649</v>
      </c>
      <c r="B2650" s="18">
        <v>100</v>
      </c>
      <c r="C2650" s="19">
        <v>100</v>
      </c>
      <c r="D2650" s="20">
        <v>10</v>
      </c>
      <c r="E2650" s="20">
        <v>10</v>
      </c>
      <c r="F2650" s="20">
        <v>10</v>
      </c>
      <c r="G2650" s="19">
        <f t="shared" si="198"/>
        <v>172</v>
      </c>
      <c r="H2650" s="22">
        <f t="shared" si="195"/>
        <v>2649</v>
      </c>
      <c r="I2650" s="21">
        <f t="shared" ca="1" si="196"/>
        <v>0</v>
      </c>
      <c r="J2650" s="21" t="str">
        <f ca="1">IF(I2650=0,"",COUNTIF($I$2:I2650,"&gt;0"))</f>
        <v/>
      </c>
      <c r="K2650" s="21" t="str">
        <f t="shared" ca="1" si="197"/>
        <v/>
      </c>
    </row>
    <row r="2651" spans="1:11" s="18" customFormat="1" ht="14.25" x14ac:dyDescent="0.2">
      <c r="A2651" s="18" t="str">
        <f t="shared" si="199"/>
        <v>Eintrag 2650</v>
      </c>
      <c r="B2651" s="18">
        <v>100</v>
      </c>
      <c r="C2651" s="19">
        <v>100</v>
      </c>
      <c r="D2651" s="20">
        <v>10</v>
      </c>
      <c r="E2651" s="20">
        <v>10</v>
      </c>
      <c r="F2651" s="20">
        <v>10</v>
      </c>
      <c r="G2651" s="19">
        <f t="shared" si="198"/>
        <v>172</v>
      </c>
      <c r="H2651" s="22">
        <f t="shared" si="195"/>
        <v>2650</v>
      </c>
      <c r="I2651" s="21">
        <f t="shared" ca="1" si="196"/>
        <v>0</v>
      </c>
      <c r="J2651" s="21" t="str">
        <f ca="1">IF(I2651=0,"",COUNTIF($I$2:I2651,"&gt;0"))</f>
        <v/>
      </c>
      <c r="K2651" s="21" t="str">
        <f t="shared" ca="1" si="197"/>
        <v/>
      </c>
    </row>
    <row r="2652" spans="1:11" s="18" customFormat="1" ht="14.25" x14ac:dyDescent="0.2">
      <c r="A2652" s="18" t="str">
        <f t="shared" si="199"/>
        <v>Eintrag 2651</v>
      </c>
      <c r="B2652" s="18">
        <v>100</v>
      </c>
      <c r="C2652" s="19">
        <v>100</v>
      </c>
      <c r="D2652" s="20">
        <v>10</v>
      </c>
      <c r="E2652" s="20">
        <v>10</v>
      </c>
      <c r="F2652" s="20">
        <v>10</v>
      </c>
      <c r="G2652" s="19">
        <f t="shared" si="198"/>
        <v>172</v>
      </c>
      <c r="H2652" s="22">
        <f t="shared" si="195"/>
        <v>2651</v>
      </c>
      <c r="I2652" s="21">
        <f t="shared" ca="1" si="196"/>
        <v>0</v>
      </c>
      <c r="J2652" s="21" t="str">
        <f ca="1">IF(I2652=0,"",COUNTIF($I$2:I2652,"&gt;0"))</f>
        <v/>
      </c>
      <c r="K2652" s="21" t="str">
        <f t="shared" ca="1" si="197"/>
        <v/>
      </c>
    </row>
    <row r="2653" spans="1:11" s="18" customFormat="1" ht="14.25" x14ac:dyDescent="0.2">
      <c r="A2653" s="18" t="str">
        <f t="shared" si="199"/>
        <v>Eintrag 2652</v>
      </c>
      <c r="B2653" s="18">
        <v>100</v>
      </c>
      <c r="C2653" s="19">
        <v>100</v>
      </c>
      <c r="D2653" s="20">
        <v>10</v>
      </c>
      <c r="E2653" s="20">
        <v>10</v>
      </c>
      <c r="F2653" s="20">
        <v>10</v>
      </c>
      <c r="G2653" s="19">
        <f t="shared" si="198"/>
        <v>172</v>
      </c>
      <c r="H2653" s="22">
        <f t="shared" si="195"/>
        <v>2652</v>
      </c>
      <c r="I2653" s="21">
        <f t="shared" ca="1" si="196"/>
        <v>0</v>
      </c>
      <c r="J2653" s="21" t="str">
        <f ca="1">IF(I2653=0,"",COUNTIF($I$2:I2653,"&gt;0"))</f>
        <v/>
      </c>
      <c r="K2653" s="21" t="str">
        <f t="shared" ca="1" si="197"/>
        <v/>
      </c>
    </row>
    <row r="2654" spans="1:11" s="18" customFormat="1" ht="14.25" x14ac:dyDescent="0.2">
      <c r="A2654" s="18" t="str">
        <f t="shared" si="199"/>
        <v>Eintrag 2653</v>
      </c>
      <c r="B2654" s="18">
        <v>100</v>
      </c>
      <c r="C2654" s="19">
        <v>100</v>
      </c>
      <c r="D2654" s="20">
        <v>10</v>
      </c>
      <c r="E2654" s="20">
        <v>10</v>
      </c>
      <c r="F2654" s="20">
        <v>10</v>
      </c>
      <c r="G2654" s="19">
        <f t="shared" si="198"/>
        <v>172</v>
      </c>
      <c r="H2654" s="22">
        <f t="shared" si="195"/>
        <v>2653</v>
      </c>
      <c r="I2654" s="21">
        <f t="shared" ca="1" si="196"/>
        <v>0</v>
      </c>
      <c r="J2654" s="21" t="str">
        <f ca="1">IF(I2654=0,"",COUNTIF($I$2:I2654,"&gt;0"))</f>
        <v/>
      </c>
      <c r="K2654" s="21" t="str">
        <f t="shared" ca="1" si="197"/>
        <v/>
      </c>
    </row>
    <row r="2655" spans="1:11" s="18" customFormat="1" ht="14.25" x14ac:dyDescent="0.2">
      <c r="A2655" s="18" t="str">
        <f t="shared" si="199"/>
        <v>Eintrag 2654</v>
      </c>
      <c r="B2655" s="18">
        <v>100</v>
      </c>
      <c r="C2655" s="19">
        <v>100</v>
      </c>
      <c r="D2655" s="20">
        <v>10</v>
      </c>
      <c r="E2655" s="20">
        <v>10</v>
      </c>
      <c r="F2655" s="20">
        <v>10</v>
      </c>
      <c r="G2655" s="19">
        <f t="shared" si="198"/>
        <v>172</v>
      </c>
      <c r="H2655" s="22">
        <f t="shared" si="195"/>
        <v>2654</v>
      </c>
      <c r="I2655" s="21">
        <f t="shared" ca="1" si="196"/>
        <v>0</v>
      </c>
      <c r="J2655" s="21" t="str">
        <f ca="1">IF(I2655=0,"",COUNTIF($I$2:I2655,"&gt;0"))</f>
        <v/>
      </c>
      <c r="K2655" s="21" t="str">
        <f t="shared" ca="1" si="197"/>
        <v/>
      </c>
    </row>
    <row r="2656" spans="1:11" s="18" customFormat="1" ht="14.25" x14ac:dyDescent="0.2">
      <c r="A2656" s="18" t="str">
        <f t="shared" si="199"/>
        <v>Eintrag 2655</v>
      </c>
      <c r="B2656" s="18">
        <v>100</v>
      </c>
      <c r="C2656" s="19">
        <v>100</v>
      </c>
      <c r="D2656" s="20">
        <v>10</v>
      </c>
      <c r="E2656" s="20">
        <v>10</v>
      </c>
      <c r="F2656" s="20">
        <v>10</v>
      </c>
      <c r="G2656" s="19">
        <f t="shared" si="198"/>
        <v>172</v>
      </c>
      <c r="H2656" s="22">
        <f t="shared" si="195"/>
        <v>2655</v>
      </c>
      <c r="I2656" s="21">
        <f t="shared" ca="1" si="196"/>
        <v>0</v>
      </c>
      <c r="J2656" s="21" t="str">
        <f ca="1">IF(I2656=0,"",COUNTIF($I$2:I2656,"&gt;0"))</f>
        <v/>
      </c>
      <c r="K2656" s="21" t="str">
        <f t="shared" ca="1" si="197"/>
        <v/>
      </c>
    </row>
    <row r="2657" spans="1:11" s="18" customFormat="1" ht="14.25" x14ac:dyDescent="0.2">
      <c r="A2657" s="18" t="str">
        <f t="shared" si="199"/>
        <v>Eintrag 2656</v>
      </c>
      <c r="B2657" s="18">
        <v>100</v>
      </c>
      <c r="C2657" s="19">
        <v>100</v>
      </c>
      <c r="D2657" s="20">
        <v>10</v>
      </c>
      <c r="E2657" s="20">
        <v>10</v>
      </c>
      <c r="F2657" s="20">
        <v>10</v>
      </c>
      <c r="G2657" s="19">
        <f t="shared" si="198"/>
        <v>172</v>
      </c>
      <c r="H2657" s="22">
        <f t="shared" si="195"/>
        <v>2656</v>
      </c>
      <c r="I2657" s="21">
        <f t="shared" ca="1" si="196"/>
        <v>0</v>
      </c>
      <c r="J2657" s="21" t="str">
        <f ca="1">IF(I2657=0,"",COUNTIF($I$2:I2657,"&gt;0"))</f>
        <v/>
      </c>
      <c r="K2657" s="21" t="str">
        <f t="shared" ca="1" si="197"/>
        <v/>
      </c>
    </row>
    <row r="2658" spans="1:11" s="18" customFormat="1" ht="14.25" x14ac:dyDescent="0.2">
      <c r="A2658" s="18" t="str">
        <f t="shared" si="199"/>
        <v>Eintrag 2657</v>
      </c>
      <c r="B2658" s="18">
        <v>100</v>
      </c>
      <c r="C2658" s="19">
        <v>100</v>
      </c>
      <c r="D2658" s="20">
        <v>10</v>
      </c>
      <c r="E2658" s="20">
        <v>10</v>
      </c>
      <c r="F2658" s="20">
        <v>10</v>
      </c>
      <c r="G2658" s="19">
        <f t="shared" si="198"/>
        <v>172</v>
      </c>
      <c r="H2658" s="22">
        <f t="shared" si="195"/>
        <v>2657</v>
      </c>
      <c r="I2658" s="21">
        <f t="shared" ca="1" si="196"/>
        <v>0</v>
      </c>
      <c r="J2658" s="21" t="str">
        <f ca="1">IF(I2658=0,"",COUNTIF($I$2:I2658,"&gt;0"))</f>
        <v/>
      </c>
      <c r="K2658" s="21" t="str">
        <f t="shared" ca="1" si="197"/>
        <v/>
      </c>
    </row>
    <row r="2659" spans="1:11" s="18" customFormat="1" ht="14.25" x14ac:dyDescent="0.2">
      <c r="A2659" s="18" t="str">
        <f t="shared" si="199"/>
        <v>Eintrag 2658</v>
      </c>
      <c r="B2659" s="18">
        <v>100</v>
      </c>
      <c r="C2659" s="19">
        <v>100</v>
      </c>
      <c r="D2659" s="20">
        <v>10</v>
      </c>
      <c r="E2659" s="20">
        <v>10</v>
      </c>
      <c r="F2659" s="20">
        <v>10</v>
      </c>
      <c r="G2659" s="19">
        <f t="shared" si="198"/>
        <v>172</v>
      </c>
      <c r="H2659" s="22">
        <f t="shared" si="195"/>
        <v>2658</v>
      </c>
      <c r="I2659" s="21">
        <f t="shared" ca="1" si="196"/>
        <v>0</v>
      </c>
      <c r="J2659" s="21" t="str">
        <f ca="1">IF(I2659=0,"",COUNTIF($I$2:I2659,"&gt;0"))</f>
        <v/>
      </c>
      <c r="K2659" s="21" t="str">
        <f t="shared" ca="1" si="197"/>
        <v/>
      </c>
    </row>
    <row r="2660" spans="1:11" s="18" customFormat="1" ht="14.25" x14ac:dyDescent="0.2">
      <c r="A2660" s="18" t="str">
        <f t="shared" si="199"/>
        <v>Eintrag 2659</v>
      </c>
      <c r="B2660" s="18">
        <v>100</v>
      </c>
      <c r="C2660" s="19">
        <v>100</v>
      </c>
      <c r="D2660" s="20">
        <v>10</v>
      </c>
      <c r="E2660" s="20">
        <v>10</v>
      </c>
      <c r="F2660" s="20">
        <v>10</v>
      </c>
      <c r="G2660" s="19">
        <f t="shared" si="198"/>
        <v>172</v>
      </c>
      <c r="H2660" s="22">
        <f t="shared" si="195"/>
        <v>2659</v>
      </c>
      <c r="I2660" s="21">
        <f t="shared" ca="1" si="196"/>
        <v>0</v>
      </c>
      <c r="J2660" s="21" t="str">
        <f ca="1">IF(I2660=0,"",COUNTIF($I$2:I2660,"&gt;0"))</f>
        <v/>
      </c>
      <c r="K2660" s="21" t="str">
        <f t="shared" ca="1" si="197"/>
        <v/>
      </c>
    </row>
    <row r="2661" spans="1:11" s="18" customFormat="1" ht="14.25" x14ac:dyDescent="0.2">
      <c r="A2661" s="18" t="str">
        <f t="shared" si="199"/>
        <v>Eintrag 2660</v>
      </c>
      <c r="B2661" s="18">
        <v>100</v>
      </c>
      <c r="C2661" s="19">
        <v>100</v>
      </c>
      <c r="D2661" s="20">
        <v>10</v>
      </c>
      <c r="E2661" s="20">
        <v>10</v>
      </c>
      <c r="F2661" s="20">
        <v>10</v>
      </c>
      <c r="G2661" s="19">
        <f t="shared" si="198"/>
        <v>172</v>
      </c>
      <c r="H2661" s="22">
        <f t="shared" ref="H2661:H2724" si="200">H2660+1</f>
        <v>2660</v>
      </c>
      <c r="I2661" s="21">
        <f t="shared" ca="1" si="196"/>
        <v>0</v>
      </c>
      <c r="J2661" s="21" t="str">
        <f ca="1">IF(I2661=0,"",COUNTIF($I$2:I2661,"&gt;0"))</f>
        <v/>
      </c>
      <c r="K2661" s="21" t="str">
        <f t="shared" ca="1" si="197"/>
        <v/>
      </c>
    </row>
    <row r="2662" spans="1:11" s="18" customFormat="1" ht="14.25" x14ac:dyDescent="0.2">
      <c r="A2662" s="18" t="str">
        <f t="shared" si="199"/>
        <v>Eintrag 2661</v>
      </c>
      <c r="B2662" s="18">
        <v>100</v>
      </c>
      <c r="C2662" s="19">
        <v>100</v>
      </c>
      <c r="D2662" s="20">
        <v>10</v>
      </c>
      <c r="E2662" s="20">
        <v>10</v>
      </c>
      <c r="F2662" s="20">
        <v>10</v>
      </c>
      <c r="G2662" s="19">
        <f t="shared" si="198"/>
        <v>172</v>
      </c>
      <c r="H2662" s="22">
        <f t="shared" si="200"/>
        <v>2661</v>
      </c>
      <c r="I2662" s="21">
        <f t="shared" ca="1" si="196"/>
        <v>0</v>
      </c>
      <c r="J2662" s="21" t="str">
        <f ca="1">IF(I2662=0,"",COUNTIF($I$2:I2662,"&gt;0"))</f>
        <v/>
      </c>
      <c r="K2662" s="21" t="str">
        <f t="shared" ca="1" si="197"/>
        <v/>
      </c>
    </row>
    <row r="2663" spans="1:11" s="18" customFormat="1" ht="14.25" x14ac:dyDescent="0.2">
      <c r="A2663" s="18" t="str">
        <f t="shared" si="199"/>
        <v>Eintrag 2662</v>
      </c>
      <c r="B2663" s="18">
        <v>100</v>
      </c>
      <c r="C2663" s="19">
        <v>100</v>
      </c>
      <c r="D2663" s="20">
        <v>10</v>
      </c>
      <c r="E2663" s="20">
        <v>10</v>
      </c>
      <c r="F2663" s="20">
        <v>10</v>
      </c>
      <c r="G2663" s="19">
        <f t="shared" si="198"/>
        <v>172</v>
      </c>
      <c r="H2663" s="22">
        <f t="shared" si="200"/>
        <v>2662</v>
      </c>
      <c r="I2663" s="21">
        <f t="shared" ca="1" si="196"/>
        <v>0</v>
      </c>
      <c r="J2663" s="21" t="str">
        <f ca="1">IF(I2663=0,"",COUNTIF($I$2:I2663,"&gt;0"))</f>
        <v/>
      </c>
      <c r="K2663" s="21" t="str">
        <f t="shared" ca="1" si="197"/>
        <v/>
      </c>
    </row>
    <row r="2664" spans="1:11" s="18" customFormat="1" ht="14.25" x14ac:dyDescent="0.2">
      <c r="A2664" s="18" t="str">
        <f t="shared" si="199"/>
        <v>Eintrag 2663</v>
      </c>
      <c r="B2664" s="18">
        <v>100</v>
      </c>
      <c r="C2664" s="19">
        <v>100</v>
      </c>
      <c r="D2664" s="20">
        <v>10</v>
      </c>
      <c r="E2664" s="20">
        <v>10</v>
      </c>
      <c r="F2664" s="20">
        <v>10</v>
      </c>
      <c r="G2664" s="19">
        <f t="shared" si="198"/>
        <v>172</v>
      </c>
      <c r="H2664" s="22">
        <f t="shared" si="200"/>
        <v>2663</v>
      </c>
      <c r="I2664" s="21">
        <f t="shared" ca="1" si="196"/>
        <v>0</v>
      </c>
      <c r="J2664" s="21" t="str">
        <f ca="1">IF(I2664=0,"",COUNTIF($I$2:I2664,"&gt;0"))</f>
        <v/>
      </c>
      <c r="K2664" s="21" t="str">
        <f t="shared" ca="1" si="197"/>
        <v/>
      </c>
    </row>
    <row r="2665" spans="1:11" s="18" customFormat="1" ht="14.25" x14ac:dyDescent="0.2">
      <c r="A2665" s="18" t="str">
        <f t="shared" si="199"/>
        <v>Eintrag 2664</v>
      </c>
      <c r="B2665" s="18">
        <v>100</v>
      </c>
      <c r="C2665" s="19">
        <v>100</v>
      </c>
      <c r="D2665" s="20">
        <v>10</v>
      </c>
      <c r="E2665" s="20">
        <v>10</v>
      </c>
      <c r="F2665" s="20">
        <v>10</v>
      </c>
      <c r="G2665" s="19">
        <f t="shared" si="198"/>
        <v>172</v>
      </c>
      <c r="H2665" s="22">
        <f t="shared" si="200"/>
        <v>2664</v>
      </c>
      <c r="I2665" s="21">
        <f t="shared" ca="1" si="196"/>
        <v>0</v>
      </c>
      <c r="J2665" s="21" t="str">
        <f ca="1">IF(I2665=0,"",COUNTIF($I$2:I2665,"&gt;0"))</f>
        <v/>
      </c>
      <c r="K2665" s="21" t="str">
        <f t="shared" ca="1" si="197"/>
        <v/>
      </c>
    </row>
    <row r="2666" spans="1:11" s="18" customFormat="1" ht="14.25" x14ac:dyDescent="0.2">
      <c r="A2666" s="18" t="str">
        <f t="shared" si="199"/>
        <v>Eintrag 2665</v>
      </c>
      <c r="B2666" s="18">
        <v>100</v>
      </c>
      <c r="C2666" s="19">
        <v>100</v>
      </c>
      <c r="D2666" s="20">
        <v>10</v>
      </c>
      <c r="E2666" s="20">
        <v>10</v>
      </c>
      <c r="F2666" s="20">
        <v>10</v>
      </c>
      <c r="G2666" s="19">
        <f t="shared" si="198"/>
        <v>172</v>
      </c>
      <c r="H2666" s="22">
        <f t="shared" si="200"/>
        <v>2665</v>
      </c>
      <c r="I2666" s="21">
        <f t="shared" ca="1" si="196"/>
        <v>0</v>
      </c>
      <c r="J2666" s="21" t="str">
        <f ca="1">IF(I2666=0,"",COUNTIF($I$2:I2666,"&gt;0"))</f>
        <v/>
      </c>
      <c r="K2666" s="21" t="str">
        <f t="shared" ca="1" si="197"/>
        <v/>
      </c>
    </row>
    <row r="2667" spans="1:11" s="18" customFormat="1" ht="14.25" x14ac:dyDescent="0.2">
      <c r="A2667" s="18" t="str">
        <f t="shared" si="199"/>
        <v>Eintrag 2666</v>
      </c>
      <c r="B2667" s="18">
        <v>100</v>
      </c>
      <c r="C2667" s="19">
        <v>100</v>
      </c>
      <c r="D2667" s="20">
        <v>10</v>
      </c>
      <c r="E2667" s="20">
        <v>10</v>
      </c>
      <c r="F2667" s="20">
        <v>10</v>
      </c>
      <c r="G2667" s="19">
        <f t="shared" si="198"/>
        <v>172</v>
      </c>
      <c r="H2667" s="22">
        <f t="shared" si="200"/>
        <v>2666</v>
      </c>
      <c r="I2667" s="21">
        <f t="shared" ca="1" si="196"/>
        <v>0</v>
      </c>
      <c r="J2667" s="21" t="str">
        <f ca="1">IF(I2667=0,"",COUNTIF($I$2:I2667,"&gt;0"))</f>
        <v/>
      </c>
      <c r="K2667" s="21" t="str">
        <f t="shared" ca="1" si="197"/>
        <v/>
      </c>
    </row>
    <row r="2668" spans="1:11" s="18" customFormat="1" ht="14.25" x14ac:dyDescent="0.2">
      <c r="A2668" s="18" t="str">
        <f t="shared" si="199"/>
        <v>Eintrag 2667</v>
      </c>
      <c r="B2668" s="18">
        <v>100</v>
      </c>
      <c r="C2668" s="19">
        <v>100</v>
      </c>
      <c r="D2668" s="20">
        <v>10</v>
      </c>
      <c r="E2668" s="20">
        <v>10</v>
      </c>
      <c r="F2668" s="20">
        <v>10</v>
      </c>
      <c r="G2668" s="19">
        <f t="shared" si="198"/>
        <v>172</v>
      </c>
      <c r="H2668" s="22">
        <f t="shared" si="200"/>
        <v>2667</v>
      </c>
      <c r="I2668" s="21">
        <f t="shared" ca="1" si="196"/>
        <v>0</v>
      </c>
      <c r="J2668" s="21" t="str">
        <f ca="1">IF(I2668=0,"",COUNTIF($I$2:I2668,"&gt;0"))</f>
        <v/>
      </c>
      <c r="K2668" s="21" t="str">
        <f t="shared" ca="1" si="197"/>
        <v/>
      </c>
    </row>
    <row r="2669" spans="1:11" s="18" customFormat="1" ht="14.25" x14ac:dyDescent="0.2">
      <c r="A2669" s="18" t="str">
        <f t="shared" si="199"/>
        <v>Eintrag 2668</v>
      </c>
      <c r="B2669" s="18">
        <v>100</v>
      </c>
      <c r="C2669" s="19">
        <v>100</v>
      </c>
      <c r="D2669" s="20">
        <v>10</v>
      </c>
      <c r="E2669" s="20">
        <v>10</v>
      </c>
      <c r="F2669" s="20">
        <v>10</v>
      </c>
      <c r="G2669" s="19">
        <f t="shared" si="198"/>
        <v>172</v>
      </c>
      <c r="H2669" s="22">
        <f t="shared" si="200"/>
        <v>2668</v>
      </c>
      <c r="I2669" s="21">
        <f t="shared" ca="1" si="196"/>
        <v>0</v>
      </c>
      <c r="J2669" s="21" t="str">
        <f ca="1">IF(I2669=0,"",COUNTIF($I$2:I2669,"&gt;0"))</f>
        <v/>
      </c>
      <c r="K2669" s="21" t="str">
        <f t="shared" ca="1" si="197"/>
        <v/>
      </c>
    </row>
    <row r="2670" spans="1:11" s="18" customFormat="1" ht="14.25" x14ac:dyDescent="0.2">
      <c r="A2670" s="18" t="str">
        <f t="shared" si="199"/>
        <v>Eintrag 2669</v>
      </c>
      <c r="B2670" s="18">
        <v>100</v>
      </c>
      <c r="C2670" s="19">
        <v>100</v>
      </c>
      <c r="D2670" s="20">
        <v>10</v>
      </c>
      <c r="E2670" s="20">
        <v>10</v>
      </c>
      <c r="F2670" s="20">
        <v>10</v>
      </c>
      <c r="G2670" s="19">
        <f t="shared" si="198"/>
        <v>172</v>
      </c>
      <c r="H2670" s="22">
        <f t="shared" si="200"/>
        <v>2669</v>
      </c>
      <c r="I2670" s="21">
        <f t="shared" ca="1" si="196"/>
        <v>0</v>
      </c>
      <c r="J2670" s="21" t="str">
        <f ca="1">IF(I2670=0,"",COUNTIF($I$2:I2670,"&gt;0"))</f>
        <v/>
      </c>
      <c r="K2670" s="21" t="str">
        <f t="shared" ca="1" si="197"/>
        <v/>
      </c>
    </row>
    <row r="2671" spans="1:11" s="18" customFormat="1" ht="14.25" x14ac:dyDescent="0.2">
      <c r="A2671" s="18" t="str">
        <f t="shared" si="199"/>
        <v>Eintrag 2670</v>
      </c>
      <c r="B2671" s="18">
        <v>100</v>
      </c>
      <c r="C2671" s="19">
        <v>100</v>
      </c>
      <c r="D2671" s="20">
        <v>10</v>
      </c>
      <c r="E2671" s="20">
        <v>10</v>
      </c>
      <c r="F2671" s="20">
        <v>10</v>
      </c>
      <c r="G2671" s="19">
        <f t="shared" si="198"/>
        <v>172</v>
      </c>
      <c r="H2671" s="22">
        <f t="shared" si="200"/>
        <v>2670</v>
      </c>
      <c r="I2671" s="21">
        <f t="shared" ca="1" si="196"/>
        <v>0</v>
      </c>
      <c r="J2671" s="21" t="str">
        <f ca="1">IF(I2671=0,"",COUNTIF($I$2:I2671,"&gt;0"))</f>
        <v/>
      </c>
      <c r="K2671" s="21" t="str">
        <f t="shared" ca="1" si="197"/>
        <v/>
      </c>
    </row>
    <row r="2672" spans="1:11" s="18" customFormat="1" ht="14.25" x14ac:dyDescent="0.2">
      <c r="A2672" s="18" t="str">
        <f t="shared" si="199"/>
        <v>Eintrag 2671</v>
      </c>
      <c r="B2672" s="18">
        <v>100</v>
      </c>
      <c r="C2672" s="19">
        <v>100</v>
      </c>
      <c r="D2672" s="20">
        <v>10</v>
      </c>
      <c r="E2672" s="20">
        <v>10</v>
      </c>
      <c r="F2672" s="20">
        <v>10</v>
      </c>
      <c r="G2672" s="19">
        <f t="shared" si="198"/>
        <v>172</v>
      </c>
      <c r="H2672" s="22">
        <f t="shared" si="200"/>
        <v>2671</v>
      </c>
      <c r="I2672" s="21">
        <f t="shared" ca="1" si="196"/>
        <v>0</v>
      </c>
      <c r="J2672" s="21" t="str">
        <f ca="1">IF(I2672=0,"",COUNTIF($I$2:I2672,"&gt;0"))</f>
        <v/>
      </c>
      <c r="K2672" s="21" t="str">
        <f t="shared" ca="1" si="197"/>
        <v/>
      </c>
    </row>
    <row r="2673" spans="1:11" s="18" customFormat="1" ht="14.25" x14ac:dyDescent="0.2">
      <c r="A2673" s="18" t="str">
        <f t="shared" si="199"/>
        <v>Eintrag 2672</v>
      </c>
      <c r="B2673" s="18">
        <v>100</v>
      </c>
      <c r="C2673" s="19">
        <v>100</v>
      </c>
      <c r="D2673" s="20">
        <v>10</v>
      </c>
      <c r="E2673" s="20">
        <v>10</v>
      </c>
      <c r="F2673" s="20">
        <v>10</v>
      </c>
      <c r="G2673" s="19">
        <f t="shared" si="198"/>
        <v>172</v>
      </c>
      <c r="H2673" s="22">
        <f t="shared" si="200"/>
        <v>2672</v>
      </c>
      <c r="I2673" s="21">
        <f t="shared" ca="1" si="196"/>
        <v>0</v>
      </c>
      <c r="J2673" s="21" t="str">
        <f ca="1">IF(I2673=0,"",COUNTIF($I$2:I2673,"&gt;0"))</f>
        <v/>
      </c>
      <c r="K2673" s="21" t="str">
        <f t="shared" ca="1" si="197"/>
        <v/>
      </c>
    </row>
    <row r="2674" spans="1:11" s="18" customFormat="1" ht="14.25" x14ac:dyDescent="0.2">
      <c r="A2674" s="18" t="str">
        <f t="shared" si="199"/>
        <v>Eintrag 2673</v>
      </c>
      <c r="B2674" s="18">
        <v>100</v>
      </c>
      <c r="C2674" s="19">
        <v>100</v>
      </c>
      <c r="D2674" s="20">
        <v>10</v>
      </c>
      <c r="E2674" s="20">
        <v>10</v>
      </c>
      <c r="F2674" s="20">
        <v>10</v>
      </c>
      <c r="G2674" s="19">
        <f t="shared" si="198"/>
        <v>172</v>
      </c>
      <c r="H2674" s="22">
        <f t="shared" si="200"/>
        <v>2673</v>
      </c>
      <c r="I2674" s="21">
        <f t="shared" ca="1" si="196"/>
        <v>0</v>
      </c>
      <c r="J2674" s="21" t="str">
        <f ca="1">IF(I2674=0,"",COUNTIF($I$2:I2674,"&gt;0"))</f>
        <v/>
      </c>
      <c r="K2674" s="21" t="str">
        <f t="shared" ca="1" si="197"/>
        <v/>
      </c>
    </row>
    <row r="2675" spans="1:11" s="18" customFormat="1" ht="14.25" x14ac:dyDescent="0.2">
      <c r="A2675" s="18" t="str">
        <f t="shared" si="199"/>
        <v>Eintrag 2674</v>
      </c>
      <c r="B2675" s="18">
        <v>100</v>
      </c>
      <c r="C2675" s="19">
        <v>100</v>
      </c>
      <c r="D2675" s="20">
        <v>10</v>
      </c>
      <c r="E2675" s="20">
        <v>10</v>
      </c>
      <c r="F2675" s="20">
        <v>10</v>
      </c>
      <c r="G2675" s="19">
        <f t="shared" si="198"/>
        <v>172</v>
      </c>
      <c r="H2675" s="22">
        <f t="shared" si="200"/>
        <v>2674</v>
      </c>
      <c r="I2675" s="21">
        <f t="shared" ca="1" si="196"/>
        <v>0</v>
      </c>
      <c r="J2675" s="21" t="str">
        <f ca="1">IF(I2675=0,"",COUNTIF($I$2:I2675,"&gt;0"))</f>
        <v/>
      </c>
      <c r="K2675" s="21" t="str">
        <f t="shared" ca="1" si="197"/>
        <v/>
      </c>
    </row>
    <row r="2676" spans="1:11" s="18" customFormat="1" ht="14.25" x14ac:dyDescent="0.2">
      <c r="A2676" s="18" t="str">
        <f t="shared" si="199"/>
        <v>Eintrag 2675</v>
      </c>
      <c r="B2676" s="18">
        <v>100</v>
      </c>
      <c r="C2676" s="19">
        <v>100</v>
      </c>
      <c r="D2676" s="20">
        <v>10</v>
      </c>
      <c r="E2676" s="20">
        <v>10</v>
      </c>
      <c r="F2676" s="20">
        <v>10</v>
      </c>
      <c r="G2676" s="19">
        <f t="shared" si="198"/>
        <v>172</v>
      </c>
      <c r="H2676" s="22">
        <f t="shared" si="200"/>
        <v>2675</v>
      </c>
      <c r="I2676" s="21">
        <f t="shared" ca="1" si="196"/>
        <v>0</v>
      </c>
      <c r="J2676" s="21" t="str">
        <f ca="1">IF(I2676=0,"",COUNTIF($I$2:I2676,"&gt;0"))</f>
        <v/>
      </c>
      <c r="K2676" s="21" t="str">
        <f t="shared" ca="1" si="197"/>
        <v/>
      </c>
    </row>
    <row r="2677" spans="1:11" s="18" customFormat="1" ht="14.25" x14ac:dyDescent="0.2">
      <c r="A2677" s="18" t="str">
        <f t="shared" si="199"/>
        <v>Eintrag 2676</v>
      </c>
      <c r="B2677" s="18">
        <v>100</v>
      </c>
      <c r="C2677" s="19">
        <v>100</v>
      </c>
      <c r="D2677" s="20">
        <v>10</v>
      </c>
      <c r="E2677" s="20">
        <v>10</v>
      </c>
      <c r="F2677" s="20">
        <v>10</v>
      </c>
      <c r="G2677" s="19">
        <f t="shared" si="198"/>
        <v>172</v>
      </c>
      <c r="H2677" s="22">
        <f t="shared" si="200"/>
        <v>2676</v>
      </c>
      <c r="I2677" s="21">
        <f t="shared" ca="1" si="196"/>
        <v>0</v>
      </c>
      <c r="J2677" s="21" t="str">
        <f ca="1">IF(I2677=0,"",COUNTIF($I$2:I2677,"&gt;0"))</f>
        <v/>
      </c>
      <c r="K2677" s="21" t="str">
        <f t="shared" ca="1" si="197"/>
        <v/>
      </c>
    </row>
    <row r="2678" spans="1:11" s="18" customFormat="1" ht="14.25" x14ac:dyDescent="0.2">
      <c r="A2678" s="18" t="str">
        <f t="shared" si="199"/>
        <v>Eintrag 2677</v>
      </c>
      <c r="B2678" s="18">
        <v>100</v>
      </c>
      <c r="C2678" s="19">
        <v>100</v>
      </c>
      <c r="D2678" s="20">
        <v>10</v>
      </c>
      <c r="E2678" s="20">
        <v>10</v>
      </c>
      <c r="F2678" s="20">
        <v>10</v>
      </c>
      <c r="G2678" s="19">
        <f t="shared" si="198"/>
        <v>172</v>
      </c>
      <c r="H2678" s="22">
        <f t="shared" si="200"/>
        <v>2677</v>
      </c>
      <c r="I2678" s="21">
        <f t="shared" ca="1" si="196"/>
        <v>0</v>
      </c>
      <c r="J2678" s="21" t="str">
        <f ca="1">IF(I2678=0,"",COUNTIF($I$2:I2678,"&gt;0"))</f>
        <v/>
      </c>
      <c r="K2678" s="21" t="str">
        <f t="shared" ca="1" si="197"/>
        <v/>
      </c>
    </row>
    <row r="2679" spans="1:11" s="18" customFormat="1" ht="14.25" x14ac:dyDescent="0.2">
      <c r="A2679" s="18" t="str">
        <f t="shared" si="199"/>
        <v>Eintrag 2678</v>
      </c>
      <c r="B2679" s="18">
        <v>100</v>
      </c>
      <c r="C2679" s="19">
        <v>100</v>
      </c>
      <c r="D2679" s="20">
        <v>10</v>
      </c>
      <c r="E2679" s="20">
        <v>10</v>
      </c>
      <c r="F2679" s="20">
        <v>10</v>
      </c>
      <c r="G2679" s="19">
        <f t="shared" si="198"/>
        <v>172</v>
      </c>
      <c r="H2679" s="22">
        <f t="shared" si="200"/>
        <v>2678</v>
      </c>
      <c r="I2679" s="21">
        <f t="shared" ca="1" si="196"/>
        <v>0</v>
      </c>
      <c r="J2679" s="21" t="str">
        <f ca="1">IF(I2679=0,"",COUNTIF($I$2:I2679,"&gt;0"))</f>
        <v/>
      </c>
      <c r="K2679" s="21" t="str">
        <f t="shared" ca="1" si="197"/>
        <v/>
      </c>
    </row>
    <row r="2680" spans="1:11" s="18" customFormat="1" ht="14.25" x14ac:dyDescent="0.2">
      <c r="A2680" s="18" t="str">
        <f t="shared" si="199"/>
        <v>Eintrag 2679</v>
      </c>
      <c r="B2680" s="18">
        <v>100</v>
      </c>
      <c r="C2680" s="19">
        <v>100</v>
      </c>
      <c r="D2680" s="20">
        <v>10</v>
      </c>
      <c r="E2680" s="20">
        <v>10</v>
      </c>
      <c r="F2680" s="20">
        <v>10</v>
      </c>
      <c r="G2680" s="19">
        <f t="shared" si="198"/>
        <v>172</v>
      </c>
      <c r="H2680" s="22">
        <f t="shared" si="200"/>
        <v>2679</v>
      </c>
      <c r="I2680" s="21">
        <f t="shared" ca="1" si="196"/>
        <v>0</v>
      </c>
      <c r="J2680" s="21" t="str">
        <f ca="1">IF(I2680=0,"",COUNTIF($I$2:I2680,"&gt;0"))</f>
        <v/>
      </c>
      <c r="K2680" s="21" t="str">
        <f t="shared" ca="1" si="197"/>
        <v/>
      </c>
    </row>
    <row r="2681" spans="1:11" s="18" customFormat="1" ht="14.25" x14ac:dyDescent="0.2">
      <c r="A2681" s="18" t="str">
        <f t="shared" si="199"/>
        <v>Eintrag 2680</v>
      </c>
      <c r="B2681" s="18">
        <v>100</v>
      </c>
      <c r="C2681" s="19">
        <v>100</v>
      </c>
      <c r="D2681" s="20">
        <v>10</v>
      </c>
      <c r="E2681" s="20">
        <v>10</v>
      </c>
      <c r="F2681" s="20">
        <v>10</v>
      </c>
      <c r="G2681" s="19">
        <f t="shared" si="198"/>
        <v>172</v>
      </c>
      <c r="H2681" s="22">
        <f t="shared" si="200"/>
        <v>2680</v>
      </c>
      <c r="I2681" s="21">
        <f t="shared" ca="1" si="196"/>
        <v>0</v>
      </c>
      <c r="J2681" s="21" t="str">
        <f ca="1">IF(I2681=0,"",COUNTIF($I$2:I2681,"&gt;0"))</f>
        <v/>
      </c>
      <c r="K2681" s="21" t="str">
        <f t="shared" ca="1" si="197"/>
        <v/>
      </c>
    </row>
    <row r="2682" spans="1:11" s="18" customFormat="1" ht="14.25" x14ac:dyDescent="0.2">
      <c r="A2682" s="18" t="str">
        <f t="shared" si="199"/>
        <v>Eintrag 2681</v>
      </c>
      <c r="B2682" s="18">
        <v>100</v>
      </c>
      <c r="C2682" s="19">
        <v>100</v>
      </c>
      <c r="D2682" s="20">
        <v>10</v>
      </c>
      <c r="E2682" s="20">
        <v>10</v>
      </c>
      <c r="F2682" s="20">
        <v>10</v>
      </c>
      <c r="G2682" s="19">
        <f t="shared" si="198"/>
        <v>172</v>
      </c>
      <c r="H2682" s="22">
        <f t="shared" si="200"/>
        <v>2681</v>
      </c>
      <c r="I2682" s="21">
        <f t="shared" ca="1" si="196"/>
        <v>0</v>
      </c>
      <c r="J2682" s="21" t="str">
        <f ca="1">IF(I2682=0,"",COUNTIF($I$2:I2682,"&gt;0"))</f>
        <v/>
      </c>
      <c r="K2682" s="21" t="str">
        <f t="shared" ca="1" si="197"/>
        <v/>
      </c>
    </row>
    <row r="2683" spans="1:11" s="18" customFormat="1" ht="14.25" x14ac:dyDescent="0.2">
      <c r="A2683" s="18" t="str">
        <f t="shared" si="199"/>
        <v>Eintrag 2682</v>
      </c>
      <c r="B2683" s="18">
        <v>100</v>
      </c>
      <c r="C2683" s="19">
        <v>100</v>
      </c>
      <c r="D2683" s="20">
        <v>10</v>
      </c>
      <c r="E2683" s="20">
        <v>10</v>
      </c>
      <c r="F2683" s="20">
        <v>10</v>
      </c>
      <c r="G2683" s="19">
        <f t="shared" si="198"/>
        <v>172</v>
      </c>
      <c r="H2683" s="22">
        <f t="shared" si="200"/>
        <v>2682</v>
      </c>
      <c r="I2683" s="21">
        <f t="shared" ref="I2683:I2746" ca="1" si="201">IFERROR(SEARCH(INDIRECT(CELL("address")),A2683),0)</f>
        <v>0</v>
      </c>
      <c r="J2683" s="21" t="str">
        <f ca="1">IF(I2683=0,"",COUNTIF($I$2:I2683,"&gt;0"))</f>
        <v/>
      </c>
      <c r="K2683" s="21" t="str">
        <f t="shared" ca="1" si="197"/>
        <v/>
      </c>
    </row>
    <row r="2684" spans="1:11" s="18" customFormat="1" ht="14.25" x14ac:dyDescent="0.2">
      <c r="A2684" s="18" t="str">
        <f t="shared" si="199"/>
        <v>Eintrag 2683</v>
      </c>
      <c r="B2684" s="18">
        <v>100</v>
      </c>
      <c r="C2684" s="19">
        <v>100</v>
      </c>
      <c r="D2684" s="20">
        <v>10</v>
      </c>
      <c r="E2684" s="20">
        <v>10</v>
      </c>
      <c r="F2684" s="20">
        <v>10</v>
      </c>
      <c r="G2684" s="19">
        <f t="shared" si="198"/>
        <v>172</v>
      </c>
      <c r="H2684" s="22">
        <f t="shared" si="200"/>
        <v>2683</v>
      </c>
      <c r="I2684" s="21">
        <f t="shared" ca="1" si="201"/>
        <v>0</v>
      </c>
      <c r="J2684" s="21" t="str">
        <f ca="1">IF(I2684=0,"",COUNTIF($I$2:I2684,"&gt;0"))</f>
        <v/>
      </c>
      <c r="K2684" s="21" t="str">
        <f t="shared" ca="1" si="197"/>
        <v/>
      </c>
    </row>
    <row r="2685" spans="1:11" s="18" customFormat="1" ht="14.25" x14ac:dyDescent="0.2">
      <c r="A2685" s="18" t="str">
        <f t="shared" si="199"/>
        <v>Eintrag 2684</v>
      </c>
      <c r="B2685" s="18">
        <v>100</v>
      </c>
      <c r="C2685" s="19">
        <v>100</v>
      </c>
      <c r="D2685" s="20">
        <v>10</v>
      </c>
      <c r="E2685" s="20">
        <v>10</v>
      </c>
      <c r="F2685" s="20">
        <v>10</v>
      </c>
      <c r="G2685" s="19">
        <f t="shared" si="198"/>
        <v>172</v>
      </c>
      <c r="H2685" s="22">
        <f t="shared" si="200"/>
        <v>2684</v>
      </c>
      <c r="I2685" s="21">
        <f t="shared" ca="1" si="201"/>
        <v>0</v>
      </c>
      <c r="J2685" s="21" t="str">
        <f ca="1">IF(I2685=0,"",COUNTIF($I$2:I2685,"&gt;0"))</f>
        <v/>
      </c>
      <c r="K2685" s="21" t="str">
        <f t="shared" ca="1" si="197"/>
        <v/>
      </c>
    </row>
    <row r="2686" spans="1:11" s="18" customFormat="1" ht="14.25" x14ac:dyDescent="0.2">
      <c r="A2686" s="18" t="str">
        <f t="shared" si="199"/>
        <v>Eintrag 2685</v>
      </c>
      <c r="B2686" s="18">
        <v>100</v>
      </c>
      <c r="C2686" s="19">
        <v>100</v>
      </c>
      <c r="D2686" s="20">
        <v>10</v>
      </c>
      <c r="E2686" s="20">
        <v>10</v>
      </c>
      <c r="F2686" s="20">
        <v>10</v>
      </c>
      <c r="G2686" s="19">
        <f t="shared" si="198"/>
        <v>172</v>
      </c>
      <c r="H2686" s="22">
        <f t="shared" si="200"/>
        <v>2685</v>
      </c>
      <c r="I2686" s="21">
        <f t="shared" ca="1" si="201"/>
        <v>0</v>
      </c>
      <c r="J2686" s="21" t="str">
        <f ca="1">IF(I2686=0,"",COUNTIF($I$2:I2686,"&gt;0"))</f>
        <v/>
      </c>
      <c r="K2686" s="21" t="str">
        <f t="shared" ca="1" si="197"/>
        <v/>
      </c>
    </row>
    <row r="2687" spans="1:11" s="18" customFormat="1" ht="14.25" x14ac:dyDescent="0.2">
      <c r="A2687" s="18" t="str">
        <f t="shared" si="199"/>
        <v>Eintrag 2686</v>
      </c>
      <c r="B2687" s="18">
        <v>100</v>
      </c>
      <c r="C2687" s="19">
        <v>100</v>
      </c>
      <c r="D2687" s="20">
        <v>10</v>
      </c>
      <c r="E2687" s="20">
        <v>10</v>
      </c>
      <c r="F2687" s="20">
        <v>10</v>
      </c>
      <c r="G2687" s="19">
        <f t="shared" si="198"/>
        <v>172</v>
      </c>
      <c r="H2687" s="22">
        <f t="shared" si="200"/>
        <v>2686</v>
      </c>
      <c r="I2687" s="21">
        <f t="shared" ca="1" si="201"/>
        <v>0</v>
      </c>
      <c r="J2687" s="21" t="str">
        <f ca="1">IF(I2687=0,"",COUNTIF($I$2:I2687,"&gt;0"))</f>
        <v/>
      </c>
      <c r="K2687" s="21" t="str">
        <f t="shared" ca="1" si="197"/>
        <v/>
      </c>
    </row>
    <row r="2688" spans="1:11" s="18" customFormat="1" ht="14.25" x14ac:dyDescent="0.2">
      <c r="A2688" s="18" t="str">
        <f t="shared" si="199"/>
        <v>Eintrag 2687</v>
      </c>
      <c r="B2688" s="18">
        <v>100</v>
      </c>
      <c r="C2688" s="19">
        <v>100</v>
      </c>
      <c r="D2688" s="20">
        <v>10</v>
      </c>
      <c r="E2688" s="20">
        <v>10</v>
      </c>
      <c r="F2688" s="20">
        <v>10</v>
      </c>
      <c r="G2688" s="19">
        <f t="shared" si="198"/>
        <v>172</v>
      </c>
      <c r="H2688" s="22">
        <f t="shared" si="200"/>
        <v>2687</v>
      </c>
      <c r="I2688" s="21">
        <f t="shared" ca="1" si="201"/>
        <v>0</v>
      </c>
      <c r="J2688" s="21" t="str">
        <f ca="1">IF(I2688=0,"",COUNTIF($I$2:I2688,"&gt;0"))</f>
        <v/>
      </c>
      <c r="K2688" s="21" t="str">
        <f t="shared" ca="1" si="197"/>
        <v/>
      </c>
    </row>
    <row r="2689" spans="1:11" s="18" customFormat="1" ht="14.25" x14ac:dyDescent="0.2">
      <c r="A2689" s="18" t="str">
        <f t="shared" si="199"/>
        <v>Eintrag 2688</v>
      </c>
      <c r="B2689" s="18">
        <v>100</v>
      </c>
      <c r="C2689" s="19">
        <v>100</v>
      </c>
      <c r="D2689" s="20">
        <v>10</v>
      </c>
      <c r="E2689" s="20">
        <v>10</v>
      </c>
      <c r="F2689" s="20">
        <v>10</v>
      </c>
      <c r="G2689" s="19">
        <f t="shared" si="198"/>
        <v>172</v>
      </c>
      <c r="H2689" s="22">
        <f t="shared" si="200"/>
        <v>2688</v>
      </c>
      <c r="I2689" s="21">
        <f t="shared" ca="1" si="201"/>
        <v>0</v>
      </c>
      <c r="J2689" s="21" t="str">
        <f ca="1">IF(I2689=0,"",COUNTIF($I$2:I2689,"&gt;0"))</f>
        <v/>
      </c>
      <c r="K2689" s="21" t="str">
        <f t="shared" ca="1" si="197"/>
        <v/>
      </c>
    </row>
    <row r="2690" spans="1:11" s="18" customFormat="1" ht="14.25" x14ac:dyDescent="0.2">
      <c r="A2690" s="18" t="str">
        <f t="shared" si="199"/>
        <v>Eintrag 2689</v>
      </c>
      <c r="B2690" s="18">
        <v>100</v>
      </c>
      <c r="C2690" s="19">
        <v>100</v>
      </c>
      <c r="D2690" s="20">
        <v>10</v>
      </c>
      <c r="E2690" s="20">
        <v>10</v>
      </c>
      <c r="F2690" s="20">
        <v>10</v>
      </c>
      <c r="G2690" s="19">
        <f t="shared" si="198"/>
        <v>172</v>
      </c>
      <c r="H2690" s="22">
        <f t="shared" si="200"/>
        <v>2689</v>
      </c>
      <c r="I2690" s="21">
        <f t="shared" ca="1" si="201"/>
        <v>0</v>
      </c>
      <c r="J2690" s="21" t="str">
        <f ca="1">IF(I2690=0,"",COUNTIF($I$2:I2690,"&gt;0"))</f>
        <v/>
      </c>
      <c r="K2690" s="21" t="str">
        <f t="shared" ref="K2690:K2753" ca="1" si="202">IFERROR(INDEX(A:A,MATCH(ROW(I2689),J:J,0)),"")</f>
        <v/>
      </c>
    </row>
    <row r="2691" spans="1:11" s="18" customFormat="1" ht="14.25" x14ac:dyDescent="0.2">
      <c r="A2691" s="18" t="str">
        <f t="shared" si="199"/>
        <v>Eintrag 2690</v>
      </c>
      <c r="B2691" s="18">
        <v>100</v>
      </c>
      <c r="C2691" s="19">
        <v>100</v>
      </c>
      <c r="D2691" s="20">
        <v>10</v>
      </c>
      <c r="E2691" s="20">
        <v>10</v>
      </c>
      <c r="F2691" s="20">
        <v>10</v>
      </c>
      <c r="G2691" s="19">
        <f t="shared" ref="G2691:G2754" si="203">D2691*9+E2691*4.1+F2691*4.1</f>
        <v>172</v>
      </c>
      <c r="H2691" s="22">
        <f t="shared" si="200"/>
        <v>2690</v>
      </c>
      <c r="I2691" s="21">
        <f t="shared" ca="1" si="201"/>
        <v>0</v>
      </c>
      <c r="J2691" s="21" t="str">
        <f ca="1">IF(I2691=0,"",COUNTIF($I$2:I2691,"&gt;0"))</f>
        <v/>
      </c>
      <c r="K2691" s="21" t="str">
        <f t="shared" ca="1" si="202"/>
        <v/>
      </c>
    </row>
    <row r="2692" spans="1:11" s="18" customFormat="1" ht="14.25" x14ac:dyDescent="0.2">
      <c r="A2692" s="18" t="str">
        <f t="shared" si="199"/>
        <v>Eintrag 2691</v>
      </c>
      <c r="B2692" s="18">
        <v>100</v>
      </c>
      <c r="C2692" s="19">
        <v>100</v>
      </c>
      <c r="D2692" s="20">
        <v>10</v>
      </c>
      <c r="E2692" s="20">
        <v>10</v>
      </c>
      <c r="F2692" s="20">
        <v>10</v>
      </c>
      <c r="G2692" s="19">
        <f t="shared" si="203"/>
        <v>172</v>
      </c>
      <c r="H2692" s="22">
        <f t="shared" si="200"/>
        <v>2691</v>
      </c>
      <c r="I2692" s="21">
        <f t="shared" ca="1" si="201"/>
        <v>0</v>
      </c>
      <c r="J2692" s="21" t="str">
        <f ca="1">IF(I2692=0,"",COUNTIF($I$2:I2692,"&gt;0"))</f>
        <v/>
      </c>
      <c r="K2692" s="21" t="str">
        <f t="shared" ca="1" si="202"/>
        <v/>
      </c>
    </row>
    <row r="2693" spans="1:11" s="18" customFormat="1" ht="14.25" x14ac:dyDescent="0.2">
      <c r="A2693" s="18" t="str">
        <f t="shared" ref="A2693:A2756" si="204">CONCATENATE("Eintrag ",H2693)</f>
        <v>Eintrag 2692</v>
      </c>
      <c r="B2693" s="18">
        <v>100</v>
      </c>
      <c r="C2693" s="19">
        <v>100</v>
      </c>
      <c r="D2693" s="20">
        <v>10</v>
      </c>
      <c r="E2693" s="20">
        <v>10</v>
      </c>
      <c r="F2693" s="20">
        <v>10</v>
      </c>
      <c r="G2693" s="19">
        <f t="shared" si="203"/>
        <v>172</v>
      </c>
      <c r="H2693" s="22">
        <f t="shared" si="200"/>
        <v>2692</v>
      </c>
      <c r="I2693" s="21">
        <f t="shared" ca="1" si="201"/>
        <v>0</v>
      </c>
      <c r="J2693" s="21" t="str">
        <f ca="1">IF(I2693=0,"",COUNTIF($I$2:I2693,"&gt;0"))</f>
        <v/>
      </c>
      <c r="K2693" s="21" t="str">
        <f t="shared" ca="1" si="202"/>
        <v/>
      </c>
    </row>
    <row r="2694" spans="1:11" s="18" customFormat="1" ht="14.25" x14ac:dyDescent="0.2">
      <c r="A2694" s="18" t="str">
        <f t="shared" si="204"/>
        <v>Eintrag 2693</v>
      </c>
      <c r="B2694" s="18">
        <v>100</v>
      </c>
      <c r="C2694" s="19">
        <v>100</v>
      </c>
      <c r="D2694" s="20">
        <v>10</v>
      </c>
      <c r="E2694" s="20">
        <v>10</v>
      </c>
      <c r="F2694" s="20">
        <v>10</v>
      </c>
      <c r="G2694" s="19">
        <f t="shared" si="203"/>
        <v>172</v>
      </c>
      <c r="H2694" s="22">
        <f t="shared" si="200"/>
        <v>2693</v>
      </c>
      <c r="I2694" s="21">
        <f t="shared" ca="1" si="201"/>
        <v>0</v>
      </c>
      <c r="J2694" s="21" t="str">
        <f ca="1">IF(I2694=0,"",COUNTIF($I$2:I2694,"&gt;0"))</f>
        <v/>
      </c>
      <c r="K2694" s="21" t="str">
        <f t="shared" ca="1" si="202"/>
        <v/>
      </c>
    </row>
    <row r="2695" spans="1:11" s="18" customFormat="1" ht="14.25" x14ac:dyDescent="0.2">
      <c r="A2695" s="18" t="str">
        <f t="shared" si="204"/>
        <v>Eintrag 2694</v>
      </c>
      <c r="B2695" s="18">
        <v>100</v>
      </c>
      <c r="C2695" s="19">
        <v>100</v>
      </c>
      <c r="D2695" s="20">
        <v>10</v>
      </c>
      <c r="E2695" s="20">
        <v>10</v>
      </c>
      <c r="F2695" s="20">
        <v>10</v>
      </c>
      <c r="G2695" s="19">
        <f t="shared" si="203"/>
        <v>172</v>
      </c>
      <c r="H2695" s="22">
        <f t="shared" si="200"/>
        <v>2694</v>
      </c>
      <c r="I2695" s="21">
        <f t="shared" ca="1" si="201"/>
        <v>0</v>
      </c>
      <c r="J2695" s="21" t="str">
        <f ca="1">IF(I2695=0,"",COUNTIF($I$2:I2695,"&gt;0"))</f>
        <v/>
      </c>
      <c r="K2695" s="21" t="str">
        <f t="shared" ca="1" si="202"/>
        <v/>
      </c>
    </row>
    <row r="2696" spans="1:11" s="18" customFormat="1" ht="14.25" x14ac:dyDescent="0.2">
      <c r="A2696" s="18" t="str">
        <f t="shared" si="204"/>
        <v>Eintrag 2695</v>
      </c>
      <c r="B2696" s="18">
        <v>100</v>
      </c>
      <c r="C2696" s="19">
        <v>100</v>
      </c>
      <c r="D2696" s="20">
        <v>10</v>
      </c>
      <c r="E2696" s="20">
        <v>10</v>
      </c>
      <c r="F2696" s="20">
        <v>10</v>
      </c>
      <c r="G2696" s="19">
        <f t="shared" si="203"/>
        <v>172</v>
      </c>
      <c r="H2696" s="22">
        <f t="shared" si="200"/>
        <v>2695</v>
      </c>
      <c r="I2696" s="21">
        <f t="shared" ca="1" si="201"/>
        <v>0</v>
      </c>
      <c r="J2696" s="21" t="str">
        <f ca="1">IF(I2696=0,"",COUNTIF($I$2:I2696,"&gt;0"))</f>
        <v/>
      </c>
      <c r="K2696" s="21" t="str">
        <f t="shared" ca="1" si="202"/>
        <v/>
      </c>
    </row>
    <row r="2697" spans="1:11" s="18" customFormat="1" ht="14.25" x14ac:dyDescent="0.2">
      <c r="A2697" s="18" t="str">
        <f t="shared" si="204"/>
        <v>Eintrag 2696</v>
      </c>
      <c r="B2697" s="18">
        <v>100</v>
      </c>
      <c r="C2697" s="19">
        <v>100</v>
      </c>
      <c r="D2697" s="20">
        <v>10</v>
      </c>
      <c r="E2697" s="20">
        <v>10</v>
      </c>
      <c r="F2697" s="20">
        <v>10</v>
      </c>
      <c r="G2697" s="19">
        <f t="shared" si="203"/>
        <v>172</v>
      </c>
      <c r="H2697" s="22">
        <f t="shared" si="200"/>
        <v>2696</v>
      </c>
      <c r="I2697" s="21">
        <f t="shared" ca="1" si="201"/>
        <v>0</v>
      </c>
      <c r="J2697" s="21" t="str">
        <f ca="1">IF(I2697=0,"",COUNTIF($I$2:I2697,"&gt;0"))</f>
        <v/>
      </c>
      <c r="K2697" s="21" t="str">
        <f t="shared" ca="1" si="202"/>
        <v/>
      </c>
    </row>
    <row r="2698" spans="1:11" s="18" customFormat="1" ht="14.25" x14ac:dyDescent="0.2">
      <c r="A2698" s="18" t="str">
        <f t="shared" si="204"/>
        <v>Eintrag 2697</v>
      </c>
      <c r="B2698" s="18">
        <v>100</v>
      </c>
      <c r="C2698" s="19">
        <v>100</v>
      </c>
      <c r="D2698" s="20">
        <v>10</v>
      </c>
      <c r="E2698" s="20">
        <v>10</v>
      </c>
      <c r="F2698" s="20">
        <v>10</v>
      </c>
      <c r="G2698" s="19">
        <f t="shared" si="203"/>
        <v>172</v>
      </c>
      <c r="H2698" s="22">
        <f t="shared" si="200"/>
        <v>2697</v>
      </c>
      <c r="I2698" s="21">
        <f t="shared" ca="1" si="201"/>
        <v>0</v>
      </c>
      <c r="J2698" s="21" t="str">
        <f ca="1">IF(I2698=0,"",COUNTIF($I$2:I2698,"&gt;0"))</f>
        <v/>
      </c>
      <c r="K2698" s="21" t="str">
        <f t="shared" ca="1" si="202"/>
        <v/>
      </c>
    </row>
    <row r="2699" spans="1:11" s="18" customFormat="1" ht="14.25" x14ac:dyDescent="0.2">
      <c r="A2699" s="18" t="str">
        <f t="shared" si="204"/>
        <v>Eintrag 2698</v>
      </c>
      <c r="B2699" s="18">
        <v>100</v>
      </c>
      <c r="C2699" s="19">
        <v>100</v>
      </c>
      <c r="D2699" s="20">
        <v>10</v>
      </c>
      <c r="E2699" s="20">
        <v>10</v>
      </c>
      <c r="F2699" s="20">
        <v>10</v>
      </c>
      <c r="G2699" s="19">
        <f t="shared" si="203"/>
        <v>172</v>
      </c>
      <c r="H2699" s="22">
        <f t="shared" si="200"/>
        <v>2698</v>
      </c>
      <c r="I2699" s="21">
        <f t="shared" ca="1" si="201"/>
        <v>0</v>
      </c>
      <c r="J2699" s="21" t="str">
        <f ca="1">IF(I2699=0,"",COUNTIF($I$2:I2699,"&gt;0"))</f>
        <v/>
      </c>
      <c r="K2699" s="21" t="str">
        <f t="shared" ca="1" si="202"/>
        <v/>
      </c>
    </row>
    <row r="2700" spans="1:11" s="18" customFormat="1" ht="14.25" x14ac:dyDescent="0.2">
      <c r="A2700" s="18" t="str">
        <f t="shared" si="204"/>
        <v>Eintrag 2699</v>
      </c>
      <c r="B2700" s="18">
        <v>100</v>
      </c>
      <c r="C2700" s="19">
        <v>100</v>
      </c>
      <c r="D2700" s="20">
        <v>10</v>
      </c>
      <c r="E2700" s="20">
        <v>10</v>
      </c>
      <c r="F2700" s="20">
        <v>10</v>
      </c>
      <c r="G2700" s="19">
        <f t="shared" si="203"/>
        <v>172</v>
      </c>
      <c r="H2700" s="22">
        <f t="shared" si="200"/>
        <v>2699</v>
      </c>
      <c r="I2700" s="21">
        <f t="shared" ca="1" si="201"/>
        <v>0</v>
      </c>
      <c r="J2700" s="21" t="str">
        <f ca="1">IF(I2700=0,"",COUNTIF($I$2:I2700,"&gt;0"))</f>
        <v/>
      </c>
      <c r="K2700" s="21" t="str">
        <f t="shared" ca="1" si="202"/>
        <v/>
      </c>
    </row>
    <row r="2701" spans="1:11" s="18" customFormat="1" ht="14.25" x14ac:dyDescent="0.2">
      <c r="A2701" s="18" t="str">
        <f t="shared" si="204"/>
        <v>Eintrag 2700</v>
      </c>
      <c r="B2701" s="18">
        <v>100</v>
      </c>
      <c r="C2701" s="19">
        <v>100</v>
      </c>
      <c r="D2701" s="20">
        <v>10</v>
      </c>
      <c r="E2701" s="20">
        <v>10</v>
      </c>
      <c r="F2701" s="20">
        <v>10</v>
      </c>
      <c r="G2701" s="19">
        <f t="shared" si="203"/>
        <v>172</v>
      </c>
      <c r="H2701" s="22">
        <f t="shared" si="200"/>
        <v>2700</v>
      </c>
      <c r="I2701" s="21">
        <f t="shared" ca="1" si="201"/>
        <v>0</v>
      </c>
      <c r="J2701" s="21" t="str">
        <f ca="1">IF(I2701=0,"",COUNTIF($I$2:I2701,"&gt;0"))</f>
        <v/>
      </c>
      <c r="K2701" s="21" t="str">
        <f t="shared" ca="1" si="202"/>
        <v/>
      </c>
    </row>
    <row r="2702" spans="1:11" s="18" customFormat="1" ht="14.25" x14ac:dyDescent="0.2">
      <c r="A2702" s="18" t="str">
        <f t="shared" si="204"/>
        <v>Eintrag 2701</v>
      </c>
      <c r="B2702" s="18">
        <v>100</v>
      </c>
      <c r="C2702" s="19">
        <v>100</v>
      </c>
      <c r="D2702" s="20">
        <v>10</v>
      </c>
      <c r="E2702" s="20">
        <v>10</v>
      </c>
      <c r="F2702" s="20">
        <v>10</v>
      </c>
      <c r="G2702" s="19">
        <f t="shared" si="203"/>
        <v>172</v>
      </c>
      <c r="H2702" s="22">
        <f t="shared" si="200"/>
        <v>2701</v>
      </c>
      <c r="I2702" s="21">
        <f t="shared" ca="1" si="201"/>
        <v>0</v>
      </c>
      <c r="J2702" s="21" t="str">
        <f ca="1">IF(I2702=0,"",COUNTIF($I$2:I2702,"&gt;0"))</f>
        <v/>
      </c>
      <c r="K2702" s="21" t="str">
        <f t="shared" ca="1" si="202"/>
        <v/>
      </c>
    </row>
    <row r="2703" spans="1:11" s="18" customFormat="1" ht="14.25" x14ac:dyDescent="0.2">
      <c r="A2703" s="18" t="str">
        <f t="shared" si="204"/>
        <v>Eintrag 2702</v>
      </c>
      <c r="B2703" s="18">
        <v>100</v>
      </c>
      <c r="C2703" s="19">
        <v>100</v>
      </c>
      <c r="D2703" s="20">
        <v>10</v>
      </c>
      <c r="E2703" s="20">
        <v>10</v>
      </c>
      <c r="F2703" s="20">
        <v>10</v>
      </c>
      <c r="G2703" s="19">
        <f t="shared" si="203"/>
        <v>172</v>
      </c>
      <c r="H2703" s="22">
        <f t="shared" si="200"/>
        <v>2702</v>
      </c>
      <c r="I2703" s="21">
        <f t="shared" ca="1" si="201"/>
        <v>0</v>
      </c>
      <c r="J2703" s="21" t="str">
        <f ca="1">IF(I2703=0,"",COUNTIF($I$2:I2703,"&gt;0"))</f>
        <v/>
      </c>
      <c r="K2703" s="21" t="str">
        <f t="shared" ca="1" si="202"/>
        <v/>
      </c>
    </row>
    <row r="2704" spans="1:11" s="18" customFormat="1" ht="14.25" x14ac:dyDescent="0.2">
      <c r="A2704" s="18" t="str">
        <f t="shared" si="204"/>
        <v>Eintrag 2703</v>
      </c>
      <c r="B2704" s="18">
        <v>100</v>
      </c>
      <c r="C2704" s="19">
        <v>100</v>
      </c>
      <c r="D2704" s="20">
        <v>10</v>
      </c>
      <c r="E2704" s="20">
        <v>10</v>
      </c>
      <c r="F2704" s="20">
        <v>10</v>
      </c>
      <c r="G2704" s="19">
        <f t="shared" si="203"/>
        <v>172</v>
      </c>
      <c r="H2704" s="22">
        <f t="shared" si="200"/>
        <v>2703</v>
      </c>
      <c r="I2704" s="21">
        <f t="shared" ca="1" si="201"/>
        <v>0</v>
      </c>
      <c r="J2704" s="21" t="str">
        <f ca="1">IF(I2704=0,"",COUNTIF($I$2:I2704,"&gt;0"))</f>
        <v/>
      </c>
      <c r="K2704" s="21" t="str">
        <f t="shared" ca="1" si="202"/>
        <v/>
      </c>
    </row>
    <row r="2705" spans="1:11" s="18" customFormat="1" ht="14.25" x14ac:dyDescent="0.2">
      <c r="A2705" s="18" t="str">
        <f t="shared" si="204"/>
        <v>Eintrag 2704</v>
      </c>
      <c r="B2705" s="18">
        <v>100</v>
      </c>
      <c r="C2705" s="19">
        <v>100</v>
      </c>
      <c r="D2705" s="20">
        <v>10</v>
      </c>
      <c r="E2705" s="20">
        <v>10</v>
      </c>
      <c r="F2705" s="20">
        <v>10</v>
      </c>
      <c r="G2705" s="19">
        <f t="shared" si="203"/>
        <v>172</v>
      </c>
      <c r="H2705" s="22">
        <f t="shared" si="200"/>
        <v>2704</v>
      </c>
      <c r="I2705" s="21">
        <f t="shared" ca="1" si="201"/>
        <v>0</v>
      </c>
      <c r="J2705" s="21" t="str">
        <f ca="1">IF(I2705=0,"",COUNTIF($I$2:I2705,"&gt;0"))</f>
        <v/>
      </c>
      <c r="K2705" s="21" t="str">
        <f t="shared" ca="1" si="202"/>
        <v/>
      </c>
    </row>
    <row r="2706" spans="1:11" s="18" customFormat="1" ht="14.25" x14ac:dyDescent="0.2">
      <c r="A2706" s="18" t="str">
        <f t="shared" si="204"/>
        <v>Eintrag 2705</v>
      </c>
      <c r="B2706" s="18">
        <v>100</v>
      </c>
      <c r="C2706" s="19">
        <v>100</v>
      </c>
      <c r="D2706" s="20">
        <v>10</v>
      </c>
      <c r="E2706" s="20">
        <v>10</v>
      </c>
      <c r="F2706" s="20">
        <v>10</v>
      </c>
      <c r="G2706" s="19">
        <f t="shared" si="203"/>
        <v>172</v>
      </c>
      <c r="H2706" s="22">
        <f t="shared" si="200"/>
        <v>2705</v>
      </c>
      <c r="I2706" s="21">
        <f t="shared" ca="1" si="201"/>
        <v>0</v>
      </c>
      <c r="J2706" s="21" t="str">
        <f ca="1">IF(I2706=0,"",COUNTIF($I$2:I2706,"&gt;0"))</f>
        <v/>
      </c>
      <c r="K2706" s="21" t="str">
        <f t="shared" ca="1" si="202"/>
        <v/>
      </c>
    </row>
    <row r="2707" spans="1:11" s="18" customFormat="1" ht="14.25" x14ac:dyDescent="0.2">
      <c r="A2707" s="18" t="str">
        <f t="shared" si="204"/>
        <v>Eintrag 2706</v>
      </c>
      <c r="B2707" s="18">
        <v>100</v>
      </c>
      <c r="C2707" s="19">
        <v>100</v>
      </c>
      <c r="D2707" s="20">
        <v>10</v>
      </c>
      <c r="E2707" s="20">
        <v>10</v>
      </c>
      <c r="F2707" s="20">
        <v>10</v>
      </c>
      <c r="G2707" s="19">
        <f t="shared" si="203"/>
        <v>172</v>
      </c>
      <c r="H2707" s="22">
        <f t="shared" si="200"/>
        <v>2706</v>
      </c>
      <c r="I2707" s="21">
        <f t="shared" ca="1" si="201"/>
        <v>0</v>
      </c>
      <c r="J2707" s="21" t="str">
        <f ca="1">IF(I2707=0,"",COUNTIF($I$2:I2707,"&gt;0"))</f>
        <v/>
      </c>
      <c r="K2707" s="21" t="str">
        <f t="shared" ca="1" si="202"/>
        <v/>
      </c>
    </row>
    <row r="2708" spans="1:11" s="18" customFormat="1" ht="14.25" x14ac:dyDescent="0.2">
      <c r="A2708" s="18" t="str">
        <f t="shared" si="204"/>
        <v>Eintrag 2707</v>
      </c>
      <c r="B2708" s="18">
        <v>100</v>
      </c>
      <c r="C2708" s="19">
        <v>100</v>
      </c>
      <c r="D2708" s="20">
        <v>10</v>
      </c>
      <c r="E2708" s="20">
        <v>10</v>
      </c>
      <c r="F2708" s="20">
        <v>10</v>
      </c>
      <c r="G2708" s="19">
        <f t="shared" si="203"/>
        <v>172</v>
      </c>
      <c r="H2708" s="22">
        <f t="shared" si="200"/>
        <v>2707</v>
      </c>
      <c r="I2708" s="21">
        <f t="shared" ca="1" si="201"/>
        <v>0</v>
      </c>
      <c r="J2708" s="21" t="str">
        <f ca="1">IF(I2708=0,"",COUNTIF($I$2:I2708,"&gt;0"))</f>
        <v/>
      </c>
      <c r="K2708" s="21" t="str">
        <f t="shared" ca="1" si="202"/>
        <v/>
      </c>
    </row>
    <row r="2709" spans="1:11" s="18" customFormat="1" ht="14.25" x14ac:dyDescent="0.2">
      <c r="A2709" s="18" t="str">
        <f t="shared" si="204"/>
        <v>Eintrag 2708</v>
      </c>
      <c r="B2709" s="18">
        <v>100</v>
      </c>
      <c r="C2709" s="19">
        <v>100</v>
      </c>
      <c r="D2709" s="20">
        <v>10</v>
      </c>
      <c r="E2709" s="20">
        <v>10</v>
      </c>
      <c r="F2709" s="20">
        <v>10</v>
      </c>
      <c r="G2709" s="19">
        <f t="shared" si="203"/>
        <v>172</v>
      </c>
      <c r="H2709" s="22">
        <f t="shared" si="200"/>
        <v>2708</v>
      </c>
      <c r="I2709" s="21">
        <f t="shared" ca="1" si="201"/>
        <v>0</v>
      </c>
      <c r="J2709" s="21" t="str">
        <f ca="1">IF(I2709=0,"",COUNTIF($I$2:I2709,"&gt;0"))</f>
        <v/>
      </c>
      <c r="K2709" s="21" t="str">
        <f t="shared" ca="1" si="202"/>
        <v/>
      </c>
    </row>
    <row r="2710" spans="1:11" s="18" customFormat="1" ht="14.25" x14ac:dyDescent="0.2">
      <c r="A2710" s="18" t="str">
        <f t="shared" si="204"/>
        <v>Eintrag 2709</v>
      </c>
      <c r="B2710" s="18">
        <v>100</v>
      </c>
      <c r="C2710" s="19">
        <v>100</v>
      </c>
      <c r="D2710" s="20">
        <v>10</v>
      </c>
      <c r="E2710" s="20">
        <v>10</v>
      </c>
      <c r="F2710" s="20">
        <v>10</v>
      </c>
      <c r="G2710" s="19">
        <f t="shared" si="203"/>
        <v>172</v>
      </c>
      <c r="H2710" s="22">
        <f t="shared" si="200"/>
        <v>2709</v>
      </c>
      <c r="I2710" s="21">
        <f t="shared" ca="1" si="201"/>
        <v>0</v>
      </c>
      <c r="J2710" s="21" t="str">
        <f ca="1">IF(I2710=0,"",COUNTIF($I$2:I2710,"&gt;0"))</f>
        <v/>
      </c>
      <c r="K2710" s="21" t="str">
        <f t="shared" ca="1" si="202"/>
        <v/>
      </c>
    </row>
    <row r="2711" spans="1:11" s="18" customFormat="1" ht="14.25" x14ac:dyDescent="0.2">
      <c r="A2711" s="18" t="str">
        <f t="shared" si="204"/>
        <v>Eintrag 2710</v>
      </c>
      <c r="B2711" s="18">
        <v>100</v>
      </c>
      <c r="C2711" s="19">
        <v>100</v>
      </c>
      <c r="D2711" s="20">
        <v>10</v>
      </c>
      <c r="E2711" s="20">
        <v>10</v>
      </c>
      <c r="F2711" s="20">
        <v>10</v>
      </c>
      <c r="G2711" s="19">
        <f t="shared" si="203"/>
        <v>172</v>
      </c>
      <c r="H2711" s="22">
        <f t="shared" si="200"/>
        <v>2710</v>
      </c>
      <c r="I2711" s="21">
        <f t="shared" ca="1" si="201"/>
        <v>0</v>
      </c>
      <c r="J2711" s="21" t="str">
        <f ca="1">IF(I2711=0,"",COUNTIF($I$2:I2711,"&gt;0"))</f>
        <v/>
      </c>
      <c r="K2711" s="21" t="str">
        <f t="shared" ca="1" si="202"/>
        <v/>
      </c>
    </row>
    <row r="2712" spans="1:11" s="18" customFormat="1" ht="14.25" x14ac:dyDescent="0.2">
      <c r="A2712" s="18" t="str">
        <f t="shared" si="204"/>
        <v>Eintrag 2711</v>
      </c>
      <c r="B2712" s="18">
        <v>100</v>
      </c>
      <c r="C2712" s="19">
        <v>100</v>
      </c>
      <c r="D2712" s="20">
        <v>10</v>
      </c>
      <c r="E2712" s="20">
        <v>10</v>
      </c>
      <c r="F2712" s="20">
        <v>10</v>
      </c>
      <c r="G2712" s="19">
        <f t="shared" si="203"/>
        <v>172</v>
      </c>
      <c r="H2712" s="22">
        <f t="shared" si="200"/>
        <v>2711</v>
      </c>
      <c r="I2712" s="21">
        <f t="shared" ca="1" si="201"/>
        <v>0</v>
      </c>
      <c r="J2712" s="21" t="str">
        <f ca="1">IF(I2712=0,"",COUNTIF($I$2:I2712,"&gt;0"))</f>
        <v/>
      </c>
      <c r="K2712" s="21" t="str">
        <f t="shared" ca="1" si="202"/>
        <v/>
      </c>
    </row>
    <row r="2713" spans="1:11" s="18" customFormat="1" ht="14.25" x14ac:dyDescent="0.2">
      <c r="A2713" s="18" t="str">
        <f t="shared" si="204"/>
        <v>Eintrag 2712</v>
      </c>
      <c r="B2713" s="18">
        <v>100</v>
      </c>
      <c r="C2713" s="19">
        <v>100</v>
      </c>
      <c r="D2713" s="20">
        <v>10</v>
      </c>
      <c r="E2713" s="20">
        <v>10</v>
      </c>
      <c r="F2713" s="20">
        <v>10</v>
      </c>
      <c r="G2713" s="19">
        <f t="shared" si="203"/>
        <v>172</v>
      </c>
      <c r="H2713" s="22">
        <f t="shared" si="200"/>
        <v>2712</v>
      </c>
      <c r="I2713" s="21">
        <f t="shared" ca="1" si="201"/>
        <v>0</v>
      </c>
      <c r="J2713" s="21" t="str">
        <f ca="1">IF(I2713=0,"",COUNTIF($I$2:I2713,"&gt;0"))</f>
        <v/>
      </c>
      <c r="K2713" s="21" t="str">
        <f t="shared" ca="1" si="202"/>
        <v/>
      </c>
    </row>
    <row r="2714" spans="1:11" s="18" customFormat="1" ht="14.25" x14ac:dyDescent="0.2">
      <c r="A2714" s="18" t="str">
        <f t="shared" si="204"/>
        <v>Eintrag 2713</v>
      </c>
      <c r="B2714" s="18">
        <v>100</v>
      </c>
      <c r="C2714" s="19">
        <v>100</v>
      </c>
      <c r="D2714" s="20">
        <v>10</v>
      </c>
      <c r="E2714" s="20">
        <v>10</v>
      </c>
      <c r="F2714" s="20">
        <v>10</v>
      </c>
      <c r="G2714" s="19">
        <f t="shared" si="203"/>
        <v>172</v>
      </c>
      <c r="H2714" s="22">
        <f t="shared" si="200"/>
        <v>2713</v>
      </c>
      <c r="I2714" s="21">
        <f t="shared" ca="1" si="201"/>
        <v>0</v>
      </c>
      <c r="J2714" s="21" t="str">
        <f ca="1">IF(I2714=0,"",COUNTIF($I$2:I2714,"&gt;0"))</f>
        <v/>
      </c>
      <c r="K2714" s="21" t="str">
        <f t="shared" ca="1" si="202"/>
        <v/>
      </c>
    </row>
    <row r="2715" spans="1:11" s="18" customFormat="1" ht="14.25" x14ac:dyDescent="0.2">
      <c r="A2715" s="18" t="str">
        <f t="shared" si="204"/>
        <v>Eintrag 2714</v>
      </c>
      <c r="B2715" s="18">
        <v>100</v>
      </c>
      <c r="C2715" s="19">
        <v>100</v>
      </c>
      <c r="D2715" s="20">
        <v>10</v>
      </c>
      <c r="E2715" s="20">
        <v>10</v>
      </c>
      <c r="F2715" s="20">
        <v>10</v>
      </c>
      <c r="G2715" s="19">
        <f t="shared" si="203"/>
        <v>172</v>
      </c>
      <c r="H2715" s="22">
        <f t="shared" si="200"/>
        <v>2714</v>
      </c>
      <c r="I2715" s="21">
        <f t="shared" ca="1" si="201"/>
        <v>0</v>
      </c>
      <c r="J2715" s="21" t="str">
        <f ca="1">IF(I2715=0,"",COUNTIF($I$2:I2715,"&gt;0"))</f>
        <v/>
      </c>
      <c r="K2715" s="21" t="str">
        <f t="shared" ca="1" si="202"/>
        <v/>
      </c>
    </row>
    <row r="2716" spans="1:11" s="18" customFormat="1" ht="14.25" x14ac:dyDescent="0.2">
      <c r="A2716" s="18" t="str">
        <f t="shared" si="204"/>
        <v>Eintrag 2715</v>
      </c>
      <c r="B2716" s="18">
        <v>100</v>
      </c>
      <c r="C2716" s="19">
        <v>100</v>
      </c>
      <c r="D2716" s="20">
        <v>10</v>
      </c>
      <c r="E2716" s="20">
        <v>10</v>
      </c>
      <c r="F2716" s="20">
        <v>10</v>
      </c>
      <c r="G2716" s="19">
        <f t="shared" si="203"/>
        <v>172</v>
      </c>
      <c r="H2716" s="22">
        <f t="shared" si="200"/>
        <v>2715</v>
      </c>
      <c r="I2716" s="21">
        <f t="shared" ca="1" si="201"/>
        <v>0</v>
      </c>
      <c r="J2716" s="21" t="str">
        <f ca="1">IF(I2716=0,"",COUNTIF($I$2:I2716,"&gt;0"))</f>
        <v/>
      </c>
      <c r="K2716" s="21" t="str">
        <f t="shared" ca="1" si="202"/>
        <v/>
      </c>
    </row>
    <row r="2717" spans="1:11" s="18" customFormat="1" ht="14.25" x14ac:dyDescent="0.2">
      <c r="A2717" s="18" t="str">
        <f t="shared" si="204"/>
        <v>Eintrag 2716</v>
      </c>
      <c r="B2717" s="18">
        <v>100</v>
      </c>
      <c r="C2717" s="19">
        <v>100</v>
      </c>
      <c r="D2717" s="20">
        <v>10</v>
      </c>
      <c r="E2717" s="20">
        <v>10</v>
      </c>
      <c r="F2717" s="20">
        <v>10</v>
      </c>
      <c r="G2717" s="19">
        <f t="shared" si="203"/>
        <v>172</v>
      </c>
      <c r="H2717" s="22">
        <f t="shared" si="200"/>
        <v>2716</v>
      </c>
      <c r="I2717" s="21">
        <f t="shared" ca="1" si="201"/>
        <v>0</v>
      </c>
      <c r="J2717" s="21" t="str">
        <f ca="1">IF(I2717=0,"",COUNTIF($I$2:I2717,"&gt;0"))</f>
        <v/>
      </c>
      <c r="K2717" s="21" t="str">
        <f t="shared" ca="1" si="202"/>
        <v/>
      </c>
    </row>
    <row r="2718" spans="1:11" s="18" customFormat="1" ht="14.25" x14ac:dyDescent="0.2">
      <c r="A2718" s="18" t="str">
        <f t="shared" si="204"/>
        <v>Eintrag 2717</v>
      </c>
      <c r="B2718" s="18">
        <v>100</v>
      </c>
      <c r="C2718" s="19">
        <v>100</v>
      </c>
      <c r="D2718" s="20">
        <v>10</v>
      </c>
      <c r="E2718" s="20">
        <v>10</v>
      </c>
      <c r="F2718" s="20">
        <v>10</v>
      </c>
      <c r="G2718" s="19">
        <f t="shared" si="203"/>
        <v>172</v>
      </c>
      <c r="H2718" s="22">
        <f t="shared" si="200"/>
        <v>2717</v>
      </c>
      <c r="I2718" s="21">
        <f t="shared" ca="1" si="201"/>
        <v>0</v>
      </c>
      <c r="J2718" s="21" t="str">
        <f ca="1">IF(I2718=0,"",COUNTIF($I$2:I2718,"&gt;0"))</f>
        <v/>
      </c>
      <c r="K2718" s="21" t="str">
        <f t="shared" ca="1" si="202"/>
        <v/>
      </c>
    </row>
    <row r="2719" spans="1:11" s="18" customFormat="1" ht="14.25" x14ac:dyDescent="0.2">
      <c r="A2719" s="18" t="str">
        <f t="shared" si="204"/>
        <v>Eintrag 2718</v>
      </c>
      <c r="B2719" s="18">
        <v>100</v>
      </c>
      <c r="C2719" s="19">
        <v>100</v>
      </c>
      <c r="D2719" s="20">
        <v>10</v>
      </c>
      <c r="E2719" s="20">
        <v>10</v>
      </c>
      <c r="F2719" s="20">
        <v>10</v>
      </c>
      <c r="G2719" s="19">
        <f t="shared" si="203"/>
        <v>172</v>
      </c>
      <c r="H2719" s="22">
        <f t="shared" si="200"/>
        <v>2718</v>
      </c>
      <c r="I2719" s="21">
        <f t="shared" ca="1" si="201"/>
        <v>0</v>
      </c>
      <c r="J2719" s="21" t="str">
        <f ca="1">IF(I2719=0,"",COUNTIF($I$2:I2719,"&gt;0"))</f>
        <v/>
      </c>
      <c r="K2719" s="21" t="str">
        <f t="shared" ca="1" si="202"/>
        <v/>
      </c>
    </row>
    <row r="2720" spans="1:11" s="18" customFormat="1" ht="14.25" x14ac:dyDescent="0.2">
      <c r="A2720" s="18" t="str">
        <f t="shared" si="204"/>
        <v>Eintrag 2719</v>
      </c>
      <c r="B2720" s="18">
        <v>100</v>
      </c>
      <c r="C2720" s="19">
        <v>100</v>
      </c>
      <c r="D2720" s="20">
        <v>10</v>
      </c>
      <c r="E2720" s="20">
        <v>10</v>
      </c>
      <c r="F2720" s="20">
        <v>10</v>
      </c>
      <c r="G2720" s="19">
        <f t="shared" si="203"/>
        <v>172</v>
      </c>
      <c r="H2720" s="22">
        <f t="shared" si="200"/>
        <v>2719</v>
      </c>
      <c r="I2720" s="21">
        <f t="shared" ca="1" si="201"/>
        <v>0</v>
      </c>
      <c r="J2720" s="21" t="str">
        <f ca="1">IF(I2720=0,"",COUNTIF($I$2:I2720,"&gt;0"))</f>
        <v/>
      </c>
      <c r="K2720" s="21" t="str">
        <f t="shared" ca="1" si="202"/>
        <v/>
      </c>
    </row>
    <row r="2721" spans="1:11" s="18" customFormat="1" ht="14.25" x14ac:dyDescent="0.2">
      <c r="A2721" s="18" t="str">
        <f t="shared" si="204"/>
        <v>Eintrag 2720</v>
      </c>
      <c r="B2721" s="18">
        <v>100</v>
      </c>
      <c r="C2721" s="19">
        <v>100</v>
      </c>
      <c r="D2721" s="20">
        <v>10</v>
      </c>
      <c r="E2721" s="20">
        <v>10</v>
      </c>
      <c r="F2721" s="20">
        <v>10</v>
      </c>
      <c r="G2721" s="19">
        <f t="shared" si="203"/>
        <v>172</v>
      </c>
      <c r="H2721" s="22">
        <f t="shared" si="200"/>
        <v>2720</v>
      </c>
      <c r="I2721" s="21">
        <f t="shared" ca="1" si="201"/>
        <v>0</v>
      </c>
      <c r="J2721" s="21" t="str">
        <f ca="1">IF(I2721=0,"",COUNTIF($I$2:I2721,"&gt;0"))</f>
        <v/>
      </c>
      <c r="K2721" s="21" t="str">
        <f t="shared" ca="1" si="202"/>
        <v/>
      </c>
    </row>
    <row r="2722" spans="1:11" s="18" customFormat="1" ht="14.25" x14ac:dyDescent="0.2">
      <c r="A2722" s="18" t="str">
        <f t="shared" si="204"/>
        <v>Eintrag 2721</v>
      </c>
      <c r="B2722" s="18">
        <v>100</v>
      </c>
      <c r="C2722" s="19">
        <v>100</v>
      </c>
      <c r="D2722" s="20">
        <v>10</v>
      </c>
      <c r="E2722" s="20">
        <v>10</v>
      </c>
      <c r="F2722" s="20">
        <v>10</v>
      </c>
      <c r="G2722" s="19">
        <f t="shared" si="203"/>
        <v>172</v>
      </c>
      <c r="H2722" s="22">
        <f t="shared" si="200"/>
        <v>2721</v>
      </c>
      <c r="I2722" s="21">
        <f t="shared" ca="1" si="201"/>
        <v>0</v>
      </c>
      <c r="J2722" s="21" t="str">
        <f ca="1">IF(I2722=0,"",COUNTIF($I$2:I2722,"&gt;0"))</f>
        <v/>
      </c>
      <c r="K2722" s="21" t="str">
        <f t="shared" ca="1" si="202"/>
        <v/>
      </c>
    </row>
    <row r="2723" spans="1:11" s="18" customFormat="1" ht="14.25" x14ac:dyDescent="0.2">
      <c r="A2723" s="18" t="str">
        <f t="shared" si="204"/>
        <v>Eintrag 2722</v>
      </c>
      <c r="B2723" s="18">
        <v>100</v>
      </c>
      <c r="C2723" s="19">
        <v>100</v>
      </c>
      <c r="D2723" s="20">
        <v>10</v>
      </c>
      <c r="E2723" s="20">
        <v>10</v>
      </c>
      <c r="F2723" s="20">
        <v>10</v>
      </c>
      <c r="G2723" s="19">
        <f t="shared" si="203"/>
        <v>172</v>
      </c>
      <c r="H2723" s="22">
        <f t="shared" si="200"/>
        <v>2722</v>
      </c>
      <c r="I2723" s="21">
        <f t="shared" ca="1" si="201"/>
        <v>0</v>
      </c>
      <c r="J2723" s="21" t="str">
        <f ca="1">IF(I2723=0,"",COUNTIF($I$2:I2723,"&gt;0"))</f>
        <v/>
      </c>
      <c r="K2723" s="21" t="str">
        <f t="shared" ca="1" si="202"/>
        <v/>
      </c>
    </row>
    <row r="2724" spans="1:11" s="18" customFormat="1" ht="14.25" x14ac:dyDescent="0.2">
      <c r="A2724" s="18" t="str">
        <f t="shared" si="204"/>
        <v>Eintrag 2723</v>
      </c>
      <c r="B2724" s="18">
        <v>100</v>
      </c>
      <c r="C2724" s="19">
        <v>100</v>
      </c>
      <c r="D2724" s="20">
        <v>10</v>
      </c>
      <c r="E2724" s="20">
        <v>10</v>
      </c>
      <c r="F2724" s="20">
        <v>10</v>
      </c>
      <c r="G2724" s="19">
        <f t="shared" si="203"/>
        <v>172</v>
      </c>
      <c r="H2724" s="22">
        <f t="shared" si="200"/>
        <v>2723</v>
      </c>
      <c r="I2724" s="21">
        <f t="shared" ca="1" si="201"/>
        <v>0</v>
      </c>
      <c r="J2724" s="21" t="str">
        <f ca="1">IF(I2724=0,"",COUNTIF($I$2:I2724,"&gt;0"))</f>
        <v/>
      </c>
      <c r="K2724" s="21" t="str">
        <f t="shared" ca="1" si="202"/>
        <v/>
      </c>
    </row>
    <row r="2725" spans="1:11" s="18" customFormat="1" ht="14.25" x14ac:dyDescent="0.2">
      <c r="A2725" s="18" t="str">
        <f t="shared" si="204"/>
        <v>Eintrag 2724</v>
      </c>
      <c r="B2725" s="18">
        <v>100</v>
      </c>
      <c r="C2725" s="19">
        <v>100</v>
      </c>
      <c r="D2725" s="20">
        <v>10</v>
      </c>
      <c r="E2725" s="20">
        <v>10</v>
      </c>
      <c r="F2725" s="20">
        <v>10</v>
      </c>
      <c r="G2725" s="19">
        <f t="shared" si="203"/>
        <v>172</v>
      </c>
      <c r="H2725" s="22">
        <f t="shared" ref="H2725:H2788" si="205">H2724+1</f>
        <v>2724</v>
      </c>
      <c r="I2725" s="21">
        <f t="shared" ca="1" si="201"/>
        <v>0</v>
      </c>
      <c r="J2725" s="21" t="str">
        <f ca="1">IF(I2725=0,"",COUNTIF($I$2:I2725,"&gt;0"))</f>
        <v/>
      </c>
      <c r="K2725" s="21" t="str">
        <f t="shared" ca="1" si="202"/>
        <v/>
      </c>
    </row>
    <row r="2726" spans="1:11" s="18" customFormat="1" ht="14.25" x14ac:dyDescent="0.2">
      <c r="A2726" s="18" t="str">
        <f t="shared" si="204"/>
        <v>Eintrag 2725</v>
      </c>
      <c r="B2726" s="18">
        <v>100</v>
      </c>
      <c r="C2726" s="19">
        <v>100</v>
      </c>
      <c r="D2726" s="20">
        <v>10</v>
      </c>
      <c r="E2726" s="20">
        <v>10</v>
      </c>
      <c r="F2726" s="20">
        <v>10</v>
      </c>
      <c r="G2726" s="19">
        <f t="shared" si="203"/>
        <v>172</v>
      </c>
      <c r="H2726" s="22">
        <f t="shared" si="205"/>
        <v>2725</v>
      </c>
      <c r="I2726" s="21">
        <f t="shared" ca="1" si="201"/>
        <v>0</v>
      </c>
      <c r="J2726" s="21" t="str">
        <f ca="1">IF(I2726=0,"",COUNTIF($I$2:I2726,"&gt;0"))</f>
        <v/>
      </c>
      <c r="K2726" s="21" t="str">
        <f t="shared" ca="1" si="202"/>
        <v/>
      </c>
    </row>
    <row r="2727" spans="1:11" s="18" customFormat="1" ht="14.25" x14ac:dyDescent="0.2">
      <c r="A2727" s="18" t="str">
        <f t="shared" si="204"/>
        <v>Eintrag 2726</v>
      </c>
      <c r="B2727" s="18">
        <v>100</v>
      </c>
      <c r="C2727" s="19">
        <v>100</v>
      </c>
      <c r="D2727" s="20">
        <v>10</v>
      </c>
      <c r="E2727" s="20">
        <v>10</v>
      </c>
      <c r="F2727" s="20">
        <v>10</v>
      </c>
      <c r="G2727" s="19">
        <f t="shared" si="203"/>
        <v>172</v>
      </c>
      <c r="H2727" s="22">
        <f t="shared" si="205"/>
        <v>2726</v>
      </c>
      <c r="I2727" s="21">
        <f t="shared" ca="1" si="201"/>
        <v>0</v>
      </c>
      <c r="J2727" s="21" t="str">
        <f ca="1">IF(I2727=0,"",COUNTIF($I$2:I2727,"&gt;0"))</f>
        <v/>
      </c>
      <c r="K2727" s="21" t="str">
        <f t="shared" ca="1" si="202"/>
        <v/>
      </c>
    </row>
    <row r="2728" spans="1:11" s="18" customFormat="1" ht="14.25" x14ac:dyDescent="0.2">
      <c r="A2728" s="18" t="str">
        <f t="shared" si="204"/>
        <v>Eintrag 2727</v>
      </c>
      <c r="B2728" s="18">
        <v>100</v>
      </c>
      <c r="C2728" s="19">
        <v>100</v>
      </c>
      <c r="D2728" s="20">
        <v>10</v>
      </c>
      <c r="E2728" s="20">
        <v>10</v>
      </c>
      <c r="F2728" s="20">
        <v>10</v>
      </c>
      <c r="G2728" s="19">
        <f t="shared" si="203"/>
        <v>172</v>
      </c>
      <c r="H2728" s="22">
        <f t="shared" si="205"/>
        <v>2727</v>
      </c>
      <c r="I2728" s="21">
        <f t="shared" ca="1" si="201"/>
        <v>0</v>
      </c>
      <c r="J2728" s="21" t="str">
        <f ca="1">IF(I2728=0,"",COUNTIF($I$2:I2728,"&gt;0"))</f>
        <v/>
      </c>
      <c r="K2728" s="21" t="str">
        <f t="shared" ca="1" si="202"/>
        <v/>
      </c>
    </row>
    <row r="2729" spans="1:11" s="18" customFormat="1" ht="14.25" x14ac:dyDescent="0.2">
      <c r="A2729" s="18" t="str">
        <f t="shared" si="204"/>
        <v>Eintrag 2728</v>
      </c>
      <c r="B2729" s="18">
        <v>100</v>
      </c>
      <c r="C2729" s="19">
        <v>100</v>
      </c>
      <c r="D2729" s="20">
        <v>10</v>
      </c>
      <c r="E2729" s="20">
        <v>10</v>
      </c>
      <c r="F2729" s="20">
        <v>10</v>
      </c>
      <c r="G2729" s="19">
        <f t="shared" si="203"/>
        <v>172</v>
      </c>
      <c r="H2729" s="22">
        <f t="shared" si="205"/>
        <v>2728</v>
      </c>
      <c r="I2729" s="21">
        <f t="shared" ca="1" si="201"/>
        <v>0</v>
      </c>
      <c r="J2729" s="21" t="str">
        <f ca="1">IF(I2729=0,"",COUNTIF($I$2:I2729,"&gt;0"))</f>
        <v/>
      </c>
      <c r="K2729" s="21" t="str">
        <f t="shared" ca="1" si="202"/>
        <v/>
      </c>
    </row>
    <row r="2730" spans="1:11" s="18" customFormat="1" ht="14.25" x14ac:dyDescent="0.2">
      <c r="A2730" s="18" t="str">
        <f t="shared" si="204"/>
        <v>Eintrag 2729</v>
      </c>
      <c r="B2730" s="18">
        <v>100</v>
      </c>
      <c r="C2730" s="19">
        <v>100</v>
      </c>
      <c r="D2730" s="20">
        <v>10</v>
      </c>
      <c r="E2730" s="20">
        <v>10</v>
      </c>
      <c r="F2730" s="20">
        <v>10</v>
      </c>
      <c r="G2730" s="19">
        <f t="shared" si="203"/>
        <v>172</v>
      </c>
      <c r="H2730" s="22">
        <f t="shared" si="205"/>
        <v>2729</v>
      </c>
      <c r="I2730" s="21">
        <f t="shared" ca="1" si="201"/>
        <v>0</v>
      </c>
      <c r="J2730" s="21" t="str">
        <f ca="1">IF(I2730=0,"",COUNTIF($I$2:I2730,"&gt;0"))</f>
        <v/>
      </c>
      <c r="K2730" s="21" t="str">
        <f t="shared" ca="1" si="202"/>
        <v/>
      </c>
    </row>
    <row r="2731" spans="1:11" s="18" customFormat="1" ht="14.25" x14ac:dyDescent="0.2">
      <c r="A2731" s="18" t="str">
        <f t="shared" si="204"/>
        <v>Eintrag 2730</v>
      </c>
      <c r="B2731" s="18">
        <v>100</v>
      </c>
      <c r="C2731" s="19">
        <v>100</v>
      </c>
      <c r="D2731" s="20">
        <v>10</v>
      </c>
      <c r="E2731" s="20">
        <v>10</v>
      </c>
      <c r="F2731" s="20">
        <v>10</v>
      </c>
      <c r="G2731" s="19">
        <f t="shared" si="203"/>
        <v>172</v>
      </c>
      <c r="H2731" s="22">
        <f t="shared" si="205"/>
        <v>2730</v>
      </c>
      <c r="I2731" s="21">
        <f t="shared" ca="1" si="201"/>
        <v>0</v>
      </c>
      <c r="J2731" s="21" t="str">
        <f ca="1">IF(I2731=0,"",COUNTIF($I$2:I2731,"&gt;0"))</f>
        <v/>
      </c>
      <c r="K2731" s="21" t="str">
        <f t="shared" ca="1" si="202"/>
        <v/>
      </c>
    </row>
    <row r="2732" spans="1:11" s="18" customFormat="1" ht="14.25" x14ac:dyDescent="0.2">
      <c r="A2732" s="18" t="str">
        <f t="shared" si="204"/>
        <v>Eintrag 2731</v>
      </c>
      <c r="B2732" s="18">
        <v>100</v>
      </c>
      <c r="C2732" s="19">
        <v>100</v>
      </c>
      <c r="D2732" s="20">
        <v>10</v>
      </c>
      <c r="E2732" s="20">
        <v>10</v>
      </c>
      <c r="F2732" s="20">
        <v>10</v>
      </c>
      <c r="G2732" s="19">
        <f t="shared" si="203"/>
        <v>172</v>
      </c>
      <c r="H2732" s="22">
        <f t="shared" si="205"/>
        <v>2731</v>
      </c>
      <c r="I2732" s="21">
        <f t="shared" ca="1" si="201"/>
        <v>0</v>
      </c>
      <c r="J2732" s="21" t="str">
        <f ca="1">IF(I2732=0,"",COUNTIF($I$2:I2732,"&gt;0"))</f>
        <v/>
      </c>
      <c r="K2732" s="21" t="str">
        <f t="shared" ca="1" si="202"/>
        <v/>
      </c>
    </row>
    <row r="2733" spans="1:11" s="18" customFormat="1" ht="14.25" x14ac:dyDescent="0.2">
      <c r="A2733" s="18" t="str">
        <f t="shared" si="204"/>
        <v>Eintrag 2732</v>
      </c>
      <c r="B2733" s="18">
        <v>100</v>
      </c>
      <c r="C2733" s="19">
        <v>100</v>
      </c>
      <c r="D2733" s="20">
        <v>10</v>
      </c>
      <c r="E2733" s="20">
        <v>10</v>
      </c>
      <c r="F2733" s="20">
        <v>10</v>
      </c>
      <c r="G2733" s="19">
        <f t="shared" si="203"/>
        <v>172</v>
      </c>
      <c r="H2733" s="22">
        <f t="shared" si="205"/>
        <v>2732</v>
      </c>
      <c r="I2733" s="21">
        <f t="shared" ca="1" si="201"/>
        <v>0</v>
      </c>
      <c r="J2733" s="21" t="str">
        <f ca="1">IF(I2733=0,"",COUNTIF($I$2:I2733,"&gt;0"))</f>
        <v/>
      </c>
      <c r="K2733" s="21" t="str">
        <f t="shared" ca="1" si="202"/>
        <v/>
      </c>
    </row>
    <row r="2734" spans="1:11" s="18" customFormat="1" ht="14.25" x14ac:dyDescent="0.2">
      <c r="A2734" s="18" t="str">
        <f t="shared" si="204"/>
        <v>Eintrag 2733</v>
      </c>
      <c r="B2734" s="18">
        <v>100</v>
      </c>
      <c r="C2734" s="19">
        <v>100</v>
      </c>
      <c r="D2734" s="20">
        <v>10</v>
      </c>
      <c r="E2734" s="20">
        <v>10</v>
      </c>
      <c r="F2734" s="20">
        <v>10</v>
      </c>
      <c r="G2734" s="19">
        <f t="shared" si="203"/>
        <v>172</v>
      </c>
      <c r="H2734" s="22">
        <f t="shared" si="205"/>
        <v>2733</v>
      </c>
      <c r="I2734" s="21">
        <f t="shared" ca="1" si="201"/>
        <v>0</v>
      </c>
      <c r="J2734" s="21" t="str">
        <f ca="1">IF(I2734=0,"",COUNTIF($I$2:I2734,"&gt;0"))</f>
        <v/>
      </c>
      <c r="K2734" s="21" t="str">
        <f t="shared" ca="1" si="202"/>
        <v/>
      </c>
    </row>
    <row r="2735" spans="1:11" s="18" customFormat="1" ht="14.25" x14ac:dyDescent="0.2">
      <c r="A2735" s="18" t="str">
        <f t="shared" si="204"/>
        <v>Eintrag 2734</v>
      </c>
      <c r="B2735" s="18">
        <v>100</v>
      </c>
      <c r="C2735" s="19">
        <v>100</v>
      </c>
      <c r="D2735" s="20">
        <v>10</v>
      </c>
      <c r="E2735" s="20">
        <v>10</v>
      </c>
      <c r="F2735" s="20">
        <v>10</v>
      </c>
      <c r="G2735" s="19">
        <f t="shared" si="203"/>
        <v>172</v>
      </c>
      <c r="H2735" s="22">
        <f t="shared" si="205"/>
        <v>2734</v>
      </c>
      <c r="I2735" s="21">
        <f t="shared" ca="1" si="201"/>
        <v>0</v>
      </c>
      <c r="J2735" s="21" t="str">
        <f ca="1">IF(I2735=0,"",COUNTIF($I$2:I2735,"&gt;0"))</f>
        <v/>
      </c>
      <c r="K2735" s="21" t="str">
        <f t="shared" ca="1" si="202"/>
        <v/>
      </c>
    </row>
    <row r="2736" spans="1:11" s="18" customFormat="1" ht="14.25" x14ac:dyDescent="0.2">
      <c r="A2736" s="18" t="str">
        <f t="shared" si="204"/>
        <v>Eintrag 2735</v>
      </c>
      <c r="B2736" s="18">
        <v>100</v>
      </c>
      <c r="C2736" s="19">
        <v>100</v>
      </c>
      <c r="D2736" s="20">
        <v>10</v>
      </c>
      <c r="E2736" s="20">
        <v>10</v>
      </c>
      <c r="F2736" s="20">
        <v>10</v>
      </c>
      <c r="G2736" s="19">
        <f t="shared" si="203"/>
        <v>172</v>
      </c>
      <c r="H2736" s="22">
        <f t="shared" si="205"/>
        <v>2735</v>
      </c>
      <c r="I2736" s="21">
        <f t="shared" ca="1" si="201"/>
        <v>0</v>
      </c>
      <c r="J2736" s="21" t="str">
        <f ca="1">IF(I2736=0,"",COUNTIF($I$2:I2736,"&gt;0"))</f>
        <v/>
      </c>
      <c r="K2736" s="21" t="str">
        <f t="shared" ca="1" si="202"/>
        <v/>
      </c>
    </row>
    <row r="2737" spans="1:11" s="18" customFormat="1" ht="14.25" x14ac:dyDescent="0.2">
      <c r="A2737" s="18" t="str">
        <f t="shared" si="204"/>
        <v>Eintrag 2736</v>
      </c>
      <c r="B2737" s="18">
        <v>100</v>
      </c>
      <c r="C2737" s="19">
        <v>100</v>
      </c>
      <c r="D2737" s="20">
        <v>10</v>
      </c>
      <c r="E2737" s="20">
        <v>10</v>
      </c>
      <c r="F2737" s="20">
        <v>10</v>
      </c>
      <c r="G2737" s="19">
        <f t="shared" si="203"/>
        <v>172</v>
      </c>
      <c r="H2737" s="22">
        <f t="shared" si="205"/>
        <v>2736</v>
      </c>
      <c r="I2737" s="21">
        <f t="shared" ca="1" si="201"/>
        <v>0</v>
      </c>
      <c r="J2737" s="21" t="str">
        <f ca="1">IF(I2737=0,"",COUNTIF($I$2:I2737,"&gt;0"))</f>
        <v/>
      </c>
      <c r="K2737" s="21" t="str">
        <f t="shared" ca="1" si="202"/>
        <v/>
      </c>
    </row>
    <row r="2738" spans="1:11" s="18" customFormat="1" ht="14.25" x14ac:dyDescent="0.2">
      <c r="A2738" s="18" t="str">
        <f t="shared" si="204"/>
        <v>Eintrag 2737</v>
      </c>
      <c r="B2738" s="18">
        <v>100</v>
      </c>
      <c r="C2738" s="19">
        <v>100</v>
      </c>
      <c r="D2738" s="20">
        <v>10</v>
      </c>
      <c r="E2738" s="20">
        <v>10</v>
      </c>
      <c r="F2738" s="20">
        <v>10</v>
      </c>
      <c r="G2738" s="19">
        <f t="shared" si="203"/>
        <v>172</v>
      </c>
      <c r="H2738" s="22">
        <f t="shared" si="205"/>
        <v>2737</v>
      </c>
      <c r="I2738" s="21">
        <f t="shared" ca="1" si="201"/>
        <v>0</v>
      </c>
      <c r="J2738" s="21" t="str">
        <f ca="1">IF(I2738=0,"",COUNTIF($I$2:I2738,"&gt;0"))</f>
        <v/>
      </c>
      <c r="K2738" s="21" t="str">
        <f t="shared" ca="1" si="202"/>
        <v/>
      </c>
    </row>
    <row r="2739" spans="1:11" s="18" customFormat="1" ht="14.25" x14ac:dyDescent="0.2">
      <c r="A2739" s="18" t="str">
        <f t="shared" si="204"/>
        <v>Eintrag 2738</v>
      </c>
      <c r="B2739" s="18">
        <v>100</v>
      </c>
      <c r="C2739" s="19">
        <v>100</v>
      </c>
      <c r="D2739" s="20">
        <v>10</v>
      </c>
      <c r="E2739" s="20">
        <v>10</v>
      </c>
      <c r="F2739" s="20">
        <v>10</v>
      </c>
      <c r="G2739" s="19">
        <f t="shared" si="203"/>
        <v>172</v>
      </c>
      <c r="H2739" s="22">
        <f t="shared" si="205"/>
        <v>2738</v>
      </c>
      <c r="I2739" s="21">
        <f t="shared" ca="1" si="201"/>
        <v>0</v>
      </c>
      <c r="J2739" s="21" t="str">
        <f ca="1">IF(I2739=0,"",COUNTIF($I$2:I2739,"&gt;0"))</f>
        <v/>
      </c>
      <c r="K2739" s="21" t="str">
        <f t="shared" ca="1" si="202"/>
        <v/>
      </c>
    </row>
    <row r="2740" spans="1:11" s="18" customFormat="1" ht="14.25" x14ac:dyDescent="0.2">
      <c r="A2740" s="18" t="str">
        <f t="shared" si="204"/>
        <v>Eintrag 2739</v>
      </c>
      <c r="B2740" s="18">
        <v>100</v>
      </c>
      <c r="C2740" s="19">
        <v>100</v>
      </c>
      <c r="D2740" s="20">
        <v>10</v>
      </c>
      <c r="E2740" s="20">
        <v>10</v>
      </c>
      <c r="F2740" s="20">
        <v>10</v>
      </c>
      <c r="G2740" s="19">
        <f t="shared" si="203"/>
        <v>172</v>
      </c>
      <c r="H2740" s="22">
        <f t="shared" si="205"/>
        <v>2739</v>
      </c>
      <c r="I2740" s="21">
        <f t="shared" ca="1" si="201"/>
        <v>0</v>
      </c>
      <c r="J2740" s="21" t="str">
        <f ca="1">IF(I2740=0,"",COUNTIF($I$2:I2740,"&gt;0"))</f>
        <v/>
      </c>
      <c r="K2740" s="21" t="str">
        <f t="shared" ca="1" si="202"/>
        <v/>
      </c>
    </row>
    <row r="2741" spans="1:11" s="18" customFormat="1" ht="14.25" x14ac:dyDescent="0.2">
      <c r="A2741" s="18" t="str">
        <f t="shared" si="204"/>
        <v>Eintrag 2740</v>
      </c>
      <c r="B2741" s="18">
        <v>100</v>
      </c>
      <c r="C2741" s="19">
        <v>100</v>
      </c>
      <c r="D2741" s="20">
        <v>10</v>
      </c>
      <c r="E2741" s="20">
        <v>10</v>
      </c>
      <c r="F2741" s="20">
        <v>10</v>
      </c>
      <c r="G2741" s="19">
        <f t="shared" si="203"/>
        <v>172</v>
      </c>
      <c r="H2741" s="22">
        <f t="shared" si="205"/>
        <v>2740</v>
      </c>
      <c r="I2741" s="21">
        <f t="shared" ca="1" si="201"/>
        <v>0</v>
      </c>
      <c r="J2741" s="21" t="str">
        <f ca="1">IF(I2741=0,"",COUNTIF($I$2:I2741,"&gt;0"))</f>
        <v/>
      </c>
      <c r="K2741" s="21" t="str">
        <f t="shared" ca="1" si="202"/>
        <v/>
      </c>
    </row>
    <row r="2742" spans="1:11" s="18" customFormat="1" ht="14.25" x14ac:dyDescent="0.2">
      <c r="A2742" s="18" t="str">
        <f t="shared" si="204"/>
        <v>Eintrag 2741</v>
      </c>
      <c r="B2742" s="18">
        <v>100</v>
      </c>
      <c r="C2742" s="19">
        <v>100</v>
      </c>
      <c r="D2742" s="20">
        <v>10</v>
      </c>
      <c r="E2742" s="20">
        <v>10</v>
      </c>
      <c r="F2742" s="20">
        <v>10</v>
      </c>
      <c r="G2742" s="19">
        <f t="shared" si="203"/>
        <v>172</v>
      </c>
      <c r="H2742" s="22">
        <f t="shared" si="205"/>
        <v>2741</v>
      </c>
      <c r="I2742" s="21">
        <f t="shared" ca="1" si="201"/>
        <v>0</v>
      </c>
      <c r="J2742" s="21" t="str">
        <f ca="1">IF(I2742=0,"",COUNTIF($I$2:I2742,"&gt;0"))</f>
        <v/>
      </c>
      <c r="K2742" s="21" t="str">
        <f t="shared" ca="1" si="202"/>
        <v/>
      </c>
    </row>
    <row r="2743" spans="1:11" s="18" customFormat="1" ht="14.25" x14ac:dyDescent="0.2">
      <c r="A2743" s="18" t="str">
        <f t="shared" si="204"/>
        <v>Eintrag 2742</v>
      </c>
      <c r="B2743" s="18">
        <v>100</v>
      </c>
      <c r="C2743" s="19">
        <v>100</v>
      </c>
      <c r="D2743" s="20">
        <v>10</v>
      </c>
      <c r="E2743" s="20">
        <v>10</v>
      </c>
      <c r="F2743" s="20">
        <v>10</v>
      </c>
      <c r="G2743" s="19">
        <f t="shared" si="203"/>
        <v>172</v>
      </c>
      <c r="H2743" s="22">
        <f t="shared" si="205"/>
        <v>2742</v>
      </c>
      <c r="I2743" s="21">
        <f t="shared" ca="1" si="201"/>
        <v>0</v>
      </c>
      <c r="J2743" s="21" t="str">
        <f ca="1">IF(I2743=0,"",COUNTIF($I$2:I2743,"&gt;0"))</f>
        <v/>
      </c>
      <c r="K2743" s="21" t="str">
        <f t="shared" ca="1" si="202"/>
        <v/>
      </c>
    </row>
    <row r="2744" spans="1:11" s="18" customFormat="1" ht="14.25" x14ac:dyDescent="0.2">
      <c r="A2744" s="18" t="str">
        <f t="shared" si="204"/>
        <v>Eintrag 2743</v>
      </c>
      <c r="B2744" s="18">
        <v>100</v>
      </c>
      <c r="C2744" s="19">
        <v>100</v>
      </c>
      <c r="D2744" s="20">
        <v>10</v>
      </c>
      <c r="E2744" s="20">
        <v>10</v>
      </c>
      <c r="F2744" s="20">
        <v>10</v>
      </c>
      <c r="G2744" s="19">
        <f t="shared" si="203"/>
        <v>172</v>
      </c>
      <c r="H2744" s="22">
        <f t="shared" si="205"/>
        <v>2743</v>
      </c>
      <c r="I2744" s="21">
        <f t="shared" ca="1" si="201"/>
        <v>0</v>
      </c>
      <c r="J2744" s="21" t="str">
        <f ca="1">IF(I2744=0,"",COUNTIF($I$2:I2744,"&gt;0"))</f>
        <v/>
      </c>
      <c r="K2744" s="21" t="str">
        <f t="shared" ca="1" si="202"/>
        <v/>
      </c>
    </row>
    <row r="2745" spans="1:11" s="18" customFormat="1" ht="14.25" x14ac:dyDescent="0.2">
      <c r="A2745" s="18" t="str">
        <f t="shared" si="204"/>
        <v>Eintrag 2744</v>
      </c>
      <c r="B2745" s="18">
        <v>100</v>
      </c>
      <c r="C2745" s="19">
        <v>100</v>
      </c>
      <c r="D2745" s="20">
        <v>10</v>
      </c>
      <c r="E2745" s="20">
        <v>10</v>
      </c>
      <c r="F2745" s="20">
        <v>10</v>
      </c>
      <c r="G2745" s="19">
        <f t="shared" si="203"/>
        <v>172</v>
      </c>
      <c r="H2745" s="22">
        <f t="shared" si="205"/>
        <v>2744</v>
      </c>
      <c r="I2745" s="21">
        <f t="shared" ca="1" si="201"/>
        <v>0</v>
      </c>
      <c r="J2745" s="21" t="str">
        <f ca="1">IF(I2745=0,"",COUNTIF($I$2:I2745,"&gt;0"))</f>
        <v/>
      </c>
      <c r="K2745" s="21" t="str">
        <f t="shared" ca="1" si="202"/>
        <v/>
      </c>
    </row>
    <row r="2746" spans="1:11" s="18" customFormat="1" ht="14.25" x14ac:dyDescent="0.2">
      <c r="A2746" s="18" t="str">
        <f t="shared" si="204"/>
        <v>Eintrag 2745</v>
      </c>
      <c r="B2746" s="18">
        <v>100</v>
      </c>
      <c r="C2746" s="19">
        <v>100</v>
      </c>
      <c r="D2746" s="20">
        <v>10</v>
      </c>
      <c r="E2746" s="20">
        <v>10</v>
      </c>
      <c r="F2746" s="20">
        <v>10</v>
      </c>
      <c r="G2746" s="19">
        <f t="shared" si="203"/>
        <v>172</v>
      </c>
      <c r="H2746" s="22">
        <f t="shared" si="205"/>
        <v>2745</v>
      </c>
      <c r="I2746" s="21">
        <f t="shared" ca="1" si="201"/>
        <v>0</v>
      </c>
      <c r="J2746" s="21" t="str">
        <f ca="1">IF(I2746=0,"",COUNTIF($I$2:I2746,"&gt;0"))</f>
        <v/>
      </c>
      <c r="K2746" s="21" t="str">
        <f t="shared" ca="1" si="202"/>
        <v/>
      </c>
    </row>
    <row r="2747" spans="1:11" s="18" customFormat="1" ht="14.25" x14ac:dyDescent="0.2">
      <c r="A2747" s="18" t="str">
        <f t="shared" si="204"/>
        <v>Eintrag 2746</v>
      </c>
      <c r="B2747" s="18">
        <v>100</v>
      </c>
      <c r="C2747" s="19">
        <v>100</v>
      </c>
      <c r="D2747" s="20">
        <v>10</v>
      </c>
      <c r="E2747" s="20">
        <v>10</v>
      </c>
      <c r="F2747" s="20">
        <v>10</v>
      </c>
      <c r="G2747" s="19">
        <f t="shared" si="203"/>
        <v>172</v>
      </c>
      <c r="H2747" s="22">
        <f t="shared" si="205"/>
        <v>2746</v>
      </c>
      <c r="I2747" s="21">
        <f t="shared" ref="I2747:I2810" ca="1" si="206">IFERROR(SEARCH(INDIRECT(CELL("address")),A2747),0)</f>
        <v>0</v>
      </c>
      <c r="J2747" s="21" t="str">
        <f ca="1">IF(I2747=0,"",COUNTIF($I$2:I2747,"&gt;0"))</f>
        <v/>
      </c>
      <c r="K2747" s="21" t="str">
        <f t="shared" ca="1" si="202"/>
        <v/>
      </c>
    </row>
    <row r="2748" spans="1:11" s="18" customFormat="1" ht="14.25" x14ac:dyDescent="0.2">
      <c r="A2748" s="18" t="str">
        <f t="shared" si="204"/>
        <v>Eintrag 2747</v>
      </c>
      <c r="B2748" s="18">
        <v>100</v>
      </c>
      <c r="C2748" s="19">
        <v>100</v>
      </c>
      <c r="D2748" s="20">
        <v>10</v>
      </c>
      <c r="E2748" s="20">
        <v>10</v>
      </c>
      <c r="F2748" s="20">
        <v>10</v>
      </c>
      <c r="G2748" s="19">
        <f t="shared" si="203"/>
        <v>172</v>
      </c>
      <c r="H2748" s="22">
        <f t="shared" si="205"/>
        <v>2747</v>
      </c>
      <c r="I2748" s="21">
        <f t="shared" ca="1" si="206"/>
        <v>0</v>
      </c>
      <c r="J2748" s="21" t="str">
        <f ca="1">IF(I2748=0,"",COUNTIF($I$2:I2748,"&gt;0"))</f>
        <v/>
      </c>
      <c r="K2748" s="21" t="str">
        <f t="shared" ca="1" si="202"/>
        <v/>
      </c>
    </row>
    <row r="2749" spans="1:11" s="18" customFormat="1" ht="14.25" x14ac:dyDescent="0.2">
      <c r="A2749" s="18" t="str">
        <f t="shared" si="204"/>
        <v>Eintrag 2748</v>
      </c>
      <c r="B2749" s="18">
        <v>100</v>
      </c>
      <c r="C2749" s="19">
        <v>100</v>
      </c>
      <c r="D2749" s="20">
        <v>10</v>
      </c>
      <c r="E2749" s="20">
        <v>10</v>
      </c>
      <c r="F2749" s="20">
        <v>10</v>
      </c>
      <c r="G2749" s="19">
        <f t="shared" si="203"/>
        <v>172</v>
      </c>
      <c r="H2749" s="22">
        <f t="shared" si="205"/>
        <v>2748</v>
      </c>
      <c r="I2749" s="21">
        <f t="shared" ca="1" si="206"/>
        <v>0</v>
      </c>
      <c r="J2749" s="21" t="str">
        <f ca="1">IF(I2749=0,"",COUNTIF($I$2:I2749,"&gt;0"))</f>
        <v/>
      </c>
      <c r="K2749" s="21" t="str">
        <f t="shared" ca="1" si="202"/>
        <v/>
      </c>
    </row>
    <row r="2750" spans="1:11" s="18" customFormat="1" ht="14.25" x14ac:dyDescent="0.2">
      <c r="A2750" s="18" t="str">
        <f t="shared" si="204"/>
        <v>Eintrag 2749</v>
      </c>
      <c r="B2750" s="18">
        <v>100</v>
      </c>
      <c r="C2750" s="19">
        <v>100</v>
      </c>
      <c r="D2750" s="20">
        <v>10</v>
      </c>
      <c r="E2750" s="20">
        <v>10</v>
      </c>
      <c r="F2750" s="20">
        <v>10</v>
      </c>
      <c r="G2750" s="19">
        <f t="shared" si="203"/>
        <v>172</v>
      </c>
      <c r="H2750" s="22">
        <f t="shared" si="205"/>
        <v>2749</v>
      </c>
      <c r="I2750" s="21">
        <f t="shared" ca="1" si="206"/>
        <v>0</v>
      </c>
      <c r="J2750" s="21" t="str">
        <f ca="1">IF(I2750=0,"",COUNTIF($I$2:I2750,"&gt;0"))</f>
        <v/>
      </c>
      <c r="K2750" s="21" t="str">
        <f t="shared" ca="1" si="202"/>
        <v/>
      </c>
    </row>
    <row r="2751" spans="1:11" s="18" customFormat="1" ht="14.25" x14ac:dyDescent="0.2">
      <c r="A2751" s="18" t="str">
        <f t="shared" si="204"/>
        <v>Eintrag 2750</v>
      </c>
      <c r="B2751" s="18">
        <v>100</v>
      </c>
      <c r="C2751" s="19">
        <v>100</v>
      </c>
      <c r="D2751" s="20">
        <v>10</v>
      </c>
      <c r="E2751" s="20">
        <v>10</v>
      </c>
      <c r="F2751" s="20">
        <v>10</v>
      </c>
      <c r="G2751" s="19">
        <f t="shared" si="203"/>
        <v>172</v>
      </c>
      <c r="H2751" s="22">
        <f t="shared" si="205"/>
        <v>2750</v>
      </c>
      <c r="I2751" s="21">
        <f t="shared" ca="1" si="206"/>
        <v>0</v>
      </c>
      <c r="J2751" s="21" t="str">
        <f ca="1">IF(I2751=0,"",COUNTIF($I$2:I2751,"&gt;0"))</f>
        <v/>
      </c>
      <c r="K2751" s="21" t="str">
        <f t="shared" ca="1" si="202"/>
        <v/>
      </c>
    </row>
    <row r="2752" spans="1:11" s="18" customFormat="1" ht="14.25" x14ac:dyDescent="0.2">
      <c r="A2752" s="18" t="str">
        <f t="shared" si="204"/>
        <v>Eintrag 2751</v>
      </c>
      <c r="B2752" s="18">
        <v>100</v>
      </c>
      <c r="C2752" s="19">
        <v>100</v>
      </c>
      <c r="D2752" s="20">
        <v>10</v>
      </c>
      <c r="E2752" s="20">
        <v>10</v>
      </c>
      <c r="F2752" s="20">
        <v>10</v>
      </c>
      <c r="G2752" s="19">
        <f t="shared" si="203"/>
        <v>172</v>
      </c>
      <c r="H2752" s="22">
        <f t="shared" si="205"/>
        <v>2751</v>
      </c>
      <c r="I2752" s="21">
        <f t="shared" ca="1" si="206"/>
        <v>0</v>
      </c>
      <c r="J2752" s="21" t="str">
        <f ca="1">IF(I2752=0,"",COUNTIF($I$2:I2752,"&gt;0"))</f>
        <v/>
      </c>
      <c r="K2752" s="21" t="str">
        <f t="shared" ca="1" si="202"/>
        <v/>
      </c>
    </row>
    <row r="2753" spans="1:11" s="18" customFormat="1" ht="14.25" x14ac:dyDescent="0.2">
      <c r="A2753" s="18" t="str">
        <f t="shared" si="204"/>
        <v>Eintrag 2752</v>
      </c>
      <c r="B2753" s="18">
        <v>100</v>
      </c>
      <c r="C2753" s="19">
        <v>100</v>
      </c>
      <c r="D2753" s="20">
        <v>10</v>
      </c>
      <c r="E2753" s="20">
        <v>10</v>
      </c>
      <c r="F2753" s="20">
        <v>10</v>
      </c>
      <c r="G2753" s="19">
        <f t="shared" si="203"/>
        <v>172</v>
      </c>
      <c r="H2753" s="22">
        <f t="shared" si="205"/>
        <v>2752</v>
      </c>
      <c r="I2753" s="21">
        <f t="shared" ca="1" si="206"/>
        <v>0</v>
      </c>
      <c r="J2753" s="21" t="str">
        <f ca="1">IF(I2753=0,"",COUNTIF($I$2:I2753,"&gt;0"))</f>
        <v/>
      </c>
      <c r="K2753" s="21" t="str">
        <f t="shared" ca="1" si="202"/>
        <v/>
      </c>
    </row>
    <row r="2754" spans="1:11" s="18" customFormat="1" ht="14.25" x14ac:dyDescent="0.2">
      <c r="A2754" s="18" t="str">
        <f t="shared" si="204"/>
        <v>Eintrag 2753</v>
      </c>
      <c r="B2754" s="18">
        <v>100</v>
      </c>
      <c r="C2754" s="19">
        <v>100</v>
      </c>
      <c r="D2754" s="20">
        <v>10</v>
      </c>
      <c r="E2754" s="20">
        <v>10</v>
      </c>
      <c r="F2754" s="20">
        <v>10</v>
      </c>
      <c r="G2754" s="19">
        <f t="shared" si="203"/>
        <v>172</v>
      </c>
      <c r="H2754" s="22">
        <f t="shared" si="205"/>
        <v>2753</v>
      </c>
      <c r="I2754" s="21">
        <f t="shared" ca="1" si="206"/>
        <v>0</v>
      </c>
      <c r="J2754" s="21" t="str">
        <f ca="1">IF(I2754=0,"",COUNTIF($I$2:I2754,"&gt;0"))</f>
        <v/>
      </c>
      <c r="K2754" s="21" t="str">
        <f t="shared" ref="K2754:K2817" ca="1" si="207">IFERROR(INDEX(A:A,MATCH(ROW(I2753),J:J,0)),"")</f>
        <v/>
      </c>
    </row>
    <row r="2755" spans="1:11" s="18" customFormat="1" ht="14.25" x14ac:dyDescent="0.2">
      <c r="A2755" s="18" t="str">
        <f t="shared" si="204"/>
        <v>Eintrag 2754</v>
      </c>
      <c r="B2755" s="18">
        <v>100</v>
      </c>
      <c r="C2755" s="19">
        <v>100</v>
      </c>
      <c r="D2755" s="20">
        <v>10</v>
      </c>
      <c r="E2755" s="20">
        <v>10</v>
      </c>
      <c r="F2755" s="20">
        <v>10</v>
      </c>
      <c r="G2755" s="19">
        <f t="shared" ref="G2755:G2818" si="208">D2755*9+E2755*4.1+F2755*4.1</f>
        <v>172</v>
      </c>
      <c r="H2755" s="22">
        <f t="shared" si="205"/>
        <v>2754</v>
      </c>
      <c r="I2755" s="21">
        <f t="shared" ca="1" si="206"/>
        <v>0</v>
      </c>
      <c r="J2755" s="21" t="str">
        <f ca="1">IF(I2755=0,"",COUNTIF($I$2:I2755,"&gt;0"))</f>
        <v/>
      </c>
      <c r="K2755" s="21" t="str">
        <f t="shared" ca="1" si="207"/>
        <v/>
      </c>
    </row>
    <row r="2756" spans="1:11" s="18" customFormat="1" ht="14.25" x14ac:dyDescent="0.2">
      <c r="A2756" s="18" t="str">
        <f t="shared" si="204"/>
        <v>Eintrag 2755</v>
      </c>
      <c r="B2756" s="18">
        <v>100</v>
      </c>
      <c r="C2756" s="19">
        <v>100</v>
      </c>
      <c r="D2756" s="20">
        <v>10</v>
      </c>
      <c r="E2756" s="20">
        <v>10</v>
      </c>
      <c r="F2756" s="20">
        <v>10</v>
      </c>
      <c r="G2756" s="19">
        <f t="shared" si="208"/>
        <v>172</v>
      </c>
      <c r="H2756" s="22">
        <f t="shared" si="205"/>
        <v>2755</v>
      </c>
      <c r="I2756" s="21">
        <f t="shared" ca="1" si="206"/>
        <v>0</v>
      </c>
      <c r="J2756" s="21" t="str">
        <f ca="1">IF(I2756=0,"",COUNTIF($I$2:I2756,"&gt;0"))</f>
        <v/>
      </c>
      <c r="K2756" s="21" t="str">
        <f t="shared" ca="1" si="207"/>
        <v/>
      </c>
    </row>
    <row r="2757" spans="1:11" s="18" customFormat="1" ht="14.25" x14ac:dyDescent="0.2">
      <c r="A2757" s="18" t="str">
        <f t="shared" ref="A2757:A2920" si="209">CONCATENATE("Eintrag ",H2757)</f>
        <v>Eintrag 2756</v>
      </c>
      <c r="B2757" s="18">
        <v>100</v>
      </c>
      <c r="C2757" s="19">
        <v>100</v>
      </c>
      <c r="D2757" s="20">
        <v>10</v>
      </c>
      <c r="E2757" s="20">
        <v>10</v>
      </c>
      <c r="F2757" s="20">
        <v>10</v>
      </c>
      <c r="G2757" s="19">
        <f t="shared" si="208"/>
        <v>172</v>
      </c>
      <c r="H2757" s="22">
        <f t="shared" si="205"/>
        <v>2756</v>
      </c>
      <c r="I2757" s="21">
        <f t="shared" ca="1" si="206"/>
        <v>0</v>
      </c>
      <c r="J2757" s="21" t="str">
        <f ca="1">IF(I2757=0,"",COUNTIF($I$2:I2757,"&gt;0"))</f>
        <v/>
      </c>
      <c r="K2757" s="21" t="str">
        <f t="shared" ca="1" si="207"/>
        <v/>
      </c>
    </row>
    <row r="2758" spans="1:11" s="18" customFormat="1" ht="14.25" x14ac:dyDescent="0.2">
      <c r="A2758" s="18" t="str">
        <f t="shared" si="209"/>
        <v>Eintrag 2757</v>
      </c>
      <c r="B2758" s="18">
        <v>100</v>
      </c>
      <c r="C2758" s="19">
        <v>100</v>
      </c>
      <c r="D2758" s="20">
        <v>10</v>
      </c>
      <c r="E2758" s="20">
        <v>10</v>
      </c>
      <c r="F2758" s="20">
        <v>10</v>
      </c>
      <c r="G2758" s="19">
        <f t="shared" si="208"/>
        <v>172</v>
      </c>
      <c r="H2758" s="22">
        <f t="shared" si="205"/>
        <v>2757</v>
      </c>
      <c r="I2758" s="21">
        <f t="shared" ca="1" si="206"/>
        <v>0</v>
      </c>
      <c r="J2758" s="21" t="str">
        <f ca="1">IF(I2758=0,"",COUNTIF($I$2:I2758,"&gt;0"))</f>
        <v/>
      </c>
      <c r="K2758" s="21" t="str">
        <f t="shared" ca="1" si="207"/>
        <v/>
      </c>
    </row>
    <row r="2759" spans="1:11" s="18" customFormat="1" ht="14.25" x14ac:dyDescent="0.2">
      <c r="A2759" s="18" t="str">
        <f t="shared" si="209"/>
        <v>Eintrag 2758</v>
      </c>
      <c r="B2759" s="18">
        <v>100</v>
      </c>
      <c r="C2759" s="19">
        <v>100</v>
      </c>
      <c r="D2759" s="20">
        <v>10</v>
      </c>
      <c r="E2759" s="20">
        <v>10</v>
      </c>
      <c r="F2759" s="20">
        <v>10</v>
      </c>
      <c r="G2759" s="19">
        <f t="shared" si="208"/>
        <v>172</v>
      </c>
      <c r="H2759" s="22">
        <f t="shared" si="205"/>
        <v>2758</v>
      </c>
      <c r="I2759" s="21">
        <f t="shared" ca="1" si="206"/>
        <v>0</v>
      </c>
      <c r="J2759" s="21" t="str">
        <f ca="1">IF(I2759=0,"",COUNTIF($I$2:I2759,"&gt;0"))</f>
        <v/>
      </c>
      <c r="K2759" s="21" t="str">
        <f t="shared" ca="1" si="207"/>
        <v/>
      </c>
    </row>
    <row r="2760" spans="1:11" s="18" customFormat="1" ht="14.25" x14ac:dyDescent="0.2">
      <c r="A2760" s="18" t="str">
        <f t="shared" si="209"/>
        <v>Eintrag 2759</v>
      </c>
      <c r="B2760" s="18">
        <v>100</v>
      </c>
      <c r="C2760" s="19">
        <v>100</v>
      </c>
      <c r="D2760" s="20">
        <v>10</v>
      </c>
      <c r="E2760" s="20">
        <v>10</v>
      </c>
      <c r="F2760" s="20">
        <v>10</v>
      </c>
      <c r="G2760" s="19">
        <f t="shared" si="208"/>
        <v>172</v>
      </c>
      <c r="H2760" s="22">
        <f t="shared" si="205"/>
        <v>2759</v>
      </c>
      <c r="I2760" s="21">
        <f t="shared" ca="1" si="206"/>
        <v>0</v>
      </c>
      <c r="J2760" s="21" t="str">
        <f ca="1">IF(I2760=0,"",COUNTIF($I$2:I2760,"&gt;0"))</f>
        <v/>
      </c>
      <c r="K2760" s="21" t="str">
        <f t="shared" ca="1" si="207"/>
        <v/>
      </c>
    </row>
    <row r="2761" spans="1:11" s="18" customFormat="1" ht="14.25" x14ac:dyDescent="0.2">
      <c r="A2761" s="18" t="str">
        <f t="shared" si="209"/>
        <v>Eintrag 2760</v>
      </c>
      <c r="B2761" s="18">
        <v>100</v>
      </c>
      <c r="C2761" s="19">
        <v>100</v>
      </c>
      <c r="D2761" s="20">
        <v>10</v>
      </c>
      <c r="E2761" s="20">
        <v>10</v>
      </c>
      <c r="F2761" s="20">
        <v>10</v>
      </c>
      <c r="G2761" s="19">
        <f t="shared" si="208"/>
        <v>172</v>
      </c>
      <c r="H2761" s="22">
        <f t="shared" si="205"/>
        <v>2760</v>
      </c>
      <c r="I2761" s="21">
        <f t="shared" ca="1" si="206"/>
        <v>0</v>
      </c>
      <c r="J2761" s="21" t="str">
        <f ca="1">IF(I2761=0,"",COUNTIF($I$2:I2761,"&gt;0"))</f>
        <v/>
      </c>
      <c r="K2761" s="21" t="str">
        <f t="shared" ca="1" si="207"/>
        <v/>
      </c>
    </row>
    <row r="2762" spans="1:11" s="18" customFormat="1" ht="14.25" x14ac:dyDescent="0.2">
      <c r="A2762" s="18" t="str">
        <f t="shared" si="209"/>
        <v>Eintrag 2761</v>
      </c>
      <c r="B2762" s="18">
        <v>100</v>
      </c>
      <c r="C2762" s="19">
        <v>100</v>
      </c>
      <c r="D2762" s="20">
        <v>10</v>
      </c>
      <c r="E2762" s="20">
        <v>10</v>
      </c>
      <c r="F2762" s="20">
        <v>10</v>
      </c>
      <c r="G2762" s="19">
        <f t="shared" si="208"/>
        <v>172</v>
      </c>
      <c r="H2762" s="22">
        <f t="shared" si="205"/>
        <v>2761</v>
      </c>
      <c r="I2762" s="21">
        <f t="shared" ca="1" si="206"/>
        <v>0</v>
      </c>
      <c r="J2762" s="21" t="str">
        <f ca="1">IF(I2762=0,"",COUNTIF($I$2:I2762,"&gt;0"))</f>
        <v/>
      </c>
      <c r="K2762" s="21" t="str">
        <f t="shared" ca="1" si="207"/>
        <v/>
      </c>
    </row>
    <row r="2763" spans="1:11" s="18" customFormat="1" ht="14.25" x14ac:dyDescent="0.2">
      <c r="A2763" s="18" t="str">
        <f t="shared" si="209"/>
        <v>Eintrag 2762</v>
      </c>
      <c r="B2763" s="18">
        <v>100</v>
      </c>
      <c r="C2763" s="19">
        <v>100</v>
      </c>
      <c r="D2763" s="20">
        <v>10</v>
      </c>
      <c r="E2763" s="20">
        <v>10</v>
      </c>
      <c r="F2763" s="20">
        <v>10</v>
      </c>
      <c r="G2763" s="19">
        <f t="shared" si="208"/>
        <v>172</v>
      </c>
      <c r="H2763" s="22">
        <f t="shared" si="205"/>
        <v>2762</v>
      </c>
      <c r="I2763" s="21">
        <f t="shared" ca="1" si="206"/>
        <v>0</v>
      </c>
      <c r="J2763" s="21" t="str">
        <f ca="1">IF(I2763=0,"",COUNTIF($I$2:I2763,"&gt;0"))</f>
        <v/>
      </c>
      <c r="K2763" s="21" t="str">
        <f t="shared" ca="1" si="207"/>
        <v/>
      </c>
    </row>
    <row r="2764" spans="1:11" s="18" customFormat="1" ht="14.25" x14ac:dyDescent="0.2">
      <c r="A2764" s="18" t="str">
        <f t="shared" si="209"/>
        <v>Eintrag 2763</v>
      </c>
      <c r="B2764" s="18">
        <v>100</v>
      </c>
      <c r="C2764" s="19">
        <v>100</v>
      </c>
      <c r="D2764" s="20">
        <v>10</v>
      </c>
      <c r="E2764" s="20">
        <v>10</v>
      </c>
      <c r="F2764" s="20">
        <v>10</v>
      </c>
      <c r="G2764" s="19">
        <f t="shared" si="208"/>
        <v>172</v>
      </c>
      <c r="H2764" s="22">
        <f t="shared" si="205"/>
        <v>2763</v>
      </c>
      <c r="I2764" s="21">
        <f t="shared" ca="1" si="206"/>
        <v>0</v>
      </c>
      <c r="J2764" s="21" t="str">
        <f ca="1">IF(I2764=0,"",COUNTIF($I$2:I2764,"&gt;0"))</f>
        <v/>
      </c>
      <c r="K2764" s="21" t="str">
        <f t="shared" ca="1" si="207"/>
        <v/>
      </c>
    </row>
    <row r="2765" spans="1:11" s="18" customFormat="1" ht="14.25" x14ac:dyDescent="0.2">
      <c r="A2765" s="18" t="str">
        <f t="shared" si="209"/>
        <v>Eintrag 2764</v>
      </c>
      <c r="B2765" s="18">
        <v>100</v>
      </c>
      <c r="C2765" s="19">
        <v>100</v>
      </c>
      <c r="D2765" s="20">
        <v>10</v>
      </c>
      <c r="E2765" s="20">
        <v>10</v>
      </c>
      <c r="F2765" s="20">
        <v>10</v>
      </c>
      <c r="G2765" s="19">
        <f t="shared" si="208"/>
        <v>172</v>
      </c>
      <c r="H2765" s="22">
        <f t="shared" si="205"/>
        <v>2764</v>
      </c>
      <c r="I2765" s="21">
        <f t="shared" ca="1" si="206"/>
        <v>0</v>
      </c>
      <c r="J2765" s="21" t="str">
        <f ca="1">IF(I2765=0,"",COUNTIF($I$2:I2765,"&gt;0"))</f>
        <v/>
      </c>
      <c r="K2765" s="21" t="str">
        <f t="shared" ca="1" si="207"/>
        <v/>
      </c>
    </row>
    <row r="2766" spans="1:11" s="18" customFormat="1" ht="14.25" x14ac:dyDescent="0.2">
      <c r="A2766" s="18" t="str">
        <f t="shared" si="209"/>
        <v>Eintrag 2765</v>
      </c>
      <c r="B2766" s="18">
        <v>100</v>
      </c>
      <c r="C2766" s="19">
        <v>100</v>
      </c>
      <c r="D2766" s="20">
        <v>10</v>
      </c>
      <c r="E2766" s="20">
        <v>10</v>
      </c>
      <c r="F2766" s="20">
        <v>10</v>
      </c>
      <c r="G2766" s="19">
        <f t="shared" si="208"/>
        <v>172</v>
      </c>
      <c r="H2766" s="22">
        <f t="shared" si="205"/>
        <v>2765</v>
      </c>
      <c r="I2766" s="21">
        <f t="shared" ca="1" si="206"/>
        <v>0</v>
      </c>
      <c r="J2766" s="21" t="str">
        <f ca="1">IF(I2766=0,"",COUNTIF($I$2:I2766,"&gt;0"))</f>
        <v/>
      </c>
      <c r="K2766" s="21" t="str">
        <f t="shared" ca="1" si="207"/>
        <v/>
      </c>
    </row>
    <row r="2767" spans="1:11" s="18" customFormat="1" ht="14.25" x14ac:dyDescent="0.2">
      <c r="A2767" s="18" t="str">
        <f t="shared" si="209"/>
        <v>Eintrag 2766</v>
      </c>
      <c r="B2767" s="18">
        <v>100</v>
      </c>
      <c r="C2767" s="19">
        <v>100</v>
      </c>
      <c r="D2767" s="20">
        <v>10</v>
      </c>
      <c r="E2767" s="20">
        <v>10</v>
      </c>
      <c r="F2767" s="20">
        <v>10</v>
      </c>
      <c r="G2767" s="19">
        <f t="shared" si="208"/>
        <v>172</v>
      </c>
      <c r="H2767" s="22">
        <f t="shared" si="205"/>
        <v>2766</v>
      </c>
      <c r="I2767" s="21">
        <f t="shared" ca="1" si="206"/>
        <v>0</v>
      </c>
      <c r="J2767" s="21" t="str">
        <f ca="1">IF(I2767=0,"",COUNTIF($I$2:I2767,"&gt;0"))</f>
        <v/>
      </c>
      <c r="K2767" s="21" t="str">
        <f t="shared" ca="1" si="207"/>
        <v/>
      </c>
    </row>
    <row r="2768" spans="1:11" s="18" customFormat="1" ht="14.25" x14ac:dyDescent="0.2">
      <c r="A2768" s="18" t="str">
        <f t="shared" si="209"/>
        <v>Eintrag 2767</v>
      </c>
      <c r="B2768" s="18">
        <v>100</v>
      </c>
      <c r="C2768" s="19">
        <v>100</v>
      </c>
      <c r="D2768" s="20">
        <v>10</v>
      </c>
      <c r="E2768" s="20">
        <v>10</v>
      </c>
      <c r="F2768" s="20">
        <v>10</v>
      </c>
      <c r="G2768" s="19">
        <f t="shared" si="208"/>
        <v>172</v>
      </c>
      <c r="H2768" s="22">
        <f t="shared" si="205"/>
        <v>2767</v>
      </c>
      <c r="I2768" s="21">
        <f t="shared" ca="1" si="206"/>
        <v>0</v>
      </c>
      <c r="J2768" s="21" t="str">
        <f ca="1">IF(I2768=0,"",COUNTIF($I$2:I2768,"&gt;0"))</f>
        <v/>
      </c>
      <c r="K2768" s="21" t="str">
        <f t="shared" ca="1" si="207"/>
        <v/>
      </c>
    </row>
    <row r="2769" spans="1:11" s="18" customFormat="1" ht="14.25" x14ac:dyDescent="0.2">
      <c r="A2769" s="18" t="str">
        <f t="shared" si="209"/>
        <v>Eintrag 2768</v>
      </c>
      <c r="B2769" s="18">
        <v>100</v>
      </c>
      <c r="C2769" s="19">
        <v>100</v>
      </c>
      <c r="D2769" s="20">
        <v>10</v>
      </c>
      <c r="E2769" s="20">
        <v>10</v>
      </c>
      <c r="F2769" s="20">
        <v>10</v>
      </c>
      <c r="G2769" s="19">
        <f t="shared" si="208"/>
        <v>172</v>
      </c>
      <c r="H2769" s="22">
        <f t="shared" si="205"/>
        <v>2768</v>
      </c>
      <c r="I2769" s="21">
        <f t="shared" ca="1" si="206"/>
        <v>0</v>
      </c>
      <c r="J2769" s="21" t="str">
        <f ca="1">IF(I2769=0,"",COUNTIF($I$2:I2769,"&gt;0"))</f>
        <v/>
      </c>
      <c r="K2769" s="21" t="str">
        <f t="shared" ca="1" si="207"/>
        <v/>
      </c>
    </row>
    <row r="2770" spans="1:11" s="18" customFormat="1" ht="14.25" x14ac:dyDescent="0.2">
      <c r="A2770" s="18" t="str">
        <f t="shared" si="209"/>
        <v>Eintrag 2769</v>
      </c>
      <c r="B2770" s="18">
        <v>100</v>
      </c>
      <c r="C2770" s="19">
        <v>100</v>
      </c>
      <c r="D2770" s="20">
        <v>10</v>
      </c>
      <c r="E2770" s="20">
        <v>10</v>
      </c>
      <c r="F2770" s="20">
        <v>10</v>
      </c>
      <c r="G2770" s="19">
        <f t="shared" si="208"/>
        <v>172</v>
      </c>
      <c r="H2770" s="22">
        <f t="shared" si="205"/>
        <v>2769</v>
      </c>
      <c r="I2770" s="21">
        <f t="shared" ca="1" si="206"/>
        <v>0</v>
      </c>
      <c r="J2770" s="21" t="str">
        <f ca="1">IF(I2770=0,"",COUNTIF($I$2:I2770,"&gt;0"))</f>
        <v/>
      </c>
      <c r="K2770" s="21" t="str">
        <f t="shared" ca="1" si="207"/>
        <v/>
      </c>
    </row>
    <row r="2771" spans="1:11" s="18" customFormat="1" ht="14.25" x14ac:dyDescent="0.2">
      <c r="A2771" s="18" t="str">
        <f t="shared" si="209"/>
        <v>Eintrag 2770</v>
      </c>
      <c r="B2771" s="18">
        <v>100</v>
      </c>
      <c r="C2771" s="19">
        <v>100</v>
      </c>
      <c r="D2771" s="20">
        <v>10</v>
      </c>
      <c r="E2771" s="20">
        <v>10</v>
      </c>
      <c r="F2771" s="20">
        <v>10</v>
      </c>
      <c r="G2771" s="19">
        <f t="shared" si="208"/>
        <v>172</v>
      </c>
      <c r="H2771" s="22">
        <f t="shared" si="205"/>
        <v>2770</v>
      </c>
      <c r="I2771" s="21">
        <f t="shared" ca="1" si="206"/>
        <v>0</v>
      </c>
      <c r="J2771" s="21" t="str">
        <f ca="1">IF(I2771=0,"",COUNTIF($I$2:I2771,"&gt;0"))</f>
        <v/>
      </c>
      <c r="K2771" s="21" t="str">
        <f t="shared" ca="1" si="207"/>
        <v/>
      </c>
    </row>
    <row r="2772" spans="1:11" s="18" customFormat="1" ht="14.25" x14ac:dyDescent="0.2">
      <c r="A2772" s="18" t="str">
        <f t="shared" si="209"/>
        <v>Eintrag 2771</v>
      </c>
      <c r="B2772" s="18">
        <v>100</v>
      </c>
      <c r="C2772" s="19">
        <v>100</v>
      </c>
      <c r="D2772" s="20">
        <v>10</v>
      </c>
      <c r="E2772" s="20">
        <v>10</v>
      </c>
      <c r="F2772" s="20">
        <v>10</v>
      </c>
      <c r="G2772" s="19">
        <f t="shared" si="208"/>
        <v>172</v>
      </c>
      <c r="H2772" s="22">
        <f t="shared" si="205"/>
        <v>2771</v>
      </c>
      <c r="I2772" s="21">
        <f t="shared" ca="1" si="206"/>
        <v>0</v>
      </c>
      <c r="J2772" s="21" t="str">
        <f ca="1">IF(I2772=0,"",COUNTIF($I$2:I2772,"&gt;0"))</f>
        <v/>
      </c>
      <c r="K2772" s="21" t="str">
        <f t="shared" ca="1" si="207"/>
        <v/>
      </c>
    </row>
    <row r="2773" spans="1:11" s="18" customFormat="1" ht="14.25" x14ac:dyDescent="0.2">
      <c r="A2773" s="18" t="str">
        <f t="shared" si="209"/>
        <v>Eintrag 2772</v>
      </c>
      <c r="B2773" s="18">
        <v>100</v>
      </c>
      <c r="C2773" s="19">
        <v>100</v>
      </c>
      <c r="D2773" s="20">
        <v>10</v>
      </c>
      <c r="E2773" s="20">
        <v>10</v>
      </c>
      <c r="F2773" s="20">
        <v>10</v>
      </c>
      <c r="G2773" s="19">
        <f t="shared" si="208"/>
        <v>172</v>
      </c>
      <c r="H2773" s="22">
        <f t="shared" si="205"/>
        <v>2772</v>
      </c>
      <c r="I2773" s="21">
        <f t="shared" ca="1" si="206"/>
        <v>0</v>
      </c>
      <c r="J2773" s="21" t="str">
        <f ca="1">IF(I2773=0,"",COUNTIF($I$2:I2773,"&gt;0"))</f>
        <v/>
      </c>
      <c r="K2773" s="21" t="str">
        <f t="shared" ca="1" si="207"/>
        <v/>
      </c>
    </row>
    <row r="2774" spans="1:11" s="18" customFormat="1" ht="14.25" x14ac:dyDescent="0.2">
      <c r="A2774" s="18" t="str">
        <f t="shared" si="209"/>
        <v>Eintrag 2773</v>
      </c>
      <c r="B2774" s="18">
        <v>100</v>
      </c>
      <c r="C2774" s="19">
        <v>100</v>
      </c>
      <c r="D2774" s="20">
        <v>10</v>
      </c>
      <c r="E2774" s="20">
        <v>10</v>
      </c>
      <c r="F2774" s="20">
        <v>10</v>
      </c>
      <c r="G2774" s="19">
        <f t="shared" si="208"/>
        <v>172</v>
      </c>
      <c r="H2774" s="22">
        <f t="shared" si="205"/>
        <v>2773</v>
      </c>
      <c r="I2774" s="21">
        <f t="shared" ca="1" si="206"/>
        <v>0</v>
      </c>
      <c r="J2774" s="21" t="str">
        <f ca="1">IF(I2774=0,"",COUNTIF($I$2:I2774,"&gt;0"))</f>
        <v/>
      </c>
      <c r="K2774" s="21" t="str">
        <f t="shared" ca="1" si="207"/>
        <v/>
      </c>
    </row>
    <row r="2775" spans="1:11" s="18" customFormat="1" ht="14.25" x14ac:dyDescent="0.2">
      <c r="A2775" s="18" t="str">
        <f t="shared" si="209"/>
        <v>Eintrag 2774</v>
      </c>
      <c r="B2775" s="18">
        <v>100</v>
      </c>
      <c r="C2775" s="19">
        <v>100</v>
      </c>
      <c r="D2775" s="20">
        <v>10</v>
      </c>
      <c r="E2775" s="20">
        <v>10</v>
      </c>
      <c r="F2775" s="20">
        <v>10</v>
      </c>
      <c r="G2775" s="19">
        <f t="shared" si="208"/>
        <v>172</v>
      </c>
      <c r="H2775" s="22">
        <f t="shared" si="205"/>
        <v>2774</v>
      </c>
      <c r="I2775" s="21">
        <f t="shared" ca="1" si="206"/>
        <v>0</v>
      </c>
      <c r="J2775" s="21" t="str">
        <f ca="1">IF(I2775=0,"",COUNTIF($I$2:I2775,"&gt;0"))</f>
        <v/>
      </c>
      <c r="K2775" s="21" t="str">
        <f t="shared" ca="1" si="207"/>
        <v/>
      </c>
    </row>
    <row r="2776" spans="1:11" s="18" customFormat="1" ht="14.25" x14ac:dyDescent="0.2">
      <c r="A2776" s="18" t="str">
        <f t="shared" si="209"/>
        <v>Eintrag 2775</v>
      </c>
      <c r="B2776" s="18">
        <v>100</v>
      </c>
      <c r="C2776" s="19">
        <v>100</v>
      </c>
      <c r="D2776" s="20">
        <v>10</v>
      </c>
      <c r="E2776" s="20">
        <v>10</v>
      </c>
      <c r="F2776" s="20">
        <v>10</v>
      </c>
      <c r="G2776" s="19">
        <f t="shared" si="208"/>
        <v>172</v>
      </c>
      <c r="H2776" s="22">
        <f t="shared" si="205"/>
        <v>2775</v>
      </c>
      <c r="I2776" s="21">
        <f t="shared" ca="1" si="206"/>
        <v>0</v>
      </c>
      <c r="J2776" s="21" t="str">
        <f ca="1">IF(I2776=0,"",COUNTIF($I$2:I2776,"&gt;0"))</f>
        <v/>
      </c>
      <c r="K2776" s="21" t="str">
        <f t="shared" ca="1" si="207"/>
        <v/>
      </c>
    </row>
    <row r="2777" spans="1:11" s="18" customFormat="1" ht="14.25" x14ac:dyDescent="0.2">
      <c r="A2777" s="18" t="str">
        <f t="shared" si="209"/>
        <v>Eintrag 2776</v>
      </c>
      <c r="B2777" s="18">
        <v>100</v>
      </c>
      <c r="C2777" s="19">
        <v>100</v>
      </c>
      <c r="D2777" s="20">
        <v>10</v>
      </c>
      <c r="E2777" s="20">
        <v>10</v>
      </c>
      <c r="F2777" s="20">
        <v>10</v>
      </c>
      <c r="G2777" s="19">
        <f t="shared" si="208"/>
        <v>172</v>
      </c>
      <c r="H2777" s="22">
        <f t="shared" si="205"/>
        <v>2776</v>
      </c>
      <c r="I2777" s="21">
        <f t="shared" ca="1" si="206"/>
        <v>0</v>
      </c>
      <c r="J2777" s="21" t="str">
        <f ca="1">IF(I2777=0,"",COUNTIF($I$2:I2777,"&gt;0"))</f>
        <v/>
      </c>
      <c r="K2777" s="21" t="str">
        <f t="shared" ca="1" si="207"/>
        <v/>
      </c>
    </row>
    <row r="2778" spans="1:11" s="18" customFormat="1" ht="14.25" x14ac:dyDescent="0.2">
      <c r="A2778" s="18" t="str">
        <f t="shared" si="209"/>
        <v>Eintrag 2777</v>
      </c>
      <c r="B2778" s="18">
        <v>100</v>
      </c>
      <c r="C2778" s="19">
        <v>100</v>
      </c>
      <c r="D2778" s="20">
        <v>10</v>
      </c>
      <c r="E2778" s="20">
        <v>10</v>
      </c>
      <c r="F2778" s="20">
        <v>10</v>
      </c>
      <c r="G2778" s="19">
        <f t="shared" si="208"/>
        <v>172</v>
      </c>
      <c r="H2778" s="22">
        <f t="shared" si="205"/>
        <v>2777</v>
      </c>
      <c r="I2778" s="21">
        <f t="shared" ca="1" si="206"/>
        <v>0</v>
      </c>
      <c r="J2778" s="21" t="str">
        <f ca="1">IF(I2778=0,"",COUNTIF($I$2:I2778,"&gt;0"))</f>
        <v/>
      </c>
      <c r="K2778" s="21" t="str">
        <f t="shared" ca="1" si="207"/>
        <v/>
      </c>
    </row>
    <row r="2779" spans="1:11" s="18" customFormat="1" ht="14.25" x14ac:dyDescent="0.2">
      <c r="A2779" s="18" t="str">
        <f t="shared" si="209"/>
        <v>Eintrag 2778</v>
      </c>
      <c r="B2779" s="18">
        <v>100</v>
      </c>
      <c r="C2779" s="19">
        <v>100</v>
      </c>
      <c r="D2779" s="20">
        <v>10</v>
      </c>
      <c r="E2779" s="20">
        <v>10</v>
      </c>
      <c r="F2779" s="20">
        <v>10</v>
      </c>
      <c r="G2779" s="19">
        <f t="shared" si="208"/>
        <v>172</v>
      </c>
      <c r="H2779" s="22">
        <f t="shared" si="205"/>
        <v>2778</v>
      </c>
      <c r="I2779" s="21">
        <f t="shared" ca="1" si="206"/>
        <v>0</v>
      </c>
      <c r="J2779" s="21" t="str">
        <f ca="1">IF(I2779=0,"",COUNTIF($I$2:I2779,"&gt;0"))</f>
        <v/>
      </c>
      <c r="K2779" s="21" t="str">
        <f t="shared" ca="1" si="207"/>
        <v/>
      </c>
    </row>
    <row r="2780" spans="1:11" s="18" customFormat="1" ht="14.25" x14ac:dyDescent="0.2">
      <c r="A2780" s="18" t="str">
        <f t="shared" si="209"/>
        <v>Eintrag 2779</v>
      </c>
      <c r="B2780" s="18">
        <v>100</v>
      </c>
      <c r="C2780" s="19">
        <v>100</v>
      </c>
      <c r="D2780" s="20">
        <v>10</v>
      </c>
      <c r="E2780" s="20">
        <v>10</v>
      </c>
      <c r="F2780" s="20">
        <v>10</v>
      </c>
      <c r="G2780" s="19">
        <f t="shared" si="208"/>
        <v>172</v>
      </c>
      <c r="H2780" s="22">
        <f t="shared" si="205"/>
        <v>2779</v>
      </c>
      <c r="I2780" s="21">
        <f t="shared" ca="1" si="206"/>
        <v>0</v>
      </c>
      <c r="J2780" s="21" t="str">
        <f ca="1">IF(I2780=0,"",COUNTIF($I$2:I2780,"&gt;0"))</f>
        <v/>
      </c>
      <c r="K2780" s="21" t="str">
        <f t="shared" ca="1" si="207"/>
        <v/>
      </c>
    </row>
    <row r="2781" spans="1:11" s="18" customFormat="1" ht="14.25" x14ac:dyDescent="0.2">
      <c r="A2781" s="18" t="str">
        <f t="shared" si="209"/>
        <v>Eintrag 2780</v>
      </c>
      <c r="B2781" s="18">
        <v>100</v>
      </c>
      <c r="C2781" s="19">
        <v>100</v>
      </c>
      <c r="D2781" s="20">
        <v>10</v>
      </c>
      <c r="E2781" s="20">
        <v>10</v>
      </c>
      <c r="F2781" s="20">
        <v>10</v>
      </c>
      <c r="G2781" s="19">
        <f t="shared" si="208"/>
        <v>172</v>
      </c>
      <c r="H2781" s="22">
        <f t="shared" si="205"/>
        <v>2780</v>
      </c>
      <c r="I2781" s="21">
        <f t="shared" ca="1" si="206"/>
        <v>0</v>
      </c>
      <c r="J2781" s="21" t="str">
        <f ca="1">IF(I2781=0,"",COUNTIF($I$2:I2781,"&gt;0"))</f>
        <v/>
      </c>
      <c r="K2781" s="21" t="str">
        <f t="shared" ca="1" si="207"/>
        <v/>
      </c>
    </row>
    <row r="2782" spans="1:11" s="18" customFormat="1" ht="14.25" x14ac:dyDescent="0.2">
      <c r="A2782" s="18" t="str">
        <f t="shared" si="209"/>
        <v>Eintrag 2781</v>
      </c>
      <c r="B2782" s="18">
        <v>100</v>
      </c>
      <c r="C2782" s="19">
        <v>100</v>
      </c>
      <c r="D2782" s="20">
        <v>10</v>
      </c>
      <c r="E2782" s="20">
        <v>10</v>
      </c>
      <c r="F2782" s="20">
        <v>10</v>
      </c>
      <c r="G2782" s="19">
        <f t="shared" si="208"/>
        <v>172</v>
      </c>
      <c r="H2782" s="22">
        <f t="shared" si="205"/>
        <v>2781</v>
      </c>
      <c r="I2782" s="21">
        <f t="shared" ca="1" si="206"/>
        <v>0</v>
      </c>
      <c r="J2782" s="21" t="str">
        <f ca="1">IF(I2782=0,"",COUNTIF($I$2:I2782,"&gt;0"))</f>
        <v/>
      </c>
      <c r="K2782" s="21" t="str">
        <f t="shared" ca="1" si="207"/>
        <v/>
      </c>
    </row>
    <row r="2783" spans="1:11" s="18" customFormat="1" ht="14.25" x14ac:dyDescent="0.2">
      <c r="A2783" s="18" t="str">
        <f t="shared" si="209"/>
        <v>Eintrag 2782</v>
      </c>
      <c r="B2783" s="18">
        <v>100</v>
      </c>
      <c r="C2783" s="19">
        <v>100</v>
      </c>
      <c r="D2783" s="20">
        <v>10</v>
      </c>
      <c r="E2783" s="20">
        <v>10</v>
      </c>
      <c r="F2783" s="20">
        <v>10</v>
      </c>
      <c r="G2783" s="19">
        <f t="shared" si="208"/>
        <v>172</v>
      </c>
      <c r="H2783" s="22">
        <f t="shared" si="205"/>
        <v>2782</v>
      </c>
      <c r="I2783" s="21">
        <f t="shared" ca="1" si="206"/>
        <v>0</v>
      </c>
      <c r="J2783" s="21" t="str">
        <f ca="1">IF(I2783=0,"",COUNTIF($I$2:I2783,"&gt;0"))</f>
        <v/>
      </c>
      <c r="K2783" s="21" t="str">
        <f t="shared" ca="1" si="207"/>
        <v/>
      </c>
    </row>
    <row r="2784" spans="1:11" s="18" customFormat="1" ht="14.25" x14ac:dyDescent="0.2">
      <c r="A2784" s="18" t="str">
        <f t="shared" si="209"/>
        <v>Eintrag 2783</v>
      </c>
      <c r="B2784" s="18">
        <v>100</v>
      </c>
      <c r="C2784" s="19">
        <v>100</v>
      </c>
      <c r="D2784" s="20">
        <v>10</v>
      </c>
      <c r="E2784" s="20">
        <v>10</v>
      </c>
      <c r="F2784" s="20">
        <v>10</v>
      </c>
      <c r="G2784" s="19">
        <f t="shared" si="208"/>
        <v>172</v>
      </c>
      <c r="H2784" s="22">
        <f t="shared" si="205"/>
        <v>2783</v>
      </c>
      <c r="I2784" s="21">
        <f t="shared" ca="1" si="206"/>
        <v>0</v>
      </c>
      <c r="J2784" s="21" t="str">
        <f ca="1">IF(I2784=0,"",COUNTIF($I$2:I2784,"&gt;0"))</f>
        <v/>
      </c>
      <c r="K2784" s="21" t="str">
        <f t="shared" ca="1" si="207"/>
        <v/>
      </c>
    </row>
    <row r="2785" spans="1:11" s="18" customFormat="1" ht="14.25" x14ac:dyDescent="0.2">
      <c r="A2785" s="18" t="str">
        <f t="shared" si="209"/>
        <v>Eintrag 2784</v>
      </c>
      <c r="B2785" s="18">
        <v>100</v>
      </c>
      <c r="C2785" s="19">
        <v>100</v>
      </c>
      <c r="D2785" s="20">
        <v>10</v>
      </c>
      <c r="E2785" s="20">
        <v>10</v>
      </c>
      <c r="F2785" s="20">
        <v>10</v>
      </c>
      <c r="G2785" s="19">
        <f t="shared" si="208"/>
        <v>172</v>
      </c>
      <c r="H2785" s="22">
        <f t="shared" si="205"/>
        <v>2784</v>
      </c>
      <c r="I2785" s="21">
        <f t="shared" ca="1" si="206"/>
        <v>0</v>
      </c>
      <c r="J2785" s="21" t="str">
        <f ca="1">IF(I2785=0,"",COUNTIF($I$2:I2785,"&gt;0"))</f>
        <v/>
      </c>
      <c r="K2785" s="21" t="str">
        <f t="shared" ca="1" si="207"/>
        <v/>
      </c>
    </row>
    <row r="2786" spans="1:11" s="18" customFormat="1" ht="14.25" x14ac:dyDescent="0.2">
      <c r="A2786" s="18" t="str">
        <f t="shared" si="209"/>
        <v>Eintrag 2785</v>
      </c>
      <c r="B2786" s="18">
        <v>100</v>
      </c>
      <c r="C2786" s="19">
        <v>100</v>
      </c>
      <c r="D2786" s="20">
        <v>10</v>
      </c>
      <c r="E2786" s="20">
        <v>10</v>
      </c>
      <c r="F2786" s="20">
        <v>10</v>
      </c>
      <c r="G2786" s="19">
        <f t="shared" si="208"/>
        <v>172</v>
      </c>
      <c r="H2786" s="22">
        <f t="shared" si="205"/>
        <v>2785</v>
      </c>
      <c r="I2786" s="21">
        <f t="shared" ca="1" si="206"/>
        <v>0</v>
      </c>
      <c r="J2786" s="21" t="str">
        <f ca="1">IF(I2786=0,"",COUNTIF($I$2:I2786,"&gt;0"))</f>
        <v/>
      </c>
      <c r="K2786" s="21" t="str">
        <f t="shared" ca="1" si="207"/>
        <v/>
      </c>
    </row>
    <row r="2787" spans="1:11" s="18" customFormat="1" ht="14.25" x14ac:dyDescent="0.2">
      <c r="A2787" s="18" t="str">
        <f t="shared" si="209"/>
        <v>Eintrag 2786</v>
      </c>
      <c r="B2787" s="18">
        <v>100</v>
      </c>
      <c r="C2787" s="19">
        <v>100</v>
      </c>
      <c r="D2787" s="20">
        <v>10</v>
      </c>
      <c r="E2787" s="20">
        <v>10</v>
      </c>
      <c r="F2787" s="20">
        <v>10</v>
      </c>
      <c r="G2787" s="19">
        <f t="shared" si="208"/>
        <v>172</v>
      </c>
      <c r="H2787" s="22">
        <f t="shared" si="205"/>
        <v>2786</v>
      </c>
      <c r="I2787" s="21">
        <f t="shared" ca="1" si="206"/>
        <v>0</v>
      </c>
      <c r="J2787" s="21" t="str">
        <f ca="1">IF(I2787=0,"",COUNTIF($I$2:I2787,"&gt;0"))</f>
        <v/>
      </c>
      <c r="K2787" s="21" t="str">
        <f t="shared" ca="1" si="207"/>
        <v/>
      </c>
    </row>
    <row r="2788" spans="1:11" s="18" customFormat="1" ht="14.25" x14ac:dyDescent="0.2">
      <c r="A2788" s="18" t="str">
        <f t="shared" si="209"/>
        <v>Eintrag 2787</v>
      </c>
      <c r="B2788" s="18">
        <v>100</v>
      </c>
      <c r="C2788" s="19">
        <v>100</v>
      </c>
      <c r="D2788" s="20">
        <v>10</v>
      </c>
      <c r="E2788" s="20">
        <v>10</v>
      </c>
      <c r="F2788" s="20">
        <v>10</v>
      </c>
      <c r="G2788" s="19">
        <f t="shared" si="208"/>
        <v>172</v>
      </c>
      <c r="H2788" s="22">
        <f t="shared" si="205"/>
        <v>2787</v>
      </c>
      <c r="I2788" s="21">
        <f t="shared" ca="1" si="206"/>
        <v>0</v>
      </c>
      <c r="J2788" s="21" t="str">
        <f ca="1">IF(I2788=0,"",COUNTIF($I$2:I2788,"&gt;0"))</f>
        <v/>
      </c>
      <c r="K2788" s="21" t="str">
        <f t="shared" ca="1" si="207"/>
        <v/>
      </c>
    </row>
    <row r="2789" spans="1:11" s="18" customFormat="1" ht="14.25" x14ac:dyDescent="0.2">
      <c r="A2789" s="18" t="str">
        <f t="shared" si="209"/>
        <v>Eintrag 2788</v>
      </c>
      <c r="B2789" s="18">
        <v>100</v>
      </c>
      <c r="C2789" s="19">
        <v>100</v>
      </c>
      <c r="D2789" s="20">
        <v>10</v>
      </c>
      <c r="E2789" s="20">
        <v>10</v>
      </c>
      <c r="F2789" s="20">
        <v>10</v>
      </c>
      <c r="G2789" s="19">
        <f t="shared" si="208"/>
        <v>172</v>
      </c>
      <c r="H2789" s="22">
        <f t="shared" ref="H2789:H2852" si="210">H2788+1</f>
        <v>2788</v>
      </c>
      <c r="I2789" s="21">
        <f t="shared" ca="1" si="206"/>
        <v>0</v>
      </c>
      <c r="J2789" s="21" t="str">
        <f ca="1">IF(I2789=0,"",COUNTIF($I$2:I2789,"&gt;0"))</f>
        <v/>
      </c>
      <c r="K2789" s="21" t="str">
        <f t="shared" ca="1" si="207"/>
        <v/>
      </c>
    </row>
    <row r="2790" spans="1:11" s="18" customFormat="1" ht="14.25" x14ac:dyDescent="0.2">
      <c r="A2790" s="18" t="str">
        <f t="shared" si="209"/>
        <v>Eintrag 2789</v>
      </c>
      <c r="B2790" s="18">
        <v>100</v>
      </c>
      <c r="C2790" s="19">
        <v>100</v>
      </c>
      <c r="D2790" s="20">
        <v>10</v>
      </c>
      <c r="E2790" s="20">
        <v>10</v>
      </c>
      <c r="F2790" s="20">
        <v>10</v>
      </c>
      <c r="G2790" s="19">
        <f t="shared" si="208"/>
        <v>172</v>
      </c>
      <c r="H2790" s="22">
        <f t="shared" si="210"/>
        <v>2789</v>
      </c>
      <c r="I2790" s="21">
        <f t="shared" ca="1" si="206"/>
        <v>0</v>
      </c>
      <c r="J2790" s="21" t="str">
        <f ca="1">IF(I2790=0,"",COUNTIF($I$2:I2790,"&gt;0"))</f>
        <v/>
      </c>
      <c r="K2790" s="21" t="str">
        <f t="shared" ca="1" si="207"/>
        <v/>
      </c>
    </row>
    <row r="2791" spans="1:11" s="18" customFormat="1" ht="14.25" x14ac:dyDescent="0.2">
      <c r="A2791" s="18" t="str">
        <f t="shared" si="209"/>
        <v>Eintrag 2790</v>
      </c>
      <c r="B2791" s="18">
        <v>100</v>
      </c>
      <c r="C2791" s="19">
        <v>100</v>
      </c>
      <c r="D2791" s="20">
        <v>10</v>
      </c>
      <c r="E2791" s="20">
        <v>10</v>
      </c>
      <c r="F2791" s="20">
        <v>10</v>
      </c>
      <c r="G2791" s="19">
        <f t="shared" si="208"/>
        <v>172</v>
      </c>
      <c r="H2791" s="22">
        <f t="shared" si="210"/>
        <v>2790</v>
      </c>
      <c r="I2791" s="21">
        <f t="shared" ca="1" si="206"/>
        <v>0</v>
      </c>
      <c r="J2791" s="21" t="str">
        <f ca="1">IF(I2791=0,"",COUNTIF($I$2:I2791,"&gt;0"))</f>
        <v/>
      </c>
      <c r="K2791" s="21" t="str">
        <f t="shared" ca="1" si="207"/>
        <v/>
      </c>
    </row>
    <row r="2792" spans="1:11" s="18" customFormat="1" ht="14.25" x14ac:dyDescent="0.2">
      <c r="A2792" s="18" t="str">
        <f t="shared" si="209"/>
        <v>Eintrag 2791</v>
      </c>
      <c r="B2792" s="18">
        <v>100</v>
      </c>
      <c r="C2792" s="19">
        <v>100</v>
      </c>
      <c r="D2792" s="20">
        <v>10</v>
      </c>
      <c r="E2792" s="20">
        <v>10</v>
      </c>
      <c r="F2792" s="20">
        <v>10</v>
      </c>
      <c r="G2792" s="19">
        <f t="shared" si="208"/>
        <v>172</v>
      </c>
      <c r="H2792" s="22">
        <f t="shared" si="210"/>
        <v>2791</v>
      </c>
      <c r="I2792" s="21">
        <f t="shared" ca="1" si="206"/>
        <v>0</v>
      </c>
      <c r="J2792" s="21" t="str">
        <f ca="1">IF(I2792=0,"",COUNTIF($I$2:I2792,"&gt;0"))</f>
        <v/>
      </c>
      <c r="K2792" s="21" t="str">
        <f t="shared" ca="1" si="207"/>
        <v/>
      </c>
    </row>
    <row r="2793" spans="1:11" s="18" customFormat="1" ht="14.25" x14ac:dyDescent="0.2">
      <c r="A2793" s="18" t="str">
        <f t="shared" si="209"/>
        <v>Eintrag 2792</v>
      </c>
      <c r="B2793" s="18">
        <v>100</v>
      </c>
      <c r="C2793" s="19">
        <v>100</v>
      </c>
      <c r="D2793" s="20">
        <v>10</v>
      </c>
      <c r="E2793" s="20">
        <v>10</v>
      </c>
      <c r="F2793" s="20">
        <v>10</v>
      </c>
      <c r="G2793" s="19">
        <f t="shared" si="208"/>
        <v>172</v>
      </c>
      <c r="H2793" s="22">
        <f t="shared" si="210"/>
        <v>2792</v>
      </c>
      <c r="I2793" s="21">
        <f t="shared" ca="1" si="206"/>
        <v>0</v>
      </c>
      <c r="J2793" s="21" t="str">
        <f ca="1">IF(I2793=0,"",COUNTIF($I$2:I2793,"&gt;0"))</f>
        <v/>
      </c>
      <c r="K2793" s="21" t="str">
        <f t="shared" ca="1" si="207"/>
        <v/>
      </c>
    </row>
    <row r="2794" spans="1:11" s="18" customFormat="1" ht="14.25" x14ac:dyDescent="0.2">
      <c r="A2794" s="18" t="str">
        <f t="shared" si="209"/>
        <v>Eintrag 2793</v>
      </c>
      <c r="B2794" s="18">
        <v>100</v>
      </c>
      <c r="C2794" s="19">
        <v>100</v>
      </c>
      <c r="D2794" s="20">
        <v>10</v>
      </c>
      <c r="E2794" s="20">
        <v>10</v>
      </c>
      <c r="F2794" s="20">
        <v>10</v>
      </c>
      <c r="G2794" s="19">
        <f t="shared" si="208"/>
        <v>172</v>
      </c>
      <c r="H2794" s="22">
        <f t="shared" si="210"/>
        <v>2793</v>
      </c>
      <c r="I2794" s="21">
        <f t="shared" ca="1" si="206"/>
        <v>0</v>
      </c>
      <c r="J2794" s="21" t="str">
        <f ca="1">IF(I2794=0,"",COUNTIF($I$2:I2794,"&gt;0"))</f>
        <v/>
      </c>
      <c r="K2794" s="21" t="str">
        <f t="shared" ca="1" si="207"/>
        <v/>
      </c>
    </row>
    <row r="2795" spans="1:11" s="18" customFormat="1" ht="14.25" x14ac:dyDescent="0.2">
      <c r="A2795" s="18" t="str">
        <f t="shared" si="209"/>
        <v>Eintrag 2794</v>
      </c>
      <c r="B2795" s="18">
        <v>100</v>
      </c>
      <c r="C2795" s="19">
        <v>100</v>
      </c>
      <c r="D2795" s="20">
        <v>10</v>
      </c>
      <c r="E2795" s="20">
        <v>10</v>
      </c>
      <c r="F2795" s="20">
        <v>10</v>
      </c>
      <c r="G2795" s="19">
        <f t="shared" si="208"/>
        <v>172</v>
      </c>
      <c r="H2795" s="22">
        <f t="shared" si="210"/>
        <v>2794</v>
      </c>
      <c r="I2795" s="21">
        <f t="shared" ca="1" si="206"/>
        <v>0</v>
      </c>
      <c r="J2795" s="21" t="str">
        <f ca="1">IF(I2795=0,"",COUNTIF($I$2:I2795,"&gt;0"))</f>
        <v/>
      </c>
      <c r="K2795" s="21" t="str">
        <f t="shared" ca="1" si="207"/>
        <v/>
      </c>
    </row>
    <row r="2796" spans="1:11" s="18" customFormat="1" ht="14.25" x14ac:dyDescent="0.2">
      <c r="A2796" s="18" t="str">
        <f t="shared" si="209"/>
        <v>Eintrag 2795</v>
      </c>
      <c r="B2796" s="18">
        <v>100</v>
      </c>
      <c r="C2796" s="19">
        <v>100</v>
      </c>
      <c r="D2796" s="20">
        <v>10</v>
      </c>
      <c r="E2796" s="20">
        <v>10</v>
      </c>
      <c r="F2796" s="20">
        <v>10</v>
      </c>
      <c r="G2796" s="19">
        <f t="shared" si="208"/>
        <v>172</v>
      </c>
      <c r="H2796" s="22">
        <f t="shared" si="210"/>
        <v>2795</v>
      </c>
      <c r="I2796" s="21">
        <f t="shared" ca="1" si="206"/>
        <v>0</v>
      </c>
      <c r="J2796" s="21" t="str">
        <f ca="1">IF(I2796=0,"",COUNTIF($I$2:I2796,"&gt;0"))</f>
        <v/>
      </c>
      <c r="K2796" s="21" t="str">
        <f t="shared" ca="1" si="207"/>
        <v/>
      </c>
    </row>
    <row r="2797" spans="1:11" s="18" customFormat="1" ht="14.25" x14ac:dyDescent="0.2">
      <c r="A2797" s="18" t="str">
        <f t="shared" si="209"/>
        <v>Eintrag 2796</v>
      </c>
      <c r="B2797" s="18">
        <v>100</v>
      </c>
      <c r="C2797" s="19">
        <v>100</v>
      </c>
      <c r="D2797" s="20">
        <v>10</v>
      </c>
      <c r="E2797" s="20">
        <v>10</v>
      </c>
      <c r="F2797" s="20">
        <v>10</v>
      </c>
      <c r="G2797" s="19">
        <f t="shared" si="208"/>
        <v>172</v>
      </c>
      <c r="H2797" s="22">
        <f t="shared" si="210"/>
        <v>2796</v>
      </c>
      <c r="I2797" s="21">
        <f t="shared" ca="1" si="206"/>
        <v>0</v>
      </c>
      <c r="J2797" s="21" t="str">
        <f ca="1">IF(I2797=0,"",COUNTIF($I$2:I2797,"&gt;0"))</f>
        <v/>
      </c>
      <c r="K2797" s="21" t="str">
        <f t="shared" ca="1" si="207"/>
        <v/>
      </c>
    </row>
    <row r="2798" spans="1:11" s="18" customFormat="1" ht="14.25" x14ac:dyDescent="0.2">
      <c r="A2798" s="18" t="str">
        <f t="shared" si="209"/>
        <v>Eintrag 2797</v>
      </c>
      <c r="B2798" s="18">
        <v>100</v>
      </c>
      <c r="C2798" s="19">
        <v>100</v>
      </c>
      <c r="D2798" s="20">
        <v>10</v>
      </c>
      <c r="E2798" s="20">
        <v>10</v>
      </c>
      <c r="F2798" s="20">
        <v>10</v>
      </c>
      <c r="G2798" s="19">
        <f t="shared" si="208"/>
        <v>172</v>
      </c>
      <c r="H2798" s="22">
        <f t="shared" si="210"/>
        <v>2797</v>
      </c>
      <c r="I2798" s="21">
        <f t="shared" ca="1" si="206"/>
        <v>0</v>
      </c>
      <c r="J2798" s="21" t="str">
        <f ca="1">IF(I2798=0,"",COUNTIF($I$2:I2798,"&gt;0"))</f>
        <v/>
      </c>
      <c r="K2798" s="21" t="str">
        <f t="shared" ca="1" si="207"/>
        <v/>
      </c>
    </row>
    <row r="2799" spans="1:11" s="18" customFormat="1" ht="14.25" x14ac:dyDescent="0.2">
      <c r="A2799" s="18" t="str">
        <f t="shared" si="209"/>
        <v>Eintrag 2798</v>
      </c>
      <c r="B2799" s="18">
        <v>100</v>
      </c>
      <c r="C2799" s="19">
        <v>100</v>
      </c>
      <c r="D2799" s="20">
        <v>10</v>
      </c>
      <c r="E2799" s="20">
        <v>10</v>
      </c>
      <c r="F2799" s="20">
        <v>10</v>
      </c>
      <c r="G2799" s="19">
        <f t="shared" si="208"/>
        <v>172</v>
      </c>
      <c r="H2799" s="22">
        <f t="shared" si="210"/>
        <v>2798</v>
      </c>
      <c r="I2799" s="21">
        <f t="shared" ca="1" si="206"/>
        <v>0</v>
      </c>
      <c r="J2799" s="21" t="str">
        <f ca="1">IF(I2799=0,"",COUNTIF($I$2:I2799,"&gt;0"))</f>
        <v/>
      </c>
      <c r="K2799" s="21" t="str">
        <f t="shared" ca="1" si="207"/>
        <v/>
      </c>
    </row>
    <row r="2800" spans="1:11" s="18" customFormat="1" ht="14.25" x14ac:dyDescent="0.2">
      <c r="A2800" s="18" t="str">
        <f t="shared" si="209"/>
        <v>Eintrag 2799</v>
      </c>
      <c r="B2800" s="18">
        <v>100</v>
      </c>
      <c r="C2800" s="19">
        <v>100</v>
      </c>
      <c r="D2800" s="20">
        <v>10</v>
      </c>
      <c r="E2800" s="20">
        <v>10</v>
      </c>
      <c r="F2800" s="20">
        <v>10</v>
      </c>
      <c r="G2800" s="19">
        <f t="shared" si="208"/>
        <v>172</v>
      </c>
      <c r="H2800" s="22">
        <f t="shared" si="210"/>
        <v>2799</v>
      </c>
      <c r="I2800" s="21">
        <f t="shared" ca="1" si="206"/>
        <v>0</v>
      </c>
      <c r="J2800" s="21" t="str">
        <f ca="1">IF(I2800=0,"",COUNTIF($I$2:I2800,"&gt;0"))</f>
        <v/>
      </c>
      <c r="K2800" s="21" t="str">
        <f t="shared" ca="1" si="207"/>
        <v/>
      </c>
    </row>
    <row r="2801" spans="1:11" s="18" customFormat="1" ht="14.25" x14ac:dyDescent="0.2">
      <c r="A2801" s="18" t="str">
        <f t="shared" si="209"/>
        <v>Eintrag 2800</v>
      </c>
      <c r="B2801" s="18">
        <v>100</v>
      </c>
      <c r="C2801" s="19">
        <v>100</v>
      </c>
      <c r="D2801" s="20">
        <v>10</v>
      </c>
      <c r="E2801" s="20">
        <v>10</v>
      </c>
      <c r="F2801" s="20">
        <v>10</v>
      </c>
      <c r="G2801" s="19">
        <f t="shared" si="208"/>
        <v>172</v>
      </c>
      <c r="H2801" s="22">
        <f t="shared" si="210"/>
        <v>2800</v>
      </c>
      <c r="I2801" s="21">
        <f t="shared" ca="1" si="206"/>
        <v>0</v>
      </c>
      <c r="J2801" s="21" t="str">
        <f ca="1">IF(I2801=0,"",COUNTIF($I$2:I2801,"&gt;0"))</f>
        <v/>
      </c>
      <c r="K2801" s="21" t="str">
        <f t="shared" ca="1" si="207"/>
        <v/>
      </c>
    </row>
    <row r="2802" spans="1:11" s="18" customFormat="1" ht="14.25" x14ac:dyDescent="0.2">
      <c r="A2802" s="18" t="str">
        <f t="shared" si="209"/>
        <v>Eintrag 2801</v>
      </c>
      <c r="B2802" s="18">
        <v>100</v>
      </c>
      <c r="C2802" s="19">
        <v>100</v>
      </c>
      <c r="D2802" s="20">
        <v>10</v>
      </c>
      <c r="E2802" s="20">
        <v>10</v>
      </c>
      <c r="F2802" s="20">
        <v>10</v>
      </c>
      <c r="G2802" s="19">
        <f t="shared" si="208"/>
        <v>172</v>
      </c>
      <c r="H2802" s="22">
        <f t="shared" si="210"/>
        <v>2801</v>
      </c>
      <c r="I2802" s="21">
        <f t="shared" ca="1" si="206"/>
        <v>0</v>
      </c>
      <c r="J2802" s="21" t="str">
        <f ca="1">IF(I2802=0,"",COUNTIF($I$2:I2802,"&gt;0"))</f>
        <v/>
      </c>
      <c r="K2802" s="21" t="str">
        <f t="shared" ca="1" si="207"/>
        <v/>
      </c>
    </row>
    <row r="2803" spans="1:11" s="18" customFormat="1" ht="14.25" x14ac:dyDescent="0.2">
      <c r="A2803" s="18" t="str">
        <f t="shared" si="209"/>
        <v>Eintrag 2802</v>
      </c>
      <c r="B2803" s="18">
        <v>100</v>
      </c>
      <c r="C2803" s="19">
        <v>100</v>
      </c>
      <c r="D2803" s="20">
        <v>10</v>
      </c>
      <c r="E2803" s="20">
        <v>10</v>
      </c>
      <c r="F2803" s="20">
        <v>10</v>
      </c>
      <c r="G2803" s="19">
        <f t="shared" si="208"/>
        <v>172</v>
      </c>
      <c r="H2803" s="22">
        <f t="shared" si="210"/>
        <v>2802</v>
      </c>
      <c r="I2803" s="21">
        <f t="shared" ca="1" si="206"/>
        <v>0</v>
      </c>
      <c r="J2803" s="21" t="str">
        <f ca="1">IF(I2803=0,"",COUNTIF($I$2:I2803,"&gt;0"))</f>
        <v/>
      </c>
      <c r="K2803" s="21" t="str">
        <f t="shared" ca="1" si="207"/>
        <v/>
      </c>
    </row>
    <row r="2804" spans="1:11" s="18" customFormat="1" ht="14.25" x14ac:dyDescent="0.2">
      <c r="A2804" s="18" t="str">
        <f t="shared" si="209"/>
        <v>Eintrag 2803</v>
      </c>
      <c r="B2804" s="18">
        <v>100</v>
      </c>
      <c r="C2804" s="19">
        <v>100</v>
      </c>
      <c r="D2804" s="20">
        <v>10</v>
      </c>
      <c r="E2804" s="20">
        <v>10</v>
      </c>
      <c r="F2804" s="20">
        <v>10</v>
      </c>
      <c r="G2804" s="19">
        <f t="shared" si="208"/>
        <v>172</v>
      </c>
      <c r="H2804" s="22">
        <f t="shared" si="210"/>
        <v>2803</v>
      </c>
      <c r="I2804" s="21">
        <f t="shared" ca="1" si="206"/>
        <v>0</v>
      </c>
      <c r="J2804" s="21" t="str">
        <f ca="1">IF(I2804=0,"",COUNTIF($I$2:I2804,"&gt;0"))</f>
        <v/>
      </c>
      <c r="K2804" s="21" t="str">
        <f t="shared" ca="1" si="207"/>
        <v/>
      </c>
    </row>
    <row r="2805" spans="1:11" s="18" customFormat="1" ht="14.25" x14ac:dyDescent="0.2">
      <c r="A2805" s="18" t="str">
        <f t="shared" si="209"/>
        <v>Eintrag 2804</v>
      </c>
      <c r="B2805" s="18">
        <v>100</v>
      </c>
      <c r="C2805" s="19">
        <v>100</v>
      </c>
      <c r="D2805" s="20">
        <v>10</v>
      </c>
      <c r="E2805" s="20">
        <v>10</v>
      </c>
      <c r="F2805" s="20">
        <v>10</v>
      </c>
      <c r="G2805" s="19">
        <f t="shared" si="208"/>
        <v>172</v>
      </c>
      <c r="H2805" s="22">
        <f t="shared" si="210"/>
        <v>2804</v>
      </c>
      <c r="I2805" s="21">
        <f t="shared" ca="1" si="206"/>
        <v>0</v>
      </c>
      <c r="J2805" s="21" t="str">
        <f ca="1">IF(I2805=0,"",COUNTIF($I$2:I2805,"&gt;0"))</f>
        <v/>
      </c>
      <c r="K2805" s="21" t="str">
        <f t="shared" ca="1" si="207"/>
        <v/>
      </c>
    </row>
    <row r="2806" spans="1:11" s="18" customFormat="1" ht="14.25" x14ac:dyDescent="0.2">
      <c r="A2806" s="18" t="str">
        <f t="shared" si="209"/>
        <v>Eintrag 2805</v>
      </c>
      <c r="B2806" s="18">
        <v>100</v>
      </c>
      <c r="C2806" s="19">
        <v>100</v>
      </c>
      <c r="D2806" s="20">
        <v>10</v>
      </c>
      <c r="E2806" s="20">
        <v>10</v>
      </c>
      <c r="F2806" s="20">
        <v>10</v>
      </c>
      <c r="G2806" s="19">
        <f t="shared" si="208"/>
        <v>172</v>
      </c>
      <c r="H2806" s="22">
        <f t="shared" si="210"/>
        <v>2805</v>
      </c>
      <c r="I2806" s="21">
        <f t="shared" ca="1" si="206"/>
        <v>0</v>
      </c>
      <c r="J2806" s="21" t="str">
        <f ca="1">IF(I2806=0,"",COUNTIF($I$2:I2806,"&gt;0"))</f>
        <v/>
      </c>
      <c r="K2806" s="21" t="str">
        <f t="shared" ca="1" si="207"/>
        <v/>
      </c>
    </row>
    <row r="2807" spans="1:11" s="18" customFormat="1" ht="14.25" x14ac:dyDescent="0.2">
      <c r="A2807" s="18" t="str">
        <f t="shared" si="209"/>
        <v>Eintrag 2806</v>
      </c>
      <c r="B2807" s="18">
        <v>100</v>
      </c>
      <c r="C2807" s="19">
        <v>100</v>
      </c>
      <c r="D2807" s="20">
        <v>10</v>
      </c>
      <c r="E2807" s="20">
        <v>10</v>
      </c>
      <c r="F2807" s="20">
        <v>10</v>
      </c>
      <c r="G2807" s="19">
        <f t="shared" si="208"/>
        <v>172</v>
      </c>
      <c r="H2807" s="22">
        <f t="shared" si="210"/>
        <v>2806</v>
      </c>
      <c r="I2807" s="21">
        <f t="shared" ca="1" si="206"/>
        <v>0</v>
      </c>
      <c r="J2807" s="21" t="str">
        <f ca="1">IF(I2807=0,"",COUNTIF($I$2:I2807,"&gt;0"))</f>
        <v/>
      </c>
      <c r="K2807" s="21" t="str">
        <f t="shared" ca="1" si="207"/>
        <v/>
      </c>
    </row>
    <row r="2808" spans="1:11" s="18" customFormat="1" ht="14.25" x14ac:dyDescent="0.2">
      <c r="A2808" s="18" t="str">
        <f t="shared" si="209"/>
        <v>Eintrag 2807</v>
      </c>
      <c r="B2808" s="18">
        <v>100</v>
      </c>
      <c r="C2808" s="19">
        <v>100</v>
      </c>
      <c r="D2808" s="20">
        <v>10</v>
      </c>
      <c r="E2808" s="20">
        <v>10</v>
      </c>
      <c r="F2808" s="20">
        <v>10</v>
      </c>
      <c r="G2808" s="19">
        <f t="shared" si="208"/>
        <v>172</v>
      </c>
      <c r="H2808" s="22">
        <f t="shared" si="210"/>
        <v>2807</v>
      </c>
      <c r="I2808" s="21">
        <f t="shared" ca="1" si="206"/>
        <v>0</v>
      </c>
      <c r="J2808" s="21" t="str">
        <f ca="1">IF(I2808=0,"",COUNTIF($I$2:I2808,"&gt;0"))</f>
        <v/>
      </c>
      <c r="K2808" s="21" t="str">
        <f t="shared" ca="1" si="207"/>
        <v/>
      </c>
    </row>
    <row r="2809" spans="1:11" s="18" customFormat="1" ht="14.25" x14ac:dyDescent="0.2">
      <c r="A2809" s="18" t="str">
        <f t="shared" si="209"/>
        <v>Eintrag 2808</v>
      </c>
      <c r="B2809" s="18">
        <v>100</v>
      </c>
      <c r="C2809" s="19">
        <v>100</v>
      </c>
      <c r="D2809" s="20">
        <v>10</v>
      </c>
      <c r="E2809" s="20">
        <v>10</v>
      </c>
      <c r="F2809" s="20">
        <v>10</v>
      </c>
      <c r="G2809" s="19">
        <f t="shared" si="208"/>
        <v>172</v>
      </c>
      <c r="H2809" s="22">
        <f t="shared" si="210"/>
        <v>2808</v>
      </c>
      <c r="I2809" s="21">
        <f t="shared" ca="1" si="206"/>
        <v>0</v>
      </c>
      <c r="J2809" s="21" t="str">
        <f ca="1">IF(I2809=0,"",COUNTIF($I$2:I2809,"&gt;0"))</f>
        <v/>
      </c>
      <c r="K2809" s="21" t="str">
        <f t="shared" ca="1" si="207"/>
        <v/>
      </c>
    </row>
    <row r="2810" spans="1:11" s="18" customFormat="1" ht="14.25" x14ac:dyDescent="0.2">
      <c r="A2810" s="18" t="str">
        <f t="shared" si="209"/>
        <v>Eintrag 2809</v>
      </c>
      <c r="B2810" s="18">
        <v>100</v>
      </c>
      <c r="C2810" s="19">
        <v>100</v>
      </c>
      <c r="D2810" s="20">
        <v>10</v>
      </c>
      <c r="E2810" s="20">
        <v>10</v>
      </c>
      <c r="F2810" s="20">
        <v>10</v>
      </c>
      <c r="G2810" s="19">
        <f t="shared" si="208"/>
        <v>172</v>
      </c>
      <c r="H2810" s="22">
        <f t="shared" si="210"/>
        <v>2809</v>
      </c>
      <c r="I2810" s="21">
        <f t="shared" ca="1" si="206"/>
        <v>0</v>
      </c>
      <c r="J2810" s="21" t="str">
        <f ca="1">IF(I2810=0,"",COUNTIF($I$2:I2810,"&gt;0"))</f>
        <v/>
      </c>
      <c r="K2810" s="21" t="str">
        <f t="shared" ca="1" si="207"/>
        <v/>
      </c>
    </row>
    <row r="2811" spans="1:11" s="18" customFormat="1" ht="14.25" x14ac:dyDescent="0.2">
      <c r="A2811" s="18" t="str">
        <f t="shared" si="209"/>
        <v>Eintrag 2810</v>
      </c>
      <c r="B2811" s="18">
        <v>100</v>
      </c>
      <c r="C2811" s="19">
        <v>100</v>
      </c>
      <c r="D2811" s="20">
        <v>10</v>
      </c>
      <c r="E2811" s="20">
        <v>10</v>
      </c>
      <c r="F2811" s="20">
        <v>10</v>
      </c>
      <c r="G2811" s="19">
        <f t="shared" si="208"/>
        <v>172</v>
      </c>
      <c r="H2811" s="22">
        <f t="shared" si="210"/>
        <v>2810</v>
      </c>
      <c r="I2811" s="21">
        <f t="shared" ref="I2811:I2874" ca="1" si="211">IFERROR(SEARCH(INDIRECT(CELL("address")),A2811),0)</f>
        <v>0</v>
      </c>
      <c r="J2811" s="21" t="str">
        <f ca="1">IF(I2811=0,"",COUNTIF($I$2:I2811,"&gt;0"))</f>
        <v/>
      </c>
      <c r="K2811" s="21" t="str">
        <f t="shared" ca="1" si="207"/>
        <v/>
      </c>
    </row>
    <row r="2812" spans="1:11" s="18" customFormat="1" ht="14.25" x14ac:dyDescent="0.2">
      <c r="A2812" s="18" t="str">
        <f t="shared" si="209"/>
        <v>Eintrag 2811</v>
      </c>
      <c r="B2812" s="18">
        <v>100</v>
      </c>
      <c r="C2812" s="19">
        <v>100</v>
      </c>
      <c r="D2812" s="20">
        <v>10</v>
      </c>
      <c r="E2812" s="20">
        <v>10</v>
      </c>
      <c r="F2812" s="20">
        <v>10</v>
      </c>
      <c r="G2812" s="19">
        <f t="shared" si="208"/>
        <v>172</v>
      </c>
      <c r="H2812" s="22">
        <f t="shared" si="210"/>
        <v>2811</v>
      </c>
      <c r="I2812" s="21">
        <f t="shared" ca="1" si="211"/>
        <v>0</v>
      </c>
      <c r="J2812" s="21" t="str">
        <f ca="1">IF(I2812=0,"",COUNTIF($I$2:I2812,"&gt;0"))</f>
        <v/>
      </c>
      <c r="K2812" s="21" t="str">
        <f t="shared" ca="1" si="207"/>
        <v/>
      </c>
    </row>
    <row r="2813" spans="1:11" s="18" customFormat="1" ht="14.25" x14ac:dyDescent="0.2">
      <c r="A2813" s="18" t="str">
        <f t="shared" si="209"/>
        <v>Eintrag 2812</v>
      </c>
      <c r="B2813" s="18">
        <v>100</v>
      </c>
      <c r="C2813" s="19">
        <v>100</v>
      </c>
      <c r="D2813" s="20">
        <v>10</v>
      </c>
      <c r="E2813" s="20">
        <v>10</v>
      </c>
      <c r="F2813" s="20">
        <v>10</v>
      </c>
      <c r="G2813" s="19">
        <f t="shared" si="208"/>
        <v>172</v>
      </c>
      <c r="H2813" s="22">
        <f t="shared" si="210"/>
        <v>2812</v>
      </c>
      <c r="I2813" s="21">
        <f t="shared" ca="1" si="211"/>
        <v>0</v>
      </c>
      <c r="J2813" s="21" t="str">
        <f ca="1">IF(I2813=0,"",COUNTIF($I$2:I2813,"&gt;0"))</f>
        <v/>
      </c>
      <c r="K2813" s="21" t="str">
        <f t="shared" ca="1" si="207"/>
        <v/>
      </c>
    </row>
    <row r="2814" spans="1:11" s="18" customFormat="1" ht="14.25" x14ac:dyDescent="0.2">
      <c r="A2814" s="18" t="str">
        <f t="shared" si="209"/>
        <v>Eintrag 2813</v>
      </c>
      <c r="B2814" s="18">
        <v>100</v>
      </c>
      <c r="C2814" s="19">
        <v>100</v>
      </c>
      <c r="D2814" s="20">
        <v>10</v>
      </c>
      <c r="E2814" s="20">
        <v>10</v>
      </c>
      <c r="F2814" s="20">
        <v>10</v>
      </c>
      <c r="G2814" s="19">
        <f t="shared" si="208"/>
        <v>172</v>
      </c>
      <c r="H2814" s="22">
        <f t="shared" si="210"/>
        <v>2813</v>
      </c>
      <c r="I2814" s="21">
        <f t="shared" ca="1" si="211"/>
        <v>0</v>
      </c>
      <c r="J2814" s="21" t="str">
        <f ca="1">IF(I2814=0,"",COUNTIF($I$2:I2814,"&gt;0"))</f>
        <v/>
      </c>
      <c r="K2814" s="21" t="str">
        <f t="shared" ca="1" si="207"/>
        <v/>
      </c>
    </row>
    <row r="2815" spans="1:11" s="18" customFormat="1" ht="14.25" x14ac:dyDescent="0.2">
      <c r="A2815" s="18" t="str">
        <f t="shared" si="209"/>
        <v>Eintrag 2814</v>
      </c>
      <c r="B2815" s="18">
        <v>100</v>
      </c>
      <c r="C2815" s="19">
        <v>100</v>
      </c>
      <c r="D2815" s="20">
        <v>10</v>
      </c>
      <c r="E2815" s="20">
        <v>10</v>
      </c>
      <c r="F2815" s="20">
        <v>10</v>
      </c>
      <c r="G2815" s="19">
        <f t="shared" si="208"/>
        <v>172</v>
      </c>
      <c r="H2815" s="22">
        <f t="shared" si="210"/>
        <v>2814</v>
      </c>
      <c r="I2815" s="21">
        <f t="shared" ca="1" si="211"/>
        <v>0</v>
      </c>
      <c r="J2815" s="21" t="str">
        <f ca="1">IF(I2815=0,"",COUNTIF($I$2:I2815,"&gt;0"))</f>
        <v/>
      </c>
      <c r="K2815" s="21" t="str">
        <f t="shared" ca="1" si="207"/>
        <v/>
      </c>
    </row>
    <row r="2816" spans="1:11" s="18" customFormat="1" ht="14.25" x14ac:dyDescent="0.2">
      <c r="A2816" s="18" t="str">
        <f t="shared" si="209"/>
        <v>Eintrag 2815</v>
      </c>
      <c r="B2816" s="18">
        <v>100</v>
      </c>
      <c r="C2816" s="19">
        <v>100</v>
      </c>
      <c r="D2816" s="20">
        <v>10</v>
      </c>
      <c r="E2816" s="20">
        <v>10</v>
      </c>
      <c r="F2816" s="20">
        <v>10</v>
      </c>
      <c r="G2816" s="19">
        <f t="shared" si="208"/>
        <v>172</v>
      </c>
      <c r="H2816" s="22">
        <f t="shared" si="210"/>
        <v>2815</v>
      </c>
      <c r="I2816" s="21">
        <f t="shared" ca="1" si="211"/>
        <v>0</v>
      </c>
      <c r="J2816" s="21" t="str">
        <f ca="1">IF(I2816=0,"",COUNTIF($I$2:I2816,"&gt;0"))</f>
        <v/>
      </c>
      <c r="K2816" s="21" t="str">
        <f t="shared" ca="1" si="207"/>
        <v/>
      </c>
    </row>
    <row r="2817" spans="1:11" s="18" customFormat="1" ht="14.25" x14ac:dyDescent="0.2">
      <c r="A2817" s="18" t="str">
        <f t="shared" si="209"/>
        <v>Eintrag 2816</v>
      </c>
      <c r="B2817" s="18">
        <v>100</v>
      </c>
      <c r="C2817" s="19">
        <v>100</v>
      </c>
      <c r="D2817" s="20">
        <v>10</v>
      </c>
      <c r="E2817" s="20">
        <v>10</v>
      </c>
      <c r="F2817" s="20">
        <v>10</v>
      </c>
      <c r="G2817" s="19">
        <f t="shared" si="208"/>
        <v>172</v>
      </c>
      <c r="H2817" s="22">
        <f t="shared" si="210"/>
        <v>2816</v>
      </c>
      <c r="I2817" s="21">
        <f t="shared" ca="1" si="211"/>
        <v>0</v>
      </c>
      <c r="J2817" s="21" t="str">
        <f ca="1">IF(I2817=0,"",COUNTIF($I$2:I2817,"&gt;0"))</f>
        <v/>
      </c>
      <c r="K2817" s="21" t="str">
        <f t="shared" ca="1" si="207"/>
        <v/>
      </c>
    </row>
    <row r="2818" spans="1:11" s="18" customFormat="1" ht="14.25" x14ac:dyDescent="0.2">
      <c r="A2818" s="18" t="str">
        <f t="shared" si="209"/>
        <v>Eintrag 2817</v>
      </c>
      <c r="B2818" s="18">
        <v>100</v>
      </c>
      <c r="C2818" s="19">
        <v>100</v>
      </c>
      <c r="D2818" s="20">
        <v>10</v>
      </c>
      <c r="E2818" s="20">
        <v>10</v>
      </c>
      <c r="F2818" s="20">
        <v>10</v>
      </c>
      <c r="G2818" s="19">
        <f t="shared" si="208"/>
        <v>172</v>
      </c>
      <c r="H2818" s="22">
        <f t="shared" si="210"/>
        <v>2817</v>
      </c>
      <c r="I2818" s="21">
        <f t="shared" ca="1" si="211"/>
        <v>0</v>
      </c>
      <c r="J2818" s="21" t="str">
        <f ca="1">IF(I2818=0,"",COUNTIF($I$2:I2818,"&gt;0"))</f>
        <v/>
      </c>
      <c r="K2818" s="21" t="str">
        <f t="shared" ref="K2818:K2881" ca="1" si="212">IFERROR(INDEX(A:A,MATCH(ROW(I2817),J:J,0)),"")</f>
        <v/>
      </c>
    </row>
    <row r="2819" spans="1:11" s="18" customFormat="1" ht="14.25" x14ac:dyDescent="0.2">
      <c r="A2819" s="18" t="str">
        <f t="shared" si="209"/>
        <v>Eintrag 2818</v>
      </c>
      <c r="B2819" s="18">
        <v>100</v>
      </c>
      <c r="C2819" s="19">
        <v>100</v>
      </c>
      <c r="D2819" s="20">
        <v>10</v>
      </c>
      <c r="E2819" s="20">
        <v>10</v>
      </c>
      <c r="F2819" s="20">
        <v>10</v>
      </c>
      <c r="G2819" s="19">
        <f t="shared" ref="G2819:G2882" si="213">D2819*9+E2819*4.1+F2819*4.1</f>
        <v>172</v>
      </c>
      <c r="H2819" s="22">
        <f t="shared" si="210"/>
        <v>2818</v>
      </c>
      <c r="I2819" s="21">
        <f t="shared" ca="1" si="211"/>
        <v>0</v>
      </c>
      <c r="J2819" s="21" t="str">
        <f ca="1">IF(I2819=0,"",COUNTIF($I$2:I2819,"&gt;0"))</f>
        <v/>
      </c>
      <c r="K2819" s="21" t="str">
        <f t="shared" ca="1" si="212"/>
        <v/>
      </c>
    </row>
    <row r="2820" spans="1:11" s="18" customFormat="1" ht="14.25" x14ac:dyDescent="0.2">
      <c r="A2820" s="18" t="str">
        <f t="shared" si="209"/>
        <v>Eintrag 2819</v>
      </c>
      <c r="B2820" s="18">
        <v>100</v>
      </c>
      <c r="C2820" s="19">
        <v>100</v>
      </c>
      <c r="D2820" s="20">
        <v>10</v>
      </c>
      <c r="E2820" s="20">
        <v>10</v>
      </c>
      <c r="F2820" s="20">
        <v>10</v>
      </c>
      <c r="G2820" s="19">
        <f t="shared" si="213"/>
        <v>172</v>
      </c>
      <c r="H2820" s="22">
        <f t="shared" si="210"/>
        <v>2819</v>
      </c>
      <c r="I2820" s="21">
        <f t="shared" ca="1" si="211"/>
        <v>0</v>
      </c>
      <c r="J2820" s="21" t="str">
        <f ca="1">IF(I2820=0,"",COUNTIF($I$2:I2820,"&gt;0"))</f>
        <v/>
      </c>
      <c r="K2820" s="21" t="str">
        <f t="shared" ca="1" si="212"/>
        <v/>
      </c>
    </row>
    <row r="2821" spans="1:11" s="18" customFormat="1" ht="14.25" x14ac:dyDescent="0.2">
      <c r="A2821" s="18" t="str">
        <f t="shared" si="209"/>
        <v>Eintrag 2820</v>
      </c>
      <c r="B2821" s="18">
        <v>100</v>
      </c>
      <c r="C2821" s="19">
        <v>100</v>
      </c>
      <c r="D2821" s="20">
        <v>10</v>
      </c>
      <c r="E2821" s="20">
        <v>10</v>
      </c>
      <c r="F2821" s="20">
        <v>10</v>
      </c>
      <c r="G2821" s="19">
        <f t="shared" si="213"/>
        <v>172</v>
      </c>
      <c r="H2821" s="22">
        <f t="shared" si="210"/>
        <v>2820</v>
      </c>
      <c r="I2821" s="21">
        <f t="shared" ca="1" si="211"/>
        <v>0</v>
      </c>
      <c r="J2821" s="21" t="str">
        <f ca="1">IF(I2821=0,"",COUNTIF($I$2:I2821,"&gt;0"))</f>
        <v/>
      </c>
      <c r="K2821" s="21" t="str">
        <f t="shared" ca="1" si="212"/>
        <v/>
      </c>
    </row>
    <row r="2822" spans="1:11" s="18" customFormat="1" ht="14.25" x14ac:dyDescent="0.2">
      <c r="A2822" s="18" t="str">
        <f t="shared" si="209"/>
        <v>Eintrag 2821</v>
      </c>
      <c r="B2822" s="18">
        <v>100</v>
      </c>
      <c r="C2822" s="19">
        <v>100</v>
      </c>
      <c r="D2822" s="20">
        <v>10</v>
      </c>
      <c r="E2822" s="20">
        <v>10</v>
      </c>
      <c r="F2822" s="20">
        <v>10</v>
      </c>
      <c r="G2822" s="19">
        <f t="shared" si="213"/>
        <v>172</v>
      </c>
      <c r="H2822" s="22">
        <f t="shared" si="210"/>
        <v>2821</v>
      </c>
      <c r="I2822" s="21">
        <f t="shared" ca="1" si="211"/>
        <v>0</v>
      </c>
      <c r="J2822" s="21" t="str">
        <f ca="1">IF(I2822=0,"",COUNTIF($I$2:I2822,"&gt;0"))</f>
        <v/>
      </c>
      <c r="K2822" s="21" t="str">
        <f t="shared" ca="1" si="212"/>
        <v/>
      </c>
    </row>
    <row r="2823" spans="1:11" s="18" customFormat="1" ht="14.25" x14ac:dyDescent="0.2">
      <c r="A2823" s="18" t="str">
        <f t="shared" si="209"/>
        <v>Eintrag 2822</v>
      </c>
      <c r="B2823" s="18">
        <v>100</v>
      </c>
      <c r="C2823" s="19">
        <v>100</v>
      </c>
      <c r="D2823" s="20">
        <v>10</v>
      </c>
      <c r="E2823" s="20">
        <v>10</v>
      </c>
      <c r="F2823" s="20">
        <v>10</v>
      </c>
      <c r="G2823" s="19">
        <f t="shared" si="213"/>
        <v>172</v>
      </c>
      <c r="H2823" s="22">
        <f t="shared" si="210"/>
        <v>2822</v>
      </c>
      <c r="I2823" s="21">
        <f t="shared" ca="1" si="211"/>
        <v>0</v>
      </c>
      <c r="J2823" s="21" t="str">
        <f ca="1">IF(I2823=0,"",COUNTIF($I$2:I2823,"&gt;0"))</f>
        <v/>
      </c>
      <c r="K2823" s="21" t="str">
        <f t="shared" ca="1" si="212"/>
        <v/>
      </c>
    </row>
    <row r="2824" spans="1:11" s="18" customFormat="1" ht="14.25" x14ac:dyDescent="0.2">
      <c r="A2824" s="18" t="str">
        <f t="shared" si="209"/>
        <v>Eintrag 2823</v>
      </c>
      <c r="B2824" s="18">
        <v>100</v>
      </c>
      <c r="C2824" s="19">
        <v>100</v>
      </c>
      <c r="D2824" s="20">
        <v>10</v>
      </c>
      <c r="E2824" s="20">
        <v>10</v>
      </c>
      <c r="F2824" s="20">
        <v>10</v>
      </c>
      <c r="G2824" s="19">
        <f t="shared" si="213"/>
        <v>172</v>
      </c>
      <c r="H2824" s="22">
        <f t="shared" si="210"/>
        <v>2823</v>
      </c>
      <c r="I2824" s="21">
        <f t="shared" ca="1" si="211"/>
        <v>0</v>
      </c>
      <c r="J2824" s="21" t="str">
        <f ca="1">IF(I2824=0,"",COUNTIF($I$2:I2824,"&gt;0"))</f>
        <v/>
      </c>
      <c r="K2824" s="21" t="str">
        <f t="shared" ca="1" si="212"/>
        <v/>
      </c>
    </row>
    <row r="2825" spans="1:11" s="18" customFormat="1" ht="14.25" x14ac:dyDescent="0.2">
      <c r="A2825" s="18" t="str">
        <f t="shared" si="209"/>
        <v>Eintrag 2824</v>
      </c>
      <c r="B2825" s="18">
        <v>100</v>
      </c>
      <c r="C2825" s="19">
        <v>100</v>
      </c>
      <c r="D2825" s="20">
        <v>10</v>
      </c>
      <c r="E2825" s="20">
        <v>10</v>
      </c>
      <c r="F2825" s="20">
        <v>10</v>
      </c>
      <c r="G2825" s="19">
        <f t="shared" si="213"/>
        <v>172</v>
      </c>
      <c r="H2825" s="22">
        <f t="shared" si="210"/>
        <v>2824</v>
      </c>
      <c r="I2825" s="21">
        <f t="shared" ca="1" si="211"/>
        <v>0</v>
      </c>
      <c r="J2825" s="21" t="str">
        <f ca="1">IF(I2825=0,"",COUNTIF($I$2:I2825,"&gt;0"))</f>
        <v/>
      </c>
      <c r="K2825" s="21" t="str">
        <f t="shared" ca="1" si="212"/>
        <v/>
      </c>
    </row>
    <row r="2826" spans="1:11" s="18" customFormat="1" ht="14.25" x14ac:dyDescent="0.2">
      <c r="A2826" s="18" t="str">
        <f t="shared" si="209"/>
        <v>Eintrag 2825</v>
      </c>
      <c r="B2826" s="18">
        <v>100</v>
      </c>
      <c r="C2826" s="19">
        <v>100</v>
      </c>
      <c r="D2826" s="20">
        <v>10</v>
      </c>
      <c r="E2826" s="20">
        <v>10</v>
      </c>
      <c r="F2826" s="20">
        <v>10</v>
      </c>
      <c r="G2826" s="19">
        <f t="shared" si="213"/>
        <v>172</v>
      </c>
      <c r="H2826" s="22">
        <f t="shared" si="210"/>
        <v>2825</v>
      </c>
      <c r="I2826" s="21">
        <f t="shared" ca="1" si="211"/>
        <v>0</v>
      </c>
      <c r="J2826" s="21" t="str">
        <f ca="1">IF(I2826=0,"",COUNTIF($I$2:I2826,"&gt;0"))</f>
        <v/>
      </c>
      <c r="K2826" s="21" t="str">
        <f t="shared" ca="1" si="212"/>
        <v/>
      </c>
    </row>
    <row r="2827" spans="1:11" s="18" customFormat="1" ht="14.25" x14ac:dyDescent="0.2">
      <c r="A2827" s="18" t="str">
        <f t="shared" si="209"/>
        <v>Eintrag 2826</v>
      </c>
      <c r="B2827" s="18">
        <v>100</v>
      </c>
      <c r="C2827" s="19">
        <v>100</v>
      </c>
      <c r="D2827" s="20">
        <v>10</v>
      </c>
      <c r="E2827" s="20">
        <v>10</v>
      </c>
      <c r="F2827" s="20">
        <v>10</v>
      </c>
      <c r="G2827" s="19">
        <f t="shared" si="213"/>
        <v>172</v>
      </c>
      <c r="H2827" s="22">
        <f t="shared" si="210"/>
        <v>2826</v>
      </c>
      <c r="I2827" s="21">
        <f t="shared" ca="1" si="211"/>
        <v>0</v>
      </c>
      <c r="J2827" s="21" t="str">
        <f ca="1">IF(I2827=0,"",COUNTIF($I$2:I2827,"&gt;0"))</f>
        <v/>
      </c>
      <c r="K2827" s="21" t="str">
        <f t="shared" ca="1" si="212"/>
        <v/>
      </c>
    </row>
    <row r="2828" spans="1:11" s="18" customFormat="1" ht="14.25" x14ac:dyDescent="0.2">
      <c r="A2828" s="18" t="str">
        <f t="shared" si="209"/>
        <v>Eintrag 2827</v>
      </c>
      <c r="B2828" s="18">
        <v>100</v>
      </c>
      <c r="C2828" s="19">
        <v>100</v>
      </c>
      <c r="D2828" s="20">
        <v>10</v>
      </c>
      <c r="E2828" s="20">
        <v>10</v>
      </c>
      <c r="F2828" s="20">
        <v>10</v>
      </c>
      <c r="G2828" s="19">
        <f t="shared" si="213"/>
        <v>172</v>
      </c>
      <c r="H2828" s="22">
        <f t="shared" si="210"/>
        <v>2827</v>
      </c>
      <c r="I2828" s="21">
        <f t="shared" ca="1" si="211"/>
        <v>0</v>
      </c>
      <c r="J2828" s="21" t="str">
        <f ca="1">IF(I2828=0,"",COUNTIF($I$2:I2828,"&gt;0"))</f>
        <v/>
      </c>
      <c r="K2828" s="21" t="str">
        <f t="shared" ca="1" si="212"/>
        <v/>
      </c>
    </row>
    <row r="2829" spans="1:11" s="18" customFormat="1" ht="14.25" x14ac:dyDescent="0.2">
      <c r="A2829" s="18" t="str">
        <f t="shared" si="209"/>
        <v>Eintrag 2828</v>
      </c>
      <c r="B2829" s="18">
        <v>100</v>
      </c>
      <c r="C2829" s="19">
        <v>100</v>
      </c>
      <c r="D2829" s="20">
        <v>10</v>
      </c>
      <c r="E2829" s="20">
        <v>10</v>
      </c>
      <c r="F2829" s="20">
        <v>10</v>
      </c>
      <c r="G2829" s="19">
        <f t="shared" si="213"/>
        <v>172</v>
      </c>
      <c r="H2829" s="22">
        <f t="shared" si="210"/>
        <v>2828</v>
      </c>
      <c r="I2829" s="21">
        <f t="shared" ca="1" si="211"/>
        <v>0</v>
      </c>
      <c r="J2829" s="21" t="str">
        <f ca="1">IF(I2829=0,"",COUNTIF($I$2:I2829,"&gt;0"))</f>
        <v/>
      </c>
      <c r="K2829" s="21" t="str">
        <f t="shared" ca="1" si="212"/>
        <v/>
      </c>
    </row>
    <row r="2830" spans="1:11" s="18" customFormat="1" ht="14.25" x14ac:dyDescent="0.2">
      <c r="A2830" s="18" t="str">
        <f t="shared" si="209"/>
        <v>Eintrag 2829</v>
      </c>
      <c r="B2830" s="18">
        <v>100</v>
      </c>
      <c r="C2830" s="19">
        <v>100</v>
      </c>
      <c r="D2830" s="20">
        <v>10</v>
      </c>
      <c r="E2830" s="20">
        <v>10</v>
      </c>
      <c r="F2830" s="20">
        <v>10</v>
      </c>
      <c r="G2830" s="19">
        <f t="shared" si="213"/>
        <v>172</v>
      </c>
      <c r="H2830" s="22">
        <f t="shared" si="210"/>
        <v>2829</v>
      </c>
      <c r="I2830" s="21">
        <f t="shared" ca="1" si="211"/>
        <v>0</v>
      </c>
      <c r="J2830" s="21" t="str">
        <f ca="1">IF(I2830=0,"",COUNTIF($I$2:I2830,"&gt;0"))</f>
        <v/>
      </c>
      <c r="K2830" s="21" t="str">
        <f t="shared" ca="1" si="212"/>
        <v/>
      </c>
    </row>
    <row r="2831" spans="1:11" s="18" customFormat="1" ht="14.25" x14ac:dyDescent="0.2">
      <c r="A2831" s="18" t="str">
        <f t="shared" si="209"/>
        <v>Eintrag 2830</v>
      </c>
      <c r="B2831" s="18">
        <v>100</v>
      </c>
      <c r="C2831" s="19">
        <v>100</v>
      </c>
      <c r="D2831" s="20">
        <v>10</v>
      </c>
      <c r="E2831" s="20">
        <v>10</v>
      </c>
      <c r="F2831" s="20">
        <v>10</v>
      </c>
      <c r="G2831" s="19">
        <f t="shared" si="213"/>
        <v>172</v>
      </c>
      <c r="H2831" s="22">
        <f t="shared" si="210"/>
        <v>2830</v>
      </c>
      <c r="I2831" s="21">
        <f t="shared" ca="1" si="211"/>
        <v>0</v>
      </c>
      <c r="J2831" s="21" t="str">
        <f ca="1">IF(I2831=0,"",COUNTIF($I$2:I2831,"&gt;0"))</f>
        <v/>
      </c>
      <c r="K2831" s="21" t="str">
        <f t="shared" ca="1" si="212"/>
        <v/>
      </c>
    </row>
    <row r="2832" spans="1:11" s="18" customFormat="1" ht="14.25" x14ac:dyDescent="0.2">
      <c r="A2832" s="18" t="str">
        <f t="shared" si="209"/>
        <v>Eintrag 2831</v>
      </c>
      <c r="B2832" s="18">
        <v>100</v>
      </c>
      <c r="C2832" s="19">
        <v>100</v>
      </c>
      <c r="D2832" s="20">
        <v>10</v>
      </c>
      <c r="E2832" s="20">
        <v>10</v>
      </c>
      <c r="F2832" s="20">
        <v>10</v>
      </c>
      <c r="G2832" s="19">
        <f t="shared" si="213"/>
        <v>172</v>
      </c>
      <c r="H2832" s="22">
        <f t="shared" si="210"/>
        <v>2831</v>
      </c>
      <c r="I2832" s="21">
        <f t="shared" ca="1" si="211"/>
        <v>0</v>
      </c>
      <c r="J2832" s="21" t="str">
        <f ca="1">IF(I2832=0,"",COUNTIF($I$2:I2832,"&gt;0"))</f>
        <v/>
      </c>
      <c r="K2832" s="21" t="str">
        <f t="shared" ca="1" si="212"/>
        <v/>
      </c>
    </row>
    <row r="2833" spans="1:11" s="18" customFormat="1" ht="14.25" x14ac:dyDescent="0.2">
      <c r="A2833" s="18" t="str">
        <f t="shared" si="209"/>
        <v>Eintrag 2832</v>
      </c>
      <c r="B2833" s="18">
        <v>100</v>
      </c>
      <c r="C2833" s="19">
        <v>100</v>
      </c>
      <c r="D2833" s="20">
        <v>10</v>
      </c>
      <c r="E2833" s="20">
        <v>10</v>
      </c>
      <c r="F2833" s="20">
        <v>10</v>
      </c>
      <c r="G2833" s="19">
        <f t="shared" si="213"/>
        <v>172</v>
      </c>
      <c r="H2833" s="22">
        <f t="shared" si="210"/>
        <v>2832</v>
      </c>
      <c r="I2833" s="21">
        <f t="shared" ca="1" si="211"/>
        <v>0</v>
      </c>
      <c r="J2833" s="21" t="str">
        <f ca="1">IF(I2833=0,"",COUNTIF($I$2:I2833,"&gt;0"))</f>
        <v/>
      </c>
      <c r="K2833" s="21" t="str">
        <f t="shared" ca="1" si="212"/>
        <v/>
      </c>
    </row>
    <row r="2834" spans="1:11" s="18" customFormat="1" ht="14.25" x14ac:dyDescent="0.2">
      <c r="A2834" s="18" t="str">
        <f t="shared" si="209"/>
        <v>Eintrag 2833</v>
      </c>
      <c r="B2834" s="18">
        <v>100</v>
      </c>
      <c r="C2834" s="19">
        <v>100</v>
      </c>
      <c r="D2834" s="20">
        <v>10</v>
      </c>
      <c r="E2834" s="20">
        <v>10</v>
      </c>
      <c r="F2834" s="20">
        <v>10</v>
      </c>
      <c r="G2834" s="19">
        <f t="shared" si="213"/>
        <v>172</v>
      </c>
      <c r="H2834" s="22">
        <f t="shared" si="210"/>
        <v>2833</v>
      </c>
      <c r="I2834" s="21">
        <f t="shared" ca="1" si="211"/>
        <v>0</v>
      </c>
      <c r="J2834" s="21" t="str">
        <f ca="1">IF(I2834=0,"",COUNTIF($I$2:I2834,"&gt;0"))</f>
        <v/>
      </c>
      <c r="K2834" s="21" t="str">
        <f t="shared" ca="1" si="212"/>
        <v/>
      </c>
    </row>
    <row r="2835" spans="1:11" s="18" customFormat="1" ht="14.25" x14ac:dyDescent="0.2">
      <c r="A2835" s="18" t="str">
        <f t="shared" si="209"/>
        <v>Eintrag 2834</v>
      </c>
      <c r="B2835" s="18">
        <v>100</v>
      </c>
      <c r="C2835" s="19">
        <v>100</v>
      </c>
      <c r="D2835" s="20">
        <v>10</v>
      </c>
      <c r="E2835" s="20">
        <v>10</v>
      </c>
      <c r="F2835" s="20">
        <v>10</v>
      </c>
      <c r="G2835" s="19">
        <f t="shared" si="213"/>
        <v>172</v>
      </c>
      <c r="H2835" s="22">
        <f t="shared" si="210"/>
        <v>2834</v>
      </c>
      <c r="I2835" s="21">
        <f t="shared" ca="1" si="211"/>
        <v>0</v>
      </c>
      <c r="J2835" s="21" t="str">
        <f ca="1">IF(I2835=0,"",COUNTIF($I$2:I2835,"&gt;0"))</f>
        <v/>
      </c>
      <c r="K2835" s="21" t="str">
        <f t="shared" ca="1" si="212"/>
        <v/>
      </c>
    </row>
    <row r="2836" spans="1:11" s="18" customFormat="1" ht="14.25" x14ac:dyDescent="0.2">
      <c r="A2836" s="18" t="str">
        <f t="shared" si="209"/>
        <v>Eintrag 2835</v>
      </c>
      <c r="B2836" s="18">
        <v>100</v>
      </c>
      <c r="C2836" s="19">
        <v>100</v>
      </c>
      <c r="D2836" s="20">
        <v>10</v>
      </c>
      <c r="E2836" s="20">
        <v>10</v>
      </c>
      <c r="F2836" s="20">
        <v>10</v>
      </c>
      <c r="G2836" s="19">
        <f t="shared" si="213"/>
        <v>172</v>
      </c>
      <c r="H2836" s="22">
        <f t="shared" si="210"/>
        <v>2835</v>
      </c>
      <c r="I2836" s="21">
        <f t="shared" ca="1" si="211"/>
        <v>0</v>
      </c>
      <c r="J2836" s="21" t="str">
        <f ca="1">IF(I2836=0,"",COUNTIF($I$2:I2836,"&gt;0"))</f>
        <v/>
      </c>
      <c r="K2836" s="21" t="str">
        <f t="shared" ca="1" si="212"/>
        <v/>
      </c>
    </row>
    <row r="2837" spans="1:11" s="18" customFormat="1" ht="14.25" x14ac:dyDescent="0.2">
      <c r="A2837" s="18" t="str">
        <f t="shared" si="209"/>
        <v>Eintrag 2836</v>
      </c>
      <c r="B2837" s="18">
        <v>100</v>
      </c>
      <c r="C2837" s="19">
        <v>100</v>
      </c>
      <c r="D2837" s="20">
        <v>10</v>
      </c>
      <c r="E2837" s="20">
        <v>10</v>
      </c>
      <c r="F2837" s="20">
        <v>10</v>
      </c>
      <c r="G2837" s="19">
        <f t="shared" si="213"/>
        <v>172</v>
      </c>
      <c r="H2837" s="22">
        <f t="shared" si="210"/>
        <v>2836</v>
      </c>
      <c r="I2837" s="21">
        <f t="shared" ca="1" si="211"/>
        <v>0</v>
      </c>
      <c r="J2837" s="21" t="str">
        <f ca="1">IF(I2837=0,"",COUNTIF($I$2:I2837,"&gt;0"))</f>
        <v/>
      </c>
      <c r="K2837" s="21" t="str">
        <f t="shared" ca="1" si="212"/>
        <v/>
      </c>
    </row>
    <row r="2838" spans="1:11" s="18" customFormat="1" ht="14.25" x14ac:dyDescent="0.2">
      <c r="A2838" s="18" t="str">
        <f t="shared" si="209"/>
        <v>Eintrag 2837</v>
      </c>
      <c r="B2838" s="18">
        <v>100</v>
      </c>
      <c r="C2838" s="19">
        <v>100</v>
      </c>
      <c r="D2838" s="20">
        <v>10</v>
      </c>
      <c r="E2838" s="20">
        <v>10</v>
      </c>
      <c r="F2838" s="20">
        <v>10</v>
      </c>
      <c r="G2838" s="19">
        <f t="shared" si="213"/>
        <v>172</v>
      </c>
      <c r="H2838" s="22">
        <f t="shared" si="210"/>
        <v>2837</v>
      </c>
      <c r="I2838" s="21">
        <f t="shared" ca="1" si="211"/>
        <v>0</v>
      </c>
      <c r="J2838" s="21" t="str">
        <f ca="1">IF(I2838=0,"",COUNTIF($I$2:I2838,"&gt;0"))</f>
        <v/>
      </c>
      <c r="K2838" s="21" t="str">
        <f t="shared" ca="1" si="212"/>
        <v/>
      </c>
    </row>
    <row r="2839" spans="1:11" s="18" customFormat="1" ht="14.25" x14ac:dyDescent="0.2">
      <c r="A2839" s="18" t="str">
        <f t="shared" si="209"/>
        <v>Eintrag 2838</v>
      </c>
      <c r="B2839" s="18">
        <v>100</v>
      </c>
      <c r="C2839" s="19">
        <v>100</v>
      </c>
      <c r="D2839" s="20">
        <v>10</v>
      </c>
      <c r="E2839" s="20">
        <v>10</v>
      </c>
      <c r="F2839" s="20">
        <v>10</v>
      </c>
      <c r="G2839" s="19">
        <f t="shared" si="213"/>
        <v>172</v>
      </c>
      <c r="H2839" s="22">
        <f t="shared" si="210"/>
        <v>2838</v>
      </c>
      <c r="I2839" s="21">
        <f t="shared" ca="1" si="211"/>
        <v>0</v>
      </c>
      <c r="J2839" s="21" t="str">
        <f ca="1">IF(I2839=0,"",COUNTIF($I$2:I2839,"&gt;0"))</f>
        <v/>
      </c>
      <c r="K2839" s="21" t="str">
        <f t="shared" ca="1" si="212"/>
        <v/>
      </c>
    </row>
    <row r="2840" spans="1:11" s="18" customFormat="1" ht="14.25" x14ac:dyDescent="0.2">
      <c r="A2840" s="18" t="str">
        <f t="shared" si="209"/>
        <v>Eintrag 2839</v>
      </c>
      <c r="B2840" s="18">
        <v>100</v>
      </c>
      <c r="C2840" s="19">
        <v>100</v>
      </c>
      <c r="D2840" s="20">
        <v>10</v>
      </c>
      <c r="E2840" s="20">
        <v>10</v>
      </c>
      <c r="F2840" s="20">
        <v>10</v>
      </c>
      <c r="G2840" s="19">
        <f t="shared" si="213"/>
        <v>172</v>
      </c>
      <c r="H2840" s="22">
        <f t="shared" si="210"/>
        <v>2839</v>
      </c>
      <c r="I2840" s="21">
        <f t="shared" ca="1" si="211"/>
        <v>0</v>
      </c>
      <c r="J2840" s="21" t="str">
        <f ca="1">IF(I2840=0,"",COUNTIF($I$2:I2840,"&gt;0"))</f>
        <v/>
      </c>
      <c r="K2840" s="21" t="str">
        <f t="shared" ca="1" si="212"/>
        <v/>
      </c>
    </row>
    <row r="2841" spans="1:11" s="18" customFormat="1" ht="14.25" x14ac:dyDescent="0.2">
      <c r="A2841" s="18" t="str">
        <f t="shared" si="209"/>
        <v>Eintrag 2840</v>
      </c>
      <c r="B2841" s="18">
        <v>100</v>
      </c>
      <c r="C2841" s="19">
        <v>100</v>
      </c>
      <c r="D2841" s="20">
        <v>10</v>
      </c>
      <c r="E2841" s="20">
        <v>10</v>
      </c>
      <c r="F2841" s="20">
        <v>10</v>
      </c>
      <c r="G2841" s="19">
        <f t="shared" si="213"/>
        <v>172</v>
      </c>
      <c r="H2841" s="22">
        <f t="shared" si="210"/>
        <v>2840</v>
      </c>
      <c r="I2841" s="21">
        <f t="shared" ca="1" si="211"/>
        <v>0</v>
      </c>
      <c r="J2841" s="21" t="str">
        <f ca="1">IF(I2841=0,"",COUNTIF($I$2:I2841,"&gt;0"))</f>
        <v/>
      </c>
      <c r="K2841" s="21" t="str">
        <f t="shared" ca="1" si="212"/>
        <v/>
      </c>
    </row>
    <row r="2842" spans="1:11" s="18" customFormat="1" ht="14.25" x14ac:dyDescent="0.2">
      <c r="A2842" s="18" t="str">
        <f t="shared" si="209"/>
        <v>Eintrag 2841</v>
      </c>
      <c r="B2842" s="18">
        <v>100</v>
      </c>
      <c r="C2842" s="19">
        <v>100</v>
      </c>
      <c r="D2842" s="20">
        <v>10</v>
      </c>
      <c r="E2842" s="20">
        <v>10</v>
      </c>
      <c r="F2842" s="20">
        <v>10</v>
      </c>
      <c r="G2842" s="19">
        <f t="shared" si="213"/>
        <v>172</v>
      </c>
      <c r="H2842" s="22">
        <f t="shared" si="210"/>
        <v>2841</v>
      </c>
      <c r="I2842" s="21">
        <f t="shared" ca="1" si="211"/>
        <v>0</v>
      </c>
      <c r="J2842" s="21" t="str">
        <f ca="1">IF(I2842=0,"",COUNTIF($I$2:I2842,"&gt;0"))</f>
        <v/>
      </c>
      <c r="K2842" s="21" t="str">
        <f t="shared" ca="1" si="212"/>
        <v/>
      </c>
    </row>
    <row r="2843" spans="1:11" s="18" customFormat="1" ht="14.25" x14ac:dyDescent="0.2">
      <c r="A2843" s="18" t="str">
        <f t="shared" si="209"/>
        <v>Eintrag 2842</v>
      </c>
      <c r="B2843" s="18">
        <v>100</v>
      </c>
      <c r="C2843" s="19">
        <v>100</v>
      </c>
      <c r="D2843" s="20">
        <v>10</v>
      </c>
      <c r="E2843" s="20">
        <v>10</v>
      </c>
      <c r="F2843" s="20">
        <v>10</v>
      </c>
      <c r="G2843" s="19">
        <f t="shared" si="213"/>
        <v>172</v>
      </c>
      <c r="H2843" s="22">
        <f t="shared" si="210"/>
        <v>2842</v>
      </c>
      <c r="I2843" s="21">
        <f t="shared" ca="1" si="211"/>
        <v>0</v>
      </c>
      <c r="J2843" s="21" t="str">
        <f ca="1">IF(I2843=0,"",COUNTIF($I$2:I2843,"&gt;0"))</f>
        <v/>
      </c>
      <c r="K2843" s="21" t="str">
        <f t="shared" ca="1" si="212"/>
        <v/>
      </c>
    </row>
    <row r="2844" spans="1:11" s="18" customFormat="1" ht="14.25" x14ac:dyDescent="0.2">
      <c r="A2844" s="18" t="str">
        <f t="shared" si="209"/>
        <v>Eintrag 2843</v>
      </c>
      <c r="B2844" s="18">
        <v>100</v>
      </c>
      <c r="C2844" s="19">
        <v>100</v>
      </c>
      <c r="D2844" s="20">
        <v>10</v>
      </c>
      <c r="E2844" s="20">
        <v>10</v>
      </c>
      <c r="F2844" s="20">
        <v>10</v>
      </c>
      <c r="G2844" s="19">
        <f t="shared" si="213"/>
        <v>172</v>
      </c>
      <c r="H2844" s="22">
        <f t="shared" si="210"/>
        <v>2843</v>
      </c>
      <c r="I2844" s="21">
        <f t="shared" ca="1" si="211"/>
        <v>0</v>
      </c>
      <c r="J2844" s="21" t="str">
        <f ca="1">IF(I2844=0,"",COUNTIF($I$2:I2844,"&gt;0"))</f>
        <v/>
      </c>
      <c r="K2844" s="21" t="str">
        <f t="shared" ca="1" si="212"/>
        <v/>
      </c>
    </row>
    <row r="2845" spans="1:11" s="18" customFormat="1" ht="14.25" x14ac:dyDescent="0.2">
      <c r="A2845" s="18" t="str">
        <f t="shared" si="209"/>
        <v>Eintrag 2844</v>
      </c>
      <c r="B2845" s="18">
        <v>100</v>
      </c>
      <c r="C2845" s="19">
        <v>100</v>
      </c>
      <c r="D2845" s="20">
        <v>10</v>
      </c>
      <c r="E2845" s="20">
        <v>10</v>
      </c>
      <c r="F2845" s="20">
        <v>10</v>
      </c>
      <c r="G2845" s="19">
        <f t="shared" si="213"/>
        <v>172</v>
      </c>
      <c r="H2845" s="22">
        <f t="shared" si="210"/>
        <v>2844</v>
      </c>
      <c r="I2845" s="21">
        <f t="shared" ca="1" si="211"/>
        <v>0</v>
      </c>
      <c r="J2845" s="21" t="str">
        <f ca="1">IF(I2845=0,"",COUNTIF($I$2:I2845,"&gt;0"))</f>
        <v/>
      </c>
      <c r="K2845" s="21" t="str">
        <f t="shared" ca="1" si="212"/>
        <v/>
      </c>
    </row>
    <row r="2846" spans="1:11" s="18" customFormat="1" ht="14.25" x14ac:dyDescent="0.2">
      <c r="A2846" s="18" t="str">
        <f t="shared" si="209"/>
        <v>Eintrag 2845</v>
      </c>
      <c r="B2846" s="18">
        <v>100</v>
      </c>
      <c r="C2846" s="19">
        <v>100</v>
      </c>
      <c r="D2846" s="20">
        <v>10</v>
      </c>
      <c r="E2846" s="20">
        <v>10</v>
      </c>
      <c r="F2846" s="20">
        <v>10</v>
      </c>
      <c r="G2846" s="19">
        <f t="shared" si="213"/>
        <v>172</v>
      </c>
      <c r="H2846" s="22">
        <f t="shared" si="210"/>
        <v>2845</v>
      </c>
      <c r="I2846" s="21">
        <f t="shared" ca="1" si="211"/>
        <v>0</v>
      </c>
      <c r="J2846" s="21" t="str">
        <f ca="1">IF(I2846=0,"",COUNTIF($I$2:I2846,"&gt;0"))</f>
        <v/>
      </c>
      <c r="K2846" s="21" t="str">
        <f t="shared" ca="1" si="212"/>
        <v/>
      </c>
    </row>
    <row r="2847" spans="1:11" s="18" customFormat="1" ht="14.25" x14ac:dyDescent="0.2">
      <c r="A2847" s="18" t="str">
        <f t="shared" si="209"/>
        <v>Eintrag 2846</v>
      </c>
      <c r="B2847" s="18">
        <v>100</v>
      </c>
      <c r="C2847" s="19">
        <v>100</v>
      </c>
      <c r="D2847" s="20">
        <v>10</v>
      </c>
      <c r="E2847" s="20">
        <v>10</v>
      </c>
      <c r="F2847" s="20">
        <v>10</v>
      </c>
      <c r="G2847" s="19">
        <f t="shared" si="213"/>
        <v>172</v>
      </c>
      <c r="H2847" s="22">
        <f t="shared" si="210"/>
        <v>2846</v>
      </c>
      <c r="I2847" s="21">
        <f t="shared" ca="1" si="211"/>
        <v>0</v>
      </c>
      <c r="J2847" s="21" t="str">
        <f ca="1">IF(I2847=0,"",COUNTIF($I$2:I2847,"&gt;0"))</f>
        <v/>
      </c>
      <c r="K2847" s="21" t="str">
        <f t="shared" ca="1" si="212"/>
        <v/>
      </c>
    </row>
    <row r="2848" spans="1:11" s="18" customFormat="1" ht="14.25" x14ac:dyDescent="0.2">
      <c r="A2848" s="18" t="str">
        <f t="shared" si="209"/>
        <v>Eintrag 2847</v>
      </c>
      <c r="B2848" s="18">
        <v>100</v>
      </c>
      <c r="C2848" s="19">
        <v>100</v>
      </c>
      <c r="D2848" s="20">
        <v>10</v>
      </c>
      <c r="E2848" s="20">
        <v>10</v>
      </c>
      <c r="F2848" s="20">
        <v>10</v>
      </c>
      <c r="G2848" s="19">
        <f t="shared" si="213"/>
        <v>172</v>
      </c>
      <c r="H2848" s="22">
        <f t="shared" si="210"/>
        <v>2847</v>
      </c>
      <c r="I2848" s="21">
        <f t="shared" ca="1" si="211"/>
        <v>0</v>
      </c>
      <c r="J2848" s="21" t="str">
        <f ca="1">IF(I2848=0,"",COUNTIF($I$2:I2848,"&gt;0"))</f>
        <v/>
      </c>
      <c r="K2848" s="21" t="str">
        <f t="shared" ca="1" si="212"/>
        <v/>
      </c>
    </row>
    <row r="2849" spans="1:11" s="18" customFormat="1" ht="14.25" x14ac:dyDescent="0.2">
      <c r="A2849" s="18" t="str">
        <f t="shared" si="209"/>
        <v>Eintrag 2848</v>
      </c>
      <c r="B2849" s="18">
        <v>100</v>
      </c>
      <c r="C2849" s="19">
        <v>100</v>
      </c>
      <c r="D2849" s="20">
        <v>10</v>
      </c>
      <c r="E2849" s="20">
        <v>10</v>
      </c>
      <c r="F2849" s="20">
        <v>10</v>
      </c>
      <c r="G2849" s="19">
        <f t="shared" si="213"/>
        <v>172</v>
      </c>
      <c r="H2849" s="22">
        <f t="shared" si="210"/>
        <v>2848</v>
      </c>
      <c r="I2849" s="21">
        <f t="shared" ca="1" si="211"/>
        <v>0</v>
      </c>
      <c r="J2849" s="21" t="str">
        <f ca="1">IF(I2849=0,"",COUNTIF($I$2:I2849,"&gt;0"))</f>
        <v/>
      </c>
      <c r="K2849" s="21" t="str">
        <f t="shared" ca="1" si="212"/>
        <v/>
      </c>
    </row>
    <row r="2850" spans="1:11" s="18" customFormat="1" ht="14.25" x14ac:dyDescent="0.2">
      <c r="A2850" s="18" t="str">
        <f t="shared" si="209"/>
        <v>Eintrag 2849</v>
      </c>
      <c r="B2850" s="18">
        <v>100</v>
      </c>
      <c r="C2850" s="19">
        <v>100</v>
      </c>
      <c r="D2850" s="20">
        <v>10</v>
      </c>
      <c r="E2850" s="20">
        <v>10</v>
      </c>
      <c r="F2850" s="20">
        <v>10</v>
      </c>
      <c r="G2850" s="19">
        <f t="shared" si="213"/>
        <v>172</v>
      </c>
      <c r="H2850" s="22">
        <f t="shared" si="210"/>
        <v>2849</v>
      </c>
      <c r="I2850" s="21">
        <f t="shared" ca="1" si="211"/>
        <v>0</v>
      </c>
      <c r="J2850" s="21" t="str">
        <f ca="1">IF(I2850=0,"",COUNTIF($I$2:I2850,"&gt;0"))</f>
        <v/>
      </c>
      <c r="K2850" s="21" t="str">
        <f t="shared" ca="1" si="212"/>
        <v/>
      </c>
    </row>
    <row r="2851" spans="1:11" s="18" customFormat="1" ht="14.25" x14ac:dyDescent="0.2">
      <c r="A2851" s="18" t="str">
        <f t="shared" si="209"/>
        <v>Eintrag 2850</v>
      </c>
      <c r="B2851" s="18">
        <v>100</v>
      </c>
      <c r="C2851" s="19">
        <v>100</v>
      </c>
      <c r="D2851" s="20">
        <v>10</v>
      </c>
      <c r="E2851" s="20">
        <v>10</v>
      </c>
      <c r="F2851" s="20">
        <v>10</v>
      </c>
      <c r="G2851" s="19">
        <f t="shared" si="213"/>
        <v>172</v>
      </c>
      <c r="H2851" s="22">
        <f t="shared" si="210"/>
        <v>2850</v>
      </c>
      <c r="I2851" s="21">
        <f t="shared" ca="1" si="211"/>
        <v>0</v>
      </c>
      <c r="J2851" s="21" t="str">
        <f ca="1">IF(I2851=0,"",COUNTIF($I$2:I2851,"&gt;0"))</f>
        <v/>
      </c>
      <c r="K2851" s="21" t="str">
        <f t="shared" ca="1" si="212"/>
        <v/>
      </c>
    </row>
    <row r="2852" spans="1:11" s="18" customFormat="1" ht="14.25" x14ac:dyDescent="0.2">
      <c r="A2852" s="18" t="str">
        <f t="shared" si="209"/>
        <v>Eintrag 2851</v>
      </c>
      <c r="B2852" s="18">
        <v>100</v>
      </c>
      <c r="C2852" s="19">
        <v>100</v>
      </c>
      <c r="D2852" s="20">
        <v>10</v>
      </c>
      <c r="E2852" s="20">
        <v>10</v>
      </c>
      <c r="F2852" s="20">
        <v>10</v>
      </c>
      <c r="G2852" s="19">
        <f t="shared" si="213"/>
        <v>172</v>
      </c>
      <c r="H2852" s="22">
        <f t="shared" si="210"/>
        <v>2851</v>
      </c>
      <c r="I2852" s="21">
        <f t="shared" ca="1" si="211"/>
        <v>0</v>
      </c>
      <c r="J2852" s="21" t="str">
        <f ca="1">IF(I2852=0,"",COUNTIF($I$2:I2852,"&gt;0"))</f>
        <v/>
      </c>
      <c r="K2852" s="21" t="str">
        <f t="shared" ca="1" si="212"/>
        <v/>
      </c>
    </row>
    <row r="2853" spans="1:11" s="18" customFormat="1" ht="14.25" x14ac:dyDescent="0.2">
      <c r="A2853" s="18" t="str">
        <f t="shared" si="209"/>
        <v>Eintrag 2852</v>
      </c>
      <c r="B2853" s="18">
        <v>100</v>
      </c>
      <c r="C2853" s="19">
        <v>100</v>
      </c>
      <c r="D2853" s="20">
        <v>10</v>
      </c>
      <c r="E2853" s="20">
        <v>10</v>
      </c>
      <c r="F2853" s="20">
        <v>10</v>
      </c>
      <c r="G2853" s="19">
        <f t="shared" si="213"/>
        <v>172</v>
      </c>
      <c r="H2853" s="22">
        <f t="shared" ref="H2853:H2916" si="214">H2852+1</f>
        <v>2852</v>
      </c>
      <c r="I2853" s="21">
        <f t="shared" ca="1" si="211"/>
        <v>0</v>
      </c>
      <c r="J2853" s="21" t="str">
        <f ca="1">IF(I2853=0,"",COUNTIF($I$2:I2853,"&gt;0"))</f>
        <v/>
      </c>
      <c r="K2853" s="21" t="str">
        <f t="shared" ca="1" si="212"/>
        <v/>
      </c>
    </row>
    <row r="2854" spans="1:11" s="18" customFormat="1" ht="14.25" x14ac:dyDescent="0.2">
      <c r="A2854" s="18" t="str">
        <f t="shared" si="209"/>
        <v>Eintrag 2853</v>
      </c>
      <c r="B2854" s="18">
        <v>100</v>
      </c>
      <c r="C2854" s="19">
        <v>100</v>
      </c>
      <c r="D2854" s="20">
        <v>10</v>
      </c>
      <c r="E2854" s="20">
        <v>10</v>
      </c>
      <c r="F2854" s="20">
        <v>10</v>
      </c>
      <c r="G2854" s="19">
        <f t="shared" si="213"/>
        <v>172</v>
      </c>
      <c r="H2854" s="22">
        <f t="shared" si="214"/>
        <v>2853</v>
      </c>
      <c r="I2854" s="21">
        <f t="shared" ca="1" si="211"/>
        <v>0</v>
      </c>
      <c r="J2854" s="21" t="str">
        <f ca="1">IF(I2854=0,"",COUNTIF($I$2:I2854,"&gt;0"))</f>
        <v/>
      </c>
      <c r="K2854" s="21" t="str">
        <f t="shared" ca="1" si="212"/>
        <v/>
      </c>
    </row>
    <row r="2855" spans="1:11" s="18" customFormat="1" ht="14.25" x14ac:dyDescent="0.2">
      <c r="A2855" s="18" t="str">
        <f t="shared" si="209"/>
        <v>Eintrag 2854</v>
      </c>
      <c r="B2855" s="18">
        <v>100</v>
      </c>
      <c r="C2855" s="19">
        <v>100</v>
      </c>
      <c r="D2855" s="20">
        <v>10</v>
      </c>
      <c r="E2855" s="20">
        <v>10</v>
      </c>
      <c r="F2855" s="20">
        <v>10</v>
      </c>
      <c r="G2855" s="19">
        <f t="shared" si="213"/>
        <v>172</v>
      </c>
      <c r="H2855" s="22">
        <f t="shared" si="214"/>
        <v>2854</v>
      </c>
      <c r="I2855" s="21">
        <f t="shared" ca="1" si="211"/>
        <v>0</v>
      </c>
      <c r="J2855" s="21" t="str">
        <f ca="1">IF(I2855=0,"",COUNTIF($I$2:I2855,"&gt;0"))</f>
        <v/>
      </c>
      <c r="K2855" s="21" t="str">
        <f t="shared" ca="1" si="212"/>
        <v/>
      </c>
    </row>
    <row r="2856" spans="1:11" s="18" customFormat="1" ht="14.25" x14ac:dyDescent="0.2">
      <c r="A2856" s="18" t="str">
        <f t="shared" si="209"/>
        <v>Eintrag 2855</v>
      </c>
      <c r="B2856" s="18">
        <v>100</v>
      </c>
      <c r="C2856" s="19">
        <v>100</v>
      </c>
      <c r="D2856" s="20">
        <v>10</v>
      </c>
      <c r="E2856" s="20">
        <v>10</v>
      </c>
      <c r="F2856" s="20">
        <v>10</v>
      </c>
      <c r="G2856" s="19">
        <f t="shared" si="213"/>
        <v>172</v>
      </c>
      <c r="H2856" s="22">
        <f t="shared" si="214"/>
        <v>2855</v>
      </c>
      <c r="I2856" s="21">
        <f t="shared" ca="1" si="211"/>
        <v>0</v>
      </c>
      <c r="J2856" s="21" t="str">
        <f ca="1">IF(I2856=0,"",COUNTIF($I$2:I2856,"&gt;0"))</f>
        <v/>
      </c>
      <c r="K2856" s="21" t="str">
        <f t="shared" ca="1" si="212"/>
        <v/>
      </c>
    </row>
    <row r="2857" spans="1:11" s="18" customFormat="1" ht="14.25" x14ac:dyDescent="0.2">
      <c r="A2857" s="18" t="str">
        <f t="shared" si="209"/>
        <v>Eintrag 2856</v>
      </c>
      <c r="B2857" s="18">
        <v>100</v>
      </c>
      <c r="C2857" s="19">
        <v>100</v>
      </c>
      <c r="D2857" s="20">
        <v>10</v>
      </c>
      <c r="E2857" s="20">
        <v>10</v>
      </c>
      <c r="F2857" s="20">
        <v>10</v>
      </c>
      <c r="G2857" s="19">
        <f t="shared" si="213"/>
        <v>172</v>
      </c>
      <c r="H2857" s="22">
        <f t="shared" si="214"/>
        <v>2856</v>
      </c>
      <c r="I2857" s="21">
        <f t="shared" ca="1" si="211"/>
        <v>0</v>
      </c>
      <c r="J2857" s="21" t="str">
        <f ca="1">IF(I2857=0,"",COUNTIF($I$2:I2857,"&gt;0"))</f>
        <v/>
      </c>
      <c r="K2857" s="21" t="str">
        <f t="shared" ca="1" si="212"/>
        <v/>
      </c>
    </row>
    <row r="2858" spans="1:11" s="18" customFormat="1" ht="14.25" x14ac:dyDescent="0.2">
      <c r="A2858" s="18" t="str">
        <f t="shared" si="209"/>
        <v>Eintrag 2857</v>
      </c>
      <c r="B2858" s="18">
        <v>100</v>
      </c>
      <c r="C2858" s="19">
        <v>100</v>
      </c>
      <c r="D2858" s="20">
        <v>10</v>
      </c>
      <c r="E2858" s="20">
        <v>10</v>
      </c>
      <c r="F2858" s="20">
        <v>10</v>
      </c>
      <c r="G2858" s="19">
        <f t="shared" si="213"/>
        <v>172</v>
      </c>
      <c r="H2858" s="22">
        <f t="shared" si="214"/>
        <v>2857</v>
      </c>
      <c r="I2858" s="21">
        <f t="shared" ca="1" si="211"/>
        <v>0</v>
      </c>
      <c r="J2858" s="21" t="str">
        <f ca="1">IF(I2858=0,"",COUNTIF($I$2:I2858,"&gt;0"))</f>
        <v/>
      </c>
      <c r="K2858" s="21" t="str">
        <f t="shared" ca="1" si="212"/>
        <v/>
      </c>
    </row>
    <row r="2859" spans="1:11" s="18" customFormat="1" ht="14.25" x14ac:dyDescent="0.2">
      <c r="A2859" s="18" t="str">
        <f t="shared" si="209"/>
        <v>Eintrag 2858</v>
      </c>
      <c r="B2859" s="18">
        <v>100</v>
      </c>
      <c r="C2859" s="19">
        <v>100</v>
      </c>
      <c r="D2859" s="20">
        <v>10</v>
      </c>
      <c r="E2859" s="20">
        <v>10</v>
      </c>
      <c r="F2859" s="20">
        <v>10</v>
      </c>
      <c r="G2859" s="19">
        <f t="shared" si="213"/>
        <v>172</v>
      </c>
      <c r="H2859" s="22">
        <f t="shared" si="214"/>
        <v>2858</v>
      </c>
      <c r="I2859" s="21">
        <f t="shared" ca="1" si="211"/>
        <v>0</v>
      </c>
      <c r="J2859" s="21" t="str">
        <f ca="1">IF(I2859=0,"",COUNTIF($I$2:I2859,"&gt;0"))</f>
        <v/>
      </c>
      <c r="K2859" s="21" t="str">
        <f t="shared" ca="1" si="212"/>
        <v/>
      </c>
    </row>
    <row r="2860" spans="1:11" s="18" customFormat="1" ht="14.25" x14ac:dyDescent="0.2">
      <c r="A2860" s="18" t="str">
        <f t="shared" si="209"/>
        <v>Eintrag 2859</v>
      </c>
      <c r="B2860" s="18">
        <v>100</v>
      </c>
      <c r="C2860" s="19">
        <v>100</v>
      </c>
      <c r="D2860" s="20">
        <v>10</v>
      </c>
      <c r="E2860" s="20">
        <v>10</v>
      </c>
      <c r="F2860" s="20">
        <v>10</v>
      </c>
      <c r="G2860" s="19">
        <f t="shared" si="213"/>
        <v>172</v>
      </c>
      <c r="H2860" s="22">
        <f t="shared" si="214"/>
        <v>2859</v>
      </c>
      <c r="I2860" s="21">
        <f t="shared" ca="1" si="211"/>
        <v>0</v>
      </c>
      <c r="J2860" s="21" t="str">
        <f ca="1">IF(I2860=0,"",COUNTIF($I$2:I2860,"&gt;0"))</f>
        <v/>
      </c>
      <c r="K2860" s="21" t="str">
        <f t="shared" ca="1" si="212"/>
        <v/>
      </c>
    </row>
    <row r="2861" spans="1:11" s="18" customFormat="1" ht="14.25" x14ac:dyDescent="0.2">
      <c r="A2861" s="18" t="str">
        <f t="shared" si="209"/>
        <v>Eintrag 2860</v>
      </c>
      <c r="B2861" s="18">
        <v>100</v>
      </c>
      <c r="C2861" s="19">
        <v>100</v>
      </c>
      <c r="D2861" s="20">
        <v>10</v>
      </c>
      <c r="E2861" s="20">
        <v>10</v>
      </c>
      <c r="F2861" s="20">
        <v>10</v>
      </c>
      <c r="G2861" s="19">
        <f t="shared" si="213"/>
        <v>172</v>
      </c>
      <c r="H2861" s="22">
        <f t="shared" si="214"/>
        <v>2860</v>
      </c>
      <c r="I2861" s="21">
        <f t="shared" ca="1" si="211"/>
        <v>0</v>
      </c>
      <c r="J2861" s="21" t="str">
        <f ca="1">IF(I2861=0,"",COUNTIF($I$2:I2861,"&gt;0"))</f>
        <v/>
      </c>
      <c r="K2861" s="21" t="str">
        <f t="shared" ca="1" si="212"/>
        <v/>
      </c>
    </row>
    <row r="2862" spans="1:11" s="18" customFormat="1" ht="14.25" x14ac:dyDescent="0.2">
      <c r="A2862" s="18" t="str">
        <f t="shared" si="209"/>
        <v>Eintrag 2861</v>
      </c>
      <c r="B2862" s="18">
        <v>100</v>
      </c>
      <c r="C2862" s="19">
        <v>100</v>
      </c>
      <c r="D2862" s="20">
        <v>10</v>
      </c>
      <c r="E2862" s="20">
        <v>10</v>
      </c>
      <c r="F2862" s="20">
        <v>10</v>
      </c>
      <c r="G2862" s="19">
        <f t="shared" si="213"/>
        <v>172</v>
      </c>
      <c r="H2862" s="22">
        <f t="shared" si="214"/>
        <v>2861</v>
      </c>
      <c r="I2862" s="21">
        <f t="shared" ca="1" si="211"/>
        <v>0</v>
      </c>
      <c r="J2862" s="21" t="str">
        <f ca="1">IF(I2862=0,"",COUNTIF($I$2:I2862,"&gt;0"))</f>
        <v/>
      </c>
      <c r="K2862" s="21" t="str">
        <f t="shared" ca="1" si="212"/>
        <v/>
      </c>
    </row>
    <row r="2863" spans="1:11" s="18" customFormat="1" ht="14.25" x14ac:dyDescent="0.2">
      <c r="A2863" s="18" t="str">
        <f t="shared" si="209"/>
        <v>Eintrag 2862</v>
      </c>
      <c r="B2863" s="18">
        <v>100</v>
      </c>
      <c r="C2863" s="19">
        <v>100</v>
      </c>
      <c r="D2863" s="20">
        <v>10</v>
      </c>
      <c r="E2863" s="20">
        <v>10</v>
      </c>
      <c r="F2863" s="20">
        <v>10</v>
      </c>
      <c r="G2863" s="19">
        <f t="shared" si="213"/>
        <v>172</v>
      </c>
      <c r="H2863" s="22">
        <f t="shared" si="214"/>
        <v>2862</v>
      </c>
      <c r="I2863" s="21">
        <f t="shared" ca="1" si="211"/>
        <v>0</v>
      </c>
      <c r="J2863" s="21" t="str">
        <f ca="1">IF(I2863=0,"",COUNTIF($I$2:I2863,"&gt;0"))</f>
        <v/>
      </c>
      <c r="K2863" s="21" t="str">
        <f t="shared" ca="1" si="212"/>
        <v/>
      </c>
    </row>
    <row r="2864" spans="1:11" s="18" customFormat="1" ht="14.25" x14ac:dyDescent="0.2">
      <c r="A2864" s="18" t="str">
        <f t="shared" si="209"/>
        <v>Eintrag 2863</v>
      </c>
      <c r="B2864" s="18">
        <v>100</v>
      </c>
      <c r="C2864" s="19">
        <v>100</v>
      </c>
      <c r="D2864" s="20">
        <v>10</v>
      </c>
      <c r="E2864" s="20">
        <v>10</v>
      </c>
      <c r="F2864" s="20">
        <v>10</v>
      </c>
      <c r="G2864" s="19">
        <f t="shared" si="213"/>
        <v>172</v>
      </c>
      <c r="H2864" s="22">
        <f t="shared" si="214"/>
        <v>2863</v>
      </c>
      <c r="I2864" s="21">
        <f t="shared" ca="1" si="211"/>
        <v>0</v>
      </c>
      <c r="J2864" s="21" t="str">
        <f ca="1">IF(I2864=0,"",COUNTIF($I$2:I2864,"&gt;0"))</f>
        <v/>
      </c>
      <c r="K2864" s="21" t="str">
        <f t="shared" ca="1" si="212"/>
        <v/>
      </c>
    </row>
    <row r="2865" spans="1:11" s="18" customFormat="1" ht="14.25" x14ac:dyDescent="0.2">
      <c r="A2865" s="18" t="str">
        <f t="shared" si="209"/>
        <v>Eintrag 2864</v>
      </c>
      <c r="B2865" s="18">
        <v>100</v>
      </c>
      <c r="C2865" s="19">
        <v>100</v>
      </c>
      <c r="D2865" s="20">
        <v>10</v>
      </c>
      <c r="E2865" s="20">
        <v>10</v>
      </c>
      <c r="F2865" s="20">
        <v>10</v>
      </c>
      <c r="G2865" s="19">
        <f t="shared" si="213"/>
        <v>172</v>
      </c>
      <c r="H2865" s="22">
        <f t="shared" si="214"/>
        <v>2864</v>
      </c>
      <c r="I2865" s="21">
        <f t="shared" ca="1" si="211"/>
        <v>0</v>
      </c>
      <c r="J2865" s="21" t="str">
        <f ca="1">IF(I2865=0,"",COUNTIF($I$2:I2865,"&gt;0"))</f>
        <v/>
      </c>
      <c r="K2865" s="21" t="str">
        <f t="shared" ca="1" si="212"/>
        <v/>
      </c>
    </row>
    <row r="2866" spans="1:11" s="18" customFormat="1" ht="14.25" x14ac:dyDescent="0.2">
      <c r="A2866" s="18" t="str">
        <f t="shared" si="209"/>
        <v>Eintrag 2865</v>
      </c>
      <c r="B2866" s="18">
        <v>100</v>
      </c>
      <c r="C2866" s="19">
        <v>100</v>
      </c>
      <c r="D2866" s="20">
        <v>10</v>
      </c>
      <c r="E2866" s="20">
        <v>10</v>
      </c>
      <c r="F2866" s="20">
        <v>10</v>
      </c>
      <c r="G2866" s="19">
        <f t="shared" si="213"/>
        <v>172</v>
      </c>
      <c r="H2866" s="22">
        <f t="shared" si="214"/>
        <v>2865</v>
      </c>
      <c r="I2866" s="21">
        <f t="shared" ca="1" si="211"/>
        <v>0</v>
      </c>
      <c r="J2866" s="21" t="str">
        <f ca="1">IF(I2866=0,"",COUNTIF($I$2:I2866,"&gt;0"))</f>
        <v/>
      </c>
      <c r="K2866" s="21" t="str">
        <f t="shared" ca="1" si="212"/>
        <v/>
      </c>
    </row>
    <row r="2867" spans="1:11" s="18" customFormat="1" ht="14.25" x14ac:dyDescent="0.2">
      <c r="A2867" s="18" t="str">
        <f t="shared" si="209"/>
        <v>Eintrag 2866</v>
      </c>
      <c r="B2867" s="18">
        <v>100</v>
      </c>
      <c r="C2867" s="19">
        <v>100</v>
      </c>
      <c r="D2867" s="20">
        <v>10</v>
      </c>
      <c r="E2867" s="20">
        <v>10</v>
      </c>
      <c r="F2867" s="20">
        <v>10</v>
      </c>
      <c r="G2867" s="19">
        <f t="shared" si="213"/>
        <v>172</v>
      </c>
      <c r="H2867" s="22">
        <f t="shared" si="214"/>
        <v>2866</v>
      </c>
      <c r="I2867" s="21">
        <f t="shared" ca="1" si="211"/>
        <v>0</v>
      </c>
      <c r="J2867" s="21" t="str">
        <f ca="1">IF(I2867=0,"",COUNTIF($I$2:I2867,"&gt;0"))</f>
        <v/>
      </c>
      <c r="K2867" s="21" t="str">
        <f t="shared" ca="1" si="212"/>
        <v/>
      </c>
    </row>
    <row r="2868" spans="1:11" s="18" customFormat="1" ht="14.25" x14ac:dyDescent="0.2">
      <c r="A2868" s="18" t="str">
        <f t="shared" si="209"/>
        <v>Eintrag 2867</v>
      </c>
      <c r="B2868" s="18">
        <v>100</v>
      </c>
      <c r="C2868" s="19">
        <v>100</v>
      </c>
      <c r="D2868" s="20">
        <v>10</v>
      </c>
      <c r="E2868" s="20">
        <v>10</v>
      </c>
      <c r="F2868" s="20">
        <v>10</v>
      </c>
      <c r="G2868" s="19">
        <f t="shared" si="213"/>
        <v>172</v>
      </c>
      <c r="H2868" s="22">
        <f t="shared" si="214"/>
        <v>2867</v>
      </c>
      <c r="I2868" s="21">
        <f t="shared" ca="1" si="211"/>
        <v>0</v>
      </c>
      <c r="J2868" s="21" t="str">
        <f ca="1">IF(I2868=0,"",COUNTIF($I$2:I2868,"&gt;0"))</f>
        <v/>
      </c>
      <c r="K2868" s="21" t="str">
        <f t="shared" ca="1" si="212"/>
        <v/>
      </c>
    </row>
    <row r="2869" spans="1:11" s="18" customFormat="1" ht="14.25" x14ac:dyDescent="0.2">
      <c r="A2869" s="18" t="str">
        <f t="shared" si="209"/>
        <v>Eintrag 2868</v>
      </c>
      <c r="B2869" s="18">
        <v>100</v>
      </c>
      <c r="C2869" s="19">
        <v>100</v>
      </c>
      <c r="D2869" s="20">
        <v>10</v>
      </c>
      <c r="E2869" s="20">
        <v>10</v>
      </c>
      <c r="F2869" s="20">
        <v>10</v>
      </c>
      <c r="G2869" s="19">
        <f t="shared" si="213"/>
        <v>172</v>
      </c>
      <c r="H2869" s="22">
        <f t="shared" si="214"/>
        <v>2868</v>
      </c>
      <c r="I2869" s="21">
        <f t="shared" ca="1" si="211"/>
        <v>0</v>
      </c>
      <c r="J2869" s="21" t="str">
        <f ca="1">IF(I2869=0,"",COUNTIF($I$2:I2869,"&gt;0"))</f>
        <v/>
      </c>
      <c r="K2869" s="21" t="str">
        <f t="shared" ca="1" si="212"/>
        <v/>
      </c>
    </row>
    <row r="2870" spans="1:11" s="18" customFormat="1" ht="14.25" x14ac:dyDescent="0.2">
      <c r="A2870" s="18" t="str">
        <f t="shared" si="209"/>
        <v>Eintrag 2869</v>
      </c>
      <c r="B2870" s="18">
        <v>100</v>
      </c>
      <c r="C2870" s="19">
        <v>100</v>
      </c>
      <c r="D2870" s="20">
        <v>10</v>
      </c>
      <c r="E2870" s="20">
        <v>10</v>
      </c>
      <c r="F2870" s="20">
        <v>10</v>
      </c>
      <c r="G2870" s="19">
        <f t="shared" si="213"/>
        <v>172</v>
      </c>
      <c r="H2870" s="22">
        <f t="shared" si="214"/>
        <v>2869</v>
      </c>
      <c r="I2870" s="21">
        <f t="shared" ca="1" si="211"/>
        <v>0</v>
      </c>
      <c r="J2870" s="21" t="str">
        <f ca="1">IF(I2870=0,"",COUNTIF($I$2:I2870,"&gt;0"))</f>
        <v/>
      </c>
      <c r="K2870" s="21" t="str">
        <f t="shared" ca="1" si="212"/>
        <v/>
      </c>
    </row>
    <row r="2871" spans="1:11" s="18" customFormat="1" ht="14.25" x14ac:dyDescent="0.2">
      <c r="A2871" s="18" t="str">
        <f t="shared" si="209"/>
        <v>Eintrag 2870</v>
      </c>
      <c r="B2871" s="18">
        <v>100</v>
      </c>
      <c r="C2871" s="19">
        <v>100</v>
      </c>
      <c r="D2871" s="20">
        <v>10</v>
      </c>
      <c r="E2871" s="20">
        <v>10</v>
      </c>
      <c r="F2871" s="20">
        <v>10</v>
      </c>
      <c r="G2871" s="19">
        <f t="shared" si="213"/>
        <v>172</v>
      </c>
      <c r="H2871" s="22">
        <f t="shared" si="214"/>
        <v>2870</v>
      </c>
      <c r="I2871" s="21">
        <f t="shared" ca="1" si="211"/>
        <v>0</v>
      </c>
      <c r="J2871" s="21" t="str">
        <f ca="1">IF(I2871=0,"",COUNTIF($I$2:I2871,"&gt;0"))</f>
        <v/>
      </c>
      <c r="K2871" s="21" t="str">
        <f t="shared" ca="1" si="212"/>
        <v/>
      </c>
    </row>
    <row r="2872" spans="1:11" s="18" customFormat="1" ht="14.25" x14ac:dyDescent="0.2">
      <c r="A2872" s="18" t="str">
        <f t="shared" si="209"/>
        <v>Eintrag 2871</v>
      </c>
      <c r="B2872" s="18">
        <v>100</v>
      </c>
      <c r="C2872" s="19">
        <v>100</v>
      </c>
      <c r="D2872" s="20">
        <v>10</v>
      </c>
      <c r="E2872" s="20">
        <v>10</v>
      </c>
      <c r="F2872" s="20">
        <v>10</v>
      </c>
      <c r="G2872" s="19">
        <f t="shared" si="213"/>
        <v>172</v>
      </c>
      <c r="H2872" s="22">
        <f t="shared" si="214"/>
        <v>2871</v>
      </c>
      <c r="I2872" s="21">
        <f t="shared" ca="1" si="211"/>
        <v>0</v>
      </c>
      <c r="J2872" s="21" t="str">
        <f ca="1">IF(I2872=0,"",COUNTIF($I$2:I2872,"&gt;0"))</f>
        <v/>
      </c>
      <c r="K2872" s="21" t="str">
        <f t="shared" ca="1" si="212"/>
        <v/>
      </c>
    </row>
    <row r="2873" spans="1:11" s="18" customFormat="1" ht="14.25" x14ac:dyDescent="0.2">
      <c r="A2873" s="18" t="str">
        <f t="shared" si="209"/>
        <v>Eintrag 2872</v>
      </c>
      <c r="B2873" s="18">
        <v>100</v>
      </c>
      <c r="C2873" s="19">
        <v>100</v>
      </c>
      <c r="D2873" s="20">
        <v>10</v>
      </c>
      <c r="E2873" s="20">
        <v>10</v>
      </c>
      <c r="F2873" s="20">
        <v>10</v>
      </c>
      <c r="G2873" s="19">
        <f t="shared" si="213"/>
        <v>172</v>
      </c>
      <c r="H2873" s="22">
        <f t="shared" si="214"/>
        <v>2872</v>
      </c>
      <c r="I2873" s="21">
        <f t="shared" ca="1" si="211"/>
        <v>0</v>
      </c>
      <c r="J2873" s="21" t="str">
        <f ca="1">IF(I2873=0,"",COUNTIF($I$2:I2873,"&gt;0"))</f>
        <v/>
      </c>
      <c r="K2873" s="21" t="str">
        <f t="shared" ca="1" si="212"/>
        <v/>
      </c>
    </row>
    <row r="2874" spans="1:11" s="18" customFormat="1" ht="14.25" x14ac:dyDescent="0.2">
      <c r="A2874" s="18" t="str">
        <f t="shared" si="209"/>
        <v>Eintrag 2873</v>
      </c>
      <c r="B2874" s="18">
        <v>100</v>
      </c>
      <c r="C2874" s="19">
        <v>100</v>
      </c>
      <c r="D2874" s="20">
        <v>10</v>
      </c>
      <c r="E2874" s="20">
        <v>10</v>
      </c>
      <c r="F2874" s="20">
        <v>10</v>
      </c>
      <c r="G2874" s="19">
        <f t="shared" si="213"/>
        <v>172</v>
      </c>
      <c r="H2874" s="22">
        <f t="shared" si="214"/>
        <v>2873</v>
      </c>
      <c r="I2874" s="21">
        <f t="shared" ca="1" si="211"/>
        <v>0</v>
      </c>
      <c r="J2874" s="21" t="str">
        <f ca="1">IF(I2874=0,"",COUNTIF($I$2:I2874,"&gt;0"))</f>
        <v/>
      </c>
      <c r="K2874" s="21" t="str">
        <f t="shared" ca="1" si="212"/>
        <v/>
      </c>
    </row>
    <row r="2875" spans="1:11" s="18" customFormat="1" ht="14.25" x14ac:dyDescent="0.2">
      <c r="A2875" s="18" t="str">
        <f t="shared" si="209"/>
        <v>Eintrag 2874</v>
      </c>
      <c r="B2875" s="18">
        <v>100</v>
      </c>
      <c r="C2875" s="19">
        <v>100</v>
      </c>
      <c r="D2875" s="20">
        <v>10</v>
      </c>
      <c r="E2875" s="20">
        <v>10</v>
      </c>
      <c r="F2875" s="20">
        <v>10</v>
      </c>
      <c r="G2875" s="19">
        <f t="shared" si="213"/>
        <v>172</v>
      </c>
      <c r="H2875" s="22">
        <f t="shared" si="214"/>
        <v>2874</v>
      </c>
      <c r="I2875" s="21">
        <f t="shared" ref="I2875:I2938" ca="1" si="215">IFERROR(SEARCH(INDIRECT(CELL("address")),A2875),0)</f>
        <v>0</v>
      </c>
      <c r="J2875" s="21" t="str">
        <f ca="1">IF(I2875=0,"",COUNTIF($I$2:I2875,"&gt;0"))</f>
        <v/>
      </c>
      <c r="K2875" s="21" t="str">
        <f t="shared" ca="1" si="212"/>
        <v/>
      </c>
    </row>
    <row r="2876" spans="1:11" s="18" customFormat="1" ht="14.25" x14ac:dyDescent="0.2">
      <c r="A2876" s="18" t="str">
        <f t="shared" si="209"/>
        <v>Eintrag 2875</v>
      </c>
      <c r="B2876" s="18">
        <v>100</v>
      </c>
      <c r="C2876" s="19">
        <v>100</v>
      </c>
      <c r="D2876" s="20">
        <v>10</v>
      </c>
      <c r="E2876" s="20">
        <v>10</v>
      </c>
      <c r="F2876" s="20">
        <v>10</v>
      </c>
      <c r="G2876" s="19">
        <f t="shared" si="213"/>
        <v>172</v>
      </c>
      <c r="H2876" s="22">
        <f t="shared" si="214"/>
        <v>2875</v>
      </c>
      <c r="I2876" s="21">
        <f t="shared" ca="1" si="215"/>
        <v>0</v>
      </c>
      <c r="J2876" s="21" t="str">
        <f ca="1">IF(I2876=0,"",COUNTIF($I$2:I2876,"&gt;0"))</f>
        <v/>
      </c>
      <c r="K2876" s="21" t="str">
        <f t="shared" ca="1" si="212"/>
        <v/>
      </c>
    </row>
    <row r="2877" spans="1:11" s="18" customFormat="1" ht="14.25" x14ac:dyDescent="0.2">
      <c r="A2877" s="18" t="str">
        <f t="shared" si="209"/>
        <v>Eintrag 2876</v>
      </c>
      <c r="B2877" s="18">
        <v>100</v>
      </c>
      <c r="C2877" s="19">
        <v>100</v>
      </c>
      <c r="D2877" s="20">
        <v>10</v>
      </c>
      <c r="E2877" s="20">
        <v>10</v>
      </c>
      <c r="F2877" s="20">
        <v>10</v>
      </c>
      <c r="G2877" s="19">
        <f t="shared" si="213"/>
        <v>172</v>
      </c>
      <c r="H2877" s="22">
        <f t="shared" si="214"/>
        <v>2876</v>
      </c>
      <c r="I2877" s="21">
        <f t="shared" ca="1" si="215"/>
        <v>0</v>
      </c>
      <c r="J2877" s="21" t="str">
        <f ca="1">IF(I2877=0,"",COUNTIF($I$2:I2877,"&gt;0"))</f>
        <v/>
      </c>
      <c r="K2877" s="21" t="str">
        <f t="shared" ca="1" si="212"/>
        <v/>
      </c>
    </row>
    <row r="2878" spans="1:11" s="18" customFormat="1" ht="14.25" x14ac:dyDescent="0.2">
      <c r="A2878" s="18" t="str">
        <f t="shared" si="209"/>
        <v>Eintrag 2877</v>
      </c>
      <c r="B2878" s="18">
        <v>100</v>
      </c>
      <c r="C2878" s="19">
        <v>100</v>
      </c>
      <c r="D2878" s="20">
        <v>10</v>
      </c>
      <c r="E2878" s="20">
        <v>10</v>
      </c>
      <c r="F2878" s="20">
        <v>10</v>
      </c>
      <c r="G2878" s="19">
        <f t="shared" si="213"/>
        <v>172</v>
      </c>
      <c r="H2878" s="22">
        <f t="shared" si="214"/>
        <v>2877</v>
      </c>
      <c r="I2878" s="21">
        <f t="shared" ca="1" si="215"/>
        <v>0</v>
      </c>
      <c r="J2878" s="21" t="str">
        <f ca="1">IF(I2878=0,"",COUNTIF($I$2:I2878,"&gt;0"))</f>
        <v/>
      </c>
      <c r="K2878" s="21" t="str">
        <f t="shared" ca="1" si="212"/>
        <v/>
      </c>
    </row>
    <row r="2879" spans="1:11" s="18" customFormat="1" ht="14.25" x14ac:dyDescent="0.2">
      <c r="A2879" s="18" t="str">
        <f t="shared" si="209"/>
        <v>Eintrag 2878</v>
      </c>
      <c r="B2879" s="18">
        <v>100</v>
      </c>
      <c r="C2879" s="19">
        <v>100</v>
      </c>
      <c r="D2879" s="20">
        <v>10</v>
      </c>
      <c r="E2879" s="20">
        <v>10</v>
      </c>
      <c r="F2879" s="20">
        <v>10</v>
      </c>
      <c r="G2879" s="19">
        <f t="shared" si="213"/>
        <v>172</v>
      </c>
      <c r="H2879" s="22">
        <f t="shared" si="214"/>
        <v>2878</v>
      </c>
      <c r="I2879" s="21">
        <f t="shared" ca="1" si="215"/>
        <v>0</v>
      </c>
      <c r="J2879" s="21" t="str">
        <f ca="1">IF(I2879=0,"",COUNTIF($I$2:I2879,"&gt;0"))</f>
        <v/>
      </c>
      <c r="K2879" s="21" t="str">
        <f t="shared" ca="1" si="212"/>
        <v/>
      </c>
    </row>
    <row r="2880" spans="1:11" s="18" customFormat="1" ht="14.25" x14ac:dyDescent="0.2">
      <c r="A2880" s="18" t="str">
        <f t="shared" si="209"/>
        <v>Eintrag 2879</v>
      </c>
      <c r="B2880" s="18">
        <v>100</v>
      </c>
      <c r="C2880" s="19">
        <v>100</v>
      </c>
      <c r="D2880" s="20">
        <v>10</v>
      </c>
      <c r="E2880" s="20">
        <v>10</v>
      </c>
      <c r="F2880" s="20">
        <v>10</v>
      </c>
      <c r="G2880" s="19">
        <f t="shared" si="213"/>
        <v>172</v>
      </c>
      <c r="H2880" s="22">
        <f t="shared" si="214"/>
        <v>2879</v>
      </c>
      <c r="I2880" s="21">
        <f t="shared" ca="1" si="215"/>
        <v>0</v>
      </c>
      <c r="J2880" s="21" t="str">
        <f ca="1">IF(I2880=0,"",COUNTIF($I$2:I2880,"&gt;0"))</f>
        <v/>
      </c>
      <c r="K2880" s="21" t="str">
        <f t="shared" ca="1" si="212"/>
        <v/>
      </c>
    </row>
    <row r="2881" spans="1:11" s="18" customFormat="1" ht="14.25" x14ac:dyDescent="0.2">
      <c r="A2881" s="18" t="str">
        <f t="shared" si="209"/>
        <v>Eintrag 2880</v>
      </c>
      <c r="B2881" s="18">
        <v>100</v>
      </c>
      <c r="C2881" s="19">
        <v>100</v>
      </c>
      <c r="D2881" s="20">
        <v>10</v>
      </c>
      <c r="E2881" s="20">
        <v>10</v>
      </c>
      <c r="F2881" s="20">
        <v>10</v>
      </c>
      <c r="G2881" s="19">
        <f t="shared" si="213"/>
        <v>172</v>
      </c>
      <c r="H2881" s="22">
        <f t="shared" si="214"/>
        <v>2880</v>
      </c>
      <c r="I2881" s="21">
        <f t="shared" ca="1" si="215"/>
        <v>0</v>
      </c>
      <c r="J2881" s="21" t="str">
        <f ca="1">IF(I2881=0,"",COUNTIF($I$2:I2881,"&gt;0"))</f>
        <v/>
      </c>
      <c r="K2881" s="21" t="str">
        <f t="shared" ca="1" si="212"/>
        <v/>
      </c>
    </row>
    <row r="2882" spans="1:11" s="18" customFormat="1" ht="14.25" x14ac:dyDescent="0.2">
      <c r="A2882" s="18" t="str">
        <f t="shared" si="209"/>
        <v>Eintrag 2881</v>
      </c>
      <c r="B2882" s="18">
        <v>100</v>
      </c>
      <c r="C2882" s="19">
        <v>100</v>
      </c>
      <c r="D2882" s="20">
        <v>10</v>
      </c>
      <c r="E2882" s="20">
        <v>10</v>
      </c>
      <c r="F2882" s="20">
        <v>10</v>
      </c>
      <c r="G2882" s="19">
        <f t="shared" si="213"/>
        <v>172</v>
      </c>
      <c r="H2882" s="22">
        <f t="shared" si="214"/>
        <v>2881</v>
      </c>
      <c r="I2882" s="21">
        <f t="shared" ca="1" si="215"/>
        <v>0</v>
      </c>
      <c r="J2882" s="21" t="str">
        <f ca="1">IF(I2882=0,"",COUNTIF($I$2:I2882,"&gt;0"))</f>
        <v/>
      </c>
      <c r="K2882" s="21" t="str">
        <f t="shared" ref="K2882:K2945" ca="1" si="216">IFERROR(INDEX(A:A,MATCH(ROW(I2881),J:J,0)),"")</f>
        <v/>
      </c>
    </row>
    <row r="2883" spans="1:11" s="18" customFormat="1" ht="14.25" x14ac:dyDescent="0.2">
      <c r="A2883" s="18" t="str">
        <f t="shared" si="209"/>
        <v>Eintrag 2882</v>
      </c>
      <c r="B2883" s="18">
        <v>100</v>
      </c>
      <c r="C2883" s="19">
        <v>100</v>
      </c>
      <c r="D2883" s="20">
        <v>10</v>
      </c>
      <c r="E2883" s="20">
        <v>10</v>
      </c>
      <c r="F2883" s="20">
        <v>10</v>
      </c>
      <c r="G2883" s="19">
        <f t="shared" ref="G2883:G2946" si="217">D2883*9+E2883*4.1+F2883*4.1</f>
        <v>172</v>
      </c>
      <c r="H2883" s="22">
        <f t="shared" si="214"/>
        <v>2882</v>
      </c>
      <c r="I2883" s="21">
        <f t="shared" ca="1" si="215"/>
        <v>0</v>
      </c>
      <c r="J2883" s="21" t="str">
        <f ca="1">IF(I2883=0,"",COUNTIF($I$2:I2883,"&gt;0"))</f>
        <v/>
      </c>
      <c r="K2883" s="21" t="str">
        <f t="shared" ca="1" si="216"/>
        <v/>
      </c>
    </row>
    <row r="2884" spans="1:11" s="18" customFormat="1" ht="14.25" x14ac:dyDescent="0.2">
      <c r="A2884" s="18" t="str">
        <f t="shared" si="209"/>
        <v>Eintrag 2883</v>
      </c>
      <c r="B2884" s="18">
        <v>100</v>
      </c>
      <c r="C2884" s="19">
        <v>100</v>
      </c>
      <c r="D2884" s="20">
        <v>10</v>
      </c>
      <c r="E2884" s="20">
        <v>10</v>
      </c>
      <c r="F2884" s="20">
        <v>10</v>
      </c>
      <c r="G2884" s="19">
        <f t="shared" si="217"/>
        <v>172</v>
      </c>
      <c r="H2884" s="22">
        <f t="shared" si="214"/>
        <v>2883</v>
      </c>
      <c r="I2884" s="21">
        <f t="shared" ca="1" si="215"/>
        <v>0</v>
      </c>
      <c r="J2884" s="21" t="str">
        <f ca="1">IF(I2884=0,"",COUNTIF($I$2:I2884,"&gt;0"))</f>
        <v/>
      </c>
      <c r="K2884" s="21" t="str">
        <f t="shared" ca="1" si="216"/>
        <v/>
      </c>
    </row>
    <row r="2885" spans="1:11" s="18" customFormat="1" ht="14.25" x14ac:dyDescent="0.2">
      <c r="A2885" s="18" t="str">
        <f t="shared" si="209"/>
        <v>Eintrag 2884</v>
      </c>
      <c r="B2885" s="18">
        <v>100</v>
      </c>
      <c r="C2885" s="19">
        <v>100</v>
      </c>
      <c r="D2885" s="20">
        <v>10</v>
      </c>
      <c r="E2885" s="20">
        <v>10</v>
      </c>
      <c r="F2885" s="20">
        <v>10</v>
      </c>
      <c r="G2885" s="19">
        <f t="shared" si="217"/>
        <v>172</v>
      </c>
      <c r="H2885" s="22">
        <f t="shared" si="214"/>
        <v>2884</v>
      </c>
      <c r="I2885" s="21">
        <f t="shared" ca="1" si="215"/>
        <v>0</v>
      </c>
      <c r="J2885" s="21" t="str">
        <f ca="1">IF(I2885=0,"",COUNTIF($I$2:I2885,"&gt;0"))</f>
        <v/>
      </c>
      <c r="K2885" s="21" t="str">
        <f t="shared" ca="1" si="216"/>
        <v/>
      </c>
    </row>
    <row r="2886" spans="1:11" s="18" customFormat="1" ht="14.25" x14ac:dyDescent="0.2">
      <c r="A2886" s="18" t="str">
        <f t="shared" si="209"/>
        <v>Eintrag 2885</v>
      </c>
      <c r="B2886" s="18">
        <v>100</v>
      </c>
      <c r="C2886" s="19">
        <v>100</v>
      </c>
      <c r="D2886" s="20">
        <v>10</v>
      </c>
      <c r="E2886" s="20">
        <v>10</v>
      </c>
      <c r="F2886" s="20">
        <v>10</v>
      </c>
      <c r="G2886" s="19">
        <f t="shared" si="217"/>
        <v>172</v>
      </c>
      <c r="H2886" s="22">
        <f t="shared" si="214"/>
        <v>2885</v>
      </c>
      <c r="I2886" s="21">
        <f t="shared" ca="1" si="215"/>
        <v>0</v>
      </c>
      <c r="J2886" s="21" t="str">
        <f ca="1">IF(I2886=0,"",COUNTIF($I$2:I2886,"&gt;0"))</f>
        <v/>
      </c>
      <c r="K2886" s="21" t="str">
        <f t="shared" ca="1" si="216"/>
        <v/>
      </c>
    </row>
    <row r="2887" spans="1:11" s="18" customFormat="1" ht="14.25" x14ac:dyDescent="0.2">
      <c r="A2887" s="18" t="str">
        <f t="shared" si="209"/>
        <v>Eintrag 2886</v>
      </c>
      <c r="B2887" s="18">
        <v>100</v>
      </c>
      <c r="C2887" s="19">
        <v>100</v>
      </c>
      <c r="D2887" s="20">
        <v>10</v>
      </c>
      <c r="E2887" s="20">
        <v>10</v>
      </c>
      <c r="F2887" s="20">
        <v>10</v>
      </c>
      <c r="G2887" s="19">
        <f t="shared" si="217"/>
        <v>172</v>
      </c>
      <c r="H2887" s="22">
        <f t="shared" si="214"/>
        <v>2886</v>
      </c>
      <c r="I2887" s="21">
        <f t="shared" ca="1" si="215"/>
        <v>0</v>
      </c>
      <c r="J2887" s="21" t="str">
        <f ca="1">IF(I2887=0,"",COUNTIF($I$2:I2887,"&gt;0"))</f>
        <v/>
      </c>
      <c r="K2887" s="21" t="str">
        <f t="shared" ca="1" si="216"/>
        <v/>
      </c>
    </row>
    <row r="2888" spans="1:11" s="18" customFormat="1" ht="14.25" x14ac:dyDescent="0.2">
      <c r="A2888" s="18" t="str">
        <f t="shared" si="209"/>
        <v>Eintrag 2887</v>
      </c>
      <c r="B2888" s="18">
        <v>100</v>
      </c>
      <c r="C2888" s="19">
        <v>100</v>
      </c>
      <c r="D2888" s="20">
        <v>10</v>
      </c>
      <c r="E2888" s="20">
        <v>10</v>
      </c>
      <c r="F2888" s="20">
        <v>10</v>
      </c>
      <c r="G2888" s="19">
        <f t="shared" si="217"/>
        <v>172</v>
      </c>
      <c r="H2888" s="22">
        <f t="shared" si="214"/>
        <v>2887</v>
      </c>
      <c r="I2888" s="21">
        <f t="shared" ca="1" si="215"/>
        <v>0</v>
      </c>
      <c r="J2888" s="21" t="str">
        <f ca="1">IF(I2888=0,"",COUNTIF($I$2:I2888,"&gt;0"))</f>
        <v/>
      </c>
      <c r="K2888" s="21" t="str">
        <f t="shared" ca="1" si="216"/>
        <v/>
      </c>
    </row>
    <row r="2889" spans="1:11" s="18" customFormat="1" ht="14.25" x14ac:dyDescent="0.2">
      <c r="A2889" s="18" t="str">
        <f t="shared" si="209"/>
        <v>Eintrag 2888</v>
      </c>
      <c r="B2889" s="18">
        <v>100</v>
      </c>
      <c r="C2889" s="19">
        <v>100</v>
      </c>
      <c r="D2889" s="20">
        <v>10</v>
      </c>
      <c r="E2889" s="20">
        <v>10</v>
      </c>
      <c r="F2889" s="20">
        <v>10</v>
      </c>
      <c r="G2889" s="19">
        <f t="shared" si="217"/>
        <v>172</v>
      </c>
      <c r="H2889" s="22">
        <f t="shared" si="214"/>
        <v>2888</v>
      </c>
      <c r="I2889" s="21">
        <f t="shared" ca="1" si="215"/>
        <v>0</v>
      </c>
      <c r="J2889" s="21" t="str">
        <f ca="1">IF(I2889=0,"",COUNTIF($I$2:I2889,"&gt;0"))</f>
        <v/>
      </c>
      <c r="K2889" s="21" t="str">
        <f t="shared" ca="1" si="216"/>
        <v/>
      </c>
    </row>
    <row r="2890" spans="1:11" s="18" customFormat="1" ht="14.25" x14ac:dyDescent="0.2">
      <c r="A2890" s="18" t="str">
        <f t="shared" si="209"/>
        <v>Eintrag 2889</v>
      </c>
      <c r="B2890" s="18">
        <v>100</v>
      </c>
      <c r="C2890" s="19">
        <v>100</v>
      </c>
      <c r="D2890" s="20">
        <v>10</v>
      </c>
      <c r="E2890" s="20">
        <v>10</v>
      </c>
      <c r="F2890" s="20">
        <v>10</v>
      </c>
      <c r="G2890" s="19">
        <f t="shared" si="217"/>
        <v>172</v>
      </c>
      <c r="H2890" s="22">
        <f t="shared" si="214"/>
        <v>2889</v>
      </c>
      <c r="I2890" s="21">
        <f t="shared" ca="1" si="215"/>
        <v>0</v>
      </c>
      <c r="J2890" s="21" t="str">
        <f ca="1">IF(I2890=0,"",COUNTIF($I$2:I2890,"&gt;0"))</f>
        <v/>
      </c>
      <c r="K2890" s="21" t="str">
        <f t="shared" ca="1" si="216"/>
        <v/>
      </c>
    </row>
    <row r="2891" spans="1:11" s="18" customFormat="1" ht="14.25" x14ac:dyDescent="0.2">
      <c r="A2891" s="18" t="str">
        <f t="shared" si="209"/>
        <v>Eintrag 2890</v>
      </c>
      <c r="B2891" s="18">
        <v>100</v>
      </c>
      <c r="C2891" s="19">
        <v>100</v>
      </c>
      <c r="D2891" s="20">
        <v>10</v>
      </c>
      <c r="E2891" s="20">
        <v>10</v>
      </c>
      <c r="F2891" s="20">
        <v>10</v>
      </c>
      <c r="G2891" s="19">
        <f t="shared" si="217"/>
        <v>172</v>
      </c>
      <c r="H2891" s="22">
        <f t="shared" si="214"/>
        <v>2890</v>
      </c>
      <c r="I2891" s="21">
        <f t="shared" ca="1" si="215"/>
        <v>0</v>
      </c>
      <c r="J2891" s="21" t="str">
        <f ca="1">IF(I2891=0,"",COUNTIF($I$2:I2891,"&gt;0"))</f>
        <v/>
      </c>
      <c r="K2891" s="21" t="str">
        <f t="shared" ca="1" si="216"/>
        <v/>
      </c>
    </row>
    <row r="2892" spans="1:11" s="18" customFormat="1" ht="14.25" x14ac:dyDescent="0.2">
      <c r="A2892" s="18" t="str">
        <f t="shared" si="209"/>
        <v>Eintrag 2891</v>
      </c>
      <c r="B2892" s="18">
        <v>100</v>
      </c>
      <c r="C2892" s="19">
        <v>100</v>
      </c>
      <c r="D2892" s="20">
        <v>10</v>
      </c>
      <c r="E2892" s="20">
        <v>10</v>
      </c>
      <c r="F2892" s="20">
        <v>10</v>
      </c>
      <c r="G2892" s="19">
        <f t="shared" si="217"/>
        <v>172</v>
      </c>
      <c r="H2892" s="22">
        <f t="shared" si="214"/>
        <v>2891</v>
      </c>
      <c r="I2892" s="21">
        <f t="shared" ca="1" si="215"/>
        <v>0</v>
      </c>
      <c r="J2892" s="21" t="str">
        <f ca="1">IF(I2892=0,"",COUNTIF($I$2:I2892,"&gt;0"))</f>
        <v/>
      </c>
      <c r="K2892" s="21" t="str">
        <f t="shared" ca="1" si="216"/>
        <v/>
      </c>
    </row>
    <row r="2893" spans="1:11" s="18" customFormat="1" ht="14.25" x14ac:dyDescent="0.2">
      <c r="A2893" s="18" t="str">
        <f t="shared" si="209"/>
        <v>Eintrag 2892</v>
      </c>
      <c r="B2893" s="18">
        <v>100</v>
      </c>
      <c r="C2893" s="19">
        <v>100</v>
      </c>
      <c r="D2893" s="20">
        <v>10</v>
      </c>
      <c r="E2893" s="20">
        <v>10</v>
      </c>
      <c r="F2893" s="20">
        <v>10</v>
      </c>
      <c r="G2893" s="19">
        <f t="shared" si="217"/>
        <v>172</v>
      </c>
      <c r="H2893" s="22">
        <f t="shared" si="214"/>
        <v>2892</v>
      </c>
      <c r="I2893" s="21">
        <f t="shared" ca="1" si="215"/>
        <v>0</v>
      </c>
      <c r="J2893" s="21" t="str">
        <f ca="1">IF(I2893=0,"",COUNTIF($I$2:I2893,"&gt;0"))</f>
        <v/>
      </c>
      <c r="K2893" s="21" t="str">
        <f t="shared" ca="1" si="216"/>
        <v/>
      </c>
    </row>
    <row r="2894" spans="1:11" s="18" customFormat="1" ht="14.25" x14ac:dyDescent="0.2">
      <c r="A2894" s="18" t="str">
        <f t="shared" si="209"/>
        <v>Eintrag 2893</v>
      </c>
      <c r="B2894" s="18">
        <v>100</v>
      </c>
      <c r="C2894" s="19">
        <v>100</v>
      </c>
      <c r="D2894" s="20">
        <v>10</v>
      </c>
      <c r="E2894" s="20">
        <v>10</v>
      </c>
      <c r="F2894" s="20">
        <v>10</v>
      </c>
      <c r="G2894" s="19">
        <f t="shared" si="217"/>
        <v>172</v>
      </c>
      <c r="H2894" s="22">
        <f t="shared" si="214"/>
        <v>2893</v>
      </c>
      <c r="I2894" s="21">
        <f t="shared" ca="1" si="215"/>
        <v>0</v>
      </c>
      <c r="J2894" s="21" t="str">
        <f ca="1">IF(I2894=0,"",COUNTIF($I$2:I2894,"&gt;0"))</f>
        <v/>
      </c>
      <c r="K2894" s="21" t="str">
        <f t="shared" ca="1" si="216"/>
        <v/>
      </c>
    </row>
    <row r="2895" spans="1:11" s="18" customFormat="1" ht="14.25" x14ac:dyDescent="0.2">
      <c r="A2895" s="18" t="str">
        <f t="shared" si="209"/>
        <v>Eintrag 2894</v>
      </c>
      <c r="B2895" s="18">
        <v>100</v>
      </c>
      <c r="C2895" s="19">
        <v>100</v>
      </c>
      <c r="D2895" s="20">
        <v>10</v>
      </c>
      <c r="E2895" s="20">
        <v>10</v>
      </c>
      <c r="F2895" s="20">
        <v>10</v>
      </c>
      <c r="G2895" s="19">
        <f t="shared" si="217"/>
        <v>172</v>
      </c>
      <c r="H2895" s="22">
        <f t="shared" si="214"/>
        <v>2894</v>
      </c>
      <c r="I2895" s="21">
        <f t="shared" ca="1" si="215"/>
        <v>0</v>
      </c>
      <c r="J2895" s="21" t="str">
        <f ca="1">IF(I2895=0,"",COUNTIF($I$2:I2895,"&gt;0"))</f>
        <v/>
      </c>
      <c r="K2895" s="21" t="str">
        <f t="shared" ca="1" si="216"/>
        <v/>
      </c>
    </row>
    <row r="2896" spans="1:11" s="18" customFormat="1" ht="14.25" x14ac:dyDescent="0.2">
      <c r="A2896" s="18" t="str">
        <f t="shared" si="209"/>
        <v>Eintrag 2895</v>
      </c>
      <c r="B2896" s="18">
        <v>100</v>
      </c>
      <c r="C2896" s="19">
        <v>100</v>
      </c>
      <c r="D2896" s="20">
        <v>10</v>
      </c>
      <c r="E2896" s="20">
        <v>10</v>
      </c>
      <c r="F2896" s="20">
        <v>10</v>
      </c>
      <c r="G2896" s="19">
        <f t="shared" si="217"/>
        <v>172</v>
      </c>
      <c r="H2896" s="22">
        <f t="shared" si="214"/>
        <v>2895</v>
      </c>
      <c r="I2896" s="21">
        <f t="shared" ca="1" si="215"/>
        <v>0</v>
      </c>
      <c r="J2896" s="21" t="str">
        <f ca="1">IF(I2896=0,"",COUNTIF($I$2:I2896,"&gt;0"))</f>
        <v/>
      </c>
      <c r="K2896" s="21" t="str">
        <f t="shared" ca="1" si="216"/>
        <v/>
      </c>
    </row>
    <row r="2897" spans="1:11" s="18" customFormat="1" ht="14.25" x14ac:dyDescent="0.2">
      <c r="A2897" s="18" t="str">
        <f t="shared" si="209"/>
        <v>Eintrag 2896</v>
      </c>
      <c r="B2897" s="18">
        <v>100</v>
      </c>
      <c r="C2897" s="19">
        <v>100</v>
      </c>
      <c r="D2897" s="20">
        <v>10</v>
      </c>
      <c r="E2897" s="20">
        <v>10</v>
      </c>
      <c r="F2897" s="20">
        <v>10</v>
      </c>
      <c r="G2897" s="19">
        <f t="shared" si="217"/>
        <v>172</v>
      </c>
      <c r="H2897" s="22">
        <f t="shared" si="214"/>
        <v>2896</v>
      </c>
      <c r="I2897" s="21">
        <f t="shared" ca="1" si="215"/>
        <v>0</v>
      </c>
      <c r="J2897" s="21" t="str">
        <f ca="1">IF(I2897=0,"",COUNTIF($I$2:I2897,"&gt;0"))</f>
        <v/>
      </c>
      <c r="K2897" s="21" t="str">
        <f t="shared" ca="1" si="216"/>
        <v/>
      </c>
    </row>
    <row r="2898" spans="1:11" s="18" customFormat="1" ht="14.25" x14ac:dyDescent="0.2">
      <c r="A2898" s="18" t="str">
        <f t="shared" si="209"/>
        <v>Eintrag 2897</v>
      </c>
      <c r="B2898" s="18">
        <v>100</v>
      </c>
      <c r="C2898" s="19">
        <v>100</v>
      </c>
      <c r="D2898" s="20">
        <v>10</v>
      </c>
      <c r="E2898" s="20">
        <v>10</v>
      </c>
      <c r="F2898" s="20">
        <v>10</v>
      </c>
      <c r="G2898" s="19">
        <f t="shared" si="217"/>
        <v>172</v>
      </c>
      <c r="H2898" s="22">
        <f t="shared" si="214"/>
        <v>2897</v>
      </c>
      <c r="I2898" s="21">
        <f t="shared" ca="1" si="215"/>
        <v>0</v>
      </c>
      <c r="J2898" s="21" t="str">
        <f ca="1">IF(I2898=0,"",COUNTIF($I$2:I2898,"&gt;0"))</f>
        <v/>
      </c>
      <c r="K2898" s="21" t="str">
        <f t="shared" ca="1" si="216"/>
        <v/>
      </c>
    </row>
    <row r="2899" spans="1:11" s="18" customFormat="1" ht="14.25" x14ac:dyDescent="0.2">
      <c r="A2899" s="18" t="str">
        <f t="shared" si="209"/>
        <v>Eintrag 2898</v>
      </c>
      <c r="B2899" s="18">
        <v>100</v>
      </c>
      <c r="C2899" s="19">
        <v>100</v>
      </c>
      <c r="D2899" s="20">
        <v>10</v>
      </c>
      <c r="E2899" s="20">
        <v>10</v>
      </c>
      <c r="F2899" s="20">
        <v>10</v>
      </c>
      <c r="G2899" s="19">
        <f t="shared" si="217"/>
        <v>172</v>
      </c>
      <c r="H2899" s="22">
        <f t="shared" si="214"/>
        <v>2898</v>
      </c>
      <c r="I2899" s="21">
        <f t="shared" ca="1" si="215"/>
        <v>0</v>
      </c>
      <c r="J2899" s="21" t="str">
        <f ca="1">IF(I2899=0,"",COUNTIF($I$2:I2899,"&gt;0"))</f>
        <v/>
      </c>
      <c r="K2899" s="21" t="str">
        <f t="shared" ca="1" si="216"/>
        <v/>
      </c>
    </row>
    <row r="2900" spans="1:11" s="18" customFormat="1" ht="14.25" x14ac:dyDescent="0.2">
      <c r="A2900" s="18" t="str">
        <f t="shared" si="209"/>
        <v>Eintrag 2899</v>
      </c>
      <c r="B2900" s="18">
        <v>100</v>
      </c>
      <c r="C2900" s="19">
        <v>100</v>
      </c>
      <c r="D2900" s="20">
        <v>10</v>
      </c>
      <c r="E2900" s="20">
        <v>10</v>
      </c>
      <c r="F2900" s="20">
        <v>10</v>
      </c>
      <c r="G2900" s="19">
        <f t="shared" si="217"/>
        <v>172</v>
      </c>
      <c r="H2900" s="22">
        <f t="shared" si="214"/>
        <v>2899</v>
      </c>
      <c r="I2900" s="21">
        <f t="shared" ca="1" si="215"/>
        <v>0</v>
      </c>
      <c r="J2900" s="21" t="str">
        <f ca="1">IF(I2900=0,"",COUNTIF($I$2:I2900,"&gt;0"))</f>
        <v/>
      </c>
      <c r="K2900" s="21" t="str">
        <f t="shared" ca="1" si="216"/>
        <v/>
      </c>
    </row>
    <row r="2901" spans="1:11" s="18" customFormat="1" ht="14.25" x14ac:dyDescent="0.2">
      <c r="A2901" s="18" t="str">
        <f t="shared" si="209"/>
        <v>Eintrag 2900</v>
      </c>
      <c r="B2901" s="18">
        <v>100</v>
      </c>
      <c r="C2901" s="19">
        <v>100</v>
      </c>
      <c r="D2901" s="20">
        <v>10</v>
      </c>
      <c r="E2901" s="20">
        <v>10</v>
      </c>
      <c r="F2901" s="20">
        <v>10</v>
      </c>
      <c r="G2901" s="19">
        <f t="shared" si="217"/>
        <v>172</v>
      </c>
      <c r="H2901" s="22">
        <f t="shared" si="214"/>
        <v>2900</v>
      </c>
      <c r="I2901" s="21">
        <f t="shared" ca="1" si="215"/>
        <v>0</v>
      </c>
      <c r="J2901" s="21" t="str">
        <f ca="1">IF(I2901=0,"",COUNTIF($I$2:I2901,"&gt;0"))</f>
        <v/>
      </c>
      <c r="K2901" s="21" t="str">
        <f t="shared" ca="1" si="216"/>
        <v/>
      </c>
    </row>
    <row r="2902" spans="1:11" s="18" customFormat="1" ht="14.25" x14ac:dyDescent="0.2">
      <c r="A2902" s="18" t="str">
        <f t="shared" si="209"/>
        <v>Eintrag 2901</v>
      </c>
      <c r="B2902" s="18">
        <v>100</v>
      </c>
      <c r="C2902" s="19">
        <v>100</v>
      </c>
      <c r="D2902" s="20">
        <v>10</v>
      </c>
      <c r="E2902" s="20">
        <v>10</v>
      </c>
      <c r="F2902" s="20">
        <v>10</v>
      </c>
      <c r="G2902" s="19">
        <f t="shared" si="217"/>
        <v>172</v>
      </c>
      <c r="H2902" s="22">
        <f t="shared" si="214"/>
        <v>2901</v>
      </c>
      <c r="I2902" s="21">
        <f t="shared" ca="1" si="215"/>
        <v>0</v>
      </c>
      <c r="J2902" s="21" t="str">
        <f ca="1">IF(I2902=0,"",COUNTIF($I$2:I2902,"&gt;0"))</f>
        <v/>
      </c>
      <c r="K2902" s="21" t="str">
        <f t="shared" ca="1" si="216"/>
        <v/>
      </c>
    </row>
    <row r="2903" spans="1:11" s="18" customFormat="1" ht="14.25" x14ac:dyDescent="0.2">
      <c r="A2903" s="18" t="str">
        <f t="shared" si="209"/>
        <v>Eintrag 2902</v>
      </c>
      <c r="B2903" s="18">
        <v>100</v>
      </c>
      <c r="C2903" s="19">
        <v>100</v>
      </c>
      <c r="D2903" s="20">
        <v>10</v>
      </c>
      <c r="E2903" s="20">
        <v>10</v>
      </c>
      <c r="F2903" s="20">
        <v>10</v>
      </c>
      <c r="G2903" s="19">
        <f t="shared" si="217"/>
        <v>172</v>
      </c>
      <c r="H2903" s="22">
        <f t="shared" si="214"/>
        <v>2902</v>
      </c>
      <c r="I2903" s="21">
        <f t="shared" ca="1" si="215"/>
        <v>0</v>
      </c>
      <c r="J2903" s="21" t="str">
        <f ca="1">IF(I2903=0,"",COUNTIF($I$2:I2903,"&gt;0"))</f>
        <v/>
      </c>
      <c r="K2903" s="21" t="str">
        <f t="shared" ca="1" si="216"/>
        <v/>
      </c>
    </row>
    <row r="2904" spans="1:11" s="18" customFormat="1" ht="14.25" x14ac:dyDescent="0.2">
      <c r="A2904" s="18" t="str">
        <f t="shared" si="209"/>
        <v>Eintrag 2903</v>
      </c>
      <c r="B2904" s="18">
        <v>100</v>
      </c>
      <c r="C2904" s="19">
        <v>100</v>
      </c>
      <c r="D2904" s="20">
        <v>10</v>
      </c>
      <c r="E2904" s="20">
        <v>10</v>
      </c>
      <c r="F2904" s="20">
        <v>10</v>
      </c>
      <c r="G2904" s="19">
        <f t="shared" si="217"/>
        <v>172</v>
      </c>
      <c r="H2904" s="22">
        <f t="shared" si="214"/>
        <v>2903</v>
      </c>
      <c r="I2904" s="21">
        <f t="shared" ca="1" si="215"/>
        <v>0</v>
      </c>
      <c r="J2904" s="21" t="str">
        <f ca="1">IF(I2904=0,"",COUNTIF($I$2:I2904,"&gt;0"))</f>
        <v/>
      </c>
      <c r="K2904" s="21" t="str">
        <f t="shared" ca="1" si="216"/>
        <v/>
      </c>
    </row>
    <row r="2905" spans="1:11" s="18" customFormat="1" ht="14.25" x14ac:dyDescent="0.2">
      <c r="A2905" s="18" t="str">
        <f t="shared" si="209"/>
        <v>Eintrag 2904</v>
      </c>
      <c r="B2905" s="18">
        <v>100</v>
      </c>
      <c r="C2905" s="19">
        <v>100</v>
      </c>
      <c r="D2905" s="20">
        <v>10</v>
      </c>
      <c r="E2905" s="20">
        <v>10</v>
      </c>
      <c r="F2905" s="20">
        <v>10</v>
      </c>
      <c r="G2905" s="19">
        <f t="shared" si="217"/>
        <v>172</v>
      </c>
      <c r="H2905" s="22">
        <f t="shared" si="214"/>
        <v>2904</v>
      </c>
      <c r="I2905" s="21">
        <f t="shared" ca="1" si="215"/>
        <v>0</v>
      </c>
      <c r="J2905" s="21" t="str">
        <f ca="1">IF(I2905=0,"",COUNTIF($I$2:I2905,"&gt;0"))</f>
        <v/>
      </c>
      <c r="K2905" s="21" t="str">
        <f t="shared" ca="1" si="216"/>
        <v/>
      </c>
    </row>
    <row r="2906" spans="1:11" s="18" customFormat="1" ht="14.25" x14ac:dyDescent="0.2">
      <c r="A2906" s="18" t="str">
        <f t="shared" si="209"/>
        <v>Eintrag 2905</v>
      </c>
      <c r="B2906" s="18">
        <v>100</v>
      </c>
      <c r="C2906" s="19">
        <v>100</v>
      </c>
      <c r="D2906" s="20">
        <v>10</v>
      </c>
      <c r="E2906" s="20">
        <v>10</v>
      </c>
      <c r="F2906" s="20">
        <v>10</v>
      </c>
      <c r="G2906" s="19">
        <f t="shared" si="217"/>
        <v>172</v>
      </c>
      <c r="H2906" s="22">
        <f t="shared" si="214"/>
        <v>2905</v>
      </c>
      <c r="I2906" s="21">
        <f t="shared" ca="1" si="215"/>
        <v>0</v>
      </c>
      <c r="J2906" s="21" t="str">
        <f ca="1">IF(I2906=0,"",COUNTIF($I$2:I2906,"&gt;0"))</f>
        <v/>
      </c>
      <c r="K2906" s="21" t="str">
        <f t="shared" ca="1" si="216"/>
        <v/>
      </c>
    </row>
    <row r="2907" spans="1:11" s="18" customFormat="1" ht="14.25" x14ac:dyDescent="0.2">
      <c r="A2907" s="18" t="str">
        <f t="shared" si="209"/>
        <v>Eintrag 2906</v>
      </c>
      <c r="B2907" s="18">
        <v>100</v>
      </c>
      <c r="C2907" s="19">
        <v>100</v>
      </c>
      <c r="D2907" s="20">
        <v>10</v>
      </c>
      <c r="E2907" s="20">
        <v>10</v>
      </c>
      <c r="F2907" s="20">
        <v>10</v>
      </c>
      <c r="G2907" s="19">
        <f t="shared" si="217"/>
        <v>172</v>
      </c>
      <c r="H2907" s="22">
        <f t="shared" si="214"/>
        <v>2906</v>
      </c>
      <c r="I2907" s="21">
        <f t="shared" ca="1" si="215"/>
        <v>0</v>
      </c>
      <c r="J2907" s="21" t="str">
        <f ca="1">IF(I2907=0,"",COUNTIF($I$2:I2907,"&gt;0"))</f>
        <v/>
      </c>
      <c r="K2907" s="21" t="str">
        <f t="shared" ca="1" si="216"/>
        <v/>
      </c>
    </row>
    <row r="2908" spans="1:11" s="18" customFormat="1" ht="14.25" x14ac:dyDescent="0.2">
      <c r="A2908" s="18" t="str">
        <f t="shared" si="209"/>
        <v>Eintrag 2907</v>
      </c>
      <c r="B2908" s="18">
        <v>100</v>
      </c>
      <c r="C2908" s="19">
        <v>100</v>
      </c>
      <c r="D2908" s="20">
        <v>10</v>
      </c>
      <c r="E2908" s="20">
        <v>10</v>
      </c>
      <c r="F2908" s="20">
        <v>10</v>
      </c>
      <c r="G2908" s="19">
        <f t="shared" si="217"/>
        <v>172</v>
      </c>
      <c r="H2908" s="22">
        <f t="shared" si="214"/>
        <v>2907</v>
      </c>
      <c r="I2908" s="21">
        <f t="shared" ca="1" si="215"/>
        <v>0</v>
      </c>
      <c r="J2908" s="21" t="str">
        <f ca="1">IF(I2908=0,"",COUNTIF($I$2:I2908,"&gt;0"))</f>
        <v/>
      </c>
      <c r="K2908" s="21" t="str">
        <f t="shared" ca="1" si="216"/>
        <v/>
      </c>
    </row>
    <row r="2909" spans="1:11" s="18" customFormat="1" ht="14.25" x14ac:dyDescent="0.2">
      <c r="A2909" s="18" t="str">
        <f t="shared" si="209"/>
        <v>Eintrag 2908</v>
      </c>
      <c r="B2909" s="18">
        <v>100</v>
      </c>
      <c r="C2909" s="19">
        <v>100</v>
      </c>
      <c r="D2909" s="20">
        <v>10</v>
      </c>
      <c r="E2909" s="20">
        <v>10</v>
      </c>
      <c r="F2909" s="20">
        <v>10</v>
      </c>
      <c r="G2909" s="19">
        <f t="shared" si="217"/>
        <v>172</v>
      </c>
      <c r="H2909" s="22">
        <f t="shared" si="214"/>
        <v>2908</v>
      </c>
      <c r="I2909" s="21">
        <f t="shared" ca="1" si="215"/>
        <v>0</v>
      </c>
      <c r="J2909" s="21" t="str">
        <f ca="1">IF(I2909=0,"",COUNTIF($I$2:I2909,"&gt;0"))</f>
        <v/>
      </c>
      <c r="K2909" s="21" t="str">
        <f t="shared" ca="1" si="216"/>
        <v/>
      </c>
    </row>
    <row r="2910" spans="1:11" s="18" customFormat="1" ht="14.25" x14ac:dyDescent="0.2">
      <c r="A2910" s="18" t="str">
        <f t="shared" si="209"/>
        <v>Eintrag 2909</v>
      </c>
      <c r="B2910" s="18">
        <v>100</v>
      </c>
      <c r="C2910" s="19">
        <v>100</v>
      </c>
      <c r="D2910" s="20">
        <v>10</v>
      </c>
      <c r="E2910" s="20">
        <v>10</v>
      </c>
      <c r="F2910" s="20">
        <v>10</v>
      </c>
      <c r="G2910" s="19">
        <f t="shared" si="217"/>
        <v>172</v>
      </c>
      <c r="H2910" s="22">
        <f t="shared" si="214"/>
        <v>2909</v>
      </c>
      <c r="I2910" s="21">
        <f t="shared" ca="1" si="215"/>
        <v>0</v>
      </c>
      <c r="J2910" s="21" t="str">
        <f ca="1">IF(I2910=0,"",COUNTIF($I$2:I2910,"&gt;0"))</f>
        <v/>
      </c>
      <c r="K2910" s="21" t="str">
        <f t="shared" ca="1" si="216"/>
        <v/>
      </c>
    </row>
    <row r="2911" spans="1:11" s="18" customFormat="1" ht="14.25" x14ac:dyDescent="0.2">
      <c r="A2911" s="18" t="str">
        <f t="shared" si="209"/>
        <v>Eintrag 2910</v>
      </c>
      <c r="B2911" s="18">
        <v>100</v>
      </c>
      <c r="C2911" s="19">
        <v>100</v>
      </c>
      <c r="D2911" s="20">
        <v>10</v>
      </c>
      <c r="E2911" s="20">
        <v>10</v>
      </c>
      <c r="F2911" s="20">
        <v>10</v>
      </c>
      <c r="G2911" s="19">
        <f t="shared" si="217"/>
        <v>172</v>
      </c>
      <c r="H2911" s="22">
        <f t="shared" si="214"/>
        <v>2910</v>
      </c>
      <c r="I2911" s="21">
        <f t="shared" ca="1" si="215"/>
        <v>0</v>
      </c>
      <c r="J2911" s="21" t="str">
        <f ca="1">IF(I2911=0,"",COUNTIF($I$2:I2911,"&gt;0"))</f>
        <v/>
      </c>
      <c r="K2911" s="21" t="str">
        <f t="shared" ca="1" si="216"/>
        <v/>
      </c>
    </row>
    <row r="2912" spans="1:11" s="18" customFormat="1" ht="14.25" x14ac:dyDescent="0.2">
      <c r="A2912" s="18" t="str">
        <f t="shared" si="209"/>
        <v>Eintrag 2911</v>
      </c>
      <c r="B2912" s="18">
        <v>100</v>
      </c>
      <c r="C2912" s="19">
        <v>100</v>
      </c>
      <c r="D2912" s="20">
        <v>10</v>
      </c>
      <c r="E2912" s="20">
        <v>10</v>
      </c>
      <c r="F2912" s="20">
        <v>10</v>
      </c>
      <c r="G2912" s="19">
        <f t="shared" si="217"/>
        <v>172</v>
      </c>
      <c r="H2912" s="22">
        <f t="shared" si="214"/>
        <v>2911</v>
      </c>
      <c r="I2912" s="21">
        <f t="shared" ca="1" si="215"/>
        <v>0</v>
      </c>
      <c r="J2912" s="21" t="str">
        <f ca="1">IF(I2912=0,"",COUNTIF($I$2:I2912,"&gt;0"))</f>
        <v/>
      </c>
      <c r="K2912" s="21" t="str">
        <f t="shared" ca="1" si="216"/>
        <v/>
      </c>
    </row>
    <row r="2913" spans="1:11" s="18" customFormat="1" ht="14.25" x14ac:dyDescent="0.2">
      <c r="A2913" s="18" t="str">
        <f t="shared" si="209"/>
        <v>Eintrag 2912</v>
      </c>
      <c r="B2913" s="18">
        <v>100</v>
      </c>
      <c r="C2913" s="19">
        <v>100</v>
      </c>
      <c r="D2913" s="20">
        <v>10</v>
      </c>
      <c r="E2913" s="20">
        <v>10</v>
      </c>
      <c r="F2913" s="20">
        <v>10</v>
      </c>
      <c r="G2913" s="19">
        <f t="shared" si="217"/>
        <v>172</v>
      </c>
      <c r="H2913" s="22">
        <f t="shared" si="214"/>
        <v>2912</v>
      </c>
      <c r="I2913" s="21">
        <f t="shared" ca="1" si="215"/>
        <v>0</v>
      </c>
      <c r="J2913" s="21" t="str">
        <f ca="1">IF(I2913=0,"",COUNTIF($I$2:I2913,"&gt;0"))</f>
        <v/>
      </c>
      <c r="K2913" s="21" t="str">
        <f t="shared" ca="1" si="216"/>
        <v/>
      </c>
    </row>
    <row r="2914" spans="1:11" s="18" customFormat="1" ht="14.25" x14ac:dyDescent="0.2">
      <c r="A2914" s="18" t="str">
        <f t="shared" si="209"/>
        <v>Eintrag 2913</v>
      </c>
      <c r="B2914" s="18">
        <v>100</v>
      </c>
      <c r="C2914" s="19">
        <v>100</v>
      </c>
      <c r="D2914" s="20">
        <v>10</v>
      </c>
      <c r="E2914" s="20">
        <v>10</v>
      </c>
      <c r="F2914" s="20">
        <v>10</v>
      </c>
      <c r="G2914" s="19">
        <f t="shared" si="217"/>
        <v>172</v>
      </c>
      <c r="H2914" s="22">
        <f t="shared" si="214"/>
        <v>2913</v>
      </c>
      <c r="I2914" s="21">
        <f t="shared" ca="1" si="215"/>
        <v>0</v>
      </c>
      <c r="J2914" s="21" t="str">
        <f ca="1">IF(I2914=0,"",COUNTIF($I$2:I2914,"&gt;0"))</f>
        <v/>
      </c>
      <c r="K2914" s="21" t="str">
        <f t="shared" ca="1" si="216"/>
        <v/>
      </c>
    </row>
    <row r="2915" spans="1:11" s="18" customFormat="1" ht="14.25" x14ac:dyDescent="0.2">
      <c r="A2915" s="18" t="str">
        <f t="shared" si="209"/>
        <v>Eintrag 2914</v>
      </c>
      <c r="B2915" s="18">
        <v>100</v>
      </c>
      <c r="C2915" s="19">
        <v>100</v>
      </c>
      <c r="D2915" s="20">
        <v>10</v>
      </c>
      <c r="E2915" s="20">
        <v>10</v>
      </c>
      <c r="F2915" s="20">
        <v>10</v>
      </c>
      <c r="G2915" s="19">
        <f t="shared" si="217"/>
        <v>172</v>
      </c>
      <c r="H2915" s="22">
        <f t="shared" si="214"/>
        <v>2914</v>
      </c>
      <c r="I2915" s="21">
        <f t="shared" ca="1" si="215"/>
        <v>0</v>
      </c>
      <c r="J2915" s="21" t="str">
        <f ca="1">IF(I2915=0,"",COUNTIF($I$2:I2915,"&gt;0"))</f>
        <v/>
      </c>
      <c r="K2915" s="21" t="str">
        <f t="shared" ca="1" si="216"/>
        <v/>
      </c>
    </row>
    <row r="2916" spans="1:11" s="18" customFormat="1" ht="14.25" x14ac:dyDescent="0.2">
      <c r="A2916" s="18" t="str">
        <f t="shared" si="209"/>
        <v>Eintrag 2915</v>
      </c>
      <c r="B2916" s="18">
        <v>100</v>
      </c>
      <c r="C2916" s="19">
        <v>100</v>
      </c>
      <c r="D2916" s="20">
        <v>10</v>
      </c>
      <c r="E2916" s="20">
        <v>10</v>
      </c>
      <c r="F2916" s="20">
        <v>10</v>
      </c>
      <c r="G2916" s="19">
        <f t="shared" si="217"/>
        <v>172</v>
      </c>
      <c r="H2916" s="22">
        <f t="shared" si="214"/>
        <v>2915</v>
      </c>
      <c r="I2916" s="21">
        <f t="shared" ca="1" si="215"/>
        <v>0</v>
      </c>
      <c r="J2916" s="21" t="str">
        <f ca="1">IF(I2916=0,"",COUNTIF($I$2:I2916,"&gt;0"))</f>
        <v/>
      </c>
      <c r="K2916" s="21" t="str">
        <f t="shared" ca="1" si="216"/>
        <v/>
      </c>
    </row>
    <row r="2917" spans="1:11" s="18" customFormat="1" ht="14.25" x14ac:dyDescent="0.2">
      <c r="A2917" s="18" t="str">
        <f t="shared" si="209"/>
        <v>Eintrag 2916</v>
      </c>
      <c r="B2917" s="18">
        <v>100</v>
      </c>
      <c r="C2917" s="19">
        <v>100</v>
      </c>
      <c r="D2917" s="20">
        <v>10</v>
      </c>
      <c r="E2917" s="20">
        <v>10</v>
      </c>
      <c r="F2917" s="20">
        <v>10</v>
      </c>
      <c r="G2917" s="19">
        <f t="shared" si="217"/>
        <v>172</v>
      </c>
      <c r="H2917" s="22">
        <f t="shared" ref="H2917:H2980" si="218">H2916+1</f>
        <v>2916</v>
      </c>
      <c r="I2917" s="21">
        <f t="shared" ca="1" si="215"/>
        <v>0</v>
      </c>
      <c r="J2917" s="21" t="str">
        <f ca="1">IF(I2917=0,"",COUNTIF($I$2:I2917,"&gt;0"))</f>
        <v/>
      </c>
      <c r="K2917" s="21" t="str">
        <f t="shared" ca="1" si="216"/>
        <v/>
      </c>
    </row>
    <row r="2918" spans="1:11" s="18" customFormat="1" ht="14.25" x14ac:dyDescent="0.2">
      <c r="A2918" s="18" t="str">
        <f t="shared" si="209"/>
        <v>Eintrag 2917</v>
      </c>
      <c r="B2918" s="18">
        <v>100</v>
      </c>
      <c r="C2918" s="19">
        <v>100</v>
      </c>
      <c r="D2918" s="20">
        <v>10</v>
      </c>
      <c r="E2918" s="20">
        <v>10</v>
      </c>
      <c r="F2918" s="20">
        <v>10</v>
      </c>
      <c r="G2918" s="19">
        <f t="shared" si="217"/>
        <v>172</v>
      </c>
      <c r="H2918" s="22">
        <f t="shared" si="218"/>
        <v>2917</v>
      </c>
      <c r="I2918" s="21">
        <f t="shared" ca="1" si="215"/>
        <v>0</v>
      </c>
      <c r="J2918" s="21" t="str">
        <f ca="1">IF(I2918=0,"",COUNTIF($I$2:I2918,"&gt;0"))</f>
        <v/>
      </c>
      <c r="K2918" s="21" t="str">
        <f t="shared" ca="1" si="216"/>
        <v/>
      </c>
    </row>
    <row r="2919" spans="1:11" s="18" customFormat="1" ht="14.25" x14ac:dyDescent="0.2">
      <c r="A2919" s="18" t="str">
        <f t="shared" si="209"/>
        <v>Eintrag 2918</v>
      </c>
      <c r="B2919" s="18">
        <v>100</v>
      </c>
      <c r="C2919" s="19">
        <v>100</v>
      </c>
      <c r="D2919" s="20">
        <v>10</v>
      </c>
      <c r="E2919" s="20">
        <v>10</v>
      </c>
      <c r="F2919" s="20">
        <v>10</v>
      </c>
      <c r="G2919" s="19">
        <f t="shared" si="217"/>
        <v>172</v>
      </c>
      <c r="H2919" s="22">
        <f t="shared" si="218"/>
        <v>2918</v>
      </c>
      <c r="I2919" s="21">
        <f t="shared" ca="1" si="215"/>
        <v>0</v>
      </c>
      <c r="J2919" s="21" t="str">
        <f ca="1">IF(I2919=0,"",COUNTIF($I$2:I2919,"&gt;0"))</f>
        <v/>
      </c>
      <c r="K2919" s="21" t="str">
        <f t="shared" ca="1" si="216"/>
        <v/>
      </c>
    </row>
    <row r="2920" spans="1:11" s="18" customFormat="1" ht="14.25" x14ac:dyDescent="0.2">
      <c r="A2920" s="18" t="str">
        <f t="shared" si="209"/>
        <v>Eintrag 2919</v>
      </c>
      <c r="B2920" s="18">
        <v>100</v>
      </c>
      <c r="C2920" s="19">
        <v>100</v>
      </c>
      <c r="D2920" s="20">
        <v>10</v>
      </c>
      <c r="E2920" s="20">
        <v>10</v>
      </c>
      <c r="F2920" s="20">
        <v>10</v>
      </c>
      <c r="G2920" s="19">
        <f t="shared" si="217"/>
        <v>172</v>
      </c>
      <c r="H2920" s="22">
        <f t="shared" si="218"/>
        <v>2919</v>
      </c>
      <c r="I2920" s="21">
        <f t="shared" ca="1" si="215"/>
        <v>0</v>
      </c>
      <c r="J2920" s="21" t="str">
        <f ca="1">IF(I2920=0,"",COUNTIF($I$2:I2920,"&gt;0"))</f>
        <v/>
      </c>
      <c r="K2920" s="21" t="str">
        <f t="shared" ca="1" si="216"/>
        <v/>
      </c>
    </row>
    <row r="2921" spans="1:11" s="18" customFormat="1" ht="14.25" x14ac:dyDescent="0.2">
      <c r="A2921" s="18" t="str">
        <f t="shared" ref="A2921:A2984" si="219">CONCATENATE("Eintrag ",H2921)</f>
        <v>Eintrag 2920</v>
      </c>
      <c r="B2921" s="18">
        <v>100</v>
      </c>
      <c r="C2921" s="19">
        <v>100</v>
      </c>
      <c r="D2921" s="20">
        <v>10</v>
      </c>
      <c r="E2921" s="20">
        <v>10</v>
      </c>
      <c r="F2921" s="20">
        <v>10</v>
      </c>
      <c r="G2921" s="19">
        <f t="shared" si="217"/>
        <v>172</v>
      </c>
      <c r="H2921" s="22">
        <f t="shared" si="218"/>
        <v>2920</v>
      </c>
      <c r="I2921" s="21">
        <f t="shared" ca="1" si="215"/>
        <v>0</v>
      </c>
      <c r="J2921" s="21" t="str">
        <f ca="1">IF(I2921=0,"",COUNTIF($I$2:I2921,"&gt;0"))</f>
        <v/>
      </c>
      <c r="K2921" s="21" t="str">
        <f t="shared" ca="1" si="216"/>
        <v/>
      </c>
    </row>
    <row r="2922" spans="1:11" s="18" customFormat="1" ht="14.25" x14ac:dyDescent="0.2">
      <c r="A2922" s="18" t="str">
        <f t="shared" si="219"/>
        <v>Eintrag 2921</v>
      </c>
      <c r="B2922" s="18">
        <v>100</v>
      </c>
      <c r="C2922" s="19">
        <v>100</v>
      </c>
      <c r="D2922" s="20">
        <v>10</v>
      </c>
      <c r="E2922" s="20">
        <v>10</v>
      </c>
      <c r="F2922" s="20">
        <v>10</v>
      </c>
      <c r="G2922" s="19">
        <f t="shared" si="217"/>
        <v>172</v>
      </c>
      <c r="H2922" s="22">
        <f t="shared" si="218"/>
        <v>2921</v>
      </c>
      <c r="I2922" s="21">
        <f t="shared" ca="1" si="215"/>
        <v>0</v>
      </c>
      <c r="J2922" s="21" t="str">
        <f ca="1">IF(I2922=0,"",COUNTIF($I$2:I2922,"&gt;0"))</f>
        <v/>
      </c>
      <c r="K2922" s="21" t="str">
        <f t="shared" ca="1" si="216"/>
        <v/>
      </c>
    </row>
    <row r="2923" spans="1:11" s="18" customFormat="1" ht="14.25" x14ac:dyDescent="0.2">
      <c r="A2923" s="18" t="str">
        <f t="shared" si="219"/>
        <v>Eintrag 2922</v>
      </c>
      <c r="B2923" s="18">
        <v>100</v>
      </c>
      <c r="C2923" s="19">
        <v>100</v>
      </c>
      <c r="D2923" s="20">
        <v>10</v>
      </c>
      <c r="E2923" s="20">
        <v>10</v>
      </c>
      <c r="F2923" s="20">
        <v>10</v>
      </c>
      <c r="G2923" s="19">
        <f t="shared" si="217"/>
        <v>172</v>
      </c>
      <c r="H2923" s="22">
        <f t="shared" si="218"/>
        <v>2922</v>
      </c>
      <c r="I2923" s="21">
        <f t="shared" ca="1" si="215"/>
        <v>0</v>
      </c>
      <c r="J2923" s="21" t="str">
        <f ca="1">IF(I2923=0,"",COUNTIF($I$2:I2923,"&gt;0"))</f>
        <v/>
      </c>
      <c r="K2923" s="21" t="str">
        <f t="shared" ca="1" si="216"/>
        <v/>
      </c>
    </row>
    <row r="2924" spans="1:11" s="18" customFormat="1" ht="14.25" x14ac:dyDescent="0.2">
      <c r="A2924" s="18" t="str">
        <f t="shared" si="219"/>
        <v>Eintrag 2923</v>
      </c>
      <c r="B2924" s="18">
        <v>100</v>
      </c>
      <c r="C2924" s="19">
        <v>100</v>
      </c>
      <c r="D2924" s="20">
        <v>10</v>
      </c>
      <c r="E2924" s="20">
        <v>10</v>
      </c>
      <c r="F2924" s="20">
        <v>10</v>
      </c>
      <c r="G2924" s="19">
        <f t="shared" si="217"/>
        <v>172</v>
      </c>
      <c r="H2924" s="22">
        <f t="shared" si="218"/>
        <v>2923</v>
      </c>
      <c r="I2924" s="21">
        <f t="shared" ca="1" si="215"/>
        <v>0</v>
      </c>
      <c r="J2924" s="21" t="str">
        <f ca="1">IF(I2924=0,"",COUNTIF($I$2:I2924,"&gt;0"))</f>
        <v/>
      </c>
      <c r="K2924" s="21" t="str">
        <f t="shared" ca="1" si="216"/>
        <v/>
      </c>
    </row>
    <row r="2925" spans="1:11" s="18" customFormat="1" ht="14.25" x14ac:dyDescent="0.2">
      <c r="A2925" s="18" t="str">
        <f t="shared" si="219"/>
        <v>Eintrag 2924</v>
      </c>
      <c r="B2925" s="18">
        <v>100</v>
      </c>
      <c r="C2925" s="19">
        <v>100</v>
      </c>
      <c r="D2925" s="20">
        <v>10</v>
      </c>
      <c r="E2925" s="20">
        <v>10</v>
      </c>
      <c r="F2925" s="20">
        <v>10</v>
      </c>
      <c r="G2925" s="19">
        <f t="shared" si="217"/>
        <v>172</v>
      </c>
      <c r="H2925" s="22">
        <f t="shared" si="218"/>
        <v>2924</v>
      </c>
      <c r="I2925" s="21">
        <f t="shared" ca="1" si="215"/>
        <v>0</v>
      </c>
      <c r="J2925" s="21" t="str">
        <f ca="1">IF(I2925=0,"",COUNTIF($I$2:I2925,"&gt;0"))</f>
        <v/>
      </c>
      <c r="K2925" s="21" t="str">
        <f t="shared" ca="1" si="216"/>
        <v/>
      </c>
    </row>
    <row r="2926" spans="1:11" s="18" customFormat="1" ht="14.25" x14ac:dyDescent="0.2">
      <c r="A2926" s="18" t="str">
        <f t="shared" si="219"/>
        <v>Eintrag 2925</v>
      </c>
      <c r="B2926" s="18">
        <v>100</v>
      </c>
      <c r="C2926" s="19">
        <v>100</v>
      </c>
      <c r="D2926" s="20">
        <v>10</v>
      </c>
      <c r="E2926" s="20">
        <v>10</v>
      </c>
      <c r="F2926" s="20">
        <v>10</v>
      </c>
      <c r="G2926" s="19">
        <f t="shared" si="217"/>
        <v>172</v>
      </c>
      <c r="H2926" s="22">
        <f t="shared" si="218"/>
        <v>2925</v>
      </c>
      <c r="I2926" s="21">
        <f t="shared" ca="1" si="215"/>
        <v>0</v>
      </c>
      <c r="J2926" s="21" t="str">
        <f ca="1">IF(I2926=0,"",COUNTIF($I$2:I2926,"&gt;0"))</f>
        <v/>
      </c>
      <c r="K2926" s="21" t="str">
        <f t="shared" ca="1" si="216"/>
        <v/>
      </c>
    </row>
    <row r="2927" spans="1:11" s="18" customFormat="1" ht="14.25" x14ac:dyDescent="0.2">
      <c r="A2927" s="18" t="str">
        <f t="shared" si="219"/>
        <v>Eintrag 2926</v>
      </c>
      <c r="B2927" s="18">
        <v>100</v>
      </c>
      <c r="C2927" s="19">
        <v>100</v>
      </c>
      <c r="D2927" s="20">
        <v>10</v>
      </c>
      <c r="E2927" s="20">
        <v>10</v>
      </c>
      <c r="F2927" s="20">
        <v>10</v>
      </c>
      <c r="G2927" s="19">
        <f t="shared" si="217"/>
        <v>172</v>
      </c>
      <c r="H2927" s="22">
        <f t="shared" si="218"/>
        <v>2926</v>
      </c>
      <c r="I2927" s="21">
        <f t="shared" ca="1" si="215"/>
        <v>0</v>
      </c>
      <c r="J2927" s="21" t="str">
        <f ca="1">IF(I2927=0,"",COUNTIF($I$2:I2927,"&gt;0"))</f>
        <v/>
      </c>
      <c r="K2927" s="21" t="str">
        <f t="shared" ca="1" si="216"/>
        <v/>
      </c>
    </row>
    <row r="2928" spans="1:11" s="18" customFormat="1" ht="14.25" x14ac:dyDescent="0.2">
      <c r="A2928" s="18" t="str">
        <f t="shared" si="219"/>
        <v>Eintrag 2927</v>
      </c>
      <c r="B2928" s="18">
        <v>100</v>
      </c>
      <c r="C2928" s="19">
        <v>100</v>
      </c>
      <c r="D2928" s="20">
        <v>10</v>
      </c>
      <c r="E2928" s="20">
        <v>10</v>
      </c>
      <c r="F2928" s="20">
        <v>10</v>
      </c>
      <c r="G2928" s="19">
        <f t="shared" si="217"/>
        <v>172</v>
      </c>
      <c r="H2928" s="22">
        <f t="shared" si="218"/>
        <v>2927</v>
      </c>
      <c r="I2928" s="21">
        <f t="shared" ca="1" si="215"/>
        <v>0</v>
      </c>
      <c r="J2928" s="21" t="str">
        <f ca="1">IF(I2928=0,"",COUNTIF($I$2:I2928,"&gt;0"))</f>
        <v/>
      </c>
      <c r="K2928" s="21" t="str">
        <f t="shared" ca="1" si="216"/>
        <v/>
      </c>
    </row>
    <row r="2929" spans="1:11" s="18" customFormat="1" ht="14.25" x14ac:dyDescent="0.2">
      <c r="A2929" s="18" t="str">
        <f t="shared" si="219"/>
        <v>Eintrag 2928</v>
      </c>
      <c r="B2929" s="18">
        <v>100</v>
      </c>
      <c r="C2929" s="19">
        <v>100</v>
      </c>
      <c r="D2929" s="20">
        <v>10</v>
      </c>
      <c r="E2929" s="20">
        <v>10</v>
      </c>
      <c r="F2929" s="20">
        <v>10</v>
      </c>
      <c r="G2929" s="19">
        <f t="shared" si="217"/>
        <v>172</v>
      </c>
      <c r="H2929" s="22">
        <f t="shared" si="218"/>
        <v>2928</v>
      </c>
      <c r="I2929" s="21">
        <f t="shared" ca="1" si="215"/>
        <v>0</v>
      </c>
      <c r="J2929" s="21" t="str">
        <f ca="1">IF(I2929=0,"",COUNTIF($I$2:I2929,"&gt;0"))</f>
        <v/>
      </c>
      <c r="K2929" s="21" t="str">
        <f t="shared" ca="1" si="216"/>
        <v/>
      </c>
    </row>
    <row r="2930" spans="1:11" s="18" customFormat="1" ht="14.25" x14ac:dyDescent="0.2">
      <c r="A2930" s="18" t="str">
        <f t="shared" si="219"/>
        <v>Eintrag 2929</v>
      </c>
      <c r="B2930" s="18">
        <v>100</v>
      </c>
      <c r="C2930" s="19">
        <v>100</v>
      </c>
      <c r="D2930" s="20">
        <v>10</v>
      </c>
      <c r="E2930" s="20">
        <v>10</v>
      </c>
      <c r="F2930" s="20">
        <v>10</v>
      </c>
      <c r="G2930" s="19">
        <f t="shared" si="217"/>
        <v>172</v>
      </c>
      <c r="H2930" s="22">
        <f t="shared" si="218"/>
        <v>2929</v>
      </c>
      <c r="I2930" s="21">
        <f t="shared" ca="1" si="215"/>
        <v>0</v>
      </c>
      <c r="J2930" s="21" t="str">
        <f ca="1">IF(I2930=0,"",COUNTIF($I$2:I2930,"&gt;0"))</f>
        <v/>
      </c>
      <c r="K2930" s="21" t="str">
        <f t="shared" ca="1" si="216"/>
        <v/>
      </c>
    </row>
    <row r="2931" spans="1:11" s="18" customFormat="1" ht="14.25" x14ac:dyDescent="0.2">
      <c r="A2931" s="18" t="str">
        <f t="shared" si="219"/>
        <v>Eintrag 2930</v>
      </c>
      <c r="B2931" s="18">
        <v>100</v>
      </c>
      <c r="C2931" s="19">
        <v>100</v>
      </c>
      <c r="D2931" s="20">
        <v>10</v>
      </c>
      <c r="E2931" s="20">
        <v>10</v>
      </c>
      <c r="F2931" s="20">
        <v>10</v>
      </c>
      <c r="G2931" s="19">
        <f t="shared" si="217"/>
        <v>172</v>
      </c>
      <c r="H2931" s="22">
        <f t="shared" si="218"/>
        <v>2930</v>
      </c>
      <c r="I2931" s="21">
        <f t="shared" ca="1" si="215"/>
        <v>0</v>
      </c>
      <c r="J2931" s="21" t="str">
        <f ca="1">IF(I2931=0,"",COUNTIF($I$2:I2931,"&gt;0"))</f>
        <v/>
      </c>
      <c r="K2931" s="21" t="str">
        <f t="shared" ca="1" si="216"/>
        <v/>
      </c>
    </row>
    <row r="2932" spans="1:11" s="18" customFormat="1" ht="14.25" x14ac:dyDescent="0.2">
      <c r="A2932" s="18" t="str">
        <f t="shared" si="219"/>
        <v>Eintrag 2931</v>
      </c>
      <c r="B2932" s="18">
        <v>100</v>
      </c>
      <c r="C2932" s="19">
        <v>100</v>
      </c>
      <c r="D2932" s="20">
        <v>10</v>
      </c>
      <c r="E2932" s="20">
        <v>10</v>
      </c>
      <c r="F2932" s="20">
        <v>10</v>
      </c>
      <c r="G2932" s="19">
        <f t="shared" si="217"/>
        <v>172</v>
      </c>
      <c r="H2932" s="22">
        <f t="shared" si="218"/>
        <v>2931</v>
      </c>
      <c r="I2932" s="21">
        <f t="shared" ca="1" si="215"/>
        <v>0</v>
      </c>
      <c r="J2932" s="21" t="str">
        <f ca="1">IF(I2932=0,"",COUNTIF($I$2:I2932,"&gt;0"))</f>
        <v/>
      </c>
      <c r="K2932" s="21" t="str">
        <f t="shared" ca="1" si="216"/>
        <v/>
      </c>
    </row>
    <row r="2933" spans="1:11" s="18" customFormat="1" ht="14.25" x14ac:dyDescent="0.2">
      <c r="A2933" s="18" t="str">
        <f t="shared" si="219"/>
        <v>Eintrag 2932</v>
      </c>
      <c r="B2933" s="18">
        <v>100</v>
      </c>
      <c r="C2933" s="19">
        <v>100</v>
      </c>
      <c r="D2933" s="20">
        <v>10</v>
      </c>
      <c r="E2933" s="20">
        <v>10</v>
      </c>
      <c r="F2933" s="20">
        <v>10</v>
      </c>
      <c r="G2933" s="19">
        <f t="shared" si="217"/>
        <v>172</v>
      </c>
      <c r="H2933" s="22">
        <f t="shared" si="218"/>
        <v>2932</v>
      </c>
      <c r="I2933" s="21">
        <f t="shared" ca="1" si="215"/>
        <v>0</v>
      </c>
      <c r="J2933" s="21" t="str">
        <f ca="1">IF(I2933=0,"",COUNTIF($I$2:I2933,"&gt;0"))</f>
        <v/>
      </c>
      <c r="K2933" s="21" t="str">
        <f t="shared" ca="1" si="216"/>
        <v/>
      </c>
    </row>
    <row r="2934" spans="1:11" s="18" customFormat="1" ht="14.25" x14ac:dyDescent="0.2">
      <c r="A2934" s="18" t="str">
        <f t="shared" si="219"/>
        <v>Eintrag 2933</v>
      </c>
      <c r="B2934" s="18">
        <v>100</v>
      </c>
      <c r="C2934" s="19">
        <v>100</v>
      </c>
      <c r="D2934" s="20">
        <v>10</v>
      </c>
      <c r="E2934" s="20">
        <v>10</v>
      </c>
      <c r="F2934" s="20">
        <v>10</v>
      </c>
      <c r="G2934" s="19">
        <f t="shared" si="217"/>
        <v>172</v>
      </c>
      <c r="H2934" s="22">
        <f t="shared" si="218"/>
        <v>2933</v>
      </c>
      <c r="I2934" s="21">
        <f t="shared" ca="1" si="215"/>
        <v>0</v>
      </c>
      <c r="J2934" s="21" t="str">
        <f ca="1">IF(I2934=0,"",COUNTIF($I$2:I2934,"&gt;0"))</f>
        <v/>
      </c>
      <c r="K2934" s="21" t="str">
        <f t="shared" ca="1" si="216"/>
        <v/>
      </c>
    </row>
    <row r="2935" spans="1:11" s="18" customFormat="1" ht="14.25" x14ac:dyDescent="0.2">
      <c r="A2935" s="18" t="str">
        <f t="shared" si="219"/>
        <v>Eintrag 2934</v>
      </c>
      <c r="B2935" s="18">
        <v>100</v>
      </c>
      <c r="C2935" s="19">
        <v>100</v>
      </c>
      <c r="D2935" s="20">
        <v>10</v>
      </c>
      <c r="E2935" s="20">
        <v>10</v>
      </c>
      <c r="F2935" s="20">
        <v>10</v>
      </c>
      <c r="G2935" s="19">
        <f t="shared" si="217"/>
        <v>172</v>
      </c>
      <c r="H2935" s="22">
        <f t="shared" si="218"/>
        <v>2934</v>
      </c>
      <c r="I2935" s="21">
        <f t="shared" ca="1" si="215"/>
        <v>0</v>
      </c>
      <c r="J2935" s="21" t="str">
        <f ca="1">IF(I2935=0,"",COUNTIF($I$2:I2935,"&gt;0"))</f>
        <v/>
      </c>
      <c r="K2935" s="21" t="str">
        <f t="shared" ca="1" si="216"/>
        <v/>
      </c>
    </row>
    <row r="2936" spans="1:11" s="18" customFormat="1" ht="14.25" x14ac:dyDescent="0.2">
      <c r="A2936" s="18" t="str">
        <f t="shared" si="219"/>
        <v>Eintrag 2935</v>
      </c>
      <c r="B2936" s="18">
        <v>100</v>
      </c>
      <c r="C2936" s="19">
        <v>100</v>
      </c>
      <c r="D2936" s="20">
        <v>10</v>
      </c>
      <c r="E2936" s="20">
        <v>10</v>
      </c>
      <c r="F2936" s="20">
        <v>10</v>
      </c>
      <c r="G2936" s="19">
        <f t="shared" si="217"/>
        <v>172</v>
      </c>
      <c r="H2936" s="22">
        <f t="shared" si="218"/>
        <v>2935</v>
      </c>
      <c r="I2936" s="21">
        <f t="shared" ca="1" si="215"/>
        <v>0</v>
      </c>
      <c r="J2936" s="21" t="str">
        <f ca="1">IF(I2936=0,"",COUNTIF($I$2:I2936,"&gt;0"))</f>
        <v/>
      </c>
      <c r="K2936" s="21" t="str">
        <f t="shared" ca="1" si="216"/>
        <v/>
      </c>
    </row>
    <row r="2937" spans="1:11" s="18" customFormat="1" ht="14.25" x14ac:dyDescent="0.2">
      <c r="A2937" s="18" t="str">
        <f t="shared" si="219"/>
        <v>Eintrag 2936</v>
      </c>
      <c r="B2937" s="18">
        <v>100</v>
      </c>
      <c r="C2937" s="19">
        <v>100</v>
      </c>
      <c r="D2937" s="20">
        <v>10</v>
      </c>
      <c r="E2937" s="20">
        <v>10</v>
      </c>
      <c r="F2937" s="20">
        <v>10</v>
      </c>
      <c r="G2937" s="19">
        <f t="shared" si="217"/>
        <v>172</v>
      </c>
      <c r="H2937" s="22">
        <f t="shared" si="218"/>
        <v>2936</v>
      </c>
      <c r="I2937" s="21">
        <f t="shared" ca="1" si="215"/>
        <v>0</v>
      </c>
      <c r="J2937" s="21" t="str">
        <f ca="1">IF(I2937=0,"",COUNTIF($I$2:I2937,"&gt;0"))</f>
        <v/>
      </c>
      <c r="K2937" s="21" t="str">
        <f t="shared" ca="1" si="216"/>
        <v/>
      </c>
    </row>
    <row r="2938" spans="1:11" s="18" customFormat="1" ht="14.25" x14ac:dyDescent="0.2">
      <c r="A2938" s="18" t="str">
        <f t="shared" si="219"/>
        <v>Eintrag 2937</v>
      </c>
      <c r="B2938" s="18">
        <v>100</v>
      </c>
      <c r="C2938" s="19">
        <v>100</v>
      </c>
      <c r="D2938" s="20">
        <v>10</v>
      </c>
      <c r="E2938" s="20">
        <v>10</v>
      </c>
      <c r="F2938" s="20">
        <v>10</v>
      </c>
      <c r="G2938" s="19">
        <f t="shared" si="217"/>
        <v>172</v>
      </c>
      <c r="H2938" s="22">
        <f t="shared" si="218"/>
        <v>2937</v>
      </c>
      <c r="I2938" s="21">
        <f t="shared" ca="1" si="215"/>
        <v>0</v>
      </c>
      <c r="J2938" s="21" t="str">
        <f ca="1">IF(I2938=0,"",COUNTIF($I$2:I2938,"&gt;0"))</f>
        <v/>
      </c>
      <c r="K2938" s="21" t="str">
        <f t="shared" ca="1" si="216"/>
        <v/>
      </c>
    </row>
    <row r="2939" spans="1:11" s="18" customFormat="1" ht="14.25" x14ac:dyDescent="0.2">
      <c r="A2939" s="18" t="str">
        <f t="shared" si="219"/>
        <v>Eintrag 2938</v>
      </c>
      <c r="B2939" s="18">
        <v>100</v>
      </c>
      <c r="C2939" s="19">
        <v>100</v>
      </c>
      <c r="D2939" s="20">
        <v>10</v>
      </c>
      <c r="E2939" s="20">
        <v>10</v>
      </c>
      <c r="F2939" s="20">
        <v>10</v>
      </c>
      <c r="G2939" s="19">
        <f t="shared" si="217"/>
        <v>172</v>
      </c>
      <c r="H2939" s="22">
        <f t="shared" si="218"/>
        <v>2938</v>
      </c>
      <c r="I2939" s="21">
        <f t="shared" ref="I2939:I3002" ca="1" si="220">IFERROR(SEARCH(INDIRECT(CELL("address")),A2939),0)</f>
        <v>0</v>
      </c>
      <c r="J2939" s="21" t="str">
        <f ca="1">IF(I2939=0,"",COUNTIF($I$2:I2939,"&gt;0"))</f>
        <v/>
      </c>
      <c r="K2939" s="21" t="str">
        <f t="shared" ca="1" si="216"/>
        <v/>
      </c>
    </row>
    <row r="2940" spans="1:11" s="18" customFormat="1" ht="14.25" x14ac:dyDescent="0.2">
      <c r="A2940" s="18" t="str">
        <f t="shared" si="219"/>
        <v>Eintrag 2939</v>
      </c>
      <c r="B2940" s="18">
        <v>100</v>
      </c>
      <c r="C2940" s="19">
        <v>100</v>
      </c>
      <c r="D2940" s="20">
        <v>10</v>
      </c>
      <c r="E2940" s="20">
        <v>10</v>
      </c>
      <c r="F2940" s="20">
        <v>10</v>
      </c>
      <c r="G2940" s="19">
        <f t="shared" si="217"/>
        <v>172</v>
      </c>
      <c r="H2940" s="22">
        <f t="shared" si="218"/>
        <v>2939</v>
      </c>
      <c r="I2940" s="21">
        <f t="shared" ca="1" si="220"/>
        <v>0</v>
      </c>
      <c r="J2940" s="21" t="str">
        <f ca="1">IF(I2940=0,"",COUNTIF($I$2:I2940,"&gt;0"))</f>
        <v/>
      </c>
      <c r="K2940" s="21" t="str">
        <f t="shared" ca="1" si="216"/>
        <v/>
      </c>
    </row>
    <row r="2941" spans="1:11" s="18" customFormat="1" ht="14.25" x14ac:dyDescent="0.2">
      <c r="A2941" s="18" t="str">
        <f t="shared" si="219"/>
        <v>Eintrag 2940</v>
      </c>
      <c r="B2941" s="18">
        <v>100</v>
      </c>
      <c r="C2941" s="19">
        <v>100</v>
      </c>
      <c r="D2941" s="20">
        <v>10</v>
      </c>
      <c r="E2941" s="20">
        <v>10</v>
      </c>
      <c r="F2941" s="20">
        <v>10</v>
      </c>
      <c r="G2941" s="19">
        <f t="shared" si="217"/>
        <v>172</v>
      </c>
      <c r="H2941" s="22">
        <f t="shared" si="218"/>
        <v>2940</v>
      </c>
      <c r="I2941" s="21">
        <f t="shared" ca="1" si="220"/>
        <v>0</v>
      </c>
      <c r="J2941" s="21" t="str">
        <f ca="1">IF(I2941=0,"",COUNTIF($I$2:I2941,"&gt;0"))</f>
        <v/>
      </c>
      <c r="K2941" s="21" t="str">
        <f t="shared" ca="1" si="216"/>
        <v/>
      </c>
    </row>
    <row r="2942" spans="1:11" s="18" customFormat="1" ht="14.25" x14ac:dyDescent="0.2">
      <c r="A2942" s="18" t="str">
        <f t="shared" si="219"/>
        <v>Eintrag 2941</v>
      </c>
      <c r="B2942" s="18">
        <v>100</v>
      </c>
      <c r="C2942" s="19">
        <v>100</v>
      </c>
      <c r="D2942" s="20">
        <v>10</v>
      </c>
      <c r="E2942" s="20">
        <v>10</v>
      </c>
      <c r="F2942" s="20">
        <v>10</v>
      </c>
      <c r="G2942" s="19">
        <f t="shared" si="217"/>
        <v>172</v>
      </c>
      <c r="H2942" s="22">
        <f t="shared" si="218"/>
        <v>2941</v>
      </c>
      <c r="I2942" s="21">
        <f t="shared" ca="1" si="220"/>
        <v>0</v>
      </c>
      <c r="J2942" s="21" t="str">
        <f ca="1">IF(I2942=0,"",COUNTIF($I$2:I2942,"&gt;0"))</f>
        <v/>
      </c>
      <c r="K2942" s="21" t="str">
        <f t="shared" ca="1" si="216"/>
        <v/>
      </c>
    </row>
    <row r="2943" spans="1:11" s="18" customFormat="1" ht="14.25" x14ac:dyDescent="0.2">
      <c r="A2943" s="18" t="str">
        <f t="shared" si="219"/>
        <v>Eintrag 2942</v>
      </c>
      <c r="B2943" s="18">
        <v>100</v>
      </c>
      <c r="C2943" s="19">
        <v>100</v>
      </c>
      <c r="D2943" s="20">
        <v>10</v>
      </c>
      <c r="E2943" s="20">
        <v>10</v>
      </c>
      <c r="F2943" s="20">
        <v>10</v>
      </c>
      <c r="G2943" s="19">
        <f t="shared" si="217"/>
        <v>172</v>
      </c>
      <c r="H2943" s="22">
        <f t="shared" si="218"/>
        <v>2942</v>
      </c>
      <c r="I2943" s="21">
        <f t="shared" ca="1" si="220"/>
        <v>0</v>
      </c>
      <c r="J2943" s="21" t="str">
        <f ca="1">IF(I2943=0,"",COUNTIF($I$2:I2943,"&gt;0"))</f>
        <v/>
      </c>
      <c r="K2943" s="21" t="str">
        <f t="shared" ca="1" si="216"/>
        <v/>
      </c>
    </row>
    <row r="2944" spans="1:11" s="18" customFormat="1" ht="14.25" x14ac:dyDescent="0.2">
      <c r="A2944" s="18" t="str">
        <f t="shared" si="219"/>
        <v>Eintrag 2943</v>
      </c>
      <c r="B2944" s="18">
        <v>100</v>
      </c>
      <c r="C2944" s="19">
        <v>100</v>
      </c>
      <c r="D2944" s="20">
        <v>10</v>
      </c>
      <c r="E2944" s="20">
        <v>10</v>
      </c>
      <c r="F2944" s="20">
        <v>10</v>
      </c>
      <c r="G2944" s="19">
        <f t="shared" si="217"/>
        <v>172</v>
      </c>
      <c r="H2944" s="22">
        <f t="shared" si="218"/>
        <v>2943</v>
      </c>
      <c r="I2944" s="21">
        <f t="shared" ca="1" si="220"/>
        <v>0</v>
      </c>
      <c r="J2944" s="21" t="str">
        <f ca="1">IF(I2944=0,"",COUNTIF($I$2:I2944,"&gt;0"))</f>
        <v/>
      </c>
      <c r="K2944" s="21" t="str">
        <f t="shared" ca="1" si="216"/>
        <v/>
      </c>
    </row>
    <row r="2945" spans="1:11" s="18" customFormat="1" ht="14.25" x14ac:dyDescent="0.2">
      <c r="A2945" s="18" t="str">
        <f t="shared" si="219"/>
        <v>Eintrag 2944</v>
      </c>
      <c r="B2945" s="18">
        <v>100</v>
      </c>
      <c r="C2945" s="19">
        <v>100</v>
      </c>
      <c r="D2945" s="20">
        <v>10</v>
      </c>
      <c r="E2945" s="20">
        <v>10</v>
      </c>
      <c r="F2945" s="20">
        <v>10</v>
      </c>
      <c r="G2945" s="19">
        <f t="shared" si="217"/>
        <v>172</v>
      </c>
      <c r="H2945" s="22">
        <f t="shared" si="218"/>
        <v>2944</v>
      </c>
      <c r="I2945" s="21">
        <f t="shared" ca="1" si="220"/>
        <v>0</v>
      </c>
      <c r="J2945" s="21" t="str">
        <f ca="1">IF(I2945=0,"",COUNTIF($I$2:I2945,"&gt;0"))</f>
        <v/>
      </c>
      <c r="K2945" s="21" t="str">
        <f t="shared" ca="1" si="216"/>
        <v/>
      </c>
    </row>
    <row r="2946" spans="1:11" s="18" customFormat="1" ht="14.25" x14ac:dyDescent="0.2">
      <c r="A2946" s="18" t="str">
        <f t="shared" si="219"/>
        <v>Eintrag 2945</v>
      </c>
      <c r="B2946" s="18">
        <v>100</v>
      </c>
      <c r="C2946" s="19">
        <v>100</v>
      </c>
      <c r="D2946" s="20">
        <v>10</v>
      </c>
      <c r="E2946" s="20">
        <v>10</v>
      </c>
      <c r="F2946" s="20">
        <v>10</v>
      </c>
      <c r="G2946" s="19">
        <f t="shared" si="217"/>
        <v>172</v>
      </c>
      <c r="H2946" s="22">
        <f t="shared" si="218"/>
        <v>2945</v>
      </c>
      <c r="I2946" s="21">
        <f t="shared" ca="1" si="220"/>
        <v>0</v>
      </c>
      <c r="J2946" s="21" t="str">
        <f ca="1">IF(I2946=0,"",COUNTIF($I$2:I2946,"&gt;0"))</f>
        <v/>
      </c>
      <c r="K2946" s="21" t="str">
        <f t="shared" ref="K2946:K3009" ca="1" si="221">IFERROR(INDEX(A:A,MATCH(ROW(I2945),J:J,0)),"")</f>
        <v/>
      </c>
    </row>
    <row r="2947" spans="1:11" s="18" customFormat="1" ht="14.25" x14ac:dyDescent="0.2">
      <c r="A2947" s="18" t="str">
        <f t="shared" si="219"/>
        <v>Eintrag 2946</v>
      </c>
      <c r="B2947" s="18">
        <v>100</v>
      </c>
      <c r="C2947" s="19">
        <v>100</v>
      </c>
      <c r="D2947" s="20">
        <v>10</v>
      </c>
      <c r="E2947" s="20">
        <v>10</v>
      </c>
      <c r="F2947" s="20">
        <v>10</v>
      </c>
      <c r="G2947" s="19">
        <f t="shared" ref="G2947:G3010" si="222">D2947*9+E2947*4.1+F2947*4.1</f>
        <v>172</v>
      </c>
      <c r="H2947" s="22">
        <f t="shared" si="218"/>
        <v>2946</v>
      </c>
      <c r="I2947" s="21">
        <f t="shared" ca="1" si="220"/>
        <v>0</v>
      </c>
      <c r="J2947" s="21" t="str">
        <f ca="1">IF(I2947=0,"",COUNTIF($I$2:I2947,"&gt;0"))</f>
        <v/>
      </c>
      <c r="K2947" s="21" t="str">
        <f t="shared" ca="1" si="221"/>
        <v/>
      </c>
    </row>
    <row r="2948" spans="1:11" s="18" customFormat="1" ht="14.25" x14ac:dyDescent="0.2">
      <c r="A2948" s="18" t="str">
        <f t="shared" si="219"/>
        <v>Eintrag 2947</v>
      </c>
      <c r="B2948" s="18">
        <v>100</v>
      </c>
      <c r="C2948" s="19">
        <v>100</v>
      </c>
      <c r="D2948" s="20">
        <v>10</v>
      </c>
      <c r="E2948" s="20">
        <v>10</v>
      </c>
      <c r="F2948" s="20">
        <v>10</v>
      </c>
      <c r="G2948" s="19">
        <f t="shared" si="222"/>
        <v>172</v>
      </c>
      <c r="H2948" s="22">
        <f t="shared" si="218"/>
        <v>2947</v>
      </c>
      <c r="I2948" s="21">
        <f t="shared" ca="1" si="220"/>
        <v>0</v>
      </c>
      <c r="J2948" s="21" t="str">
        <f ca="1">IF(I2948=0,"",COUNTIF($I$2:I2948,"&gt;0"))</f>
        <v/>
      </c>
      <c r="K2948" s="21" t="str">
        <f t="shared" ca="1" si="221"/>
        <v/>
      </c>
    </row>
    <row r="2949" spans="1:11" s="18" customFormat="1" ht="14.25" x14ac:dyDescent="0.2">
      <c r="A2949" s="18" t="str">
        <f t="shared" si="219"/>
        <v>Eintrag 2948</v>
      </c>
      <c r="B2949" s="18">
        <v>100</v>
      </c>
      <c r="C2949" s="19">
        <v>100</v>
      </c>
      <c r="D2949" s="20">
        <v>10</v>
      </c>
      <c r="E2949" s="20">
        <v>10</v>
      </c>
      <c r="F2949" s="20">
        <v>10</v>
      </c>
      <c r="G2949" s="19">
        <f t="shared" si="222"/>
        <v>172</v>
      </c>
      <c r="H2949" s="22">
        <f t="shared" si="218"/>
        <v>2948</v>
      </c>
      <c r="I2949" s="21">
        <f t="shared" ca="1" si="220"/>
        <v>0</v>
      </c>
      <c r="J2949" s="21" t="str">
        <f ca="1">IF(I2949=0,"",COUNTIF($I$2:I2949,"&gt;0"))</f>
        <v/>
      </c>
      <c r="K2949" s="21" t="str">
        <f t="shared" ca="1" si="221"/>
        <v/>
      </c>
    </row>
    <row r="2950" spans="1:11" s="18" customFormat="1" ht="14.25" x14ac:dyDescent="0.2">
      <c r="A2950" s="18" t="str">
        <f t="shared" si="219"/>
        <v>Eintrag 2949</v>
      </c>
      <c r="B2950" s="18">
        <v>100</v>
      </c>
      <c r="C2950" s="19">
        <v>100</v>
      </c>
      <c r="D2950" s="20">
        <v>10</v>
      </c>
      <c r="E2950" s="20">
        <v>10</v>
      </c>
      <c r="F2950" s="20">
        <v>10</v>
      </c>
      <c r="G2950" s="19">
        <f t="shared" si="222"/>
        <v>172</v>
      </c>
      <c r="H2950" s="22">
        <f t="shared" si="218"/>
        <v>2949</v>
      </c>
      <c r="I2950" s="21">
        <f t="shared" ca="1" si="220"/>
        <v>0</v>
      </c>
      <c r="J2950" s="21" t="str">
        <f ca="1">IF(I2950=0,"",COUNTIF($I$2:I2950,"&gt;0"))</f>
        <v/>
      </c>
      <c r="K2950" s="21" t="str">
        <f t="shared" ca="1" si="221"/>
        <v/>
      </c>
    </row>
    <row r="2951" spans="1:11" s="18" customFormat="1" ht="14.25" x14ac:dyDescent="0.2">
      <c r="A2951" s="18" t="str">
        <f t="shared" si="219"/>
        <v>Eintrag 2950</v>
      </c>
      <c r="B2951" s="18">
        <v>100</v>
      </c>
      <c r="C2951" s="19">
        <v>100</v>
      </c>
      <c r="D2951" s="20">
        <v>10</v>
      </c>
      <c r="E2951" s="20">
        <v>10</v>
      </c>
      <c r="F2951" s="20">
        <v>10</v>
      </c>
      <c r="G2951" s="19">
        <f t="shared" si="222"/>
        <v>172</v>
      </c>
      <c r="H2951" s="22">
        <f t="shared" si="218"/>
        <v>2950</v>
      </c>
      <c r="I2951" s="21">
        <f t="shared" ca="1" si="220"/>
        <v>0</v>
      </c>
      <c r="J2951" s="21" t="str">
        <f ca="1">IF(I2951=0,"",COUNTIF($I$2:I2951,"&gt;0"))</f>
        <v/>
      </c>
      <c r="K2951" s="21" t="str">
        <f t="shared" ca="1" si="221"/>
        <v/>
      </c>
    </row>
    <row r="2952" spans="1:11" s="18" customFormat="1" ht="14.25" x14ac:dyDescent="0.2">
      <c r="A2952" s="18" t="str">
        <f t="shared" si="219"/>
        <v>Eintrag 2951</v>
      </c>
      <c r="B2952" s="18">
        <v>100</v>
      </c>
      <c r="C2952" s="19">
        <v>100</v>
      </c>
      <c r="D2952" s="20">
        <v>10</v>
      </c>
      <c r="E2952" s="20">
        <v>10</v>
      </c>
      <c r="F2952" s="20">
        <v>10</v>
      </c>
      <c r="G2952" s="19">
        <f t="shared" si="222"/>
        <v>172</v>
      </c>
      <c r="H2952" s="22">
        <f t="shared" si="218"/>
        <v>2951</v>
      </c>
      <c r="I2952" s="21">
        <f t="shared" ca="1" si="220"/>
        <v>0</v>
      </c>
      <c r="J2952" s="21" t="str">
        <f ca="1">IF(I2952=0,"",COUNTIF($I$2:I2952,"&gt;0"))</f>
        <v/>
      </c>
      <c r="K2952" s="21" t="str">
        <f t="shared" ca="1" si="221"/>
        <v/>
      </c>
    </row>
    <row r="2953" spans="1:11" s="18" customFormat="1" ht="14.25" x14ac:dyDescent="0.2">
      <c r="A2953" s="18" t="str">
        <f t="shared" si="219"/>
        <v>Eintrag 2952</v>
      </c>
      <c r="B2953" s="18">
        <v>100</v>
      </c>
      <c r="C2953" s="19">
        <v>100</v>
      </c>
      <c r="D2953" s="20">
        <v>10</v>
      </c>
      <c r="E2953" s="20">
        <v>10</v>
      </c>
      <c r="F2953" s="20">
        <v>10</v>
      </c>
      <c r="G2953" s="19">
        <f t="shared" si="222"/>
        <v>172</v>
      </c>
      <c r="H2953" s="22">
        <f t="shared" si="218"/>
        <v>2952</v>
      </c>
      <c r="I2953" s="21">
        <f t="shared" ca="1" si="220"/>
        <v>0</v>
      </c>
      <c r="J2953" s="21" t="str">
        <f ca="1">IF(I2953=0,"",COUNTIF($I$2:I2953,"&gt;0"))</f>
        <v/>
      </c>
      <c r="K2953" s="21" t="str">
        <f t="shared" ca="1" si="221"/>
        <v/>
      </c>
    </row>
    <row r="2954" spans="1:11" s="18" customFormat="1" ht="14.25" x14ac:dyDescent="0.2">
      <c r="A2954" s="18" t="str">
        <f t="shared" si="219"/>
        <v>Eintrag 2953</v>
      </c>
      <c r="B2954" s="18">
        <v>100</v>
      </c>
      <c r="C2954" s="19">
        <v>100</v>
      </c>
      <c r="D2954" s="20">
        <v>10</v>
      </c>
      <c r="E2954" s="20">
        <v>10</v>
      </c>
      <c r="F2954" s="20">
        <v>10</v>
      </c>
      <c r="G2954" s="19">
        <f t="shared" si="222"/>
        <v>172</v>
      </c>
      <c r="H2954" s="22">
        <f t="shared" si="218"/>
        <v>2953</v>
      </c>
      <c r="I2954" s="21">
        <f t="shared" ca="1" si="220"/>
        <v>0</v>
      </c>
      <c r="J2954" s="21" t="str">
        <f ca="1">IF(I2954=0,"",COUNTIF($I$2:I2954,"&gt;0"))</f>
        <v/>
      </c>
      <c r="K2954" s="21" t="str">
        <f t="shared" ca="1" si="221"/>
        <v/>
      </c>
    </row>
    <row r="2955" spans="1:11" s="18" customFormat="1" ht="14.25" x14ac:dyDescent="0.2">
      <c r="A2955" s="18" t="str">
        <f t="shared" si="219"/>
        <v>Eintrag 2954</v>
      </c>
      <c r="B2955" s="18">
        <v>100</v>
      </c>
      <c r="C2955" s="19">
        <v>100</v>
      </c>
      <c r="D2955" s="20">
        <v>10</v>
      </c>
      <c r="E2955" s="20">
        <v>10</v>
      </c>
      <c r="F2955" s="20">
        <v>10</v>
      </c>
      <c r="G2955" s="19">
        <f t="shared" si="222"/>
        <v>172</v>
      </c>
      <c r="H2955" s="22">
        <f t="shared" si="218"/>
        <v>2954</v>
      </c>
      <c r="I2955" s="21">
        <f t="shared" ca="1" si="220"/>
        <v>0</v>
      </c>
      <c r="J2955" s="21" t="str">
        <f ca="1">IF(I2955=0,"",COUNTIF($I$2:I2955,"&gt;0"))</f>
        <v/>
      </c>
      <c r="K2955" s="21" t="str">
        <f t="shared" ca="1" si="221"/>
        <v/>
      </c>
    </row>
    <row r="2956" spans="1:11" s="18" customFormat="1" ht="14.25" x14ac:dyDescent="0.2">
      <c r="A2956" s="18" t="str">
        <f t="shared" si="219"/>
        <v>Eintrag 2955</v>
      </c>
      <c r="B2956" s="18">
        <v>100</v>
      </c>
      <c r="C2956" s="19">
        <v>100</v>
      </c>
      <c r="D2956" s="20">
        <v>10</v>
      </c>
      <c r="E2956" s="20">
        <v>10</v>
      </c>
      <c r="F2956" s="20">
        <v>10</v>
      </c>
      <c r="G2956" s="19">
        <f t="shared" si="222"/>
        <v>172</v>
      </c>
      <c r="H2956" s="22">
        <f t="shared" si="218"/>
        <v>2955</v>
      </c>
      <c r="I2956" s="21">
        <f t="shared" ca="1" si="220"/>
        <v>0</v>
      </c>
      <c r="J2956" s="21" t="str">
        <f ca="1">IF(I2956=0,"",COUNTIF($I$2:I2956,"&gt;0"))</f>
        <v/>
      </c>
      <c r="K2956" s="21" t="str">
        <f t="shared" ca="1" si="221"/>
        <v/>
      </c>
    </row>
    <row r="2957" spans="1:11" s="18" customFormat="1" ht="14.25" x14ac:dyDescent="0.2">
      <c r="A2957" s="18" t="str">
        <f t="shared" si="219"/>
        <v>Eintrag 2956</v>
      </c>
      <c r="B2957" s="18">
        <v>100</v>
      </c>
      <c r="C2957" s="19">
        <v>100</v>
      </c>
      <c r="D2957" s="20">
        <v>10</v>
      </c>
      <c r="E2957" s="20">
        <v>10</v>
      </c>
      <c r="F2957" s="20">
        <v>10</v>
      </c>
      <c r="G2957" s="19">
        <f t="shared" si="222"/>
        <v>172</v>
      </c>
      <c r="H2957" s="22">
        <f t="shared" si="218"/>
        <v>2956</v>
      </c>
      <c r="I2957" s="21">
        <f t="shared" ca="1" si="220"/>
        <v>0</v>
      </c>
      <c r="J2957" s="21" t="str">
        <f ca="1">IF(I2957=0,"",COUNTIF($I$2:I2957,"&gt;0"))</f>
        <v/>
      </c>
      <c r="K2957" s="21" t="str">
        <f t="shared" ca="1" si="221"/>
        <v/>
      </c>
    </row>
    <row r="2958" spans="1:11" s="18" customFormat="1" ht="14.25" x14ac:dyDescent="0.2">
      <c r="A2958" s="18" t="str">
        <f t="shared" si="219"/>
        <v>Eintrag 2957</v>
      </c>
      <c r="B2958" s="18">
        <v>100</v>
      </c>
      <c r="C2958" s="19">
        <v>100</v>
      </c>
      <c r="D2958" s="20">
        <v>10</v>
      </c>
      <c r="E2958" s="20">
        <v>10</v>
      </c>
      <c r="F2958" s="20">
        <v>10</v>
      </c>
      <c r="G2958" s="19">
        <f t="shared" si="222"/>
        <v>172</v>
      </c>
      <c r="H2958" s="22">
        <f t="shared" si="218"/>
        <v>2957</v>
      </c>
      <c r="I2958" s="21">
        <f t="shared" ca="1" si="220"/>
        <v>0</v>
      </c>
      <c r="J2958" s="21" t="str">
        <f ca="1">IF(I2958=0,"",COUNTIF($I$2:I2958,"&gt;0"))</f>
        <v/>
      </c>
      <c r="K2958" s="21" t="str">
        <f t="shared" ca="1" si="221"/>
        <v/>
      </c>
    </row>
    <row r="2959" spans="1:11" s="18" customFormat="1" ht="14.25" x14ac:dyDescent="0.2">
      <c r="A2959" s="18" t="str">
        <f t="shared" si="219"/>
        <v>Eintrag 2958</v>
      </c>
      <c r="B2959" s="18">
        <v>100</v>
      </c>
      <c r="C2959" s="19">
        <v>100</v>
      </c>
      <c r="D2959" s="20">
        <v>10</v>
      </c>
      <c r="E2959" s="20">
        <v>10</v>
      </c>
      <c r="F2959" s="20">
        <v>10</v>
      </c>
      <c r="G2959" s="19">
        <f t="shared" si="222"/>
        <v>172</v>
      </c>
      <c r="H2959" s="22">
        <f t="shared" si="218"/>
        <v>2958</v>
      </c>
      <c r="I2959" s="21">
        <f t="shared" ca="1" si="220"/>
        <v>0</v>
      </c>
      <c r="J2959" s="21" t="str">
        <f ca="1">IF(I2959=0,"",COUNTIF($I$2:I2959,"&gt;0"))</f>
        <v/>
      </c>
      <c r="K2959" s="21" t="str">
        <f t="shared" ca="1" si="221"/>
        <v/>
      </c>
    </row>
    <row r="2960" spans="1:11" s="18" customFormat="1" ht="14.25" x14ac:dyDescent="0.2">
      <c r="A2960" s="18" t="str">
        <f t="shared" si="219"/>
        <v>Eintrag 2959</v>
      </c>
      <c r="B2960" s="18">
        <v>100</v>
      </c>
      <c r="C2960" s="19">
        <v>100</v>
      </c>
      <c r="D2960" s="20">
        <v>10</v>
      </c>
      <c r="E2960" s="20">
        <v>10</v>
      </c>
      <c r="F2960" s="20">
        <v>10</v>
      </c>
      <c r="G2960" s="19">
        <f t="shared" si="222"/>
        <v>172</v>
      </c>
      <c r="H2960" s="22">
        <f t="shared" si="218"/>
        <v>2959</v>
      </c>
      <c r="I2960" s="21">
        <f t="shared" ca="1" si="220"/>
        <v>0</v>
      </c>
      <c r="J2960" s="21" t="str">
        <f ca="1">IF(I2960=0,"",COUNTIF($I$2:I2960,"&gt;0"))</f>
        <v/>
      </c>
      <c r="K2960" s="21" t="str">
        <f t="shared" ca="1" si="221"/>
        <v/>
      </c>
    </row>
    <row r="2961" spans="1:11" s="18" customFormat="1" ht="14.25" x14ac:dyDescent="0.2">
      <c r="A2961" s="18" t="str">
        <f t="shared" si="219"/>
        <v>Eintrag 2960</v>
      </c>
      <c r="B2961" s="18">
        <v>100</v>
      </c>
      <c r="C2961" s="19">
        <v>100</v>
      </c>
      <c r="D2961" s="20">
        <v>10</v>
      </c>
      <c r="E2961" s="20">
        <v>10</v>
      </c>
      <c r="F2961" s="20">
        <v>10</v>
      </c>
      <c r="G2961" s="19">
        <f t="shared" si="222"/>
        <v>172</v>
      </c>
      <c r="H2961" s="22">
        <f t="shared" si="218"/>
        <v>2960</v>
      </c>
      <c r="I2961" s="21">
        <f t="shared" ca="1" si="220"/>
        <v>0</v>
      </c>
      <c r="J2961" s="21" t="str">
        <f ca="1">IF(I2961=0,"",COUNTIF($I$2:I2961,"&gt;0"))</f>
        <v/>
      </c>
      <c r="K2961" s="21" t="str">
        <f t="shared" ca="1" si="221"/>
        <v/>
      </c>
    </row>
    <row r="2962" spans="1:11" s="18" customFormat="1" ht="14.25" x14ac:dyDescent="0.2">
      <c r="A2962" s="18" t="str">
        <f t="shared" si="219"/>
        <v>Eintrag 2961</v>
      </c>
      <c r="B2962" s="18">
        <v>100</v>
      </c>
      <c r="C2962" s="19">
        <v>100</v>
      </c>
      <c r="D2962" s="20">
        <v>10</v>
      </c>
      <c r="E2962" s="20">
        <v>10</v>
      </c>
      <c r="F2962" s="20">
        <v>10</v>
      </c>
      <c r="G2962" s="19">
        <f t="shared" si="222"/>
        <v>172</v>
      </c>
      <c r="H2962" s="22">
        <f t="shared" si="218"/>
        <v>2961</v>
      </c>
      <c r="I2962" s="21">
        <f t="shared" ca="1" si="220"/>
        <v>0</v>
      </c>
      <c r="J2962" s="21" t="str">
        <f ca="1">IF(I2962=0,"",COUNTIF($I$2:I2962,"&gt;0"))</f>
        <v/>
      </c>
      <c r="K2962" s="21" t="str">
        <f t="shared" ca="1" si="221"/>
        <v/>
      </c>
    </row>
    <row r="2963" spans="1:11" s="18" customFormat="1" ht="14.25" x14ac:dyDescent="0.2">
      <c r="A2963" s="18" t="str">
        <f t="shared" si="219"/>
        <v>Eintrag 2962</v>
      </c>
      <c r="B2963" s="18">
        <v>100</v>
      </c>
      <c r="C2963" s="19">
        <v>100</v>
      </c>
      <c r="D2963" s="20">
        <v>10</v>
      </c>
      <c r="E2963" s="20">
        <v>10</v>
      </c>
      <c r="F2963" s="20">
        <v>10</v>
      </c>
      <c r="G2963" s="19">
        <f t="shared" si="222"/>
        <v>172</v>
      </c>
      <c r="H2963" s="22">
        <f t="shared" si="218"/>
        <v>2962</v>
      </c>
      <c r="I2963" s="21">
        <f t="shared" ca="1" si="220"/>
        <v>0</v>
      </c>
      <c r="J2963" s="21" t="str">
        <f ca="1">IF(I2963=0,"",COUNTIF($I$2:I2963,"&gt;0"))</f>
        <v/>
      </c>
      <c r="K2963" s="21" t="str">
        <f t="shared" ca="1" si="221"/>
        <v/>
      </c>
    </row>
    <row r="2964" spans="1:11" s="18" customFormat="1" ht="14.25" x14ac:dyDescent="0.2">
      <c r="A2964" s="18" t="str">
        <f t="shared" si="219"/>
        <v>Eintrag 2963</v>
      </c>
      <c r="B2964" s="18">
        <v>100</v>
      </c>
      <c r="C2964" s="19">
        <v>100</v>
      </c>
      <c r="D2964" s="20">
        <v>10</v>
      </c>
      <c r="E2964" s="20">
        <v>10</v>
      </c>
      <c r="F2964" s="20">
        <v>10</v>
      </c>
      <c r="G2964" s="19">
        <f t="shared" si="222"/>
        <v>172</v>
      </c>
      <c r="H2964" s="22">
        <f t="shared" si="218"/>
        <v>2963</v>
      </c>
      <c r="I2964" s="21">
        <f t="shared" ca="1" si="220"/>
        <v>0</v>
      </c>
      <c r="J2964" s="21" t="str">
        <f ca="1">IF(I2964=0,"",COUNTIF($I$2:I2964,"&gt;0"))</f>
        <v/>
      </c>
      <c r="K2964" s="21" t="str">
        <f t="shared" ca="1" si="221"/>
        <v/>
      </c>
    </row>
    <row r="2965" spans="1:11" s="18" customFormat="1" ht="14.25" x14ac:dyDescent="0.2">
      <c r="A2965" s="18" t="str">
        <f t="shared" si="219"/>
        <v>Eintrag 2964</v>
      </c>
      <c r="B2965" s="18">
        <v>100</v>
      </c>
      <c r="C2965" s="19">
        <v>100</v>
      </c>
      <c r="D2965" s="20">
        <v>10</v>
      </c>
      <c r="E2965" s="20">
        <v>10</v>
      </c>
      <c r="F2965" s="20">
        <v>10</v>
      </c>
      <c r="G2965" s="19">
        <f t="shared" si="222"/>
        <v>172</v>
      </c>
      <c r="H2965" s="22">
        <f t="shared" si="218"/>
        <v>2964</v>
      </c>
      <c r="I2965" s="21">
        <f t="shared" ca="1" si="220"/>
        <v>0</v>
      </c>
      <c r="J2965" s="21" t="str">
        <f ca="1">IF(I2965=0,"",COUNTIF($I$2:I2965,"&gt;0"))</f>
        <v/>
      </c>
      <c r="K2965" s="21" t="str">
        <f t="shared" ca="1" si="221"/>
        <v/>
      </c>
    </row>
    <row r="2966" spans="1:11" s="18" customFormat="1" ht="14.25" x14ac:dyDescent="0.2">
      <c r="A2966" s="18" t="str">
        <f t="shared" si="219"/>
        <v>Eintrag 2965</v>
      </c>
      <c r="B2966" s="18">
        <v>100</v>
      </c>
      <c r="C2966" s="19">
        <v>100</v>
      </c>
      <c r="D2966" s="20">
        <v>10</v>
      </c>
      <c r="E2966" s="20">
        <v>10</v>
      </c>
      <c r="F2966" s="20">
        <v>10</v>
      </c>
      <c r="G2966" s="19">
        <f t="shared" si="222"/>
        <v>172</v>
      </c>
      <c r="H2966" s="22">
        <f t="shared" si="218"/>
        <v>2965</v>
      </c>
      <c r="I2966" s="21">
        <f t="shared" ca="1" si="220"/>
        <v>0</v>
      </c>
      <c r="J2966" s="21" t="str">
        <f ca="1">IF(I2966=0,"",COUNTIF($I$2:I2966,"&gt;0"))</f>
        <v/>
      </c>
      <c r="K2966" s="21" t="str">
        <f t="shared" ca="1" si="221"/>
        <v/>
      </c>
    </row>
    <row r="2967" spans="1:11" s="18" customFormat="1" ht="14.25" x14ac:dyDescent="0.2">
      <c r="A2967" s="18" t="str">
        <f t="shared" si="219"/>
        <v>Eintrag 2966</v>
      </c>
      <c r="B2967" s="18">
        <v>100</v>
      </c>
      <c r="C2967" s="19">
        <v>100</v>
      </c>
      <c r="D2967" s="20">
        <v>10</v>
      </c>
      <c r="E2967" s="20">
        <v>10</v>
      </c>
      <c r="F2967" s="20">
        <v>10</v>
      </c>
      <c r="G2967" s="19">
        <f t="shared" si="222"/>
        <v>172</v>
      </c>
      <c r="H2967" s="22">
        <f t="shared" si="218"/>
        <v>2966</v>
      </c>
      <c r="I2967" s="21">
        <f t="shared" ca="1" si="220"/>
        <v>0</v>
      </c>
      <c r="J2967" s="21" t="str">
        <f ca="1">IF(I2967=0,"",COUNTIF($I$2:I2967,"&gt;0"))</f>
        <v/>
      </c>
      <c r="K2967" s="21" t="str">
        <f t="shared" ca="1" si="221"/>
        <v/>
      </c>
    </row>
    <row r="2968" spans="1:11" s="18" customFormat="1" ht="14.25" x14ac:dyDescent="0.2">
      <c r="A2968" s="18" t="str">
        <f t="shared" si="219"/>
        <v>Eintrag 2967</v>
      </c>
      <c r="B2968" s="18">
        <v>100</v>
      </c>
      <c r="C2968" s="19">
        <v>100</v>
      </c>
      <c r="D2968" s="20">
        <v>10</v>
      </c>
      <c r="E2968" s="20">
        <v>10</v>
      </c>
      <c r="F2968" s="20">
        <v>10</v>
      </c>
      <c r="G2968" s="19">
        <f t="shared" si="222"/>
        <v>172</v>
      </c>
      <c r="H2968" s="22">
        <f t="shared" si="218"/>
        <v>2967</v>
      </c>
      <c r="I2968" s="21">
        <f t="shared" ca="1" si="220"/>
        <v>0</v>
      </c>
      <c r="J2968" s="21" t="str">
        <f ca="1">IF(I2968=0,"",COUNTIF($I$2:I2968,"&gt;0"))</f>
        <v/>
      </c>
      <c r="K2968" s="21" t="str">
        <f t="shared" ca="1" si="221"/>
        <v/>
      </c>
    </row>
    <row r="2969" spans="1:11" s="18" customFormat="1" ht="14.25" x14ac:dyDescent="0.2">
      <c r="A2969" s="18" t="str">
        <f t="shared" si="219"/>
        <v>Eintrag 2968</v>
      </c>
      <c r="B2969" s="18">
        <v>100</v>
      </c>
      <c r="C2969" s="19">
        <v>100</v>
      </c>
      <c r="D2969" s="20">
        <v>10</v>
      </c>
      <c r="E2969" s="20">
        <v>10</v>
      </c>
      <c r="F2969" s="20">
        <v>10</v>
      </c>
      <c r="G2969" s="19">
        <f t="shared" si="222"/>
        <v>172</v>
      </c>
      <c r="H2969" s="22">
        <f t="shared" si="218"/>
        <v>2968</v>
      </c>
      <c r="I2969" s="21">
        <f t="shared" ca="1" si="220"/>
        <v>0</v>
      </c>
      <c r="J2969" s="21" t="str">
        <f ca="1">IF(I2969=0,"",COUNTIF($I$2:I2969,"&gt;0"))</f>
        <v/>
      </c>
      <c r="K2969" s="21" t="str">
        <f t="shared" ca="1" si="221"/>
        <v/>
      </c>
    </row>
    <row r="2970" spans="1:11" s="18" customFormat="1" ht="14.25" x14ac:dyDescent="0.2">
      <c r="A2970" s="18" t="str">
        <f t="shared" si="219"/>
        <v>Eintrag 2969</v>
      </c>
      <c r="B2970" s="18">
        <v>100</v>
      </c>
      <c r="C2970" s="19">
        <v>100</v>
      </c>
      <c r="D2970" s="20">
        <v>10</v>
      </c>
      <c r="E2970" s="20">
        <v>10</v>
      </c>
      <c r="F2970" s="20">
        <v>10</v>
      </c>
      <c r="G2970" s="19">
        <f t="shared" si="222"/>
        <v>172</v>
      </c>
      <c r="H2970" s="22">
        <f t="shared" si="218"/>
        <v>2969</v>
      </c>
      <c r="I2970" s="21">
        <f t="shared" ca="1" si="220"/>
        <v>0</v>
      </c>
      <c r="J2970" s="21" t="str">
        <f ca="1">IF(I2970=0,"",COUNTIF($I$2:I2970,"&gt;0"))</f>
        <v/>
      </c>
      <c r="K2970" s="21" t="str">
        <f t="shared" ca="1" si="221"/>
        <v/>
      </c>
    </row>
    <row r="2971" spans="1:11" s="18" customFormat="1" ht="14.25" x14ac:dyDescent="0.2">
      <c r="A2971" s="18" t="str">
        <f t="shared" si="219"/>
        <v>Eintrag 2970</v>
      </c>
      <c r="B2971" s="18">
        <v>100</v>
      </c>
      <c r="C2971" s="19">
        <v>100</v>
      </c>
      <c r="D2971" s="20">
        <v>10</v>
      </c>
      <c r="E2971" s="20">
        <v>10</v>
      </c>
      <c r="F2971" s="20">
        <v>10</v>
      </c>
      <c r="G2971" s="19">
        <f t="shared" si="222"/>
        <v>172</v>
      </c>
      <c r="H2971" s="22">
        <f t="shared" si="218"/>
        <v>2970</v>
      </c>
      <c r="I2971" s="21">
        <f t="shared" ca="1" si="220"/>
        <v>0</v>
      </c>
      <c r="J2971" s="21" t="str">
        <f ca="1">IF(I2971=0,"",COUNTIF($I$2:I2971,"&gt;0"))</f>
        <v/>
      </c>
      <c r="K2971" s="21" t="str">
        <f t="shared" ca="1" si="221"/>
        <v/>
      </c>
    </row>
    <row r="2972" spans="1:11" s="18" customFormat="1" ht="14.25" x14ac:dyDescent="0.2">
      <c r="A2972" s="18" t="str">
        <f t="shared" si="219"/>
        <v>Eintrag 2971</v>
      </c>
      <c r="B2972" s="18">
        <v>100</v>
      </c>
      <c r="C2972" s="19">
        <v>100</v>
      </c>
      <c r="D2972" s="20">
        <v>10</v>
      </c>
      <c r="E2972" s="20">
        <v>10</v>
      </c>
      <c r="F2972" s="20">
        <v>10</v>
      </c>
      <c r="G2972" s="19">
        <f t="shared" si="222"/>
        <v>172</v>
      </c>
      <c r="H2972" s="22">
        <f t="shared" si="218"/>
        <v>2971</v>
      </c>
      <c r="I2972" s="21">
        <f t="shared" ca="1" si="220"/>
        <v>0</v>
      </c>
      <c r="J2972" s="21" t="str">
        <f ca="1">IF(I2972=0,"",COUNTIF($I$2:I2972,"&gt;0"))</f>
        <v/>
      </c>
      <c r="K2972" s="21" t="str">
        <f t="shared" ca="1" si="221"/>
        <v/>
      </c>
    </row>
    <row r="2973" spans="1:11" s="18" customFormat="1" ht="14.25" x14ac:dyDescent="0.2">
      <c r="A2973" s="18" t="str">
        <f t="shared" si="219"/>
        <v>Eintrag 2972</v>
      </c>
      <c r="B2973" s="18">
        <v>100</v>
      </c>
      <c r="C2973" s="19">
        <v>100</v>
      </c>
      <c r="D2973" s="20">
        <v>10</v>
      </c>
      <c r="E2973" s="20">
        <v>10</v>
      </c>
      <c r="F2973" s="20">
        <v>10</v>
      </c>
      <c r="G2973" s="19">
        <f t="shared" si="222"/>
        <v>172</v>
      </c>
      <c r="H2973" s="22">
        <f t="shared" si="218"/>
        <v>2972</v>
      </c>
      <c r="I2973" s="21">
        <f t="shared" ca="1" si="220"/>
        <v>0</v>
      </c>
      <c r="J2973" s="21" t="str">
        <f ca="1">IF(I2973=0,"",COUNTIF($I$2:I2973,"&gt;0"))</f>
        <v/>
      </c>
      <c r="K2973" s="21" t="str">
        <f t="shared" ca="1" si="221"/>
        <v/>
      </c>
    </row>
    <row r="2974" spans="1:11" s="18" customFormat="1" ht="14.25" x14ac:dyDescent="0.2">
      <c r="A2974" s="18" t="str">
        <f t="shared" si="219"/>
        <v>Eintrag 2973</v>
      </c>
      <c r="B2974" s="18">
        <v>100</v>
      </c>
      <c r="C2974" s="19">
        <v>100</v>
      </c>
      <c r="D2974" s="20">
        <v>10</v>
      </c>
      <c r="E2974" s="20">
        <v>10</v>
      </c>
      <c r="F2974" s="20">
        <v>10</v>
      </c>
      <c r="G2974" s="19">
        <f t="shared" si="222"/>
        <v>172</v>
      </c>
      <c r="H2974" s="22">
        <f t="shared" si="218"/>
        <v>2973</v>
      </c>
      <c r="I2974" s="21">
        <f t="shared" ca="1" si="220"/>
        <v>0</v>
      </c>
      <c r="J2974" s="21" t="str">
        <f ca="1">IF(I2974=0,"",COUNTIF($I$2:I2974,"&gt;0"))</f>
        <v/>
      </c>
      <c r="K2974" s="21" t="str">
        <f t="shared" ca="1" si="221"/>
        <v/>
      </c>
    </row>
    <row r="2975" spans="1:11" s="18" customFormat="1" ht="14.25" x14ac:dyDescent="0.2">
      <c r="A2975" s="18" t="str">
        <f t="shared" si="219"/>
        <v>Eintrag 2974</v>
      </c>
      <c r="B2975" s="18">
        <v>100</v>
      </c>
      <c r="C2975" s="19">
        <v>100</v>
      </c>
      <c r="D2975" s="20">
        <v>10</v>
      </c>
      <c r="E2975" s="20">
        <v>10</v>
      </c>
      <c r="F2975" s="20">
        <v>10</v>
      </c>
      <c r="G2975" s="19">
        <f t="shared" si="222"/>
        <v>172</v>
      </c>
      <c r="H2975" s="22">
        <f t="shared" si="218"/>
        <v>2974</v>
      </c>
      <c r="I2975" s="21">
        <f t="shared" ca="1" si="220"/>
        <v>0</v>
      </c>
      <c r="J2975" s="21" t="str">
        <f ca="1">IF(I2975=0,"",COUNTIF($I$2:I2975,"&gt;0"))</f>
        <v/>
      </c>
      <c r="K2975" s="21" t="str">
        <f t="shared" ca="1" si="221"/>
        <v/>
      </c>
    </row>
    <row r="2976" spans="1:11" s="18" customFormat="1" ht="14.25" x14ac:dyDescent="0.2">
      <c r="A2976" s="18" t="str">
        <f t="shared" si="219"/>
        <v>Eintrag 2975</v>
      </c>
      <c r="B2976" s="18">
        <v>100</v>
      </c>
      <c r="C2976" s="19">
        <v>100</v>
      </c>
      <c r="D2976" s="20">
        <v>10</v>
      </c>
      <c r="E2976" s="20">
        <v>10</v>
      </c>
      <c r="F2976" s="20">
        <v>10</v>
      </c>
      <c r="G2976" s="19">
        <f t="shared" si="222"/>
        <v>172</v>
      </c>
      <c r="H2976" s="22">
        <f t="shared" si="218"/>
        <v>2975</v>
      </c>
      <c r="I2976" s="21">
        <f t="shared" ca="1" si="220"/>
        <v>0</v>
      </c>
      <c r="J2976" s="21" t="str">
        <f ca="1">IF(I2976=0,"",COUNTIF($I$2:I2976,"&gt;0"))</f>
        <v/>
      </c>
      <c r="K2976" s="21" t="str">
        <f t="shared" ca="1" si="221"/>
        <v/>
      </c>
    </row>
    <row r="2977" spans="1:11" s="18" customFormat="1" ht="14.25" x14ac:dyDescent="0.2">
      <c r="A2977" s="18" t="str">
        <f t="shared" si="219"/>
        <v>Eintrag 2976</v>
      </c>
      <c r="B2977" s="18">
        <v>100</v>
      </c>
      <c r="C2977" s="19">
        <v>100</v>
      </c>
      <c r="D2977" s="20">
        <v>10</v>
      </c>
      <c r="E2977" s="20">
        <v>10</v>
      </c>
      <c r="F2977" s="20">
        <v>10</v>
      </c>
      <c r="G2977" s="19">
        <f t="shared" si="222"/>
        <v>172</v>
      </c>
      <c r="H2977" s="22">
        <f t="shared" si="218"/>
        <v>2976</v>
      </c>
      <c r="I2977" s="21">
        <f t="shared" ca="1" si="220"/>
        <v>0</v>
      </c>
      <c r="J2977" s="21" t="str">
        <f ca="1">IF(I2977=0,"",COUNTIF($I$2:I2977,"&gt;0"))</f>
        <v/>
      </c>
      <c r="K2977" s="21" t="str">
        <f t="shared" ca="1" si="221"/>
        <v/>
      </c>
    </row>
    <row r="2978" spans="1:11" s="18" customFormat="1" ht="14.25" x14ac:dyDescent="0.2">
      <c r="A2978" s="18" t="str">
        <f t="shared" si="219"/>
        <v>Eintrag 2977</v>
      </c>
      <c r="B2978" s="18">
        <v>100</v>
      </c>
      <c r="C2978" s="19">
        <v>100</v>
      </c>
      <c r="D2978" s="20">
        <v>10</v>
      </c>
      <c r="E2978" s="20">
        <v>10</v>
      </c>
      <c r="F2978" s="20">
        <v>10</v>
      </c>
      <c r="G2978" s="19">
        <f t="shared" si="222"/>
        <v>172</v>
      </c>
      <c r="H2978" s="22">
        <f t="shared" si="218"/>
        <v>2977</v>
      </c>
      <c r="I2978" s="21">
        <f t="shared" ca="1" si="220"/>
        <v>0</v>
      </c>
      <c r="J2978" s="21" t="str">
        <f ca="1">IF(I2978=0,"",COUNTIF($I$2:I2978,"&gt;0"))</f>
        <v/>
      </c>
      <c r="K2978" s="21" t="str">
        <f t="shared" ca="1" si="221"/>
        <v/>
      </c>
    </row>
    <row r="2979" spans="1:11" s="18" customFormat="1" ht="14.25" x14ac:dyDescent="0.2">
      <c r="A2979" s="18" t="str">
        <f t="shared" si="219"/>
        <v>Eintrag 2978</v>
      </c>
      <c r="B2979" s="18">
        <v>100</v>
      </c>
      <c r="C2979" s="19">
        <v>100</v>
      </c>
      <c r="D2979" s="20">
        <v>10</v>
      </c>
      <c r="E2979" s="20">
        <v>10</v>
      </c>
      <c r="F2979" s="20">
        <v>10</v>
      </c>
      <c r="G2979" s="19">
        <f t="shared" si="222"/>
        <v>172</v>
      </c>
      <c r="H2979" s="22">
        <f t="shared" si="218"/>
        <v>2978</v>
      </c>
      <c r="I2979" s="21">
        <f t="shared" ca="1" si="220"/>
        <v>0</v>
      </c>
      <c r="J2979" s="21" t="str">
        <f ca="1">IF(I2979=0,"",COUNTIF($I$2:I2979,"&gt;0"))</f>
        <v/>
      </c>
      <c r="K2979" s="21" t="str">
        <f t="shared" ca="1" si="221"/>
        <v/>
      </c>
    </row>
    <row r="2980" spans="1:11" s="18" customFormat="1" ht="14.25" x14ac:dyDescent="0.2">
      <c r="A2980" s="18" t="str">
        <f t="shared" si="219"/>
        <v>Eintrag 2979</v>
      </c>
      <c r="B2980" s="18">
        <v>100</v>
      </c>
      <c r="C2980" s="19">
        <v>100</v>
      </c>
      <c r="D2980" s="20">
        <v>10</v>
      </c>
      <c r="E2980" s="20">
        <v>10</v>
      </c>
      <c r="F2980" s="20">
        <v>10</v>
      </c>
      <c r="G2980" s="19">
        <f t="shared" si="222"/>
        <v>172</v>
      </c>
      <c r="H2980" s="22">
        <f t="shared" si="218"/>
        <v>2979</v>
      </c>
      <c r="I2980" s="21">
        <f t="shared" ca="1" si="220"/>
        <v>0</v>
      </c>
      <c r="J2980" s="21" t="str">
        <f ca="1">IF(I2980=0,"",COUNTIF($I$2:I2980,"&gt;0"))</f>
        <v/>
      </c>
      <c r="K2980" s="21" t="str">
        <f t="shared" ca="1" si="221"/>
        <v/>
      </c>
    </row>
    <row r="2981" spans="1:11" s="18" customFormat="1" ht="14.25" x14ac:dyDescent="0.2">
      <c r="A2981" s="18" t="str">
        <f t="shared" si="219"/>
        <v>Eintrag 2980</v>
      </c>
      <c r="B2981" s="18">
        <v>100</v>
      </c>
      <c r="C2981" s="19">
        <v>100</v>
      </c>
      <c r="D2981" s="20">
        <v>10</v>
      </c>
      <c r="E2981" s="20">
        <v>10</v>
      </c>
      <c r="F2981" s="20">
        <v>10</v>
      </c>
      <c r="G2981" s="19">
        <f t="shared" si="222"/>
        <v>172</v>
      </c>
      <c r="H2981" s="22">
        <f t="shared" ref="H2981:H3044" si="223">H2980+1</f>
        <v>2980</v>
      </c>
      <c r="I2981" s="21">
        <f t="shared" ca="1" si="220"/>
        <v>0</v>
      </c>
      <c r="J2981" s="21" t="str">
        <f ca="1">IF(I2981=0,"",COUNTIF($I$2:I2981,"&gt;0"))</f>
        <v/>
      </c>
      <c r="K2981" s="21" t="str">
        <f t="shared" ca="1" si="221"/>
        <v/>
      </c>
    </row>
    <row r="2982" spans="1:11" s="18" customFormat="1" ht="14.25" x14ac:dyDescent="0.2">
      <c r="A2982" s="18" t="str">
        <f t="shared" si="219"/>
        <v>Eintrag 2981</v>
      </c>
      <c r="B2982" s="18">
        <v>100</v>
      </c>
      <c r="C2982" s="19">
        <v>100</v>
      </c>
      <c r="D2982" s="20">
        <v>10</v>
      </c>
      <c r="E2982" s="20">
        <v>10</v>
      </c>
      <c r="F2982" s="20">
        <v>10</v>
      </c>
      <c r="G2982" s="19">
        <f t="shared" si="222"/>
        <v>172</v>
      </c>
      <c r="H2982" s="22">
        <f t="shared" si="223"/>
        <v>2981</v>
      </c>
      <c r="I2982" s="21">
        <f t="shared" ca="1" si="220"/>
        <v>0</v>
      </c>
      <c r="J2982" s="21" t="str">
        <f ca="1">IF(I2982=0,"",COUNTIF($I$2:I2982,"&gt;0"))</f>
        <v/>
      </c>
      <c r="K2982" s="21" t="str">
        <f t="shared" ca="1" si="221"/>
        <v/>
      </c>
    </row>
    <row r="2983" spans="1:11" s="18" customFormat="1" ht="14.25" x14ac:dyDescent="0.2">
      <c r="A2983" s="18" t="str">
        <f t="shared" si="219"/>
        <v>Eintrag 2982</v>
      </c>
      <c r="B2983" s="18">
        <v>100</v>
      </c>
      <c r="C2983" s="19">
        <v>100</v>
      </c>
      <c r="D2983" s="20">
        <v>10</v>
      </c>
      <c r="E2983" s="20">
        <v>10</v>
      </c>
      <c r="F2983" s="20">
        <v>10</v>
      </c>
      <c r="G2983" s="19">
        <f t="shared" si="222"/>
        <v>172</v>
      </c>
      <c r="H2983" s="22">
        <f t="shared" si="223"/>
        <v>2982</v>
      </c>
      <c r="I2983" s="21">
        <f t="shared" ca="1" si="220"/>
        <v>0</v>
      </c>
      <c r="J2983" s="21" t="str">
        <f ca="1">IF(I2983=0,"",COUNTIF($I$2:I2983,"&gt;0"))</f>
        <v/>
      </c>
      <c r="K2983" s="21" t="str">
        <f t="shared" ca="1" si="221"/>
        <v/>
      </c>
    </row>
    <row r="2984" spans="1:11" s="18" customFormat="1" ht="14.25" x14ac:dyDescent="0.2">
      <c r="A2984" s="18" t="str">
        <f t="shared" si="219"/>
        <v>Eintrag 2983</v>
      </c>
      <c r="B2984" s="18">
        <v>100</v>
      </c>
      <c r="C2984" s="19">
        <v>100</v>
      </c>
      <c r="D2984" s="20">
        <v>10</v>
      </c>
      <c r="E2984" s="20">
        <v>10</v>
      </c>
      <c r="F2984" s="20">
        <v>10</v>
      </c>
      <c r="G2984" s="19">
        <f t="shared" si="222"/>
        <v>172</v>
      </c>
      <c r="H2984" s="22">
        <f t="shared" si="223"/>
        <v>2983</v>
      </c>
      <c r="I2984" s="21">
        <f t="shared" ca="1" si="220"/>
        <v>0</v>
      </c>
      <c r="J2984" s="21" t="str">
        <f ca="1">IF(I2984=0,"",COUNTIF($I$2:I2984,"&gt;0"))</f>
        <v/>
      </c>
      <c r="K2984" s="21" t="str">
        <f t="shared" ca="1" si="221"/>
        <v/>
      </c>
    </row>
    <row r="2985" spans="1:11" s="18" customFormat="1" ht="14.25" x14ac:dyDescent="0.2">
      <c r="A2985" s="18" t="str">
        <f t="shared" ref="A2985:A3048" si="224">CONCATENATE("Eintrag ",H2985)</f>
        <v>Eintrag 2984</v>
      </c>
      <c r="B2985" s="18">
        <v>100</v>
      </c>
      <c r="C2985" s="19">
        <v>100</v>
      </c>
      <c r="D2985" s="20">
        <v>10</v>
      </c>
      <c r="E2985" s="20">
        <v>10</v>
      </c>
      <c r="F2985" s="20">
        <v>10</v>
      </c>
      <c r="G2985" s="19">
        <f t="shared" si="222"/>
        <v>172</v>
      </c>
      <c r="H2985" s="22">
        <f t="shared" si="223"/>
        <v>2984</v>
      </c>
      <c r="I2985" s="21">
        <f t="shared" ca="1" si="220"/>
        <v>0</v>
      </c>
      <c r="J2985" s="21" t="str">
        <f ca="1">IF(I2985=0,"",COUNTIF($I$2:I2985,"&gt;0"))</f>
        <v/>
      </c>
      <c r="K2985" s="21" t="str">
        <f t="shared" ca="1" si="221"/>
        <v/>
      </c>
    </row>
    <row r="2986" spans="1:11" s="18" customFormat="1" ht="14.25" x14ac:dyDescent="0.2">
      <c r="A2986" s="18" t="str">
        <f t="shared" si="224"/>
        <v>Eintrag 2985</v>
      </c>
      <c r="B2986" s="18">
        <v>100</v>
      </c>
      <c r="C2986" s="19">
        <v>100</v>
      </c>
      <c r="D2986" s="20">
        <v>10</v>
      </c>
      <c r="E2986" s="20">
        <v>10</v>
      </c>
      <c r="F2986" s="20">
        <v>10</v>
      </c>
      <c r="G2986" s="19">
        <f t="shared" si="222"/>
        <v>172</v>
      </c>
      <c r="H2986" s="22">
        <f t="shared" si="223"/>
        <v>2985</v>
      </c>
      <c r="I2986" s="21">
        <f t="shared" ca="1" si="220"/>
        <v>0</v>
      </c>
      <c r="J2986" s="21" t="str">
        <f ca="1">IF(I2986=0,"",COUNTIF($I$2:I2986,"&gt;0"))</f>
        <v/>
      </c>
      <c r="K2986" s="21" t="str">
        <f t="shared" ca="1" si="221"/>
        <v/>
      </c>
    </row>
    <row r="2987" spans="1:11" s="18" customFormat="1" ht="14.25" x14ac:dyDescent="0.2">
      <c r="A2987" s="18" t="str">
        <f t="shared" si="224"/>
        <v>Eintrag 2986</v>
      </c>
      <c r="B2987" s="18">
        <v>100</v>
      </c>
      <c r="C2987" s="19">
        <v>100</v>
      </c>
      <c r="D2987" s="20">
        <v>10</v>
      </c>
      <c r="E2987" s="20">
        <v>10</v>
      </c>
      <c r="F2987" s="20">
        <v>10</v>
      </c>
      <c r="G2987" s="19">
        <f t="shared" si="222"/>
        <v>172</v>
      </c>
      <c r="H2987" s="22">
        <f t="shared" si="223"/>
        <v>2986</v>
      </c>
      <c r="I2987" s="21">
        <f t="shared" ca="1" si="220"/>
        <v>0</v>
      </c>
      <c r="J2987" s="21" t="str">
        <f ca="1">IF(I2987=0,"",COUNTIF($I$2:I2987,"&gt;0"))</f>
        <v/>
      </c>
      <c r="K2987" s="21" t="str">
        <f t="shared" ca="1" si="221"/>
        <v/>
      </c>
    </row>
    <row r="2988" spans="1:11" s="18" customFormat="1" ht="14.25" x14ac:dyDescent="0.2">
      <c r="A2988" s="18" t="str">
        <f t="shared" si="224"/>
        <v>Eintrag 2987</v>
      </c>
      <c r="B2988" s="18">
        <v>100</v>
      </c>
      <c r="C2988" s="19">
        <v>100</v>
      </c>
      <c r="D2988" s="20">
        <v>10</v>
      </c>
      <c r="E2988" s="20">
        <v>10</v>
      </c>
      <c r="F2988" s="20">
        <v>10</v>
      </c>
      <c r="G2988" s="19">
        <f t="shared" si="222"/>
        <v>172</v>
      </c>
      <c r="H2988" s="22">
        <f t="shared" si="223"/>
        <v>2987</v>
      </c>
      <c r="I2988" s="21">
        <f t="shared" ca="1" si="220"/>
        <v>0</v>
      </c>
      <c r="J2988" s="21" t="str">
        <f ca="1">IF(I2988=0,"",COUNTIF($I$2:I2988,"&gt;0"))</f>
        <v/>
      </c>
      <c r="K2988" s="21" t="str">
        <f t="shared" ca="1" si="221"/>
        <v/>
      </c>
    </row>
    <row r="2989" spans="1:11" s="18" customFormat="1" ht="14.25" x14ac:dyDescent="0.2">
      <c r="A2989" s="18" t="str">
        <f t="shared" si="224"/>
        <v>Eintrag 2988</v>
      </c>
      <c r="B2989" s="18">
        <v>100</v>
      </c>
      <c r="C2989" s="19">
        <v>100</v>
      </c>
      <c r="D2989" s="20">
        <v>10</v>
      </c>
      <c r="E2989" s="20">
        <v>10</v>
      </c>
      <c r="F2989" s="20">
        <v>10</v>
      </c>
      <c r="G2989" s="19">
        <f t="shared" si="222"/>
        <v>172</v>
      </c>
      <c r="H2989" s="22">
        <f t="shared" si="223"/>
        <v>2988</v>
      </c>
      <c r="I2989" s="21">
        <f t="shared" ca="1" si="220"/>
        <v>0</v>
      </c>
      <c r="J2989" s="21" t="str">
        <f ca="1">IF(I2989=0,"",COUNTIF($I$2:I2989,"&gt;0"))</f>
        <v/>
      </c>
      <c r="K2989" s="21" t="str">
        <f t="shared" ca="1" si="221"/>
        <v/>
      </c>
    </row>
    <row r="2990" spans="1:11" s="18" customFormat="1" ht="14.25" x14ac:dyDescent="0.2">
      <c r="A2990" s="18" t="str">
        <f t="shared" si="224"/>
        <v>Eintrag 2989</v>
      </c>
      <c r="B2990" s="18">
        <v>100</v>
      </c>
      <c r="C2990" s="19">
        <v>100</v>
      </c>
      <c r="D2990" s="20">
        <v>10</v>
      </c>
      <c r="E2990" s="20">
        <v>10</v>
      </c>
      <c r="F2990" s="20">
        <v>10</v>
      </c>
      <c r="G2990" s="19">
        <f t="shared" si="222"/>
        <v>172</v>
      </c>
      <c r="H2990" s="22">
        <f t="shared" si="223"/>
        <v>2989</v>
      </c>
      <c r="I2990" s="21">
        <f t="shared" ca="1" si="220"/>
        <v>0</v>
      </c>
      <c r="J2990" s="21" t="str">
        <f ca="1">IF(I2990=0,"",COUNTIF($I$2:I2990,"&gt;0"))</f>
        <v/>
      </c>
      <c r="K2990" s="21" t="str">
        <f t="shared" ca="1" si="221"/>
        <v/>
      </c>
    </row>
    <row r="2991" spans="1:11" s="18" customFormat="1" ht="14.25" x14ac:dyDescent="0.2">
      <c r="A2991" s="18" t="str">
        <f t="shared" si="224"/>
        <v>Eintrag 2990</v>
      </c>
      <c r="B2991" s="18">
        <v>100</v>
      </c>
      <c r="C2991" s="19">
        <v>100</v>
      </c>
      <c r="D2991" s="20">
        <v>10</v>
      </c>
      <c r="E2991" s="20">
        <v>10</v>
      </c>
      <c r="F2991" s="20">
        <v>10</v>
      </c>
      <c r="G2991" s="19">
        <f t="shared" si="222"/>
        <v>172</v>
      </c>
      <c r="H2991" s="22">
        <f t="shared" si="223"/>
        <v>2990</v>
      </c>
      <c r="I2991" s="21">
        <f t="shared" ca="1" si="220"/>
        <v>0</v>
      </c>
      <c r="J2991" s="21" t="str">
        <f ca="1">IF(I2991=0,"",COUNTIF($I$2:I2991,"&gt;0"))</f>
        <v/>
      </c>
      <c r="K2991" s="21" t="str">
        <f t="shared" ca="1" si="221"/>
        <v/>
      </c>
    </row>
    <row r="2992" spans="1:11" s="18" customFormat="1" ht="14.25" x14ac:dyDescent="0.2">
      <c r="A2992" s="18" t="str">
        <f t="shared" si="224"/>
        <v>Eintrag 2991</v>
      </c>
      <c r="B2992" s="18">
        <v>100</v>
      </c>
      <c r="C2992" s="19">
        <v>100</v>
      </c>
      <c r="D2992" s="20">
        <v>10</v>
      </c>
      <c r="E2992" s="20">
        <v>10</v>
      </c>
      <c r="F2992" s="20">
        <v>10</v>
      </c>
      <c r="G2992" s="19">
        <f t="shared" si="222"/>
        <v>172</v>
      </c>
      <c r="H2992" s="22">
        <f t="shared" si="223"/>
        <v>2991</v>
      </c>
      <c r="I2992" s="21">
        <f t="shared" ca="1" si="220"/>
        <v>0</v>
      </c>
      <c r="J2992" s="21" t="str">
        <f ca="1">IF(I2992=0,"",COUNTIF($I$2:I2992,"&gt;0"))</f>
        <v/>
      </c>
      <c r="K2992" s="21" t="str">
        <f t="shared" ca="1" si="221"/>
        <v/>
      </c>
    </row>
    <row r="2993" spans="1:11" s="18" customFormat="1" ht="14.25" x14ac:dyDescent="0.2">
      <c r="A2993" s="18" t="str">
        <f t="shared" si="224"/>
        <v>Eintrag 2992</v>
      </c>
      <c r="B2993" s="18">
        <v>100</v>
      </c>
      <c r="C2993" s="19">
        <v>100</v>
      </c>
      <c r="D2993" s="20">
        <v>10</v>
      </c>
      <c r="E2993" s="20">
        <v>10</v>
      </c>
      <c r="F2993" s="20">
        <v>10</v>
      </c>
      <c r="G2993" s="19">
        <f t="shared" si="222"/>
        <v>172</v>
      </c>
      <c r="H2993" s="22">
        <f t="shared" si="223"/>
        <v>2992</v>
      </c>
      <c r="I2993" s="21">
        <f t="shared" ca="1" si="220"/>
        <v>0</v>
      </c>
      <c r="J2993" s="21" t="str">
        <f ca="1">IF(I2993=0,"",COUNTIF($I$2:I2993,"&gt;0"))</f>
        <v/>
      </c>
      <c r="K2993" s="21" t="str">
        <f t="shared" ca="1" si="221"/>
        <v/>
      </c>
    </row>
    <row r="2994" spans="1:11" s="18" customFormat="1" ht="14.25" x14ac:dyDescent="0.2">
      <c r="A2994" s="18" t="str">
        <f t="shared" si="224"/>
        <v>Eintrag 2993</v>
      </c>
      <c r="B2994" s="18">
        <v>100</v>
      </c>
      <c r="C2994" s="19">
        <v>100</v>
      </c>
      <c r="D2994" s="20">
        <v>10</v>
      </c>
      <c r="E2994" s="20">
        <v>10</v>
      </c>
      <c r="F2994" s="20">
        <v>10</v>
      </c>
      <c r="G2994" s="19">
        <f t="shared" si="222"/>
        <v>172</v>
      </c>
      <c r="H2994" s="22">
        <f t="shared" si="223"/>
        <v>2993</v>
      </c>
      <c r="I2994" s="21">
        <f t="shared" ca="1" si="220"/>
        <v>0</v>
      </c>
      <c r="J2994" s="21" t="str">
        <f ca="1">IF(I2994=0,"",COUNTIF($I$2:I2994,"&gt;0"))</f>
        <v/>
      </c>
      <c r="K2994" s="21" t="str">
        <f t="shared" ca="1" si="221"/>
        <v/>
      </c>
    </row>
    <row r="2995" spans="1:11" s="18" customFormat="1" ht="14.25" x14ac:dyDescent="0.2">
      <c r="A2995" s="18" t="str">
        <f t="shared" si="224"/>
        <v>Eintrag 2994</v>
      </c>
      <c r="B2995" s="18">
        <v>100</v>
      </c>
      <c r="C2995" s="19">
        <v>100</v>
      </c>
      <c r="D2995" s="20">
        <v>10</v>
      </c>
      <c r="E2995" s="20">
        <v>10</v>
      </c>
      <c r="F2995" s="20">
        <v>10</v>
      </c>
      <c r="G2995" s="19">
        <f t="shared" si="222"/>
        <v>172</v>
      </c>
      <c r="H2995" s="22">
        <f t="shared" si="223"/>
        <v>2994</v>
      </c>
      <c r="I2995" s="21">
        <f t="shared" ca="1" si="220"/>
        <v>0</v>
      </c>
      <c r="J2995" s="21" t="str">
        <f ca="1">IF(I2995=0,"",COUNTIF($I$2:I2995,"&gt;0"))</f>
        <v/>
      </c>
      <c r="K2995" s="21" t="str">
        <f t="shared" ca="1" si="221"/>
        <v/>
      </c>
    </row>
    <row r="2996" spans="1:11" s="18" customFormat="1" ht="14.25" x14ac:dyDescent="0.2">
      <c r="A2996" s="18" t="str">
        <f t="shared" si="224"/>
        <v>Eintrag 2995</v>
      </c>
      <c r="B2996" s="18">
        <v>100</v>
      </c>
      <c r="C2996" s="19">
        <v>100</v>
      </c>
      <c r="D2996" s="20">
        <v>10</v>
      </c>
      <c r="E2996" s="20">
        <v>10</v>
      </c>
      <c r="F2996" s="20">
        <v>10</v>
      </c>
      <c r="G2996" s="19">
        <f t="shared" si="222"/>
        <v>172</v>
      </c>
      <c r="H2996" s="22">
        <f t="shared" si="223"/>
        <v>2995</v>
      </c>
      <c r="I2996" s="21">
        <f t="shared" ca="1" si="220"/>
        <v>0</v>
      </c>
      <c r="J2996" s="21" t="str">
        <f ca="1">IF(I2996=0,"",COUNTIF($I$2:I2996,"&gt;0"))</f>
        <v/>
      </c>
      <c r="K2996" s="21" t="str">
        <f t="shared" ca="1" si="221"/>
        <v/>
      </c>
    </row>
    <row r="2997" spans="1:11" s="18" customFormat="1" ht="14.25" x14ac:dyDescent="0.2">
      <c r="A2997" s="18" t="str">
        <f t="shared" si="224"/>
        <v>Eintrag 2996</v>
      </c>
      <c r="B2997" s="18">
        <v>100</v>
      </c>
      <c r="C2997" s="19">
        <v>100</v>
      </c>
      <c r="D2997" s="20">
        <v>10</v>
      </c>
      <c r="E2997" s="20">
        <v>10</v>
      </c>
      <c r="F2997" s="20">
        <v>10</v>
      </c>
      <c r="G2997" s="19">
        <f t="shared" si="222"/>
        <v>172</v>
      </c>
      <c r="H2997" s="22">
        <f t="shared" si="223"/>
        <v>2996</v>
      </c>
      <c r="I2997" s="21">
        <f t="shared" ca="1" si="220"/>
        <v>0</v>
      </c>
      <c r="J2997" s="21" t="str">
        <f ca="1">IF(I2997=0,"",COUNTIF($I$2:I2997,"&gt;0"))</f>
        <v/>
      </c>
      <c r="K2997" s="21" t="str">
        <f t="shared" ca="1" si="221"/>
        <v/>
      </c>
    </row>
    <row r="2998" spans="1:11" s="18" customFormat="1" ht="14.25" x14ac:dyDescent="0.2">
      <c r="A2998" s="18" t="str">
        <f t="shared" si="224"/>
        <v>Eintrag 2997</v>
      </c>
      <c r="B2998" s="18">
        <v>100</v>
      </c>
      <c r="C2998" s="19">
        <v>100</v>
      </c>
      <c r="D2998" s="20">
        <v>10</v>
      </c>
      <c r="E2998" s="20">
        <v>10</v>
      </c>
      <c r="F2998" s="20">
        <v>10</v>
      </c>
      <c r="G2998" s="19">
        <f t="shared" si="222"/>
        <v>172</v>
      </c>
      <c r="H2998" s="22">
        <f t="shared" si="223"/>
        <v>2997</v>
      </c>
      <c r="I2998" s="21">
        <f t="shared" ca="1" si="220"/>
        <v>0</v>
      </c>
      <c r="J2998" s="21" t="str">
        <f ca="1">IF(I2998=0,"",COUNTIF($I$2:I2998,"&gt;0"))</f>
        <v/>
      </c>
      <c r="K2998" s="21" t="str">
        <f t="shared" ca="1" si="221"/>
        <v/>
      </c>
    </row>
    <row r="2999" spans="1:11" s="18" customFormat="1" ht="14.25" x14ac:dyDescent="0.2">
      <c r="A2999" s="18" t="str">
        <f t="shared" si="224"/>
        <v>Eintrag 2998</v>
      </c>
      <c r="B2999" s="18">
        <v>100</v>
      </c>
      <c r="C2999" s="19">
        <v>100</v>
      </c>
      <c r="D2999" s="20">
        <v>10</v>
      </c>
      <c r="E2999" s="20">
        <v>10</v>
      </c>
      <c r="F2999" s="20">
        <v>10</v>
      </c>
      <c r="G2999" s="19">
        <f t="shared" si="222"/>
        <v>172</v>
      </c>
      <c r="H2999" s="22">
        <f t="shared" si="223"/>
        <v>2998</v>
      </c>
      <c r="I2999" s="21">
        <f t="shared" ca="1" si="220"/>
        <v>0</v>
      </c>
      <c r="J2999" s="21" t="str">
        <f ca="1">IF(I2999=0,"",COUNTIF($I$2:I2999,"&gt;0"))</f>
        <v/>
      </c>
      <c r="K2999" s="21" t="str">
        <f t="shared" ca="1" si="221"/>
        <v/>
      </c>
    </row>
    <row r="3000" spans="1:11" s="18" customFormat="1" ht="14.25" x14ac:dyDescent="0.2">
      <c r="A3000" s="18" t="str">
        <f t="shared" si="224"/>
        <v>Eintrag 2999</v>
      </c>
      <c r="B3000" s="18">
        <v>100</v>
      </c>
      <c r="C3000" s="19">
        <v>100</v>
      </c>
      <c r="D3000" s="20">
        <v>10</v>
      </c>
      <c r="E3000" s="20">
        <v>10</v>
      </c>
      <c r="F3000" s="20">
        <v>10</v>
      </c>
      <c r="G3000" s="19">
        <f t="shared" si="222"/>
        <v>172</v>
      </c>
      <c r="H3000" s="22">
        <f t="shared" si="223"/>
        <v>2999</v>
      </c>
      <c r="I3000" s="21">
        <f t="shared" ca="1" si="220"/>
        <v>0</v>
      </c>
      <c r="J3000" s="21" t="str">
        <f ca="1">IF(I3000=0,"",COUNTIF($I$2:I3000,"&gt;0"))</f>
        <v/>
      </c>
      <c r="K3000" s="21" t="str">
        <f t="shared" ca="1" si="221"/>
        <v/>
      </c>
    </row>
    <row r="3001" spans="1:11" s="18" customFormat="1" ht="14.25" x14ac:dyDescent="0.2">
      <c r="A3001" s="18" t="str">
        <f t="shared" si="224"/>
        <v>Eintrag 3000</v>
      </c>
      <c r="B3001" s="18">
        <v>100</v>
      </c>
      <c r="C3001" s="19">
        <v>100</v>
      </c>
      <c r="D3001" s="20">
        <v>10</v>
      </c>
      <c r="E3001" s="20">
        <v>10</v>
      </c>
      <c r="F3001" s="20">
        <v>10</v>
      </c>
      <c r="G3001" s="19">
        <f t="shared" si="222"/>
        <v>172</v>
      </c>
      <c r="H3001" s="22">
        <f t="shared" si="223"/>
        <v>3000</v>
      </c>
      <c r="I3001" s="21">
        <f t="shared" ca="1" si="220"/>
        <v>0</v>
      </c>
      <c r="J3001" s="21" t="str">
        <f ca="1">IF(I3001=0,"",COUNTIF($I$2:I3001,"&gt;0"))</f>
        <v/>
      </c>
      <c r="K3001" s="21" t="str">
        <f t="shared" ca="1" si="221"/>
        <v/>
      </c>
    </row>
    <row r="3002" spans="1:11" s="18" customFormat="1" ht="14.25" x14ac:dyDescent="0.2">
      <c r="A3002" s="18" t="str">
        <f t="shared" si="224"/>
        <v>Eintrag 3001</v>
      </c>
      <c r="B3002" s="18">
        <v>100</v>
      </c>
      <c r="C3002" s="19">
        <v>100</v>
      </c>
      <c r="D3002" s="20">
        <v>10</v>
      </c>
      <c r="E3002" s="20">
        <v>10</v>
      </c>
      <c r="F3002" s="20">
        <v>10</v>
      </c>
      <c r="G3002" s="19">
        <f t="shared" si="222"/>
        <v>172</v>
      </c>
      <c r="H3002" s="22">
        <f t="shared" si="223"/>
        <v>3001</v>
      </c>
      <c r="I3002" s="21">
        <f t="shared" ca="1" si="220"/>
        <v>0</v>
      </c>
      <c r="J3002" s="21" t="str">
        <f ca="1">IF(I3002=0,"",COUNTIF($I$2:I3002,"&gt;0"))</f>
        <v/>
      </c>
      <c r="K3002" s="21" t="str">
        <f t="shared" ca="1" si="221"/>
        <v/>
      </c>
    </row>
    <row r="3003" spans="1:11" s="18" customFormat="1" ht="14.25" x14ac:dyDescent="0.2">
      <c r="A3003" s="18" t="str">
        <f t="shared" si="224"/>
        <v>Eintrag 3002</v>
      </c>
      <c r="B3003" s="18">
        <v>100</v>
      </c>
      <c r="C3003" s="19">
        <v>100</v>
      </c>
      <c r="D3003" s="20">
        <v>10</v>
      </c>
      <c r="E3003" s="20">
        <v>10</v>
      </c>
      <c r="F3003" s="20">
        <v>10</v>
      </c>
      <c r="G3003" s="19">
        <f t="shared" si="222"/>
        <v>172</v>
      </c>
      <c r="H3003" s="22">
        <f t="shared" si="223"/>
        <v>3002</v>
      </c>
      <c r="I3003" s="21">
        <f t="shared" ref="I3003:I3257" ca="1" si="225">IFERROR(SEARCH(INDIRECT(CELL("address")),A3003),0)</f>
        <v>0</v>
      </c>
      <c r="J3003" s="21" t="str">
        <f ca="1">IF(I3003=0,"",COUNTIF($I$2:I3003,"&gt;0"))</f>
        <v/>
      </c>
      <c r="K3003" s="21" t="str">
        <f t="shared" ca="1" si="221"/>
        <v/>
      </c>
    </row>
    <row r="3004" spans="1:11" s="18" customFormat="1" ht="14.25" x14ac:dyDescent="0.2">
      <c r="A3004" s="18" t="str">
        <f t="shared" si="224"/>
        <v>Eintrag 3003</v>
      </c>
      <c r="B3004" s="18">
        <v>100</v>
      </c>
      <c r="C3004" s="19">
        <v>100</v>
      </c>
      <c r="D3004" s="20">
        <v>10</v>
      </c>
      <c r="E3004" s="20">
        <v>10</v>
      </c>
      <c r="F3004" s="20">
        <v>10</v>
      </c>
      <c r="G3004" s="19">
        <f t="shared" si="222"/>
        <v>172</v>
      </c>
      <c r="H3004" s="22">
        <f t="shared" si="223"/>
        <v>3003</v>
      </c>
      <c r="I3004" s="21">
        <f t="shared" ca="1" si="225"/>
        <v>0</v>
      </c>
      <c r="J3004" s="21" t="str">
        <f ca="1">IF(I3004=0,"",COUNTIF($I$2:I3004,"&gt;0"))</f>
        <v/>
      </c>
      <c r="K3004" s="21" t="str">
        <f t="shared" ca="1" si="221"/>
        <v/>
      </c>
    </row>
    <row r="3005" spans="1:11" s="18" customFormat="1" ht="14.25" x14ac:dyDescent="0.2">
      <c r="A3005" s="18" t="str">
        <f t="shared" si="224"/>
        <v>Eintrag 3004</v>
      </c>
      <c r="B3005" s="18">
        <v>100</v>
      </c>
      <c r="C3005" s="19">
        <v>100</v>
      </c>
      <c r="D3005" s="20">
        <v>10</v>
      </c>
      <c r="E3005" s="20">
        <v>10</v>
      </c>
      <c r="F3005" s="20">
        <v>10</v>
      </c>
      <c r="G3005" s="19">
        <f t="shared" si="222"/>
        <v>172</v>
      </c>
      <c r="H3005" s="22">
        <f t="shared" si="223"/>
        <v>3004</v>
      </c>
      <c r="I3005" s="21">
        <f t="shared" ca="1" si="225"/>
        <v>0</v>
      </c>
      <c r="J3005" s="21" t="str">
        <f ca="1">IF(I3005=0,"",COUNTIF($I$2:I3005,"&gt;0"))</f>
        <v/>
      </c>
      <c r="K3005" s="21" t="str">
        <f t="shared" ca="1" si="221"/>
        <v/>
      </c>
    </row>
    <row r="3006" spans="1:11" s="18" customFormat="1" ht="14.25" x14ac:dyDescent="0.2">
      <c r="A3006" s="18" t="str">
        <f t="shared" si="224"/>
        <v>Eintrag 3005</v>
      </c>
      <c r="B3006" s="18">
        <v>100</v>
      </c>
      <c r="C3006" s="19">
        <v>100</v>
      </c>
      <c r="D3006" s="20">
        <v>10</v>
      </c>
      <c r="E3006" s="20">
        <v>10</v>
      </c>
      <c r="F3006" s="20">
        <v>10</v>
      </c>
      <c r="G3006" s="19">
        <f t="shared" si="222"/>
        <v>172</v>
      </c>
      <c r="H3006" s="22">
        <f t="shared" si="223"/>
        <v>3005</v>
      </c>
      <c r="I3006" s="21">
        <f t="shared" ca="1" si="225"/>
        <v>0</v>
      </c>
      <c r="J3006" s="21" t="str">
        <f ca="1">IF(I3006=0,"",COUNTIF($I$2:I3006,"&gt;0"))</f>
        <v/>
      </c>
      <c r="K3006" s="21" t="str">
        <f t="shared" ca="1" si="221"/>
        <v/>
      </c>
    </row>
    <row r="3007" spans="1:11" s="18" customFormat="1" ht="14.25" x14ac:dyDescent="0.2">
      <c r="A3007" s="18" t="str">
        <f t="shared" si="224"/>
        <v>Eintrag 3006</v>
      </c>
      <c r="B3007" s="18">
        <v>100</v>
      </c>
      <c r="C3007" s="19">
        <v>100</v>
      </c>
      <c r="D3007" s="20">
        <v>10</v>
      </c>
      <c r="E3007" s="20">
        <v>10</v>
      </c>
      <c r="F3007" s="20">
        <v>10</v>
      </c>
      <c r="G3007" s="19">
        <f t="shared" si="222"/>
        <v>172</v>
      </c>
      <c r="H3007" s="22">
        <f t="shared" si="223"/>
        <v>3006</v>
      </c>
      <c r="I3007" s="21">
        <f t="shared" ca="1" si="225"/>
        <v>0</v>
      </c>
      <c r="J3007" s="21" t="str">
        <f ca="1">IF(I3007=0,"",COUNTIF($I$2:I3007,"&gt;0"))</f>
        <v/>
      </c>
      <c r="K3007" s="21" t="str">
        <f t="shared" ca="1" si="221"/>
        <v/>
      </c>
    </row>
    <row r="3008" spans="1:11" s="18" customFormat="1" ht="14.25" x14ac:dyDescent="0.2">
      <c r="A3008" s="18" t="str">
        <f t="shared" si="224"/>
        <v>Eintrag 3007</v>
      </c>
      <c r="B3008" s="18">
        <v>100</v>
      </c>
      <c r="C3008" s="19">
        <v>100</v>
      </c>
      <c r="D3008" s="20">
        <v>10</v>
      </c>
      <c r="E3008" s="20">
        <v>10</v>
      </c>
      <c r="F3008" s="20">
        <v>10</v>
      </c>
      <c r="G3008" s="19">
        <f t="shared" si="222"/>
        <v>172</v>
      </c>
      <c r="H3008" s="22">
        <f t="shared" si="223"/>
        <v>3007</v>
      </c>
      <c r="I3008" s="21">
        <f t="shared" ca="1" si="225"/>
        <v>0</v>
      </c>
      <c r="J3008" s="21" t="str">
        <f ca="1">IF(I3008=0,"",COUNTIF($I$2:I3008,"&gt;0"))</f>
        <v/>
      </c>
      <c r="K3008" s="21" t="str">
        <f t="shared" ca="1" si="221"/>
        <v/>
      </c>
    </row>
    <row r="3009" spans="1:11" s="18" customFormat="1" ht="14.25" x14ac:dyDescent="0.2">
      <c r="A3009" s="18" t="str">
        <f t="shared" si="224"/>
        <v>Eintrag 3008</v>
      </c>
      <c r="B3009" s="18">
        <v>100</v>
      </c>
      <c r="C3009" s="19">
        <v>100</v>
      </c>
      <c r="D3009" s="20">
        <v>10</v>
      </c>
      <c r="E3009" s="20">
        <v>10</v>
      </c>
      <c r="F3009" s="20">
        <v>10</v>
      </c>
      <c r="G3009" s="19">
        <f t="shared" si="222"/>
        <v>172</v>
      </c>
      <c r="H3009" s="22">
        <f t="shared" si="223"/>
        <v>3008</v>
      </c>
      <c r="I3009" s="21">
        <f t="shared" ca="1" si="225"/>
        <v>0</v>
      </c>
      <c r="J3009" s="21" t="str">
        <f ca="1">IF(I3009=0,"",COUNTIF($I$2:I3009,"&gt;0"))</f>
        <v/>
      </c>
      <c r="K3009" s="21" t="str">
        <f t="shared" ca="1" si="221"/>
        <v/>
      </c>
    </row>
    <row r="3010" spans="1:11" s="18" customFormat="1" ht="14.25" x14ac:dyDescent="0.2">
      <c r="A3010" s="18" t="str">
        <f t="shared" si="224"/>
        <v>Eintrag 3009</v>
      </c>
      <c r="B3010" s="18">
        <v>100</v>
      </c>
      <c r="C3010" s="19">
        <v>100</v>
      </c>
      <c r="D3010" s="20">
        <v>10</v>
      </c>
      <c r="E3010" s="20">
        <v>10</v>
      </c>
      <c r="F3010" s="20">
        <v>10</v>
      </c>
      <c r="G3010" s="19">
        <f t="shared" si="222"/>
        <v>172</v>
      </c>
      <c r="H3010" s="22">
        <f t="shared" si="223"/>
        <v>3009</v>
      </c>
      <c r="I3010" s="21">
        <f t="shared" ca="1" si="225"/>
        <v>0</v>
      </c>
      <c r="J3010" s="21" t="str">
        <f ca="1">IF(I3010=0,"",COUNTIF($I$2:I3010,"&gt;0"))</f>
        <v/>
      </c>
      <c r="K3010" s="21" t="str">
        <f t="shared" ref="K3010:K3073" ca="1" si="226">IFERROR(INDEX(A:A,MATCH(ROW(I3009),J:J,0)),"")</f>
        <v/>
      </c>
    </row>
    <row r="3011" spans="1:11" s="18" customFormat="1" ht="14.25" x14ac:dyDescent="0.2">
      <c r="A3011" s="18" t="str">
        <f t="shared" si="224"/>
        <v>Eintrag 3010</v>
      </c>
      <c r="B3011" s="18">
        <v>100</v>
      </c>
      <c r="C3011" s="19">
        <v>100</v>
      </c>
      <c r="D3011" s="20">
        <v>10</v>
      </c>
      <c r="E3011" s="20">
        <v>10</v>
      </c>
      <c r="F3011" s="20">
        <v>10</v>
      </c>
      <c r="G3011" s="19">
        <f t="shared" ref="G3011:G3074" si="227">D3011*9+E3011*4.1+F3011*4.1</f>
        <v>172</v>
      </c>
      <c r="H3011" s="22">
        <f t="shared" si="223"/>
        <v>3010</v>
      </c>
      <c r="I3011" s="21">
        <f t="shared" ca="1" si="225"/>
        <v>0</v>
      </c>
      <c r="J3011" s="21" t="str">
        <f ca="1">IF(I3011=0,"",COUNTIF($I$2:I3011,"&gt;0"))</f>
        <v/>
      </c>
      <c r="K3011" s="21" t="str">
        <f t="shared" ca="1" si="226"/>
        <v/>
      </c>
    </row>
    <row r="3012" spans="1:11" s="18" customFormat="1" ht="14.25" x14ac:dyDescent="0.2">
      <c r="A3012" s="18" t="str">
        <f t="shared" si="224"/>
        <v>Eintrag 3011</v>
      </c>
      <c r="B3012" s="18">
        <v>100</v>
      </c>
      <c r="C3012" s="19">
        <v>100</v>
      </c>
      <c r="D3012" s="20">
        <v>10</v>
      </c>
      <c r="E3012" s="20">
        <v>10</v>
      </c>
      <c r="F3012" s="20">
        <v>10</v>
      </c>
      <c r="G3012" s="19">
        <f t="shared" si="227"/>
        <v>172</v>
      </c>
      <c r="H3012" s="22">
        <f t="shared" si="223"/>
        <v>3011</v>
      </c>
      <c r="I3012" s="21">
        <f t="shared" ca="1" si="225"/>
        <v>0</v>
      </c>
      <c r="J3012" s="21" t="str">
        <f ca="1">IF(I3012=0,"",COUNTIF($I$2:I3012,"&gt;0"))</f>
        <v/>
      </c>
      <c r="K3012" s="21" t="str">
        <f t="shared" ca="1" si="226"/>
        <v/>
      </c>
    </row>
    <row r="3013" spans="1:11" s="18" customFormat="1" ht="14.25" x14ac:dyDescent="0.2">
      <c r="A3013" s="18" t="str">
        <f t="shared" si="224"/>
        <v>Eintrag 3012</v>
      </c>
      <c r="B3013" s="18">
        <v>100</v>
      </c>
      <c r="C3013" s="19">
        <v>100</v>
      </c>
      <c r="D3013" s="20">
        <v>10</v>
      </c>
      <c r="E3013" s="20">
        <v>10</v>
      </c>
      <c r="F3013" s="20">
        <v>10</v>
      </c>
      <c r="G3013" s="19">
        <f t="shared" si="227"/>
        <v>172</v>
      </c>
      <c r="H3013" s="22">
        <f t="shared" si="223"/>
        <v>3012</v>
      </c>
      <c r="I3013" s="21">
        <f t="shared" ca="1" si="225"/>
        <v>0</v>
      </c>
      <c r="J3013" s="21" t="str">
        <f ca="1">IF(I3013=0,"",COUNTIF($I$2:I3013,"&gt;0"))</f>
        <v/>
      </c>
      <c r="K3013" s="21" t="str">
        <f t="shared" ca="1" si="226"/>
        <v/>
      </c>
    </row>
    <row r="3014" spans="1:11" s="18" customFormat="1" ht="14.25" x14ac:dyDescent="0.2">
      <c r="A3014" s="18" t="str">
        <f t="shared" si="224"/>
        <v>Eintrag 3013</v>
      </c>
      <c r="B3014" s="18">
        <v>100</v>
      </c>
      <c r="C3014" s="19">
        <v>100</v>
      </c>
      <c r="D3014" s="20">
        <v>10</v>
      </c>
      <c r="E3014" s="20">
        <v>10</v>
      </c>
      <c r="F3014" s="20">
        <v>10</v>
      </c>
      <c r="G3014" s="19">
        <f t="shared" si="227"/>
        <v>172</v>
      </c>
      <c r="H3014" s="22">
        <f t="shared" si="223"/>
        <v>3013</v>
      </c>
      <c r="I3014" s="21">
        <f t="shared" ca="1" si="225"/>
        <v>0</v>
      </c>
      <c r="J3014" s="21" t="str">
        <f ca="1">IF(I3014=0,"",COUNTIF($I$2:I3014,"&gt;0"))</f>
        <v/>
      </c>
      <c r="K3014" s="21" t="str">
        <f t="shared" ca="1" si="226"/>
        <v/>
      </c>
    </row>
    <row r="3015" spans="1:11" s="18" customFormat="1" ht="14.25" x14ac:dyDescent="0.2">
      <c r="A3015" s="18" t="str">
        <f t="shared" si="224"/>
        <v>Eintrag 3014</v>
      </c>
      <c r="B3015" s="18">
        <v>100</v>
      </c>
      <c r="C3015" s="19">
        <v>100</v>
      </c>
      <c r="D3015" s="20">
        <v>10</v>
      </c>
      <c r="E3015" s="20">
        <v>10</v>
      </c>
      <c r="F3015" s="20">
        <v>10</v>
      </c>
      <c r="G3015" s="19">
        <f t="shared" si="227"/>
        <v>172</v>
      </c>
      <c r="H3015" s="22">
        <f t="shared" si="223"/>
        <v>3014</v>
      </c>
      <c r="I3015" s="21">
        <f t="shared" ca="1" si="225"/>
        <v>0</v>
      </c>
      <c r="J3015" s="21" t="str">
        <f ca="1">IF(I3015=0,"",COUNTIF($I$2:I3015,"&gt;0"))</f>
        <v/>
      </c>
      <c r="K3015" s="21" t="str">
        <f t="shared" ca="1" si="226"/>
        <v/>
      </c>
    </row>
    <row r="3016" spans="1:11" s="18" customFormat="1" ht="14.25" x14ac:dyDescent="0.2">
      <c r="A3016" s="18" t="str">
        <f t="shared" si="224"/>
        <v>Eintrag 3015</v>
      </c>
      <c r="B3016" s="18">
        <v>100</v>
      </c>
      <c r="C3016" s="19">
        <v>100</v>
      </c>
      <c r="D3016" s="20">
        <v>10</v>
      </c>
      <c r="E3016" s="20">
        <v>10</v>
      </c>
      <c r="F3016" s="20">
        <v>10</v>
      </c>
      <c r="G3016" s="19">
        <f t="shared" si="227"/>
        <v>172</v>
      </c>
      <c r="H3016" s="22">
        <f t="shared" si="223"/>
        <v>3015</v>
      </c>
      <c r="I3016" s="21">
        <f t="shared" ca="1" si="225"/>
        <v>0</v>
      </c>
      <c r="J3016" s="21" t="str">
        <f ca="1">IF(I3016=0,"",COUNTIF($I$2:I3016,"&gt;0"))</f>
        <v/>
      </c>
      <c r="K3016" s="21" t="str">
        <f t="shared" ca="1" si="226"/>
        <v/>
      </c>
    </row>
    <row r="3017" spans="1:11" s="18" customFormat="1" ht="14.25" x14ac:dyDescent="0.2">
      <c r="A3017" s="18" t="str">
        <f t="shared" si="224"/>
        <v>Eintrag 3016</v>
      </c>
      <c r="B3017" s="18">
        <v>100</v>
      </c>
      <c r="C3017" s="19">
        <v>100</v>
      </c>
      <c r="D3017" s="20">
        <v>10</v>
      </c>
      <c r="E3017" s="20">
        <v>10</v>
      </c>
      <c r="F3017" s="20">
        <v>10</v>
      </c>
      <c r="G3017" s="19">
        <f t="shared" si="227"/>
        <v>172</v>
      </c>
      <c r="H3017" s="22">
        <f t="shared" si="223"/>
        <v>3016</v>
      </c>
      <c r="I3017" s="21">
        <f t="shared" ca="1" si="225"/>
        <v>0</v>
      </c>
      <c r="J3017" s="21" t="str">
        <f ca="1">IF(I3017=0,"",COUNTIF($I$2:I3017,"&gt;0"))</f>
        <v/>
      </c>
      <c r="K3017" s="21" t="str">
        <f t="shared" ca="1" si="226"/>
        <v/>
      </c>
    </row>
    <row r="3018" spans="1:11" s="18" customFormat="1" ht="14.25" x14ac:dyDescent="0.2">
      <c r="A3018" s="18" t="str">
        <f t="shared" si="224"/>
        <v>Eintrag 3017</v>
      </c>
      <c r="B3018" s="18">
        <v>100</v>
      </c>
      <c r="C3018" s="19">
        <v>100</v>
      </c>
      <c r="D3018" s="20">
        <v>10</v>
      </c>
      <c r="E3018" s="20">
        <v>10</v>
      </c>
      <c r="F3018" s="20">
        <v>10</v>
      </c>
      <c r="G3018" s="19">
        <f t="shared" si="227"/>
        <v>172</v>
      </c>
      <c r="H3018" s="22">
        <f t="shared" si="223"/>
        <v>3017</v>
      </c>
      <c r="I3018" s="21">
        <f t="shared" ca="1" si="225"/>
        <v>0</v>
      </c>
      <c r="J3018" s="21" t="str">
        <f ca="1">IF(I3018=0,"",COUNTIF($I$2:I3018,"&gt;0"))</f>
        <v/>
      </c>
      <c r="K3018" s="21" t="str">
        <f t="shared" ca="1" si="226"/>
        <v/>
      </c>
    </row>
    <row r="3019" spans="1:11" s="18" customFormat="1" ht="14.25" x14ac:dyDescent="0.2">
      <c r="A3019" s="18" t="str">
        <f t="shared" si="224"/>
        <v>Eintrag 3018</v>
      </c>
      <c r="B3019" s="18">
        <v>100</v>
      </c>
      <c r="C3019" s="19">
        <v>100</v>
      </c>
      <c r="D3019" s="20">
        <v>10</v>
      </c>
      <c r="E3019" s="20">
        <v>10</v>
      </c>
      <c r="F3019" s="20">
        <v>10</v>
      </c>
      <c r="G3019" s="19">
        <f t="shared" si="227"/>
        <v>172</v>
      </c>
      <c r="H3019" s="22">
        <f t="shared" si="223"/>
        <v>3018</v>
      </c>
      <c r="I3019" s="21">
        <f t="shared" ca="1" si="225"/>
        <v>0</v>
      </c>
      <c r="J3019" s="21" t="str">
        <f ca="1">IF(I3019=0,"",COUNTIF($I$2:I3019,"&gt;0"))</f>
        <v/>
      </c>
      <c r="K3019" s="21" t="str">
        <f t="shared" ca="1" si="226"/>
        <v/>
      </c>
    </row>
    <row r="3020" spans="1:11" s="18" customFormat="1" ht="14.25" x14ac:dyDescent="0.2">
      <c r="A3020" s="18" t="str">
        <f t="shared" si="224"/>
        <v>Eintrag 3019</v>
      </c>
      <c r="B3020" s="18">
        <v>100</v>
      </c>
      <c r="C3020" s="19">
        <v>100</v>
      </c>
      <c r="D3020" s="20">
        <v>10</v>
      </c>
      <c r="E3020" s="20">
        <v>10</v>
      </c>
      <c r="F3020" s="20">
        <v>10</v>
      </c>
      <c r="G3020" s="19">
        <f t="shared" si="227"/>
        <v>172</v>
      </c>
      <c r="H3020" s="22">
        <f t="shared" si="223"/>
        <v>3019</v>
      </c>
      <c r="I3020" s="21">
        <f t="shared" ca="1" si="225"/>
        <v>0</v>
      </c>
      <c r="J3020" s="21" t="str">
        <f ca="1">IF(I3020=0,"",COUNTIF($I$2:I3020,"&gt;0"))</f>
        <v/>
      </c>
      <c r="K3020" s="21" t="str">
        <f t="shared" ca="1" si="226"/>
        <v/>
      </c>
    </row>
    <row r="3021" spans="1:11" s="18" customFormat="1" ht="14.25" x14ac:dyDescent="0.2">
      <c r="A3021" s="18" t="str">
        <f t="shared" si="224"/>
        <v>Eintrag 3020</v>
      </c>
      <c r="B3021" s="18">
        <v>100</v>
      </c>
      <c r="C3021" s="19">
        <v>100</v>
      </c>
      <c r="D3021" s="20">
        <v>10</v>
      </c>
      <c r="E3021" s="20">
        <v>10</v>
      </c>
      <c r="F3021" s="20">
        <v>10</v>
      </c>
      <c r="G3021" s="19">
        <f t="shared" si="227"/>
        <v>172</v>
      </c>
      <c r="H3021" s="22">
        <f t="shared" si="223"/>
        <v>3020</v>
      </c>
      <c r="I3021" s="21">
        <f t="shared" ca="1" si="225"/>
        <v>0</v>
      </c>
      <c r="J3021" s="21" t="str">
        <f ca="1">IF(I3021=0,"",COUNTIF($I$2:I3021,"&gt;0"))</f>
        <v/>
      </c>
      <c r="K3021" s="21" t="str">
        <f t="shared" ca="1" si="226"/>
        <v/>
      </c>
    </row>
    <row r="3022" spans="1:11" s="18" customFormat="1" ht="14.25" x14ac:dyDescent="0.2">
      <c r="A3022" s="18" t="str">
        <f t="shared" si="224"/>
        <v>Eintrag 3021</v>
      </c>
      <c r="B3022" s="18">
        <v>100</v>
      </c>
      <c r="C3022" s="19">
        <v>100</v>
      </c>
      <c r="D3022" s="20">
        <v>10</v>
      </c>
      <c r="E3022" s="20">
        <v>10</v>
      </c>
      <c r="F3022" s="20">
        <v>10</v>
      </c>
      <c r="G3022" s="19">
        <f t="shared" si="227"/>
        <v>172</v>
      </c>
      <c r="H3022" s="22">
        <f t="shared" si="223"/>
        <v>3021</v>
      </c>
      <c r="I3022" s="21">
        <f t="shared" ca="1" si="225"/>
        <v>0</v>
      </c>
      <c r="J3022" s="21" t="str">
        <f ca="1">IF(I3022=0,"",COUNTIF($I$2:I3022,"&gt;0"))</f>
        <v/>
      </c>
      <c r="K3022" s="21" t="str">
        <f t="shared" ca="1" si="226"/>
        <v/>
      </c>
    </row>
    <row r="3023" spans="1:11" s="18" customFormat="1" ht="14.25" x14ac:dyDescent="0.2">
      <c r="A3023" s="18" t="str">
        <f t="shared" si="224"/>
        <v>Eintrag 3022</v>
      </c>
      <c r="B3023" s="18">
        <v>100</v>
      </c>
      <c r="C3023" s="19">
        <v>100</v>
      </c>
      <c r="D3023" s="20">
        <v>10</v>
      </c>
      <c r="E3023" s="20">
        <v>10</v>
      </c>
      <c r="F3023" s="20">
        <v>10</v>
      </c>
      <c r="G3023" s="19">
        <f t="shared" si="227"/>
        <v>172</v>
      </c>
      <c r="H3023" s="22">
        <f t="shared" si="223"/>
        <v>3022</v>
      </c>
      <c r="I3023" s="21">
        <f t="shared" ca="1" si="225"/>
        <v>0</v>
      </c>
      <c r="J3023" s="21" t="str">
        <f ca="1">IF(I3023=0,"",COUNTIF($I$2:I3023,"&gt;0"))</f>
        <v/>
      </c>
      <c r="K3023" s="21" t="str">
        <f t="shared" ca="1" si="226"/>
        <v/>
      </c>
    </row>
    <row r="3024" spans="1:11" s="18" customFormat="1" ht="14.25" x14ac:dyDescent="0.2">
      <c r="A3024" s="18" t="str">
        <f t="shared" si="224"/>
        <v>Eintrag 3023</v>
      </c>
      <c r="B3024" s="18">
        <v>100</v>
      </c>
      <c r="C3024" s="19">
        <v>100</v>
      </c>
      <c r="D3024" s="20">
        <v>10</v>
      </c>
      <c r="E3024" s="20">
        <v>10</v>
      </c>
      <c r="F3024" s="20">
        <v>10</v>
      </c>
      <c r="G3024" s="19">
        <f t="shared" si="227"/>
        <v>172</v>
      </c>
      <c r="H3024" s="22">
        <f t="shared" si="223"/>
        <v>3023</v>
      </c>
      <c r="I3024" s="21">
        <f t="shared" ca="1" si="225"/>
        <v>0</v>
      </c>
      <c r="J3024" s="21" t="str">
        <f ca="1">IF(I3024=0,"",COUNTIF($I$2:I3024,"&gt;0"))</f>
        <v/>
      </c>
      <c r="K3024" s="21" t="str">
        <f t="shared" ca="1" si="226"/>
        <v/>
      </c>
    </row>
    <row r="3025" spans="1:11" s="18" customFormat="1" ht="14.25" x14ac:dyDescent="0.2">
      <c r="A3025" s="18" t="str">
        <f t="shared" si="224"/>
        <v>Eintrag 3024</v>
      </c>
      <c r="B3025" s="18">
        <v>100</v>
      </c>
      <c r="C3025" s="19">
        <v>100</v>
      </c>
      <c r="D3025" s="20">
        <v>10</v>
      </c>
      <c r="E3025" s="20">
        <v>10</v>
      </c>
      <c r="F3025" s="20">
        <v>10</v>
      </c>
      <c r="G3025" s="19">
        <f t="shared" si="227"/>
        <v>172</v>
      </c>
      <c r="H3025" s="22">
        <f t="shared" si="223"/>
        <v>3024</v>
      </c>
      <c r="I3025" s="21">
        <f t="shared" ca="1" si="225"/>
        <v>0</v>
      </c>
      <c r="J3025" s="21" t="str">
        <f ca="1">IF(I3025=0,"",COUNTIF($I$2:I3025,"&gt;0"))</f>
        <v/>
      </c>
      <c r="K3025" s="21" t="str">
        <f t="shared" ca="1" si="226"/>
        <v/>
      </c>
    </row>
    <row r="3026" spans="1:11" s="18" customFormat="1" ht="14.25" x14ac:dyDescent="0.2">
      <c r="A3026" s="18" t="str">
        <f t="shared" si="224"/>
        <v>Eintrag 3025</v>
      </c>
      <c r="B3026" s="18">
        <v>100</v>
      </c>
      <c r="C3026" s="19">
        <v>100</v>
      </c>
      <c r="D3026" s="20">
        <v>10</v>
      </c>
      <c r="E3026" s="20">
        <v>10</v>
      </c>
      <c r="F3026" s="20">
        <v>10</v>
      </c>
      <c r="G3026" s="19">
        <f t="shared" si="227"/>
        <v>172</v>
      </c>
      <c r="H3026" s="22">
        <f t="shared" si="223"/>
        <v>3025</v>
      </c>
      <c r="I3026" s="21">
        <f t="shared" ca="1" si="225"/>
        <v>0</v>
      </c>
      <c r="J3026" s="21" t="str">
        <f ca="1">IF(I3026=0,"",COUNTIF($I$2:I3026,"&gt;0"))</f>
        <v/>
      </c>
      <c r="K3026" s="21" t="str">
        <f t="shared" ca="1" si="226"/>
        <v/>
      </c>
    </row>
    <row r="3027" spans="1:11" s="18" customFormat="1" ht="14.25" x14ac:dyDescent="0.2">
      <c r="A3027" s="18" t="str">
        <f t="shared" si="224"/>
        <v>Eintrag 3026</v>
      </c>
      <c r="B3027" s="18">
        <v>100</v>
      </c>
      <c r="C3027" s="19">
        <v>100</v>
      </c>
      <c r="D3027" s="20">
        <v>10</v>
      </c>
      <c r="E3027" s="20">
        <v>10</v>
      </c>
      <c r="F3027" s="20">
        <v>10</v>
      </c>
      <c r="G3027" s="19">
        <f t="shared" si="227"/>
        <v>172</v>
      </c>
      <c r="H3027" s="22">
        <f t="shared" si="223"/>
        <v>3026</v>
      </c>
      <c r="I3027" s="21">
        <f t="shared" ca="1" si="225"/>
        <v>0</v>
      </c>
      <c r="J3027" s="21" t="str">
        <f ca="1">IF(I3027=0,"",COUNTIF($I$2:I3027,"&gt;0"))</f>
        <v/>
      </c>
      <c r="K3027" s="21" t="str">
        <f t="shared" ca="1" si="226"/>
        <v/>
      </c>
    </row>
    <row r="3028" spans="1:11" s="18" customFormat="1" ht="14.25" x14ac:dyDescent="0.2">
      <c r="A3028" s="18" t="str">
        <f t="shared" si="224"/>
        <v>Eintrag 3027</v>
      </c>
      <c r="B3028" s="18">
        <v>100</v>
      </c>
      <c r="C3028" s="19">
        <v>100</v>
      </c>
      <c r="D3028" s="20">
        <v>10</v>
      </c>
      <c r="E3028" s="20">
        <v>10</v>
      </c>
      <c r="F3028" s="20">
        <v>10</v>
      </c>
      <c r="G3028" s="19">
        <f t="shared" si="227"/>
        <v>172</v>
      </c>
      <c r="H3028" s="22">
        <f t="shared" si="223"/>
        <v>3027</v>
      </c>
      <c r="I3028" s="21">
        <f t="shared" ca="1" si="225"/>
        <v>0</v>
      </c>
      <c r="J3028" s="21" t="str">
        <f ca="1">IF(I3028=0,"",COUNTIF($I$2:I3028,"&gt;0"))</f>
        <v/>
      </c>
      <c r="K3028" s="21" t="str">
        <f t="shared" ca="1" si="226"/>
        <v/>
      </c>
    </row>
    <row r="3029" spans="1:11" s="18" customFormat="1" ht="14.25" x14ac:dyDescent="0.2">
      <c r="A3029" s="18" t="str">
        <f t="shared" si="224"/>
        <v>Eintrag 3028</v>
      </c>
      <c r="B3029" s="18">
        <v>100</v>
      </c>
      <c r="C3029" s="19">
        <v>100</v>
      </c>
      <c r="D3029" s="20">
        <v>10</v>
      </c>
      <c r="E3029" s="20">
        <v>10</v>
      </c>
      <c r="F3029" s="20">
        <v>10</v>
      </c>
      <c r="G3029" s="19">
        <f t="shared" si="227"/>
        <v>172</v>
      </c>
      <c r="H3029" s="22">
        <f t="shared" si="223"/>
        <v>3028</v>
      </c>
      <c r="I3029" s="21">
        <f t="shared" ca="1" si="225"/>
        <v>0</v>
      </c>
      <c r="J3029" s="21" t="str">
        <f ca="1">IF(I3029=0,"",COUNTIF($I$2:I3029,"&gt;0"))</f>
        <v/>
      </c>
      <c r="K3029" s="21" t="str">
        <f t="shared" ca="1" si="226"/>
        <v/>
      </c>
    </row>
    <row r="3030" spans="1:11" s="18" customFormat="1" ht="14.25" x14ac:dyDescent="0.2">
      <c r="A3030" s="18" t="str">
        <f t="shared" si="224"/>
        <v>Eintrag 3029</v>
      </c>
      <c r="B3030" s="18">
        <v>100</v>
      </c>
      <c r="C3030" s="19">
        <v>100</v>
      </c>
      <c r="D3030" s="20">
        <v>10</v>
      </c>
      <c r="E3030" s="20">
        <v>10</v>
      </c>
      <c r="F3030" s="20">
        <v>10</v>
      </c>
      <c r="G3030" s="19">
        <f t="shared" si="227"/>
        <v>172</v>
      </c>
      <c r="H3030" s="22">
        <f t="shared" si="223"/>
        <v>3029</v>
      </c>
      <c r="I3030" s="21">
        <f t="shared" ca="1" si="225"/>
        <v>0</v>
      </c>
      <c r="J3030" s="21" t="str">
        <f ca="1">IF(I3030=0,"",COUNTIF($I$2:I3030,"&gt;0"))</f>
        <v/>
      </c>
      <c r="K3030" s="21" t="str">
        <f t="shared" ca="1" si="226"/>
        <v/>
      </c>
    </row>
    <row r="3031" spans="1:11" s="18" customFormat="1" ht="14.25" x14ac:dyDescent="0.2">
      <c r="A3031" s="18" t="str">
        <f t="shared" si="224"/>
        <v>Eintrag 3030</v>
      </c>
      <c r="B3031" s="18">
        <v>100</v>
      </c>
      <c r="C3031" s="19">
        <v>100</v>
      </c>
      <c r="D3031" s="20">
        <v>10</v>
      </c>
      <c r="E3031" s="20">
        <v>10</v>
      </c>
      <c r="F3031" s="20">
        <v>10</v>
      </c>
      <c r="G3031" s="19">
        <f t="shared" si="227"/>
        <v>172</v>
      </c>
      <c r="H3031" s="22">
        <f t="shared" si="223"/>
        <v>3030</v>
      </c>
      <c r="I3031" s="21">
        <f t="shared" ca="1" si="225"/>
        <v>0</v>
      </c>
      <c r="J3031" s="21" t="str">
        <f ca="1">IF(I3031=0,"",COUNTIF($I$2:I3031,"&gt;0"))</f>
        <v/>
      </c>
      <c r="K3031" s="21" t="str">
        <f t="shared" ca="1" si="226"/>
        <v/>
      </c>
    </row>
    <row r="3032" spans="1:11" s="18" customFormat="1" ht="14.25" x14ac:dyDescent="0.2">
      <c r="A3032" s="18" t="str">
        <f t="shared" si="224"/>
        <v>Eintrag 3031</v>
      </c>
      <c r="B3032" s="18">
        <v>100</v>
      </c>
      <c r="C3032" s="19">
        <v>100</v>
      </c>
      <c r="D3032" s="20">
        <v>10</v>
      </c>
      <c r="E3032" s="20">
        <v>10</v>
      </c>
      <c r="F3032" s="20">
        <v>10</v>
      </c>
      <c r="G3032" s="19">
        <f t="shared" si="227"/>
        <v>172</v>
      </c>
      <c r="H3032" s="22">
        <f t="shared" si="223"/>
        <v>3031</v>
      </c>
      <c r="I3032" s="21">
        <f t="shared" ca="1" si="225"/>
        <v>0</v>
      </c>
      <c r="J3032" s="21" t="str">
        <f ca="1">IF(I3032=0,"",COUNTIF($I$2:I3032,"&gt;0"))</f>
        <v/>
      </c>
      <c r="K3032" s="21" t="str">
        <f t="shared" ca="1" si="226"/>
        <v/>
      </c>
    </row>
    <row r="3033" spans="1:11" s="18" customFormat="1" ht="14.25" x14ac:dyDescent="0.2">
      <c r="A3033" s="18" t="str">
        <f t="shared" si="224"/>
        <v>Eintrag 3032</v>
      </c>
      <c r="B3033" s="18">
        <v>100</v>
      </c>
      <c r="C3033" s="19">
        <v>100</v>
      </c>
      <c r="D3033" s="20">
        <v>10</v>
      </c>
      <c r="E3033" s="20">
        <v>10</v>
      </c>
      <c r="F3033" s="20">
        <v>10</v>
      </c>
      <c r="G3033" s="19">
        <f t="shared" si="227"/>
        <v>172</v>
      </c>
      <c r="H3033" s="22">
        <f t="shared" si="223"/>
        <v>3032</v>
      </c>
      <c r="I3033" s="21">
        <f t="shared" ca="1" si="225"/>
        <v>0</v>
      </c>
      <c r="J3033" s="21" t="str">
        <f ca="1">IF(I3033=0,"",COUNTIF($I$2:I3033,"&gt;0"))</f>
        <v/>
      </c>
      <c r="K3033" s="21" t="str">
        <f t="shared" ca="1" si="226"/>
        <v/>
      </c>
    </row>
    <row r="3034" spans="1:11" s="18" customFormat="1" ht="14.25" x14ac:dyDescent="0.2">
      <c r="A3034" s="18" t="str">
        <f t="shared" si="224"/>
        <v>Eintrag 3033</v>
      </c>
      <c r="B3034" s="18">
        <v>100</v>
      </c>
      <c r="C3034" s="19">
        <v>100</v>
      </c>
      <c r="D3034" s="20">
        <v>10</v>
      </c>
      <c r="E3034" s="20">
        <v>10</v>
      </c>
      <c r="F3034" s="20">
        <v>10</v>
      </c>
      <c r="G3034" s="19">
        <f t="shared" si="227"/>
        <v>172</v>
      </c>
      <c r="H3034" s="22">
        <f t="shared" si="223"/>
        <v>3033</v>
      </c>
      <c r="I3034" s="21">
        <f t="shared" ca="1" si="225"/>
        <v>0</v>
      </c>
      <c r="J3034" s="21" t="str">
        <f ca="1">IF(I3034=0,"",COUNTIF($I$2:I3034,"&gt;0"))</f>
        <v/>
      </c>
      <c r="K3034" s="21" t="str">
        <f t="shared" ca="1" si="226"/>
        <v/>
      </c>
    </row>
    <row r="3035" spans="1:11" s="18" customFormat="1" ht="14.25" x14ac:dyDescent="0.2">
      <c r="A3035" s="18" t="str">
        <f t="shared" si="224"/>
        <v>Eintrag 3034</v>
      </c>
      <c r="B3035" s="18">
        <v>100</v>
      </c>
      <c r="C3035" s="19">
        <v>100</v>
      </c>
      <c r="D3035" s="20">
        <v>10</v>
      </c>
      <c r="E3035" s="20">
        <v>10</v>
      </c>
      <c r="F3035" s="20">
        <v>10</v>
      </c>
      <c r="G3035" s="19">
        <f t="shared" si="227"/>
        <v>172</v>
      </c>
      <c r="H3035" s="22">
        <f t="shared" si="223"/>
        <v>3034</v>
      </c>
      <c r="I3035" s="21">
        <f t="shared" ca="1" si="225"/>
        <v>0</v>
      </c>
      <c r="J3035" s="21" t="str">
        <f ca="1">IF(I3035=0,"",COUNTIF($I$2:I3035,"&gt;0"))</f>
        <v/>
      </c>
      <c r="K3035" s="21" t="str">
        <f t="shared" ca="1" si="226"/>
        <v/>
      </c>
    </row>
    <row r="3036" spans="1:11" s="18" customFormat="1" ht="14.25" x14ac:dyDescent="0.2">
      <c r="A3036" s="18" t="str">
        <f t="shared" si="224"/>
        <v>Eintrag 3035</v>
      </c>
      <c r="B3036" s="18">
        <v>100</v>
      </c>
      <c r="C3036" s="19">
        <v>100</v>
      </c>
      <c r="D3036" s="20">
        <v>10</v>
      </c>
      <c r="E3036" s="20">
        <v>10</v>
      </c>
      <c r="F3036" s="20">
        <v>10</v>
      </c>
      <c r="G3036" s="19">
        <f t="shared" si="227"/>
        <v>172</v>
      </c>
      <c r="H3036" s="22">
        <f t="shared" si="223"/>
        <v>3035</v>
      </c>
      <c r="I3036" s="21">
        <f t="shared" ca="1" si="225"/>
        <v>0</v>
      </c>
      <c r="J3036" s="21" t="str">
        <f ca="1">IF(I3036=0,"",COUNTIF($I$2:I3036,"&gt;0"))</f>
        <v/>
      </c>
      <c r="K3036" s="21" t="str">
        <f t="shared" ca="1" si="226"/>
        <v/>
      </c>
    </row>
    <row r="3037" spans="1:11" s="18" customFormat="1" ht="14.25" x14ac:dyDescent="0.2">
      <c r="A3037" s="18" t="str">
        <f t="shared" si="224"/>
        <v>Eintrag 3036</v>
      </c>
      <c r="B3037" s="18">
        <v>100</v>
      </c>
      <c r="C3037" s="19">
        <v>100</v>
      </c>
      <c r="D3037" s="20">
        <v>10</v>
      </c>
      <c r="E3037" s="20">
        <v>10</v>
      </c>
      <c r="F3037" s="20">
        <v>10</v>
      </c>
      <c r="G3037" s="19">
        <f t="shared" si="227"/>
        <v>172</v>
      </c>
      <c r="H3037" s="22">
        <f t="shared" si="223"/>
        <v>3036</v>
      </c>
      <c r="I3037" s="21">
        <f t="shared" ca="1" si="225"/>
        <v>0</v>
      </c>
      <c r="J3037" s="21" t="str">
        <f ca="1">IF(I3037=0,"",COUNTIF($I$2:I3037,"&gt;0"))</f>
        <v/>
      </c>
      <c r="K3037" s="21" t="str">
        <f t="shared" ca="1" si="226"/>
        <v/>
      </c>
    </row>
    <row r="3038" spans="1:11" s="18" customFormat="1" ht="14.25" x14ac:dyDescent="0.2">
      <c r="A3038" s="18" t="str">
        <f t="shared" si="224"/>
        <v>Eintrag 3037</v>
      </c>
      <c r="B3038" s="18">
        <v>100</v>
      </c>
      <c r="C3038" s="19">
        <v>100</v>
      </c>
      <c r="D3038" s="20">
        <v>10</v>
      </c>
      <c r="E3038" s="20">
        <v>10</v>
      </c>
      <c r="F3038" s="20">
        <v>10</v>
      </c>
      <c r="G3038" s="19">
        <f t="shared" si="227"/>
        <v>172</v>
      </c>
      <c r="H3038" s="22">
        <f t="shared" si="223"/>
        <v>3037</v>
      </c>
      <c r="I3038" s="21">
        <f t="shared" ca="1" si="225"/>
        <v>0</v>
      </c>
      <c r="J3038" s="21" t="str">
        <f ca="1">IF(I3038=0,"",COUNTIF($I$2:I3038,"&gt;0"))</f>
        <v/>
      </c>
      <c r="K3038" s="21" t="str">
        <f t="shared" ca="1" si="226"/>
        <v/>
      </c>
    </row>
    <row r="3039" spans="1:11" s="18" customFormat="1" ht="14.25" x14ac:dyDescent="0.2">
      <c r="A3039" s="18" t="str">
        <f t="shared" si="224"/>
        <v>Eintrag 3038</v>
      </c>
      <c r="B3039" s="18">
        <v>100</v>
      </c>
      <c r="C3039" s="19">
        <v>100</v>
      </c>
      <c r="D3039" s="20">
        <v>10</v>
      </c>
      <c r="E3039" s="20">
        <v>10</v>
      </c>
      <c r="F3039" s="20">
        <v>10</v>
      </c>
      <c r="G3039" s="19">
        <f t="shared" si="227"/>
        <v>172</v>
      </c>
      <c r="H3039" s="22">
        <f t="shared" si="223"/>
        <v>3038</v>
      </c>
      <c r="I3039" s="21">
        <f t="shared" ca="1" si="225"/>
        <v>0</v>
      </c>
      <c r="J3039" s="21" t="str">
        <f ca="1">IF(I3039=0,"",COUNTIF($I$2:I3039,"&gt;0"))</f>
        <v/>
      </c>
      <c r="K3039" s="21" t="str">
        <f t="shared" ca="1" si="226"/>
        <v/>
      </c>
    </row>
    <row r="3040" spans="1:11" s="18" customFormat="1" ht="14.25" x14ac:dyDescent="0.2">
      <c r="A3040" s="18" t="str">
        <f t="shared" si="224"/>
        <v>Eintrag 3039</v>
      </c>
      <c r="B3040" s="18">
        <v>100</v>
      </c>
      <c r="C3040" s="19">
        <v>100</v>
      </c>
      <c r="D3040" s="20">
        <v>10</v>
      </c>
      <c r="E3040" s="20">
        <v>10</v>
      </c>
      <c r="F3040" s="20">
        <v>10</v>
      </c>
      <c r="G3040" s="19">
        <f t="shared" si="227"/>
        <v>172</v>
      </c>
      <c r="H3040" s="22">
        <f t="shared" si="223"/>
        <v>3039</v>
      </c>
      <c r="I3040" s="21">
        <f t="shared" ca="1" si="225"/>
        <v>0</v>
      </c>
      <c r="J3040" s="21" t="str">
        <f ca="1">IF(I3040=0,"",COUNTIF($I$2:I3040,"&gt;0"))</f>
        <v/>
      </c>
      <c r="K3040" s="21" t="str">
        <f t="shared" ca="1" si="226"/>
        <v/>
      </c>
    </row>
    <row r="3041" spans="1:11" s="18" customFormat="1" ht="14.25" x14ac:dyDescent="0.2">
      <c r="A3041" s="18" t="str">
        <f t="shared" si="224"/>
        <v>Eintrag 3040</v>
      </c>
      <c r="B3041" s="18">
        <v>100</v>
      </c>
      <c r="C3041" s="19">
        <v>100</v>
      </c>
      <c r="D3041" s="20">
        <v>10</v>
      </c>
      <c r="E3041" s="20">
        <v>10</v>
      </c>
      <c r="F3041" s="20">
        <v>10</v>
      </c>
      <c r="G3041" s="19">
        <f t="shared" si="227"/>
        <v>172</v>
      </c>
      <c r="H3041" s="22">
        <f t="shared" si="223"/>
        <v>3040</v>
      </c>
      <c r="I3041" s="21">
        <f t="shared" ca="1" si="225"/>
        <v>0</v>
      </c>
      <c r="J3041" s="21" t="str">
        <f ca="1">IF(I3041=0,"",COUNTIF($I$2:I3041,"&gt;0"))</f>
        <v/>
      </c>
      <c r="K3041" s="21" t="str">
        <f t="shared" ca="1" si="226"/>
        <v/>
      </c>
    </row>
    <row r="3042" spans="1:11" s="18" customFormat="1" ht="14.25" x14ac:dyDescent="0.2">
      <c r="A3042" s="18" t="str">
        <f t="shared" si="224"/>
        <v>Eintrag 3041</v>
      </c>
      <c r="B3042" s="18">
        <v>100</v>
      </c>
      <c r="C3042" s="19">
        <v>100</v>
      </c>
      <c r="D3042" s="20">
        <v>10</v>
      </c>
      <c r="E3042" s="20">
        <v>10</v>
      </c>
      <c r="F3042" s="20">
        <v>10</v>
      </c>
      <c r="G3042" s="19">
        <f t="shared" si="227"/>
        <v>172</v>
      </c>
      <c r="H3042" s="22">
        <f t="shared" si="223"/>
        <v>3041</v>
      </c>
      <c r="I3042" s="21">
        <f t="shared" ca="1" si="225"/>
        <v>0</v>
      </c>
      <c r="J3042" s="21" t="str">
        <f ca="1">IF(I3042=0,"",COUNTIF($I$2:I3042,"&gt;0"))</f>
        <v/>
      </c>
      <c r="K3042" s="21" t="str">
        <f t="shared" ca="1" si="226"/>
        <v/>
      </c>
    </row>
    <row r="3043" spans="1:11" s="18" customFormat="1" ht="14.25" x14ac:dyDescent="0.2">
      <c r="A3043" s="18" t="str">
        <f t="shared" si="224"/>
        <v>Eintrag 3042</v>
      </c>
      <c r="B3043" s="18">
        <v>100</v>
      </c>
      <c r="C3043" s="19">
        <v>100</v>
      </c>
      <c r="D3043" s="20">
        <v>10</v>
      </c>
      <c r="E3043" s="20">
        <v>10</v>
      </c>
      <c r="F3043" s="20">
        <v>10</v>
      </c>
      <c r="G3043" s="19">
        <f t="shared" si="227"/>
        <v>172</v>
      </c>
      <c r="H3043" s="22">
        <f t="shared" si="223"/>
        <v>3042</v>
      </c>
      <c r="I3043" s="21">
        <f t="shared" ca="1" si="225"/>
        <v>0</v>
      </c>
      <c r="J3043" s="21" t="str">
        <f ca="1">IF(I3043=0,"",COUNTIF($I$2:I3043,"&gt;0"))</f>
        <v/>
      </c>
      <c r="K3043" s="21" t="str">
        <f t="shared" ca="1" si="226"/>
        <v/>
      </c>
    </row>
    <row r="3044" spans="1:11" s="18" customFormat="1" ht="14.25" x14ac:dyDescent="0.2">
      <c r="A3044" s="18" t="str">
        <f t="shared" si="224"/>
        <v>Eintrag 3043</v>
      </c>
      <c r="B3044" s="18">
        <v>100</v>
      </c>
      <c r="C3044" s="19">
        <v>100</v>
      </c>
      <c r="D3044" s="20">
        <v>10</v>
      </c>
      <c r="E3044" s="20">
        <v>10</v>
      </c>
      <c r="F3044" s="20">
        <v>10</v>
      </c>
      <c r="G3044" s="19">
        <f t="shared" si="227"/>
        <v>172</v>
      </c>
      <c r="H3044" s="22">
        <f t="shared" si="223"/>
        <v>3043</v>
      </c>
      <c r="I3044" s="21">
        <f t="shared" ca="1" si="225"/>
        <v>0</v>
      </c>
      <c r="J3044" s="21" t="str">
        <f ca="1">IF(I3044=0,"",COUNTIF($I$2:I3044,"&gt;0"))</f>
        <v/>
      </c>
      <c r="K3044" s="21" t="str">
        <f t="shared" ca="1" si="226"/>
        <v/>
      </c>
    </row>
    <row r="3045" spans="1:11" s="18" customFormat="1" ht="14.25" x14ac:dyDescent="0.2">
      <c r="A3045" s="18" t="str">
        <f t="shared" si="224"/>
        <v>Eintrag 3044</v>
      </c>
      <c r="B3045" s="18">
        <v>100</v>
      </c>
      <c r="C3045" s="19">
        <v>100</v>
      </c>
      <c r="D3045" s="20">
        <v>10</v>
      </c>
      <c r="E3045" s="20">
        <v>10</v>
      </c>
      <c r="F3045" s="20">
        <v>10</v>
      </c>
      <c r="G3045" s="19">
        <f t="shared" si="227"/>
        <v>172</v>
      </c>
      <c r="H3045" s="22">
        <f t="shared" ref="H3045:H3108" si="228">H3044+1</f>
        <v>3044</v>
      </c>
      <c r="I3045" s="21">
        <f t="shared" ca="1" si="225"/>
        <v>0</v>
      </c>
      <c r="J3045" s="21" t="str">
        <f ca="1">IF(I3045=0,"",COUNTIF($I$2:I3045,"&gt;0"))</f>
        <v/>
      </c>
      <c r="K3045" s="21" t="str">
        <f t="shared" ca="1" si="226"/>
        <v/>
      </c>
    </row>
    <row r="3046" spans="1:11" s="18" customFormat="1" ht="14.25" x14ac:dyDescent="0.2">
      <c r="A3046" s="18" t="str">
        <f t="shared" si="224"/>
        <v>Eintrag 3045</v>
      </c>
      <c r="B3046" s="18">
        <v>100</v>
      </c>
      <c r="C3046" s="19">
        <v>100</v>
      </c>
      <c r="D3046" s="20">
        <v>10</v>
      </c>
      <c r="E3046" s="20">
        <v>10</v>
      </c>
      <c r="F3046" s="20">
        <v>10</v>
      </c>
      <c r="G3046" s="19">
        <f t="shared" si="227"/>
        <v>172</v>
      </c>
      <c r="H3046" s="22">
        <f t="shared" si="228"/>
        <v>3045</v>
      </c>
      <c r="I3046" s="21">
        <f t="shared" ca="1" si="225"/>
        <v>0</v>
      </c>
      <c r="J3046" s="21" t="str">
        <f ca="1">IF(I3046=0,"",COUNTIF($I$2:I3046,"&gt;0"))</f>
        <v/>
      </c>
      <c r="K3046" s="21" t="str">
        <f t="shared" ca="1" si="226"/>
        <v/>
      </c>
    </row>
    <row r="3047" spans="1:11" s="18" customFormat="1" ht="14.25" x14ac:dyDescent="0.2">
      <c r="A3047" s="18" t="str">
        <f t="shared" si="224"/>
        <v>Eintrag 3046</v>
      </c>
      <c r="B3047" s="18">
        <v>100</v>
      </c>
      <c r="C3047" s="19">
        <v>100</v>
      </c>
      <c r="D3047" s="20">
        <v>10</v>
      </c>
      <c r="E3047" s="20">
        <v>10</v>
      </c>
      <c r="F3047" s="20">
        <v>10</v>
      </c>
      <c r="G3047" s="19">
        <f t="shared" si="227"/>
        <v>172</v>
      </c>
      <c r="H3047" s="22">
        <f t="shared" si="228"/>
        <v>3046</v>
      </c>
      <c r="I3047" s="21">
        <f t="shared" ca="1" si="225"/>
        <v>0</v>
      </c>
      <c r="J3047" s="21" t="str">
        <f ca="1">IF(I3047=0,"",COUNTIF($I$2:I3047,"&gt;0"))</f>
        <v/>
      </c>
      <c r="K3047" s="21" t="str">
        <f t="shared" ca="1" si="226"/>
        <v/>
      </c>
    </row>
    <row r="3048" spans="1:11" s="18" customFormat="1" ht="14.25" x14ac:dyDescent="0.2">
      <c r="A3048" s="18" t="str">
        <f t="shared" si="224"/>
        <v>Eintrag 3047</v>
      </c>
      <c r="B3048" s="18">
        <v>100</v>
      </c>
      <c r="C3048" s="19">
        <v>100</v>
      </c>
      <c r="D3048" s="20">
        <v>10</v>
      </c>
      <c r="E3048" s="20">
        <v>10</v>
      </c>
      <c r="F3048" s="20">
        <v>10</v>
      </c>
      <c r="G3048" s="19">
        <f t="shared" si="227"/>
        <v>172</v>
      </c>
      <c r="H3048" s="22">
        <f t="shared" si="228"/>
        <v>3047</v>
      </c>
      <c r="I3048" s="21">
        <f t="shared" ca="1" si="225"/>
        <v>0</v>
      </c>
      <c r="J3048" s="21" t="str">
        <f ca="1">IF(I3048=0,"",COUNTIF($I$2:I3048,"&gt;0"))</f>
        <v/>
      </c>
      <c r="K3048" s="21" t="str">
        <f t="shared" ca="1" si="226"/>
        <v/>
      </c>
    </row>
    <row r="3049" spans="1:11" s="18" customFormat="1" ht="14.25" x14ac:dyDescent="0.2">
      <c r="A3049" s="18" t="str">
        <f t="shared" ref="A3049:A3112" si="229">CONCATENATE("Eintrag ",H3049)</f>
        <v>Eintrag 3048</v>
      </c>
      <c r="B3049" s="18">
        <v>100</v>
      </c>
      <c r="C3049" s="19">
        <v>100</v>
      </c>
      <c r="D3049" s="20">
        <v>10</v>
      </c>
      <c r="E3049" s="20">
        <v>10</v>
      </c>
      <c r="F3049" s="20">
        <v>10</v>
      </c>
      <c r="G3049" s="19">
        <f t="shared" si="227"/>
        <v>172</v>
      </c>
      <c r="H3049" s="22">
        <f t="shared" si="228"/>
        <v>3048</v>
      </c>
      <c r="I3049" s="21">
        <f t="shared" ca="1" si="225"/>
        <v>0</v>
      </c>
      <c r="J3049" s="21" t="str">
        <f ca="1">IF(I3049=0,"",COUNTIF($I$2:I3049,"&gt;0"))</f>
        <v/>
      </c>
      <c r="K3049" s="21" t="str">
        <f t="shared" ca="1" si="226"/>
        <v/>
      </c>
    </row>
    <row r="3050" spans="1:11" s="18" customFormat="1" ht="14.25" x14ac:dyDescent="0.2">
      <c r="A3050" s="18" t="str">
        <f t="shared" si="229"/>
        <v>Eintrag 3049</v>
      </c>
      <c r="B3050" s="18">
        <v>100</v>
      </c>
      <c r="C3050" s="19">
        <v>100</v>
      </c>
      <c r="D3050" s="20">
        <v>10</v>
      </c>
      <c r="E3050" s="20">
        <v>10</v>
      </c>
      <c r="F3050" s="20">
        <v>10</v>
      </c>
      <c r="G3050" s="19">
        <f t="shared" si="227"/>
        <v>172</v>
      </c>
      <c r="H3050" s="22">
        <f t="shared" si="228"/>
        <v>3049</v>
      </c>
      <c r="I3050" s="21">
        <f t="shared" ca="1" si="225"/>
        <v>0</v>
      </c>
      <c r="J3050" s="21" t="str">
        <f ca="1">IF(I3050=0,"",COUNTIF($I$2:I3050,"&gt;0"))</f>
        <v/>
      </c>
      <c r="K3050" s="21" t="str">
        <f t="shared" ca="1" si="226"/>
        <v/>
      </c>
    </row>
    <row r="3051" spans="1:11" s="18" customFormat="1" ht="14.25" x14ac:dyDescent="0.2">
      <c r="A3051" s="18" t="str">
        <f t="shared" si="229"/>
        <v>Eintrag 3050</v>
      </c>
      <c r="B3051" s="18">
        <v>100</v>
      </c>
      <c r="C3051" s="19">
        <v>100</v>
      </c>
      <c r="D3051" s="20">
        <v>10</v>
      </c>
      <c r="E3051" s="20">
        <v>10</v>
      </c>
      <c r="F3051" s="20">
        <v>10</v>
      </c>
      <c r="G3051" s="19">
        <f t="shared" si="227"/>
        <v>172</v>
      </c>
      <c r="H3051" s="22">
        <f t="shared" si="228"/>
        <v>3050</v>
      </c>
      <c r="I3051" s="21">
        <f t="shared" ca="1" si="225"/>
        <v>0</v>
      </c>
      <c r="J3051" s="21" t="str">
        <f ca="1">IF(I3051=0,"",COUNTIF($I$2:I3051,"&gt;0"))</f>
        <v/>
      </c>
      <c r="K3051" s="21" t="str">
        <f t="shared" ca="1" si="226"/>
        <v/>
      </c>
    </row>
    <row r="3052" spans="1:11" s="18" customFormat="1" ht="14.25" x14ac:dyDescent="0.2">
      <c r="A3052" s="18" t="str">
        <f t="shared" si="229"/>
        <v>Eintrag 3051</v>
      </c>
      <c r="B3052" s="18">
        <v>100</v>
      </c>
      <c r="C3052" s="19">
        <v>100</v>
      </c>
      <c r="D3052" s="20">
        <v>10</v>
      </c>
      <c r="E3052" s="20">
        <v>10</v>
      </c>
      <c r="F3052" s="20">
        <v>10</v>
      </c>
      <c r="G3052" s="19">
        <f t="shared" si="227"/>
        <v>172</v>
      </c>
      <c r="H3052" s="22">
        <f t="shared" si="228"/>
        <v>3051</v>
      </c>
      <c r="I3052" s="21">
        <f t="shared" ca="1" si="225"/>
        <v>0</v>
      </c>
      <c r="J3052" s="21" t="str">
        <f ca="1">IF(I3052=0,"",COUNTIF($I$2:I3052,"&gt;0"))</f>
        <v/>
      </c>
      <c r="K3052" s="21" t="str">
        <f t="shared" ca="1" si="226"/>
        <v/>
      </c>
    </row>
    <row r="3053" spans="1:11" s="18" customFormat="1" ht="14.25" x14ac:dyDescent="0.2">
      <c r="A3053" s="18" t="str">
        <f t="shared" si="229"/>
        <v>Eintrag 3052</v>
      </c>
      <c r="B3053" s="18">
        <v>100</v>
      </c>
      <c r="C3053" s="19">
        <v>100</v>
      </c>
      <c r="D3053" s="20">
        <v>10</v>
      </c>
      <c r="E3053" s="20">
        <v>10</v>
      </c>
      <c r="F3053" s="20">
        <v>10</v>
      </c>
      <c r="G3053" s="19">
        <f t="shared" si="227"/>
        <v>172</v>
      </c>
      <c r="H3053" s="22">
        <f t="shared" si="228"/>
        <v>3052</v>
      </c>
      <c r="I3053" s="21">
        <f t="shared" ca="1" si="225"/>
        <v>0</v>
      </c>
      <c r="J3053" s="21" t="str">
        <f ca="1">IF(I3053=0,"",COUNTIF($I$2:I3053,"&gt;0"))</f>
        <v/>
      </c>
      <c r="K3053" s="21" t="str">
        <f t="shared" ca="1" si="226"/>
        <v/>
      </c>
    </row>
    <row r="3054" spans="1:11" s="18" customFormat="1" ht="14.25" x14ac:dyDescent="0.2">
      <c r="A3054" s="18" t="str">
        <f t="shared" si="229"/>
        <v>Eintrag 3053</v>
      </c>
      <c r="B3054" s="18">
        <v>100</v>
      </c>
      <c r="C3054" s="19">
        <v>100</v>
      </c>
      <c r="D3054" s="20">
        <v>10</v>
      </c>
      <c r="E3054" s="20">
        <v>10</v>
      </c>
      <c r="F3054" s="20">
        <v>10</v>
      </c>
      <c r="G3054" s="19">
        <f t="shared" si="227"/>
        <v>172</v>
      </c>
      <c r="H3054" s="22">
        <f t="shared" si="228"/>
        <v>3053</v>
      </c>
      <c r="I3054" s="21">
        <f t="shared" ca="1" si="225"/>
        <v>0</v>
      </c>
      <c r="J3054" s="21" t="str">
        <f ca="1">IF(I3054=0,"",COUNTIF($I$2:I3054,"&gt;0"))</f>
        <v/>
      </c>
      <c r="K3054" s="21" t="str">
        <f t="shared" ca="1" si="226"/>
        <v/>
      </c>
    </row>
    <row r="3055" spans="1:11" s="18" customFormat="1" ht="14.25" x14ac:dyDescent="0.2">
      <c r="A3055" s="18" t="str">
        <f t="shared" si="229"/>
        <v>Eintrag 3054</v>
      </c>
      <c r="B3055" s="18">
        <v>100</v>
      </c>
      <c r="C3055" s="19">
        <v>100</v>
      </c>
      <c r="D3055" s="20">
        <v>10</v>
      </c>
      <c r="E3055" s="20">
        <v>10</v>
      </c>
      <c r="F3055" s="20">
        <v>10</v>
      </c>
      <c r="G3055" s="19">
        <f t="shared" si="227"/>
        <v>172</v>
      </c>
      <c r="H3055" s="22">
        <f t="shared" si="228"/>
        <v>3054</v>
      </c>
      <c r="I3055" s="21">
        <f t="shared" ca="1" si="225"/>
        <v>0</v>
      </c>
      <c r="J3055" s="21" t="str">
        <f ca="1">IF(I3055=0,"",COUNTIF($I$2:I3055,"&gt;0"))</f>
        <v/>
      </c>
      <c r="K3055" s="21" t="str">
        <f t="shared" ca="1" si="226"/>
        <v/>
      </c>
    </row>
    <row r="3056" spans="1:11" s="18" customFormat="1" ht="14.25" x14ac:dyDescent="0.2">
      <c r="A3056" s="18" t="str">
        <f t="shared" si="229"/>
        <v>Eintrag 3055</v>
      </c>
      <c r="B3056" s="18">
        <v>100</v>
      </c>
      <c r="C3056" s="19">
        <v>100</v>
      </c>
      <c r="D3056" s="20">
        <v>10</v>
      </c>
      <c r="E3056" s="20">
        <v>10</v>
      </c>
      <c r="F3056" s="20">
        <v>10</v>
      </c>
      <c r="G3056" s="19">
        <f t="shared" si="227"/>
        <v>172</v>
      </c>
      <c r="H3056" s="22">
        <f t="shared" si="228"/>
        <v>3055</v>
      </c>
      <c r="I3056" s="21">
        <f t="shared" ca="1" si="225"/>
        <v>0</v>
      </c>
      <c r="J3056" s="21" t="str">
        <f ca="1">IF(I3056=0,"",COUNTIF($I$2:I3056,"&gt;0"))</f>
        <v/>
      </c>
      <c r="K3056" s="21" t="str">
        <f t="shared" ca="1" si="226"/>
        <v/>
      </c>
    </row>
    <row r="3057" spans="1:11" s="18" customFormat="1" ht="14.25" x14ac:dyDescent="0.2">
      <c r="A3057" s="18" t="str">
        <f t="shared" si="229"/>
        <v>Eintrag 3056</v>
      </c>
      <c r="B3057" s="18">
        <v>100</v>
      </c>
      <c r="C3057" s="19">
        <v>100</v>
      </c>
      <c r="D3057" s="20">
        <v>10</v>
      </c>
      <c r="E3057" s="20">
        <v>10</v>
      </c>
      <c r="F3057" s="20">
        <v>10</v>
      </c>
      <c r="G3057" s="19">
        <f t="shared" si="227"/>
        <v>172</v>
      </c>
      <c r="H3057" s="22">
        <f t="shared" si="228"/>
        <v>3056</v>
      </c>
      <c r="I3057" s="21">
        <f t="shared" ca="1" si="225"/>
        <v>0</v>
      </c>
      <c r="J3057" s="21" t="str">
        <f ca="1">IF(I3057=0,"",COUNTIF($I$2:I3057,"&gt;0"))</f>
        <v/>
      </c>
      <c r="K3057" s="21" t="str">
        <f t="shared" ca="1" si="226"/>
        <v/>
      </c>
    </row>
    <row r="3058" spans="1:11" s="18" customFormat="1" ht="14.25" x14ac:dyDescent="0.2">
      <c r="A3058" s="18" t="str">
        <f t="shared" si="229"/>
        <v>Eintrag 3057</v>
      </c>
      <c r="B3058" s="18">
        <v>100</v>
      </c>
      <c r="C3058" s="19">
        <v>100</v>
      </c>
      <c r="D3058" s="20">
        <v>10</v>
      </c>
      <c r="E3058" s="20">
        <v>10</v>
      </c>
      <c r="F3058" s="20">
        <v>10</v>
      </c>
      <c r="G3058" s="19">
        <f t="shared" si="227"/>
        <v>172</v>
      </c>
      <c r="H3058" s="22">
        <f t="shared" si="228"/>
        <v>3057</v>
      </c>
      <c r="I3058" s="21">
        <f t="shared" ca="1" si="225"/>
        <v>0</v>
      </c>
      <c r="J3058" s="21" t="str">
        <f ca="1">IF(I3058=0,"",COUNTIF($I$2:I3058,"&gt;0"))</f>
        <v/>
      </c>
      <c r="K3058" s="21" t="str">
        <f t="shared" ca="1" si="226"/>
        <v/>
      </c>
    </row>
    <row r="3059" spans="1:11" s="18" customFormat="1" ht="14.25" x14ac:dyDescent="0.2">
      <c r="A3059" s="18" t="str">
        <f t="shared" si="229"/>
        <v>Eintrag 3058</v>
      </c>
      <c r="B3059" s="18">
        <v>100</v>
      </c>
      <c r="C3059" s="19">
        <v>100</v>
      </c>
      <c r="D3059" s="20">
        <v>10</v>
      </c>
      <c r="E3059" s="20">
        <v>10</v>
      </c>
      <c r="F3059" s="20">
        <v>10</v>
      </c>
      <c r="G3059" s="19">
        <f t="shared" si="227"/>
        <v>172</v>
      </c>
      <c r="H3059" s="22">
        <f t="shared" si="228"/>
        <v>3058</v>
      </c>
      <c r="I3059" s="21">
        <f t="shared" ca="1" si="225"/>
        <v>0</v>
      </c>
      <c r="J3059" s="21" t="str">
        <f ca="1">IF(I3059=0,"",COUNTIF($I$2:I3059,"&gt;0"))</f>
        <v/>
      </c>
      <c r="K3059" s="21" t="str">
        <f t="shared" ca="1" si="226"/>
        <v/>
      </c>
    </row>
    <row r="3060" spans="1:11" s="18" customFormat="1" ht="14.25" x14ac:dyDescent="0.2">
      <c r="A3060" s="18" t="str">
        <f t="shared" si="229"/>
        <v>Eintrag 3059</v>
      </c>
      <c r="B3060" s="18">
        <v>100</v>
      </c>
      <c r="C3060" s="19">
        <v>100</v>
      </c>
      <c r="D3060" s="20">
        <v>10</v>
      </c>
      <c r="E3060" s="20">
        <v>10</v>
      </c>
      <c r="F3060" s="20">
        <v>10</v>
      </c>
      <c r="G3060" s="19">
        <f t="shared" si="227"/>
        <v>172</v>
      </c>
      <c r="H3060" s="22">
        <f t="shared" si="228"/>
        <v>3059</v>
      </c>
      <c r="I3060" s="21">
        <f t="shared" ca="1" si="225"/>
        <v>0</v>
      </c>
      <c r="J3060" s="21" t="str">
        <f ca="1">IF(I3060=0,"",COUNTIF($I$2:I3060,"&gt;0"))</f>
        <v/>
      </c>
      <c r="K3060" s="21" t="str">
        <f t="shared" ca="1" si="226"/>
        <v/>
      </c>
    </row>
    <row r="3061" spans="1:11" s="18" customFormat="1" ht="14.25" x14ac:dyDescent="0.2">
      <c r="A3061" s="18" t="str">
        <f t="shared" si="229"/>
        <v>Eintrag 3060</v>
      </c>
      <c r="B3061" s="18">
        <v>100</v>
      </c>
      <c r="C3061" s="19">
        <v>100</v>
      </c>
      <c r="D3061" s="20">
        <v>10</v>
      </c>
      <c r="E3061" s="20">
        <v>10</v>
      </c>
      <c r="F3061" s="20">
        <v>10</v>
      </c>
      <c r="G3061" s="19">
        <f t="shared" si="227"/>
        <v>172</v>
      </c>
      <c r="H3061" s="22">
        <f t="shared" si="228"/>
        <v>3060</v>
      </c>
      <c r="I3061" s="21">
        <f t="shared" ca="1" si="225"/>
        <v>0</v>
      </c>
      <c r="J3061" s="21" t="str">
        <f ca="1">IF(I3061=0,"",COUNTIF($I$2:I3061,"&gt;0"))</f>
        <v/>
      </c>
      <c r="K3061" s="21" t="str">
        <f t="shared" ca="1" si="226"/>
        <v/>
      </c>
    </row>
    <row r="3062" spans="1:11" s="18" customFormat="1" ht="14.25" x14ac:dyDescent="0.2">
      <c r="A3062" s="18" t="str">
        <f t="shared" si="229"/>
        <v>Eintrag 3061</v>
      </c>
      <c r="B3062" s="18">
        <v>100</v>
      </c>
      <c r="C3062" s="19">
        <v>100</v>
      </c>
      <c r="D3062" s="20">
        <v>10</v>
      </c>
      <c r="E3062" s="20">
        <v>10</v>
      </c>
      <c r="F3062" s="20">
        <v>10</v>
      </c>
      <c r="G3062" s="19">
        <f t="shared" si="227"/>
        <v>172</v>
      </c>
      <c r="H3062" s="22">
        <f t="shared" si="228"/>
        <v>3061</v>
      </c>
      <c r="I3062" s="21">
        <f t="shared" ca="1" si="225"/>
        <v>0</v>
      </c>
      <c r="J3062" s="21" t="str">
        <f ca="1">IF(I3062=0,"",COUNTIF($I$2:I3062,"&gt;0"))</f>
        <v/>
      </c>
      <c r="K3062" s="21" t="str">
        <f t="shared" ca="1" si="226"/>
        <v/>
      </c>
    </row>
    <row r="3063" spans="1:11" s="18" customFormat="1" ht="14.25" x14ac:dyDescent="0.2">
      <c r="A3063" s="18" t="str">
        <f t="shared" si="229"/>
        <v>Eintrag 3062</v>
      </c>
      <c r="B3063" s="18">
        <v>100</v>
      </c>
      <c r="C3063" s="19">
        <v>100</v>
      </c>
      <c r="D3063" s="20">
        <v>10</v>
      </c>
      <c r="E3063" s="20">
        <v>10</v>
      </c>
      <c r="F3063" s="20">
        <v>10</v>
      </c>
      <c r="G3063" s="19">
        <f t="shared" si="227"/>
        <v>172</v>
      </c>
      <c r="H3063" s="22">
        <f t="shared" si="228"/>
        <v>3062</v>
      </c>
      <c r="I3063" s="21">
        <f t="shared" ca="1" si="225"/>
        <v>0</v>
      </c>
      <c r="J3063" s="21" t="str">
        <f ca="1">IF(I3063=0,"",COUNTIF($I$2:I3063,"&gt;0"))</f>
        <v/>
      </c>
      <c r="K3063" s="21" t="str">
        <f t="shared" ca="1" si="226"/>
        <v/>
      </c>
    </row>
    <row r="3064" spans="1:11" s="18" customFormat="1" ht="14.25" x14ac:dyDescent="0.2">
      <c r="A3064" s="18" t="str">
        <f t="shared" si="229"/>
        <v>Eintrag 3063</v>
      </c>
      <c r="B3064" s="18">
        <v>100</v>
      </c>
      <c r="C3064" s="19">
        <v>100</v>
      </c>
      <c r="D3064" s="20">
        <v>10</v>
      </c>
      <c r="E3064" s="20">
        <v>10</v>
      </c>
      <c r="F3064" s="20">
        <v>10</v>
      </c>
      <c r="G3064" s="19">
        <f t="shared" si="227"/>
        <v>172</v>
      </c>
      <c r="H3064" s="22">
        <f t="shared" si="228"/>
        <v>3063</v>
      </c>
      <c r="I3064" s="21">
        <f t="shared" ca="1" si="225"/>
        <v>0</v>
      </c>
      <c r="J3064" s="21" t="str">
        <f ca="1">IF(I3064=0,"",COUNTIF($I$2:I3064,"&gt;0"))</f>
        <v/>
      </c>
      <c r="K3064" s="21" t="str">
        <f t="shared" ca="1" si="226"/>
        <v/>
      </c>
    </row>
    <row r="3065" spans="1:11" s="18" customFormat="1" ht="14.25" x14ac:dyDescent="0.2">
      <c r="A3065" s="18" t="str">
        <f t="shared" si="229"/>
        <v>Eintrag 3064</v>
      </c>
      <c r="B3065" s="18">
        <v>100</v>
      </c>
      <c r="C3065" s="19">
        <v>100</v>
      </c>
      <c r="D3065" s="20">
        <v>10</v>
      </c>
      <c r="E3065" s="20">
        <v>10</v>
      </c>
      <c r="F3065" s="20">
        <v>10</v>
      </c>
      <c r="G3065" s="19">
        <f t="shared" si="227"/>
        <v>172</v>
      </c>
      <c r="H3065" s="22">
        <f t="shared" si="228"/>
        <v>3064</v>
      </c>
      <c r="I3065" s="21">
        <f t="shared" ca="1" si="225"/>
        <v>0</v>
      </c>
      <c r="J3065" s="21" t="str">
        <f ca="1">IF(I3065=0,"",COUNTIF($I$2:I3065,"&gt;0"))</f>
        <v/>
      </c>
      <c r="K3065" s="21" t="str">
        <f t="shared" ca="1" si="226"/>
        <v/>
      </c>
    </row>
    <row r="3066" spans="1:11" s="18" customFormat="1" ht="14.25" x14ac:dyDescent="0.2">
      <c r="A3066" s="18" t="str">
        <f t="shared" si="229"/>
        <v>Eintrag 3065</v>
      </c>
      <c r="B3066" s="18">
        <v>100</v>
      </c>
      <c r="C3066" s="19">
        <v>100</v>
      </c>
      <c r="D3066" s="20">
        <v>10</v>
      </c>
      <c r="E3066" s="20">
        <v>10</v>
      </c>
      <c r="F3066" s="20">
        <v>10</v>
      </c>
      <c r="G3066" s="19">
        <f t="shared" si="227"/>
        <v>172</v>
      </c>
      <c r="H3066" s="22">
        <f t="shared" si="228"/>
        <v>3065</v>
      </c>
      <c r="I3066" s="21">
        <f t="shared" ca="1" si="225"/>
        <v>0</v>
      </c>
      <c r="J3066" s="21" t="str">
        <f ca="1">IF(I3066=0,"",COUNTIF($I$2:I3066,"&gt;0"))</f>
        <v/>
      </c>
      <c r="K3066" s="21" t="str">
        <f t="shared" ca="1" si="226"/>
        <v/>
      </c>
    </row>
    <row r="3067" spans="1:11" s="18" customFormat="1" ht="14.25" x14ac:dyDescent="0.2">
      <c r="A3067" s="18" t="str">
        <f t="shared" si="229"/>
        <v>Eintrag 3066</v>
      </c>
      <c r="B3067" s="18">
        <v>100</v>
      </c>
      <c r="C3067" s="19">
        <v>100</v>
      </c>
      <c r="D3067" s="20">
        <v>10</v>
      </c>
      <c r="E3067" s="20">
        <v>10</v>
      </c>
      <c r="F3067" s="20">
        <v>10</v>
      </c>
      <c r="G3067" s="19">
        <f t="shared" si="227"/>
        <v>172</v>
      </c>
      <c r="H3067" s="22">
        <f t="shared" si="228"/>
        <v>3066</v>
      </c>
      <c r="I3067" s="21">
        <f t="shared" ca="1" si="225"/>
        <v>0</v>
      </c>
      <c r="J3067" s="21" t="str">
        <f ca="1">IF(I3067=0,"",COUNTIF($I$2:I3067,"&gt;0"))</f>
        <v/>
      </c>
      <c r="K3067" s="21" t="str">
        <f t="shared" ca="1" si="226"/>
        <v/>
      </c>
    </row>
    <row r="3068" spans="1:11" s="18" customFormat="1" ht="14.25" x14ac:dyDescent="0.2">
      <c r="A3068" s="18" t="str">
        <f t="shared" si="229"/>
        <v>Eintrag 3067</v>
      </c>
      <c r="B3068" s="18">
        <v>100</v>
      </c>
      <c r="C3068" s="19">
        <v>100</v>
      </c>
      <c r="D3068" s="20">
        <v>10</v>
      </c>
      <c r="E3068" s="20">
        <v>10</v>
      </c>
      <c r="F3068" s="20">
        <v>10</v>
      </c>
      <c r="G3068" s="19">
        <f t="shared" si="227"/>
        <v>172</v>
      </c>
      <c r="H3068" s="22">
        <f t="shared" si="228"/>
        <v>3067</v>
      </c>
      <c r="I3068" s="21">
        <f t="shared" ca="1" si="225"/>
        <v>0</v>
      </c>
      <c r="J3068" s="21" t="str">
        <f ca="1">IF(I3068=0,"",COUNTIF($I$2:I3068,"&gt;0"))</f>
        <v/>
      </c>
      <c r="K3068" s="21" t="str">
        <f t="shared" ca="1" si="226"/>
        <v/>
      </c>
    </row>
    <row r="3069" spans="1:11" s="18" customFormat="1" ht="14.25" x14ac:dyDescent="0.2">
      <c r="A3069" s="18" t="str">
        <f t="shared" si="229"/>
        <v>Eintrag 3068</v>
      </c>
      <c r="B3069" s="18">
        <v>100</v>
      </c>
      <c r="C3069" s="19">
        <v>100</v>
      </c>
      <c r="D3069" s="20">
        <v>10</v>
      </c>
      <c r="E3069" s="20">
        <v>10</v>
      </c>
      <c r="F3069" s="20">
        <v>10</v>
      </c>
      <c r="G3069" s="19">
        <f t="shared" si="227"/>
        <v>172</v>
      </c>
      <c r="H3069" s="22">
        <f t="shared" si="228"/>
        <v>3068</v>
      </c>
      <c r="I3069" s="21">
        <f t="shared" ca="1" si="225"/>
        <v>0</v>
      </c>
      <c r="J3069" s="21" t="str">
        <f ca="1">IF(I3069=0,"",COUNTIF($I$2:I3069,"&gt;0"))</f>
        <v/>
      </c>
      <c r="K3069" s="21" t="str">
        <f t="shared" ca="1" si="226"/>
        <v/>
      </c>
    </row>
    <row r="3070" spans="1:11" s="18" customFormat="1" ht="14.25" x14ac:dyDescent="0.2">
      <c r="A3070" s="18" t="str">
        <f t="shared" si="229"/>
        <v>Eintrag 3069</v>
      </c>
      <c r="B3070" s="18">
        <v>100</v>
      </c>
      <c r="C3070" s="19">
        <v>100</v>
      </c>
      <c r="D3070" s="20">
        <v>10</v>
      </c>
      <c r="E3070" s="20">
        <v>10</v>
      </c>
      <c r="F3070" s="20">
        <v>10</v>
      </c>
      <c r="G3070" s="19">
        <f t="shared" si="227"/>
        <v>172</v>
      </c>
      <c r="H3070" s="22">
        <f t="shared" si="228"/>
        <v>3069</v>
      </c>
      <c r="I3070" s="21">
        <f t="shared" ca="1" si="225"/>
        <v>0</v>
      </c>
      <c r="J3070" s="21" t="str">
        <f ca="1">IF(I3070=0,"",COUNTIF($I$2:I3070,"&gt;0"))</f>
        <v/>
      </c>
      <c r="K3070" s="21" t="str">
        <f t="shared" ca="1" si="226"/>
        <v/>
      </c>
    </row>
    <row r="3071" spans="1:11" s="18" customFormat="1" ht="14.25" x14ac:dyDescent="0.2">
      <c r="A3071" s="18" t="str">
        <f t="shared" si="229"/>
        <v>Eintrag 3070</v>
      </c>
      <c r="B3071" s="18">
        <v>100</v>
      </c>
      <c r="C3071" s="19">
        <v>100</v>
      </c>
      <c r="D3071" s="20">
        <v>10</v>
      </c>
      <c r="E3071" s="20">
        <v>10</v>
      </c>
      <c r="F3071" s="20">
        <v>10</v>
      </c>
      <c r="G3071" s="19">
        <f t="shared" si="227"/>
        <v>172</v>
      </c>
      <c r="H3071" s="22">
        <f t="shared" si="228"/>
        <v>3070</v>
      </c>
      <c r="I3071" s="21">
        <f t="shared" ca="1" si="225"/>
        <v>0</v>
      </c>
      <c r="J3071" s="21" t="str">
        <f ca="1">IF(I3071=0,"",COUNTIF($I$2:I3071,"&gt;0"))</f>
        <v/>
      </c>
      <c r="K3071" s="21" t="str">
        <f t="shared" ca="1" si="226"/>
        <v/>
      </c>
    </row>
    <row r="3072" spans="1:11" s="18" customFormat="1" ht="14.25" x14ac:dyDescent="0.2">
      <c r="A3072" s="18" t="str">
        <f t="shared" si="229"/>
        <v>Eintrag 3071</v>
      </c>
      <c r="B3072" s="18">
        <v>100</v>
      </c>
      <c r="C3072" s="19">
        <v>100</v>
      </c>
      <c r="D3072" s="20">
        <v>10</v>
      </c>
      <c r="E3072" s="20">
        <v>10</v>
      </c>
      <c r="F3072" s="20">
        <v>10</v>
      </c>
      <c r="G3072" s="19">
        <f t="shared" si="227"/>
        <v>172</v>
      </c>
      <c r="H3072" s="22">
        <f t="shared" si="228"/>
        <v>3071</v>
      </c>
      <c r="I3072" s="21">
        <f t="shared" ca="1" si="225"/>
        <v>0</v>
      </c>
      <c r="J3072" s="21" t="str">
        <f ca="1">IF(I3072=0,"",COUNTIF($I$2:I3072,"&gt;0"))</f>
        <v/>
      </c>
      <c r="K3072" s="21" t="str">
        <f t="shared" ca="1" si="226"/>
        <v/>
      </c>
    </row>
    <row r="3073" spans="1:11" s="18" customFormat="1" ht="14.25" x14ac:dyDescent="0.2">
      <c r="A3073" s="18" t="str">
        <f t="shared" si="229"/>
        <v>Eintrag 3072</v>
      </c>
      <c r="B3073" s="18">
        <v>100</v>
      </c>
      <c r="C3073" s="19">
        <v>100</v>
      </c>
      <c r="D3073" s="20">
        <v>10</v>
      </c>
      <c r="E3073" s="20">
        <v>10</v>
      </c>
      <c r="F3073" s="20">
        <v>10</v>
      </c>
      <c r="G3073" s="19">
        <f t="shared" si="227"/>
        <v>172</v>
      </c>
      <c r="H3073" s="22">
        <f t="shared" si="228"/>
        <v>3072</v>
      </c>
      <c r="I3073" s="21">
        <f t="shared" ca="1" si="225"/>
        <v>0</v>
      </c>
      <c r="J3073" s="21" t="str">
        <f ca="1">IF(I3073=0,"",COUNTIF($I$2:I3073,"&gt;0"))</f>
        <v/>
      </c>
      <c r="K3073" s="21" t="str">
        <f t="shared" ca="1" si="226"/>
        <v/>
      </c>
    </row>
    <row r="3074" spans="1:11" s="18" customFormat="1" ht="14.25" x14ac:dyDescent="0.2">
      <c r="A3074" s="18" t="str">
        <f t="shared" si="229"/>
        <v>Eintrag 3073</v>
      </c>
      <c r="B3074" s="18">
        <v>100</v>
      </c>
      <c r="C3074" s="19">
        <v>100</v>
      </c>
      <c r="D3074" s="20">
        <v>10</v>
      </c>
      <c r="E3074" s="20">
        <v>10</v>
      </c>
      <c r="F3074" s="20">
        <v>10</v>
      </c>
      <c r="G3074" s="19">
        <f t="shared" si="227"/>
        <v>172</v>
      </c>
      <c r="H3074" s="22">
        <f t="shared" si="228"/>
        <v>3073</v>
      </c>
      <c r="I3074" s="21">
        <f t="shared" ca="1" si="225"/>
        <v>0</v>
      </c>
      <c r="J3074" s="21" t="str">
        <f ca="1">IF(I3074=0,"",COUNTIF($I$2:I3074,"&gt;0"))</f>
        <v/>
      </c>
      <c r="K3074" s="21" t="str">
        <f t="shared" ref="K3074:K3137" ca="1" si="230">IFERROR(INDEX(A:A,MATCH(ROW(I3073),J:J,0)),"")</f>
        <v/>
      </c>
    </row>
    <row r="3075" spans="1:11" s="18" customFormat="1" ht="14.25" x14ac:dyDescent="0.2">
      <c r="A3075" s="18" t="str">
        <f t="shared" si="229"/>
        <v>Eintrag 3074</v>
      </c>
      <c r="B3075" s="18">
        <v>100</v>
      </c>
      <c r="C3075" s="19">
        <v>100</v>
      </c>
      <c r="D3075" s="20">
        <v>10</v>
      </c>
      <c r="E3075" s="20">
        <v>10</v>
      </c>
      <c r="F3075" s="20">
        <v>10</v>
      </c>
      <c r="G3075" s="19">
        <f t="shared" ref="G3075:G3138" si="231">D3075*9+E3075*4.1+F3075*4.1</f>
        <v>172</v>
      </c>
      <c r="H3075" s="22">
        <f t="shared" si="228"/>
        <v>3074</v>
      </c>
      <c r="I3075" s="21">
        <f t="shared" ca="1" si="225"/>
        <v>0</v>
      </c>
      <c r="J3075" s="21" t="str">
        <f ca="1">IF(I3075=0,"",COUNTIF($I$2:I3075,"&gt;0"))</f>
        <v/>
      </c>
      <c r="K3075" s="21" t="str">
        <f t="shared" ca="1" si="230"/>
        <v/>
      </c>
    </row>
    <row r="3076" spans="1:11" s="18" customFormat="1" ht="14.25" x14ac:dyDescent="0.2">
      <c r="A3076" s="18" t="str">
        <f t="shared" si="229"/>
        <v>Eintrag 3075</v>
      </c>
      <c r="B3076" s="18">
        <v>100</v>
      </c>
      <c r="C3076" s="19">
        <v>100</v>
      </c>
      <c r="D3076" s="20">
        <v>10</v>
      </c>
      <c r="E3076" s="20">
        <v>10</v>
      </c>
      <c r="F3076" s="20">
        <v>10</v>
      </c>
      <c r="G3076" s="19">
        <f t="shared" si="231"/>
        <v>172</v>
      </c>
      <c r="H3076" s="22">
        <f t="shared" si="228"/>
        <v>3075</v>
      </c>
      <c r="I3076" s="21">
        <f t="shared" ca="1" si="225"/>
        <v>0</v>
      </c>
      <c r="J3076" s="21" t="str">
        <f ca="1">IF(I3076=0,"",COUNTIF($I$2:I3076,"&gt;0"))</f>
        <v/>
      </c>
      <c r="K3076" s="21" t="str">
        <f t="shared" ca="1" si="230"/>
        <v/>
      </c>
    </row>
    <row r="3077" spans="1:11" s="18" customFormat="1" ht="14.25" x14ac:dyDescent="0.2">
      <c r="A3077" s="18" t="str">
        <f t="shared" si="229"/>
        <v>Eintrag 3076</v>
      </c>
      <c r="B3077" s="18">
        <v>100</v>
      </c>
      <c r="C3077" s="19">
        <v>100</v>
      </c>
      <c r="D3077" s="20">
        <v>10</v>
      </c>
      <c r="E3077" s="20">
        <v>10</v>
      </c>
      <c r="F3077" s="20">
        <v>10</v>
      </c>
      <c r="G3077" s="19">
        <f t="shared" si="231"/>
        <v>172</v>
      </c>
      <c r="H3077" s="22">
        <f t="shared" si="228"/>
        <v>3076</v>
      </c>
      <c r="I3077" s="21">
        <f t="shared" ca="1" si="225"/>
        <v>0</v>
      </c>
      <c r="J3077" s="21" t="str">
        <f ca="1">IF(I3077=0,"",COUNTIF($I$2:I3077,"&gt;0"))</f>
        <v/>
      </c>
      <c r="K3077" s="21" t="str">
        <f t="shared" ca="1" si="230"/>
        <v/>
      </c>
    </row>
    <row r="3078" spans="1:11" s="18" customFormat="1" ht="14.25" x14ac:dyDescent="0.2">
      <c r="A3078" s="18" t="str">
        <f t="shared" si="229"/>
        <v>Eintrag 3077</v>
      </c>
      <c r="B3078" s="18">
        <v>100</v>
      </c>
      <c r="C3078" s="19">
        <v>100</v>
      </c>
      <c r="D3078" s="20">
        <v>10</v>
      </c>
      <c r="E3078" s="20">
        <v>10</v>
      </c>
      <c r="F3078" s="20">
        <v>10</v>
      </c>
      <c r="G3078" s="19">
        <f t="shared" si="231"/>
        <v>172</v>
      </c>
      <c r="H3078" s="22">
        <f t="shared" si="228"/>
        <v>3077</v>
      </c>
      <c r="I3078" s="21">
        <f t="shared" ca="1" si="225"/>
        <v>0</v>
      </c>
      <c r="J3078" s="21" t="str">
        <f ca="1">IF(I3078=0,"",COUNTIF($I$2:I3078,"&gt;0"))</f>
        <v/>
      </c>
      <c r="K3078" s="21" t="str">
        <f t="shared" ca="1" si="230"/>
        <v/>
      </c>
    </row>
    <row r="3079" spans="1:11" s="18" customFormat="1" ht="14.25" x14ac:dyDescent="0.2">
      <c r="A3079" s="18" t="str">
        <f t="shared" si="229"/>
        <v>Eintrag 3078</v>
      </c>
      <c r="B3079" s="18">
        <v>100</v>
      </c>
      <c r="C3079" s="19">
        <v>100</v>
      </c>
      <c r="D3079" s="20">
        <v>10</v>
      </c>
      <c r="E3079" s="20">
        <v>10</v>
      </c>
      <c r="F3079" s="20">
        <v>10</v>
      </c>
      <c r="G3079" s="19">
        <f t="shared" si="231"/>
        <v>172</v>
      </c>
      <c r="H3079" s="22">
        <f t="shared" si="228"/>
        <v>3078</v>
      </c>
      <c r="I3079" s="21">
        <f t="shared" ca="1" si="225"/>
        <v>0</v>
      </c>
      <c r="J3079" s="21" t="str">
        <f ca="1">IF(I3079=0,"",COUNTIF($I$2:I3079,"&gt;0"))</f>
        <v/>
      </c>
      <c r="K3079" s="21" t="str">
        <f t="shared" ca="1" si="230"/>
        <v/>
      </c>
    </row>
    <row r="3080" spans="1:11" s="18" customFormat="1" ht="14.25" x14ac:dyDescent="0.2">
      <c r="A3080" s="18" t="str">
        <f t="shared" si="229"/>
        <v>Eintrag 3079</v>
      </c>
      <c r="B3080" s="18">
        <v>100</v>
      </c>
      <c r="C3080" s="19">
        <v>100</v>
      </c>
      <c r="D3080" s="20">
        <v>10</v>
      </c>
      <c r="E3080" s="20">
        <v>10</v>
      </c>
      <c r="F3080" s="20">
        <v>10</v>
      </c>
      <c r="G3080" s="19">
        <f t="shared" si="231"/>
        <v>172</v>
      </c>
      <c r="H3080" s="22">
        <f t="shared" si="228"/>
        <v>3079</v>
      </c>
      <c r="I3080" s="21">
        <f t="shared" ca="1" si="225"/>
        <v>0</v>
      </c>
      <c r="J3080" s="21" t="str">
        <f ca="1">IF(I3080=0,"",COUNTIF($I$2:I3080,"&gt;0"))</f>
        <v/>
      </c>
      <c r="K3080" s="21" t="str">
        <f t="shared" ca="1" si="230"/>
        <v/>
      </c>
    </row>
    <row r="3081" spans="1:11" s="18" customFormat="1" ht="14.25" x14ac:dyDescent="0.2">
      <c r="A3081" s="18" t="str">
        <f t="shared" si="229"/>
        <v>Eintrag 3080</v>
      </c>
      <c r="B3081" s="18">
        <v>100</v>
      </c>
      <c r="C3081" s="19">
        <v>100</v>
      </c>
      <c r="D3081" s="20">
        <v>10</v>
      </c>
      <c r="E3081" s="20">
        <v>10</v>
      </c>
      <c r="F3081" s="20">
        <v>10</v>
      </c>
      <c r="G3081" s="19">
        <f t="shared" si="231"/>
        <v>172</v>
      </c>
      <c r="H3081" s="22">
        <f t="shared" si="228"/>
        <v>3080</v>
      </c>
      <c r="I3081" s="21">
        <f t="shared" ca="1" si="225"/>
        <v>0</v>
      </c>
      <c r="J3081" s="21" t="str">
        <f ca="1">IF(I3081=0,"",COUNTIF($I$2:I3081,"&gt;0"))</f>
        <v/>
      </c>
      <c r="K3081" s="21" t="str">
        <f t="shared" ca="1" si="230"/>
        <v/>
      </c>
    </row>
    <row r="3082" spans="1:11" s="18" customFormat="1" ht="14.25" x14ac:dyDescent="0.2">
      <c r="A3082" s="18" t="str">
        <f t="shared" si="229"/>
        <v>Eintrag 3081</v>
      </c>
      <c r="B3082" s="18">
        <v>100</v>
      </c>
      <c r="C3082" s="19">
        <v>100</v>
      </c>
      <c r="D3082" s="20">
        <v>10</v>
      </c>
      <c r="E3082" s="20">
        <v>10</v>
      </c>
      <c r="F3082" s="20">
        <v>10</v>
      </c>
      <c r="G3082" s="19">
        <f t="shared" si="231"/>
        <v>172</v>
      </c>
      <c r="H3082" s="22">
        <f t="shared" si="228"/>
        <v>3081</v>
      </c>
      <c r="I3082" s="21">
        <f t="shared" ca="1" si="225"/>
        <v>0</v>
      </c>
      <c r="J3082" s="21" t="str">
        <f ca="1">IF(I3082=0,"",COUNTIF($I$2:I3082,"&gt;0"))</f>
        <v/>
      </c>
      <c r="K3082" s="21" t="str">
        <f t="shared" ca="1" si="230"/>
        <v/>
      </c>
    </row>
    <row r="3083" spans="1:11" s="18" customFormat="1" ht="14.25" x14ac:dyDescent="0.2">
      <c r="A3083" s="18" t="str">
        <f t="shared" si="229"/>
        <v>Eintrag 3082</v>
      </c>
      <c r="B3083" s="18">
        <v>100</v>
      </c>
      <c r="C3083" s="19">
        <v>100</v>
      </c>
      <c r="D3083" s="20">
        <v>10</v>
      </c>
      <c r="E3083" s="20">
        <v>10</v>
      </c>
      <c r="F3083" s="20">
        <v>10</v>
      </c>
      <c r="G3083" s="19">
        <f t="shared" si="231"/>
        <v>172</v>
      </c>
      <c r="H3083" s="22">
        <f t="shared" si="228"/>
        <v>3082</v>
      </c>
      <c r="I3083" s="21">
        <f t="shared" ca="1" si="225"/>
        <v>0</v>
      </c>
      <c r="J3083" s="21" t="str">
        <f ca="1">IF(I3083=0,"",COUNTIF($I$2:I3083,"&gt;0"))</f>
        <v/>
      </c>
      <c r="K3083" s="21" t="str">
        <f t="shared" ca="1" si="230"/>
        <v/>
      </c>
    </row>
    <row r="3084" spans="1:11" s="18" customFormat="1" ht="14.25" x14ac:dyDescent="0.2">
      <c r="A3084" s="18" t="str">
        <f t="shared" si="229"/>
        <v>Eintrag 3083</v>
      </c>
      <c r="B3084" s="18">
        <v>100</v>
      </c>
      <c r="C3084" s="19">
        <v>100</v>
      </c>
      <c r="D3084" s="20">
        <v>10</v>
      </c>
      <c r="E3084" s="20">
        <v>10</v>
      </c>
      <c r="F3084" s="20">
        <v>10</v>
      </c>
      <c r="G3084" s="19">
        <f t="shared" si="231"/>
        <v>172</v>
      </c>
      <c r="H3084" s="22">
        <f t="shared" si="228"/>
        <v>3083</v>
      </c>
      <c r="I3084" s="21">
        <f t="shared" ca="1" si="225"/>
        <v>0</v>
      </c>
      <c r="J3084" s="21" t="str">
        <f ca="1">IF(I3084=0,"",COUNTIF($I$2:I3084,"&gt;0"))</f>
        <v/>
      </c>
      <c r="K3084" s="21" t="str">
        <f t="shared" ca="1" si="230"/>
        <v/>
      </c>
    </row>
    <row r="3085" spans="1:11" s="18" customFormat="1" ht="14.25" x14ac:dyDescent="0.2">
      <c r="A3085" s="18" t="str">
        <f t="shared" si="229"/>
        <v>Eintrag 3084</v>
      </c>
      <c r="B3085" s="18">
        <v>100</v>
      </c>
      <c r="C3085" s="19">
        <v>100</v>
      </c>
      <c r="D3085" s="20">
        <v>10</v>
      </c>
      <c r="E3085" s="20">
        <v>10</v>
      </c>
      <c r="F3085" s="20">
        <v>10</v>
      </c>
      <c r="G3085" s="19">
        <f t="shared" si="231"/>
        <v>172</v>
      </c>
      <c r="H3085" s="22">
        <f t="shared" si="228"/>
        <v>3084</v>
      </c>
      <c r="I3085" s="21">
        <f t="shared" ca="1" si="225"/>
        <v>0</v>
      </c>
      <c r="J3085" s="21" t="str">
        <f ca="1">IF(I3085=0,"",COUNTIF($I$2:I3085,"&gt;0"))</f>
        <v/>
      </c>
      <c r="K3085" s="21" t="str">
        <f t="shared" ca="1" si="230"/>
        <v/>
      </c>
    </row>
    <row r="3086" spans="1:11" s="18" customFormat="1" ht="14.25" x14ac:dyDescent="0.2">
      <c r="A3086" s="18" t="str">
        <f t="shared" si="229"/>
        <v>Eintrag 3085</v>
      </c>
      <c r="B3086" s="18">
        <v>100</v>
      </c>
      <c r="C3086" s="19">
        <v>100</v>
      </c>
      <c r="D3086" s="20">
        <v>10</v>
      </c>
      <c r="E3086" s="20">
        <v>10</v>
      </c>
      <c r="F3086" s="20">
        <v>10</v>
      </c>
      <c r="G3086" s="19">
        <f t="shared" si="231"/>
        <v>172</v>
      </c>
      <c r="H3086" s="22">
        <f t="shared" si="228"/>
        <v>3085</v>
      </c>
      <c r="I3086" s="21">
        <f t="shared" ca="1" si="225"/>
        <v>0</v>
      </c>
      <c r="J3086" s="21" t="str">
        <f ca="1">IF(I3086=0,"",COUNTIF($I$2:I3086,"&gt;0"))</f>
        <v/>
      </c>
      <c r="K3086" s="21" t="str">
        <f t="shared" ca="1" si="230"/>
        <v/>
      </c>
    </row>
    <row r="3087" spans="1:11" s="18" customFormat="1" ht="14.25" x14ac:dyDescent="0.2">
      <c r="A3087" s="18" t="str">
        <f t="shared" si="229"/>
        <v>Eintrag 3086</v>
      </c>
      <c r="B3087" s="18">
        <v>100</v>
      </c>
      <c r="C3087" s="19">
        <v>100</v>
      </c>
      <c r="D3087" s="20">
        <v>10</v>
      </c>
      <c r="E3087" s="20">
        <v>10</v>
      </c>
      <c r="F3087" s="20">
        <v>10</v>
      </c>
      <c r="G3087" s="19">
        <f t="shared" si="231"/>
        <v>172</v>
      </c>
      <c r="H3087" s="22">
        <f t="shared" si="228"/>
        <v>3086</v>
      </c>
      <c r="I3087" s="21">
        <f t="shared" ca="1" si="225"/>
        <v>0</v>
      </c>
      <c r="J3087" s="21" t="str">
        <f ca="1">IF(I3087=0,"",COUNTIF($I$2:I3087,"&gt;0"))</f>
        <v/>
      </c>
      <c r="K3087" s="21" t="str">
        <f t="shared" ca="1" si="230"/>
        <v/>
      </c>
    </row>
    <row r="3088" spans="1:11" s="18" customFormat="1" ht="14.25" x14ac:dyDescent="0.2">
      <c r="A3088" s="18" t="str">
        <f t="shared" si="229"/>
        <v>Eintrag 3087</v>
      </c>
      <c r="B3088" s="18">
        <v>100</v>
      </c>
      <c r="C3088" s="19">
        <v>100</v>
      </c>
      <c r="D3088" s="20">
        <v>10</v>
      </c>
      <c r="E3088" s="20">
        <v>10</v>
      </c>
      <c r="F3088" s="20">
        <v>10</v>
      </c>
      <c r="G3088" s="19">
        <f t="shared" si="231"/>
        <v>172</v>
      </c>
      <c r="H3088" s="22">
        <f t="shared" si="228"/>
        <v>3087</v>
      </c>
      <c r="I3088" s="21">
        <f t="shared" ca="1" si="225"/>
        <v>0</v>
      </c>
      <c r="J3088" s="21" t="str">
        <f ca="1">IF(I3088=0,"",COUNTIF($I$2:I3088,"&gt;0"))</f>
        <v/>
      </c>
      <c r="K3088" s="21" t="str">
        <f t="shared" ca="1" si="230"/>
        <v/>
      </c>
    </row>
    <row r="3089" spans="1:11" s="18" customFormat="1" ht="14.25" x14ac:dyDescent="0.2">
      <c r="A3089" s="18" t="str">
        <f t="shared" si="229"/>
        <v>Eintrag 3088</v>
      </c>
      <c r="B3089" s="18">
        <v>100</v>
      </c>
      <c r="C3089" s="19">
        <v>100</v>
      </c>
      <c r="D3089" s="20">
        <v>10</v>
      </c>
      <c r="E3089" s="20">
        <v>10</v>
      </c>
      <c r="F3089" s="20">
        <v>10</v>
      </c>
      <c r="G3089" s="19">
        <f t="shared" si="231"/>
        <v>172</v>
      </c>
      <c r="H3089" s="22">
        <f t="shared" si="228"/>
        <v>3088</v>
      </c>
      <c r="I3089" s="21">
        <f t="shared" ca="1" si="225"/>
        <v>0</v>
      </c>
      <c r="J3089" s="21" t="str">
        <f ca="1">IF(I3089=0,"",COUNTIF($I$2:I3089,"&gt;0"))</f>
        <v/>
      </c>
      <c r="K3089" s="21" t="str">
        <f t="shared" ca="1" si="230"/>
        <v/>
      </c>
    </row>
    <row r="3090" spans="1:11" s="18" customFormat="1" ht="14.25" x14ac:dyDescent="0.2">
      <c r="A3090" s="18" t="str">
        <f t="shared" si="229"/>
        <v>Eintrag 3089</v>
      </c>
      <c r="B3090" s="18">
        <v>100</v>
      </c>
      <c r="C3090" s="19">
        <v>100</v>
      </c>
      <c r="D3090" s="20">
        <v>10</v>
      </c>
      <c r="E3090" s="20">
        <v>10</v>
      </c>
      <c r="F3090" s="20">
        <v>10</v>
      </c>
      <c r="G3090" s="19">
        <f t="shared" si="231"/>
        <v>172</v>
      </c>
      <c r="H3090" s="22">
        <f t="shared" si="228"/>
        <v>3089</v>
      </c>
      <c r="I3090" s="21">
        <f t="shared" ca="1" si="225"/>
        <v>0</v>
      </c>
      <c r="J3090" s="21" t="str">
        <f ca="1">IF(I3090=0,"",COUNTIF($I$2:I3090,"&gt;0"))</f>
        <v/>
      </c>
      <c r="K3090" s="21" t="str">
        <f t="shared" ca="1" si="230"/>
        <v/>
      </c>
    </row>
    <row r="3091" spans="1:11" s="18" customFormat="1" ht="14.25" x14ac:dyDescent="0.2">
      <c r="A3091" s="18" t="str">
        <f t="shared" si="229"/>
        <v>Eintrag 3090</v>
      </c>
      <c r="B3091" s="18">
        <v>100</v>
      </c>
      <c r="C3091" s="19">
        <v>100</v>
      </c>
      <c r="D3091" s="20">
        <v>10</v>
      </c>
      <c r="E3091" s="20">
        <v>10</v>
      </c>
      <c r="F3091" s="20">
        <v>10</v>
      </c>
      <c r="G3091" s="19">
        <f t="shared" si="231"/>
        <v>172</v>
      </c>
      <c r="H3091" s="22">
        <f t="shared" si="228"/>
        <v>3090</v>
      </c>
      <c r="I3091" s="21">
        <f t="shared" ca="1" si="225"/>
        <v>0</v>
      </c>
      <c r="J3091" s="21" t="str">
        <f ca="1">IF(I3091=0,"",COUNTIF($I$2:I3091,"&gt;0"))</f>
        <v/>
      </c>
      <c r="K3091" s="21" t="str">
        <f t="shared" ca="1" si="230"/>
        <v/>
      </c>
    </row>
    <row r="3092" spans="1:11" s="18" customFormat="1" ht="14.25" x14ac:dyDescent="0.2">
      <c r="A3092" s="18" t="str">
        <f t="shared" si="229"/>
        <v>Eintrag 3091</v>
      </c>
      <c r="B3092" s="18">
        <v>100</v>
      </c>
      <c r="C3092" s="19">
        <v>100</v>
      </c>
      <c r="D3092" s="20">
        <v>10</v>
      </c>
      <c r="E3092" s="20">
        <v>10</v>
      </c>
      <c r="F3092" s="20">
        <v>10</v>
      </c>
      <c r="G3092" s="19">
        <f t="shared" si="231"/>
        <v>172</v>
      </c>
      <c r="H3092" s="22">
        <f t="shared" si="228"/>
        <v>3091</v>
      </c>
      <c r="I3092" s="21">
        <f t="shared" ca="1" si="225"/>
        <v>0</v>
      </c>
      <c r="J3092" s="21" t="str">
        <f ca="1">IF(I3092=0,"",COUNTIF($I$2:I3092,"&gt;0"))</f>
        <v/>
      </c>
      <c r="K3092" s="21" t="str">
        <f t="shared" ca="1" si="230"/>
        <v/>
      </c>
    </row>
    <row r="3093" spans="1:11" s="18" customFormat="1" ht="14.25" x14ac:dyDescent="0.2">
      <c r="A3093" s="18" t="str">
        <f t="shared" si="229"/>
        <v>Eintrag 3092</v>
      </c>
      <c r="B3093" s="18">
        <v>100</v>
      </c>
      <c r="C3093" s="19">
        <v>100</v>
      </c>
      <c r="D3093" s="20">
        <v>10</v>
      </c>
      <c r="E3093" s="20">
        <v>10</v>
      </c>
      <c r="F3093" s="20">
        <v>10</v>
      </c>
      <c r="G3093" s="19">
        <f t="shared" si="231"/>
        <v>172</v>
      </c>
      <c r="H3093" s="22">
        <f t="shared" si="228"/>
        <v>3092</v>
      </c>
      <c r="I3093" s="21">
        <f t="shared" ca="1" si="225"/>
        <v>0</v>
      </c>
      <c r="J3093" s="21" t="str">
        <f ca="1">IF(I3093=0,"",COUNTIF($I$2:I3093,"&gt;0"))</f>
        <v/>
      </c>
      <c r="K3093" s="21" t="str">
        <f t="shared" ca="1" si="230"/>
        <v/>
      </c>
    </row>
    <row r="3094" spans="1:11" s="18" customFormat="1" ht="14.25" x14ac:dyDescent="0.2">
      <c r="A3094" s="18" t="str">
        <f t="shared" si="229"/>
        <v>Eintrag 3093</v>
      </c>
      <c r="B3094" s="18">
        <v>100</v>
      </c>
      <c r="C3094" s="19">
        <v>100</v>
      </c>
      <c r="D3094" s="20">
        <v>10</v>
      </c>
      <c r="E3094" s="20">
        <v>10</v>
      </c>
      <c r="F3094" s="20">
        <v>10</v>
      </c>
      <c r="G3094" s="19">
        <f t="shared" si="231"/>
        <v>172</v>
      </c>
      <c r="H3094" s="22">
        <f t="shared" si="228"/>
        <v>3093</v>
      </c>
      <c r="I3094" s="21">
        <f t="shared" ca="1" si="225"/>
        <v>0</v>
      </c>
      <c r="J3094" s="21" t="str">
        <f ca="1">IF(I3094=0,"",COUNTIF($I$2:I3094,"&gt;0"))</f>
        <v/>
      </c>
      <c r="K3094" s="21" t="str">
        <f t="shared" ca="1" si="230"/>
        <v/>
      </c>
    </row>
    <row r="3095" spans="1:11" s="18" customFormat="1" ht="14.25" x14ac:dyDescent="0.2">
      <c r="A3095" s="18" t="str">
        <f t="shared" si="229"/>
        <v>Eintrag 3094</v>
      </c>
      <c r="B3095" s="18">
        <v>100</v>
      </c>
      <c r="C3095" s="19">
        <v>100</v>
      </c>
      <c r="D3095" s="20">
        <v>10</v>
      </c>
      <c r="E3095" s="20">
        <v>10</v>
      </c>
      <c r="F3095" s="20">
        <v>10</v>
      </c>
      <c r="G3095" s="19">
        <f t="shared" si="231"/>
        <v>172</v>
      </c>
      <c r="H3095" s="22">
        <f t="shared" si="228"/>
        <v>3094</v>
      </c>
      <c r="I3095" s="21">
        <f t="shared" ca="1" si="225"/>
        <v>0</v>
      </c>
      <c r="J3095" s="21" t="str">
        <f ca="1">IF(I3095=0,"",COUNTIF($I$2:I3095,"&gt;0"))</f>
        <v/>
      </c>
      <c r="K3095" s="21" t="str">
        <f t="shared" ca="1" si="230"/>
        <v/>
      </c>
    </row>
    <row r="3096" spans="1:11" s="18" customFormat="1" ht="14.25" x14ac:dyDescent="0.2">
      <c r="A3096" s="18" t="str">
        <f t="shared" si="229"/>
        <v>Eintrag 3095</v>
      </c>
      <c r="B3096" s="18">
        <v>100</v>
      </c>
      <c r="C3096" s="19">
        <v>100</v>
      </c>
      <c r="D3096" s="20">
        <v>10</v>
      </c>
      <c r="E3096" s="20">
        <v>10</v>
      </c>
      <c r="F3096" s="20">
        <v>10</v>
      </c>
      <c r="G3096" s="19">
        <f t="shared" si="231"/>
        <v>172</v>
      </c>
      <c r="H3096" s="22">
        <f t="shared" si="228"/>
        <v>3095</v>
      </c>
      <c r="I3096" s="21">
        <f t="shared" ca="1" si="225"/>
        <v>0</v>
      </c>
      <c r="J3096" s="21" t="str">
        <f ca="1">IF(I3096=0,"",COUNTIF($I$2:I3096,"&gt;0"))</f>
        <v/>
      </c>
      <c r="K3096" s="21" t="str">
        <f t="shared" ca="1" si="230"/>
        <v/>
      </c>
    </row>
    <row r="3097" spans="1:11" s="18" customFormat="1" ht="14.25" x14ac:dyDescent="0.2">
      <c r="A3097" s="18" t="str">
        <f t="shared" si="229"/>
        <v>Eintrag 3096</v>
      </c>
      <c r="B3097" s="18">
        <v>100</v>
      </c>
      <c r="C3097" s="19">
        <v>100</v>
      </c>
      <c r="D3097" s="20">
        <v>10</v>
      </c>
      <c r="E3097" s="20">
        <v>10</v>
      </c>
      <c r="F3097" s="20">
        <v>10</v>
      </c>
      <c r="G3097" s="19">
        <f t="shared" si="231"/>
        <v>172</v>
      </c>
      <c r="H3097" s="22">
        <f t="shared" si="228"/>
        <v>3096</v>
      </c>
      <c r="I3097" s="21">
        <f t="shared" ca="1" si="225"/>
        <v>0</v>
      </c>
      <c r="J3097" s="21" t="str">
        <f ca="1">IF(I3097=0,"",COUNTIF($I$2:I3097,"&gt;0"))</f>
        <v/>
      </c>
      <c r="K3097" s="21" t="str">
        <f t="shared" ca="1" si="230"/>
        <v/>
      </c>
    </row>
    <row r="3098" spans="1:11" s="18" customFormat="1" ht="14.25" x14ac:dyDescent="0.2">
      <c r="A3098" s="18" t="str">
        <f t="shared" si="229"/>
        <v>Eintrag 3097</v>
      </c>
      <c r="B3098" s="18">
        <v>100</v>
      </c>
      <c r="C3098" s="19">
        <v>100</v>
      </c>
      <c r="D3098" s="20">
        <v>10</v>
      </c>
      <c r="E3098" s="20">
        <v>10</v>
      </c>
      <c r="F3098" s="20">
        <v>10</v>
      </c>
      <c r="G3098" s="19">
        <f t="shared" si="231"/>
        <v>172</v>
      </c>
      <c r="H3098" s="22">
        <f t="shared" si="228"/>
        <v>3097</v>
      </c>
      <c r="I3098" s="21">
        <f t="shared" ca="1" si="225"/>
        <v>0</v>
      </c>
      <c r="J3098" s="21" t="str">
        <f ca="1">IF(I3098=0,"",COUNTIF($I$2:I3098,"&gt;0"))</f>
        <v/>
      </c>
      <c r="K3098" s="21" t="str">
        <f t="shared" ca="1" si="230"/>
        <v/>
      </c>
    </row>
    <row r="3099" spans="1:11" s="18" customFormat="1" ht="14.25" x14ac:dyDescent="0.2">
      <c r="A3099" s="18" t="str">
        <f t="shared" si="229"/>
        <v>Eintrag 3098</v>
      </c>
      <c r="B3099" s="18">
        <v>100</v>
      </c>
      <c r="C3099" s="19">
        <v>100</v>
      </c>
      <c r="D3099" s="20">
        <v>10</v>
      </c>
      <c r="E3099" s="20">
        <v>10</v>
      </c>
      <c r="F3099" s="20">
        <v>10</v>
      </c>
      <c r="G3099" s="19">
        <f t="shared" si="231"/>
        <v>172</v>
      </c>
      <c r="H3099" s="22">
        <f t="shared" si="228"/>
        <v>3098</v>
      </c>
      <c r="I3099" s="21">
        <f t="shared" ca="1" si="225"/>
        <v>0</v>
      </c>
      <c r="J3099" s="21" t="str">
        <f ca="1">IF(I3099=0,"",COUNTIF($I$2:I3099,"&gt;0"))</f>
        <v/>
      </c>
      <c r="K3099" s="21" t="str">
        <f t="shared" ca="1" si="230"/>
        <v/>
      </c>
    </row>
    <row r="3100" spans="1:11" s="18" customFormat="1" ht="14.25" x14ac:dyDescent="0.2">
      <c r="A3100" s="18" t="str">
        <f t="shared" si="229"/>
        <v>Eintrag 3099</v>
      </c>
      <c r="B3100" s="18">
        <v>100</v>
      </c>
      <c r="C3100" s="19">
        <v>100</v>
      </c>
      <c r="D3100" s="20">
        <v>10</v>
      </c>
      <c r="E3100" s="20">
        <v>10</v>
      </c>
      <c r="F3100" s="20">
        <v>10</v>
      </c>
      <c r="G3100" s="19">
        <f t="shared" si="231"/>
        <v>172</v>
      </c>
      <c r="H3100" s="22">
        <f t="shared" si="228"/>
        <v>3099</v>
      </c>
      <c r="I3100" s="21">
        <f t="shared" ca="1" si="225"/>
        <v>0</v>
      </c>
      <c r="J3100" s="21" t="str">
        <f ca="1">IF(I3100=0,"",COUNTIF($I$2:I3100,"&gt;0"))</f>
        <v/>
      </c>
      <c r="K3100" s="21" t="str">
        <f t="shared" ca="1" si="230"/>
        <v/>
      </c>
    </row>
    <row r="3101" spans="1:11" s="18" customFormat="1" ht="14.25" x14ac:dyDescent="0.2">
      <c r="A3101" s="18" t="str">
        <f t="shared" si="229"/>
        <v>Eintrag 3100</v>
      </c>
      <c r="B3101" s="18">
        <v>100</v>
      </c>
      <c r="C3101" s="19">
        <v>100</v>
      </c>
      <c r="D3101" s="20">
        <v>10</v>
      </c>
      <c r="E3101" s="20">
        <v>10</v>
      </c>
      <c r="F3101" s="20">
        <v>10</v>
      </c>
      <c r="G3101" s="19">
        <f t="shared" si="231"/>
        <v>172</v>
      </c>
      <c r="H3101" s="22">
        <f t="shared" si="228"/>
        <v>3100</v>
      </c>
      <c r="I3101" s="21">
        <f t="shared" ca="1" si="225"/>
        <v>0</v>
      </c>
      <c r="J3101" s="21" t="str">
        <f ca="1">IF(I3101=0,"",COUNTIF($I$2:I3101,"&gt;0"))</f>
        <v/>
      </c>
      <c r="K3101" s="21" t="str">
        <f t="shared" ca="1" si="230"/>
        <v/>
      </c>
    </row>
    <row r="3102" spans="1:11" s="18" customFormat="1" ht="14.25" x14ac:dyDescent="0.2">
      <c r="A3102" s="18" t="str">
        <f t="shared" si="229"/>
        <v>Eintrag 3101</v>
      </c>
      <c r="B3102" s="18">
        <v>100</v>
      </c>
      <c r="C3102" s="19">
        <v>100</v>
      </c>
      <c r="D3102" s="20">
        <v>10</v>
      </c>
      <c r="E3102" s="20">
        <v>10</v>
      </c>
      <c r="F3102" s="20">
        <v>10</v>
      </c>
      <c r="G3102" s="19">
        <f t="shared" si="231"/>
        <v>172</v>
      </c>
      <c r="H3102" s="22">
        <f t="shared" si="228"/>
        <v>3101</v>
      </c>
      <c r="I3102" s="21">
        <f t="shared" ca="1" si="225"/>
        <v>0</v>
      </c>
      <c r="J3102" s="21" t="str">
        <f ca="1">IF(I3102=0,"",COUNTIF($I$2:I3102,"&gt;0"))</f>
        <v/>
      </c>
      <c r="K3102" s="21" t="str">
        <f t="shared" ca="1" si="230"/>
        <v/>
      </c>
    </row>
    <row r="3103" spans="1:11" s="18" customFormat="1" ht="14.25" x14ac:dyDescent="0.2">
      <c r="A3103" s="18" t="str">
        <f t="shared" si="229"/>
        <v>Eintrag 3102</v>
      </c>
      <c r="B3103" s="18">
        <v>100</v>
      </c>
      <c r="C3103" s="19">
        <v>100</v>
      </c>
      <c r="D3103" s="20">
        <v>10</v>
      </c>
      <c r="E3103" s="20">
        <v>10</v>
      </c>
      <c r="F3103" s="20">
        <v>10</v>
      </c>
      <c r="G3103" s="19">
        <f t="shared" si="231"/>
        <v>172</v>
      </c>
      <c r="H3103" s="22">
        <f t="shared" si="228"/>
        <v>3102</v>
      </c>
      <c r="I3103" s="21">
        <f t="shared" ca="1" si="225"/>
        <v>0</v>
      </c>
      <c r="J3103" s="21" t="str">
        <f ca="1">IF(I3103=0,"",COUNTIF($I$2:I3103,"&gt;0"))</f>
        <v/>
      </c>
      <c r="K3103" s="21" t="str">
        <f t="shared" ca="1" si="230"/>
        <v/>
      </c>
    </row>
    <row r="3104" spans="1:11" s="18" customFormat="1" ht="14.25" x14ac:dyDescent="0.2">
      <c r="A3104" s="18" t="str">
        <f t="shared" si="229"/>
        <v>Eintrag 3103</v>
      </c>
      <c r="B3104" s="18">
        <v>100</v>
      </c>
      <c r="C3104" s="19">
        <v>100</v>
      </c>
      <c r="D3104" s="20">
        <v>10</v>
      </c>
      <c r="E3104" s="20">
        <v>10</v>
      </c>
      <c r="F3104" s="20">
        <v>10</v>
      </c>
      <c r="G3104" s="19">
        <f t="shared" si="231"/>
        <v>172</v>
      </c>
      <c r="H3104" s="22">
        <f t="shared" si="228"/>
        <v>3103</v>
      </c>
      <c r="I3104" s="21">
        <f t="shared" ca="1" si="225"/>
        <v>0</v>
      </c>
      <c r="J3104" s="21" t="str">
        <f ca="1">IF(I3104=0,"",COUNTIF($I$2:I3104,"&gt;0"))</f>
        <v/>
      </c>
      <c r="K3104" s="21" t="str">
        <f t="shared" ca="1" si="230"/>
        <v/>
      </c>
    </row>
    <row r="3105" spans="1:11" s="18" customFormat="1" ht="14.25" x14ac:dyDescent="0.2">
      <c r="A3105" s="18" t="str">
        <f t="shared" si="229"/>
        <v>Eintrag 3104</v>
      </c>
      <c r="B3105" s="18">
        <v>100</v>
      </c>
      <c r="C3105" s="19">
        <v>100</v>
      </c>
      <c r="D3105" s="20">
        <v>10</v>
      </c>
      <c r="E3105" s="20">
        <v>10</v>
      </c>
      <c r="F3105" s="20">
        <v>10</v>
      </c>
      <c r="G3105" s="19">
        <f t="shared" si="231"/>
        <v>172</v>
      </c>
      <c r="H3105" s="22">
        <f t="shared" si="228"/>
        <v>3104</v>
      </c>
      <c r="I3105" s="21">
        <f t="shared" ca="1" si="225"/>
        <v>0</v>
      </c>
      <c r="J3105" s="21" t="str">
        <f ca="1">IF(I3105=0,"",COUNTIF($I$2:I3105,"&gt;0"))</f>
        <v/>
      </c>
      <c r="K3105" s="21" t="str">
        <f t="shared" ca="1" si="230"/>
        <v/>
      </c>
    </row>
    <row r="3106" spans="1:11" s="18" customFormat="1" ht="14.25" x14ac:dyDescent="0.2">
      <c r="A3106" s="18" t="str">
        <f t="shared" si="229"/>
        <v>Eintrag 3105</v>
      </c>
      <c r="B3106" s="18">
        <v>100</v>
      </c>
      <c r="C3106" s="19">
        <v>100</v>
      </c>
      <c r="D3106" s="20">
        <v>10</v>
      </c>
      <c r="E3106" s="20">
        <v>10</v>
      </c>
      <c r="F3106" s="20">
        <v>10</v>
      </c>
      <c r="G3106" s="19">
        <f t="shared" si="231"/>
        <v>172</v>
      </c>
      <c r="H3106" s="22">
        <f t="shared" si="228"/>
        <v>3105</v>
      </c>
      <c r="I3106" s="21">
        <f t="shared" ca="1" si="225"/>
        <v>0</v>
      </c>
      <c r="J3106" s="21" t="str">
        <f ca="1">IF(I3106=0,"",COUNTIF($I$2:I3106,"&gt;0"))</f>
        <v/>
      </c>
      <c r="K3106" s="21" t="str">
        <f t="shared" ca="1" si="230"/>
        <v/>
      </c>
    </row>
    <row r="3107" spans="1:11" s="18" customFormat="1" ht="14.25" x14ac:dyDescent="0.2">
      <c r="A3107" s="18" t="str">
        <f t="shared" si="229"/>
        <v>Eintrag 3106</v>
      </c>
      <c r="B3107" s="18">
        <v>100</v>
      </c>
      <c r="C3107" s="19">
        <v>100</v>
      </c>
      <c r="D3107" s="20">
        <v>10</v>
      </c>
      <c r="E3107" s="20">
        <v>10</v>
      </c>
      <c r="F3107" s="20">
        <v>10</v>
      </c>
      <c r="G3107" s="19">
        <f t="shared" si="231"/>
        <v>172</v>
      </c>
      <c r="H3107" s="22">
        <f t="shared" si="228"/>
        <v>3106</v>
      </c>
      <c r="I3107" s="21">
        <f t="shared" ca="1" si="225"/>
        <v>0</v>
      </c>
      <c r="J3107" s="21" t="str">
        <f ca="1">IF(I3107=0,"",COUNTIF($I$2:I3107,"&gt;0"))</f>
        <v/>
      </c>
      <c r="K3107" s="21" t="str">
        <f t="shared" ca="1" si="230"/>
        <v/>
      </c>
    </row>
    <row r="3108" spans="1:11" s="18" customFormat="1" ht="14.25" x14ac:dyDescent="0.2">
      <c r="A3108" s="18" t="str">
        <f t="shared" si="229"/>
        <v>Eintrag 3107</v>
      </c>
      <c r="B3108" s="18">
        <v>100</v>
      </c>
      <c r="C3108" s="19">
        <v>100</v>
      </c>
      <c r="D3108" s="20">
        <v>10</v>
      </c>
      <c r="E3108" s="20">
        <v>10</v>
      </c>
      <c r="F3108" s="20">
        <v>10</v>
      </c>
      <c r="G3108" s="19">
        <f t="shared" si="231"/>
        <v>172</v>
      </c>
      <c r="H3108" s="22">
        <f t="shared" si="228"/>
        <v>3107</v>
      </c>
      <c r="I3108" s="21">
        <f t="shared" ca="1" si="225"/>
        <v>0</v>
      </c>
      <c r="J3108" s="21" t="str">
        <f ca="1">IF(I3108=0,"",COUNTIF($I$2:I3108,"&gt;0"))</f>
        <v/>
      </c>
      <c r="K3108" s="21" t="str">
        <f t="shared" ca="1" si="230"/>
        <v/>
      </c>
    </row>
    <row r="3109" spans="1:11" s="18" customFormat="1" ht="14.25" x14ac:dyDescent="0.2">
      <c r="A3109" s="18" t="str">
        <f t="shared" si="229"/>
        <v>Eintrag 3108</v>
      </c>
      <c r="B3109" s="18">
        <v>100</v>
      </c>
      <c r="C3109" s="19">
        <v>100</v>
      </c>
      <c r="D3109" s="20">
        <v>10</v>
      </c>
      <c r="E3109" s="20">
        <v>10</v>
      </c>
      <c r="F3109" s="20">
        <v>10</v>
      </c>
      <c r="G3109" s="19">
        <f t="shared" si="231"/>
        <v>172</v>
      </c>
      <c r="H3109" s="22">
        <f t="shared" ref="H3109:H3172" si="232">H3108+1</f>
        <v>3108</v>
      </c>
      <c r="I3109" s="21">
        <f t="shared" ca="1" si="225"/>
        <v>0</v>
      </c>
      <c r="J3109" s="21" t="str">
        <f ca="1">IF(I3109=0,"",COUNTIF($I$2:I3109,"&gt;0"))</f>
        <v/>
      </c>
      <c r="K3109" s="21" t="str">
        <f t="shared" ca="1" si="230"/>
        <v/>
      </c>
    </row>
    <row r="3110" spans="1:11" s="18" customFormat="1" ht="14.25" x14ac:dyDescent="0.2">
      <c r="A3110" s="18" t="str">
        <f t="shared" si="229"/>
        <v>Eintrag 3109</v>
      </c>
      <c r="B3110" s="18">
        <v>100</v>
      </c>
      <c r="C3110" s="19">
        <v>100</v>
      </c>
      <c r="D3110" s="20">
        <v>10</v>
      </c>
      <c r="E3110" s="20">
        <v>10</v>
      </c>
      <c r="F3110" s="20">
        <v>10</v>
      </c>
      <c r="G3110" s="19">
        <f t="shared" si="231"/>
        <v>172</v>
      </c>
      <c r="H3110" s="22">
        <f t="shared" si="232"/>
        <v>3109</v>
      </c>
      <c r="I3110" s="21">
        <f t="shared" ca="1" si="225"/>
        <v>0</v>
      </c>
      <c r="J3110" s="21" t="str">
        <f ca="1">IF(I3110=0,"",COUNTIF($I$2:I3110,"&gt;0"))</f>
        <v/>
      </c>
      <c r="K3110" s="21" t="str">
        <f t="shared" ca="1" si="230"/>
        <v/>
      </c>
    </row>
    <row r="3111" spans="1:11" s="18" customFormat="1" ht="14.25" x14ac:dyDescent="0.2">
      <c r="A3111" s="18" t="str">
        <f t="shared" si="229"/>
        <v>Eintrag 3110</v>
      </c>
      <c r="B3111" s="18">
        <v>100</v>
      </c>
      <c r="C3111" s="19">
        <v>100</v>
      </c>
      <c r="D3111" s="20">
        <v>10</v>
      </c>
      <c r="E3111" s="20">
        <v>10</v>
      </c>
      <c r="F3111" s="20">
        <v>10</v>
      </c>
      <c r="G3111" s="19">
        <f t="shared" si="231"/>
        <v>172</v>
      </c>
      <c r="H3111" s="22">
        <f t="shared" si="232"/>
        <v>3110</v>
      </c>
      <c r="I3111" s="21">
        <f t="shared" ca="1" si="225"/>
        <v>0</v>
      </c>
      <c r="J3111" s="21" t="str">
        <f ca="1">IF(I3111=0,"",COUNTIF($I$2:I3111,"&gt;0"))</f>
        <v/>
      </c>
      <c r="K3111" s="21" t="str">
        <f t="shared" ca="1" si="230"/>
        <v/>
      </c>
    </row>
    <row r="3112" spans="1:11" s="18" customFormat="1" ht="14.25" x14ac:dyDescent="0.2">
      <c r="A3112" s="18" t="str">
        <f t="shared" si="229"/>
        <v>Eintrag 3111</v>
      </c>
      <c r="B3112" s="18">
        <v>100</v>
      </c>
      <c r="C3112" s="19">
        <v>100</v>
      </c>
      <c r="D3112" s="20">
        <v>10</v>
      </c>
      <c r="E3112" s="20">
        <v>10</v>
      </c>
      <c r="F3112" s="20">
        <v>10</v>
      </c>
      <c r="G3112" s="19">
        <f t="shared" si="231"/>
        <v>172</v>
      </c>
      <c r="H3112" s="22">
        <f t="shared" si="232"/>
        <v>3111</v>
      </c>
      <c r="I3112" s="21">
        <f t="shared" ca="1" si="225"/>
        <v>0</v>
      </c>
      <c r="J3112" s="21" t="str">
        <f ca="1">IF(I3112=0,"",COUNTIF($I$2:I3112,"&gt;0"))</f>
        <v/>
      </c>
      <c r="K3112" s="21" t="str">
        <f t="shared" ca="1" si="230"/>
        <v/>
      </c>
    </row>
    <row r="3113" spans="1:11" s="18" customFormat="1" ht="14.25" x14ac:dyDescent="0.2">
      <c r="A3113" s="18" t="str">
        <f t="shared" ref="A3113:A3176" si="233">CONCATENATE("Eintrag ",H3113)</f>
        <v>Eintrag 3112</v>
      </c>
      <c r="B3113" s="18">
        <v>100</v>
      </c>
      <c r="C3113" s="19">
        <v>100</v>
      </c>
      <c r="D3113" s="20">
        <v>10</v>
      </c>
      <c r="E3113" s="20">
        <v>10</v>
      </c>
      <c r="F3113" s="20">
        <v>10</v>
      </c>
      <c r="G3113" s="19">
        <f t="shared" si="231"/>
        <v>172</v>
      </c>
      <c r="H3113" s="22">
        <f t="shared" si="232"/>
        <v>3112</v>
      </c>
      <c r="I3113" s="21">
        <f t="shared" ca="1" si="225"/>
        <v>0</v>
      </c>
      <c r="J3113" s="21" t="str">
        <f ca="1">IF(I3113=0,"",COUNTIF($I$2:I3113,"&gt;0"))</f>
        <v/>
      </c>
      <c r="K3113" s="21" t="str">
        <f t="shared" ca="1" si="230"/>
        <v/>
      </c>
    </row>
    <row r="3114" spans="1:11" s="18" customFormat="1" ht="14.25" x14ac:dyDescent="0.2">
      <c r="A3114" s="18" t="str">
        <f t="shared" si="233"/>
        <v>Eintrag 3113</v>
      </c>
      <c r="B3114" s="18">
        <v>100</v>
      </c>
      <c r="C3114" s="19">
        <v>100</v>
      </c>
      <c r="D3114" s="20">
        <v>10</v>
      </c>
      <c r="E3114" s="20">
        <v>10</v>
      </c>
      <c r="F3114" s="20">
        <v>10</v>
      </c>
      <c r="G3114" s="19">
        <f t="shared" si="231"/>
        <v>172</v>
      </c>
      <c r="H3114" s="22">
        <f t="shared" si="232"/>
        <v>3113</v>
      </c>
      <c r="I3114" s="21">
        <f t="shared" ca="1" si="225"/>
        <v>0</v>
      </c>
      <c r="J3114" s="21" t="str">
        <f ca="1">IF(I3114=0,"",COUNTIF($I$2:I3114,"&gt;0"))</f>
        <v/>
      </c>
      <c r="K3114" s="21" t="str">
        <f t="shared" ca="1" si="230"/>
        <v/>
      </c>
    </row>
    <row r="3115" spans="1:11" s="18" customFormat="1" ht="14.25" x14ac:dyDescent="0.2">
      <c r="A3115" s="18" t="str">
        <f t="shared" si="233"/>
        <v>Eintrag 3114</v>
      </c>
      <c r="B3115" s="18">
        <v>100</v>
      </c>
      <c r="C3115" s="19">
        <v>100</v>
      </c>
      <c r="D3115" s="20">
        <v>10</v>
      </c>
      <c r="E3115" s="20">
        <v>10</v>
      </c>
      <c r="F3115" s="20">
        <v>10</v>
      </c>
      <c r="G3115" s="19">
        <f t="shared" si="231"/>
        <v>172</v>
      </c>
      <c r="H3115" s="22">
        <f t="shared" si="232"/>
        <v>3114</v>
      </c>
      <c r="I3115" s="21">
        <f t="shared" ca="1" si="225"/>
        <v>0</v>
      </c>
      <c r="J3115" s="21" t="str">
        <f ca="1">IF(I3115=0,"",COUNTIF($I$2:I3115,"&gt;0"))</f>
        <v/>
      </c>
      <c r="K3115" s="21" t="str">
        <f t="shared" ca="1" si="230"/>
        <v/>
      </c>
    </row>
    <row r="3116" spans="1:11" s="18" customFormat="1" ht="14.25" x14ac:dyDescent="0.2">
      <c r="A3116" s="18" t="str">
        <f t="shared" si="233"/>
        <v>Eintrag 3115</v>
      </c>
      <c r="B3116" s="18">
        <v>100</v>
      </c>
      <c r="C3116" s="19">
        <v>100</v>
      </c>
      <c r="D3116" s="20">
        <v>10</v>
      </c>
      <c r="E3116" s="20">
        <v>10</v>
      </c>
      <c r="F3116" s="20">
        <v>10</v>
      </c>
      <c r="G3116" s="19">
        <f t="shared" si="231"/>
        <v>172</v>
      </c>
      <c r="H3116" s="22">
        <f t="shared" si="232"/>
        <v>3115</v>
      </c>
      <c r="I3116" s="21">
        <f t="shared" ca="1" si="225"/>
        <v>0</v>
      </c>
      <c r="J3116" s="21" t="str">
        <f ca="1">IF(I3116=0,"",COUNTIF($I$2:I3116,"&gt;0"))</f>
        <v/>
      </c>
      <c r="K3116" s="21" t="str">
        <f t="shared" ca="1" si="230"/>
        <v/>
      </c>
    </row>
    <row r="3117" spans="1:11" s="18" customFormat="1" ht="14.25" x14ac:dyDescent="0.2">
      <c r="A3117" s="18" t="str">
        <f t="shared" si="233"/>
        <v>Eintrag 3116</v>
      </c>
      <c r="B3117" s="18">
        <v>100</v>
      </c>
      <c r="C3117" s="19">
        <v>100</v>
      </c>
      <c r="D3117" s="20">
        <v>10</v>
      </c>
      <c r="E3117" s="20">
        <v>10</v>
      </c>
      <c r="F3117" s="20">
        <v>10</v>
      </c>
      <c r="G3117" s="19">
        <f t="shared" si="231"/>
        <v>172</v>
      </c>
      <c r="H3117" s="22">
        <f t="shared" si="232"/>
        <v>3116</v>
      </c>
      <c r="I3117" s="21">
        <f t="shared" ca="1" si="225"/>
        <v>0</v>
      </c>
      <c r="J3117" s="21" t="str">
        <f ca="1">IF(I3117=0,"",COUNTIF($I$2:I3117,"&gt;0"))</f>
        <v/>
      </c>
      <c r="K3117" s="21" t="str">
        <f t="shared" ca="1" si="230"/>
        <v/>
      </c>
    </row>
    <row r="3118" spans="1:11" s="18" customFormat="1" ht="14.25" x14ac:dyDescent="0.2">
      <c r="A3118" s="18" t="str">
        <f t="shared" si="233"/>
        <v>Eintrag 3117</v>
      </c>
      <c r="B3118" s="18">
        <v>100</v>
      </c>
      <c r="C3118" s="19">
        <v>100</v>
      </c>
      <c r="D3118" s="20">
        <v>10</v>
      </c>
      <c r="E3118" s="20">
        <v>10</v>
      </c>
      <c r="F3118" s="20">
        <v>10</v>
      </c>
      <c r="G3118" s="19">
        <f t="shared" si="231"/>
        <v>172</v>
      </c>
      <c r="H3118" s="22">
        <f t="shared" si="232"/>
        <v>3117</v>
      </c>
      <c r="I3118" s="21">
        <f t="shared" ca="1" si="225"/>
        <v>0</v>
      </c>
      <c r="J3118" s="21" t="str">
        <f ca="1">IF(I3118=0,"",COUNTIF($I$2:I3118,"&gt;0"))</f>
        <v/>
      </c>
      <c r="K3118" s="21" t="str">
        <f t="shared" ca="1" si="230"/>
        <v/>
      </c>
    </row>
    <row r="3119" spans="1:11" s="18" customFormat="1" ht="14.25" x14ac:dyDescent="0.2">
      <c r="A3119" s="18" t="str">
        <f t="shared" si="233"/>
        <v>Eintrag 3118</v>
      </c>
      <c r="B3119" s="18">
        <v>100</v>
      </c>
      <c r="C3119" s="19">
        <v>100</v>
      </c>
      <c r="D3119" s="20">
        <v>10</v>
      </c>
      <c r="E3119" s="20">
        <v>10</v>
      </c>
      <c r="F3119" s="20">
        <v>10</v>
      </c>
      <c r="G3119" s="19">
        <f t="shared" si="231"/>
        <v>172</v>
      </c>
      <c r="H3119" s="22">
        <f t="shared" si="232"/>
        <v>3118</v>
      </c>
      <c r="I3119" s="21">
        <f t="shared" ca="1" si="225"/>
        <v>0</v>
      </c>
      <c r="J3119" s="21" t="str">
        <f ca="1">IF(I3119=0,"",COUNTIF($I$2:I3119,"&gt;0"))</f>
        <v/>
      </c>
      <c r="K3119" s="21" t="str">
        <f t="shared" ca="1" si="230"/>
        <v/>
      </c>
    </row>
    <row r="3120" spans="1:11" s="18" customFormat="1" ht="14.25" x14ac:dyDescent="0.2">
      <c r="A3120" s="18" t="str">
        <f t="shared" si="233"/>
        <v>Eintrag 3119</v>
      </c>
      <c r="B3120" s="18">
        <v>100</v>
      </c>
      <c r="C3120" s="19">
        <v>100</v>
      </c>
      <c r="D3120" s="20">
        <v>10</v>
      </c>
      <c r="E3120" s="20">
        <v>10</v>
      </c>
      <c r="F3120" s="20">
        <v>10</v>
      </c>
      <c r="G3120" s="19">
        <f t="shared" si="231"/>
        <v>172</v>
      </c>
      <c r="H3120" s="22">
        <f t="shared" si="232"/>
        <v>3119</v>
      </c>
      <c r="I3120" s="21">
        <f t="shared" ca="1" si="225"/>
        <v>0</v>
      </c>
      <c r="J3120" s="21" t="str">
        <f ca="1">IF(I3120=0,"",COUNTIF($I$2:I3120,"&gt;0"))</f>
        <v/>
      </c>
      <c r="K3120" s="21" t="str">
        <f t="shared" ca="1" si="230"/>
        <v/>
      </c>
    </row>
    <row r="3121" spans="1:11" s="18" customFormat="1" ht="14.25" x14ac:dyDescent="0.2">
      <c r="A3121" s="18" t="str">
        <f t="shared" si="233"/>
        <v>Eintrag 3120</v>
      </c>
      <c r="B3121" s="18">
        <v>100</v>
      </c>
      <c r="C3121" s="19">
        <v>100</v>
      </c>
      <c r="D3121" s="20">
        <v>10</v>
      </c>
      <c r="E3121" s="20">
        <v>10</v>
      </c>
      <c r="F3121" s="20">
        <v>10</v>
      </c>
      <c r="G3121" s="19">
        <f t="shared" si="231"/>
        <v>172</v>
      </c>
      <c r="H3121" s="22">
        <f t="shared" si="232"/>
        <v>3120</v>
      </c>
      <c r="I3121" s="21">
        <f t="shared" ca="1" si="225"/>
        <v>0</v>
      </c>
      <c r="J3121" s="21" t="str">
        <f ca="1">IF(I3121=0,"",COUNTIF($I$2:I3121,"&gt;0"))</f>
        <v/>
      </c>
      <c r="K3121" s="21" t="str">
        <f t="shared" ca="1" si="230"/>
        <v/>
      </c>
    </row>
    <row r="3122" spans="1:11" s="18" customFormat="1" ht="14.25" x14ac:dyDescent="0.2">
      <c r="A3122" s="18" t="str">
        <f t="shared" si="233"/>
        <v>Eintrag 3121</v>
      </c>
      <c r="B3122" s="18">
        <v>100</v>
      </c>
      <c r="C3122" s="19">
        <v>100</v>
      </c>
      <c r="D3122" s="20">
        <v>10</v>
      </c>
      <c r="E3122" s="20">
        <v>10</v>
      </c>
      <c r="F3122" s="20">
        <v>10</v>
      </c>
      <c r="G3122" s="19">
        <f t="shared" si="231"/>
        <v>172</v>
      </c>
      <c r="H3122" s="22">
        <f t="shared" si="232"/>
        <v>3121</v>
      </c>
      <c r="I3122" s="21">
        <f t="shared" ca="1" si="225"/>
        <v>0</v>
      </c>
      <c r="J3122" s="21" t="str">
        <f ca="1">IF(I3122=0,"",COUNTIF($I$2:I3122,"&gt;0"))</f>
        <v/>
      </c>
      <c r="K3122" s="21" t="str">
        <f t="shared" ca="1" si="230"/>
        <v/>
      </c>
    </row>
    <row r="3123" spans="1:11" s="18" customFormat="1" ht="14.25" x14ac:dyDescent="0.2">
      <c r="A3123" s="18" t="str">
        <f t="shared" si="233"/>
        <v>Eintrag 3122</v>
      </c>
      <c r="B3123" s="18">
        <v>100</v>
      </c>
      <c r="C3123" s="19">
        <v>100</v>
      </c>
      <c r="D3123" s="20">
        <v>10</v>
      </c>
      <c r="E3123" s="20">
        <v>10</v>
      </c>
      <c r="F3123" s="20">
        <v>10</v>
      </c>
      <c r="G3123" s="19">
        <f t="shared" si="231"/>
        <v>172</v>
      </c>
      <c r="H3123" s="22">
        <f t="shared" si="232"/>
        <v>3122</v>
      </c>
      <c r="I3123" s="21">
        <f t="shared" ca="1" si="225"/>
        <v>0</v>
      </c>
      <c r="J3123" s="21" t="str">
        <f ca="1">IF(I3123=0,"",COUNTIF($I$2:I3123,"&gt;0"))</f>
        <v/>
      </c>
      <c r="K3123" s="21" t="str">
        <f t="shared" ca="1" si="230"/>
        <v/>
      </c>
    </row>
    <row r="3124" spans="1:11" s="18" customFormat="1" ht="14.25" x14ac:dyDescent="0.2">
      <c r="A3124" s="18" t="str">
        <f t="shared" si="233"/>
        <v>Eintrag 3123</v>
      </c>
      <c r="B3124" s="18">
        <v>100</v>
      </c>
      <c r="C3124" s="19">
        <v>100</v>
      </c>
      <c r="D3124" s="20">
        <v>10</v>
      </c>
      <c r="E3124" s="20">
        <v>10</v>
      </c>
      <c r="F3124" s="20">
        <v>10</v>
      </c>
      <c r="G3124" s="19">
        <f t="shared" si="231"/>
        <v>172</v>
      </c>
      <c r="H3124" s="22">
        <f t="shared" si="232"/>
        <v>3123</v>
      </c>
      <c r="I3124" s="21">
        <f t="shared" ca="1" si="225"/>
        <v>0</v>
      </c>
      <c r="J3124" s="21" t="str">
        <f ca="1">IF(I3124=0,"",COUNTIF($I$2:I3124,"&gt;0"))</f>
        <v/>
      </c>
      <c r="K3124" s="21" t="str">
        <f t="shared" ca="1" si="230"/>
        <v/>
      </c>
    </row>
    <row r="3125" spans="1:11" s="18" customFormat="1" ht="14.25" x14ac:dyDescent="0.2">
      <c r="A3125" s="18" t="str">
        <f t="shared" si="233"/>
        <v>Eintrag 3124</v>
      </c>
      <c r="B3125" s="18">
        <v>100</v>
      </c>
      <c r="C3125" s="19">
        <v>100</v>
      </c>
      <c r="D3125" s="20">
        <v>10</v>
      </c>
      <c r="E3125" s="20">
        <v>10</v>
      </c>
      <c r="F3125" s="20">
        <v>10</v>
      </c>
      <c r="G3125" s="19">
        <f t="shared" si="231"/>
        <v>172</v>
      </c>
      <c r="H3125" s="22">
        <f t="shared" si="232"/>
        <v>3124</v>
      </c>
      <c r="I3125" s="21">
        <f t="shared" ca="1" si="225"/>
        <v>0</v>
      </c>
      <c r="J3125" s="21" t="str">
        <f ca="1">IF(I3125=0,"",COUNTIF($I$2:I3125,"&gt;0"))</f>
        <v/>
      </c>
      <c r="K3125" s="21" t="str">
        <f t="shared" ca="1" si="230"/>
        <v/>
      </c>
    </row>
    <row r="3126" spans="1:11" s="18" customFormat="1" ht="14.25" x14ac:dyDescent="0.2">
      <c r="A3126" s="18" t="str">
        <f t="shared" si="233"/>
        <v>Eintrag 3125</v>
      </c>
      <c r="B3126" s="18">
        <v>100</v>
      </c>
      <c r="C3126" s="19">
        <v>100</v>
      </c>
      <c r="D3126" s="20">
        <v>10</v>
      </c>
      <c r="E3126" s="20">
        <v>10</v>
      </c>
      <c r="F3126" s="20">
        <v>10</v>
      </c>
      <c r="G3126" s="19">
        <f t="shared" si="231"/>
        <v>172</v>
      </c>
      <c r="H3126" s="22">
        <f t="shared" si="232"/>
        <v>3125</v>
      </c>
      <c r="I3126" s="21">
        <f t="shared" ca="1" si="225"/>
        <v>0</v>
      </c>
      <c r="J3126" s="21" t="str">
        <f ca="1">IF(I3126=0,"",COUNTIF($I$2:I3126,"&gt;0"))</f>
        <v/>
      </c>
      <c r="K3126" s="21" t="str">
        <f t="shared" ca="1" si="230"/>
        <v/>
      </c>
    </row>
    <row r="3127" spans="1:11" s="18" customFormat="1" ht="14.25" x14ac:dyDescent="0.2">
      <c r="A3127" s="18" t="str">
        <f t="shared" si="233"/>
        <v>Eintrag 3126</v>
      </c>
      <c r="B3127" s="18">
        <v>100</v>
      </c>
      <c r="C3127" s="19">
        <v>100</v>
      </c>
      <c r="D3127" s="20">
        <v>10</v>
      </c>
      <c r="E3127" s="20">
        <v>10</v>
      </c>
      <c r="F3127" s="20">
        <v>10</v>
      </c>
      <c r="G3127" s="19">
        <f t="shared" si="231"/>
        <v>172</v>
      </c>
      <c r="H3127" s="22">
        <f t="shared" si="232"/>
        <v>3126</v>
      </c>
      <c r="I3127" s="21">
        <f t="shared" ca="1" si="225"/>
        <v>0</v>
      </c>
      <c r="J3127" s="21" t="str">
        <f ca="1">IF(I3127=0,"",COUNTIF($I$2:I3127,"&gt;0"))</f>
        <v/>
      </c>
      <c r="K3127" s="21" t="str">
        <f t="shared" ca="1" si="230"/>
        <v/>
      </c>
    </row>
    <row r="3128" spans="1:11" s="18" customFormat="1" ht="14.25" x14ac:dyDescent="0.2">
      <c r="A3128" s="18" t="str">
        <f t="shared" si="233"/>
        <v>Eintrag 3127</v>
      </c>
      <c r="B3128" s="18">
        <v>100</v>
      </c>
      <c r="C3128" s="19">
        <v>100</v>
      </c>
      <c r="D3128" s="20">
        <v>10</v>
      </c>
      <c r="E3128" s="20">
        <v>10</v>
      </c>
      <c r="F3128" s="20">
        <v>10</v>
      </c>
      <c r="G3128" s="19">
        <f t="shared" si="231"/>
        <v>172</v>
      </c>
      <c r="H3128" s="22">
        <f t="shared" si="232"/>
        <v>3127</v>
      </c>
      <c r="I3128" s="21">
        <f t="shared" ca="1" si="225"/>
        <v>0</v>
      </c>
      <c r="J3128" s="21" t="str">
        <f ca="1">IF(I3128=0,"",COUNTIF($I$2:I3128,"&gt;0"))</f>
        <v/>
      </c>
      <c r="K3128" s="21" t="str">
        <f t="shared" ca="1" si="230"/>
        <v/>
      </c>
    </row>
    <row r="3129" spans="1:11" s="18" customFormat="1" ht="14.25" x14ac:dyDescent="0.2">
      <c r="A3129" s="18" t="str">
        <f t="shared" si="233"/>
        <v>Eintrag 3128</v>
      </c>
      <c r="B3129" s="18">
        <v>100</v>
      </c>
      <c r="C3129" s="19">
        <v>100</v>
      </c>
      <c r="D3129" s="20">
        <v>10</v>
      </c>
      <c r="E3129" s="20">
        <v>10</v>
      </c>
      <c r="F3129" s="20">
        <v>10</v>
      </c>
      <c r="G3129" s="19">
        <f t="shared" si="231"/>
        <v>172</v>
      </c>
      <c r="H3129" s="22">
        <f t="shared" si="232"/>
        <v>3128</v>
      </c>
      <c r="I3129" s="21">
        <f t="shared" ca="1" si="225"/>
        <v>0</v>
      </c>
      <c r="J3129" s="21" t="str">
        <f ca="1">IF(I3129=0,"",COUNTIF($I$2:I3129,"&gt;0"))</f>
        <v/>
      </c>
      <c r="K3129" s="21" t="str">
        <f t="shared" ca="1" si="230"/>
        <v/>
      </c>
    </row>
    <row r="3130" spans="1:11" s="18" customFormat="1" ht="14.25" x14ac:dyDescent="0.2">
      <c r="A3130" s="18" t="str">
        <f t="shared" si="233"/>
        <v>Eintrag 3129</v>
      </c>
      <c r="B3130" s="18">
        <v>100</v>
      </c>
      <c r="C3130" s="19">
        <v>100</v>
      </c>
      <c r="D3130" s="20">
        <v>10</v>
      </c>
      <c r="E3130" s="20">
        <v>10</v>
      </c>
      <c r="F3130" s="20">
        <v>10</v>
      </c>
      <c r="G3130" s="19">
        <f t="shared" si="231"/>
        <v>172</v>
      </c>
      <c r="H3130" s="22">
        <f t="shared" si="232"/>
        <v>3129</v>
      </c>
      <c r="I3130" s="21">
        <f t="shared" ca="1" si="225"/>
        <v>0</v>
      </c>
      <c r="J3130" s="21" t="str">
        <f ca="1">IF(I3130=0,"",COUNTIF($I$2:I3130,"&gt;0"))</f>
        <v/>
      </c>
      <c r="K3130" s="21" t="str">
        <f t="shared" ca="1" si="230"/>
        <v/>
      </c>
    </row>
    <row r="3131" spans="1:11" s="18" customFormat="1" ht="14.25" x14ac:dyDescent="0.2">
      <c r="A3131" s="18" t="str">
        <f t="shared" si="233"/>
        <v>Eintrag 3130</v>
      </c>
      <c r="B3131" s="18">
        <v>100</v>
      </c>
      <c r="C3131" s="19">
        <v>100</v>
      </c>
      <c r="D3131" s="20">
        <v>10</v>
      </c>
      <c r="E3131" s="20">
        <v>10</v>
      </c>
      <c r="F3131" s="20">
        <v>10</v>
      </c>
      <c r="G3131" s="19">
        <f t="shared" si="231"/>
        <v>172</v>
      </c>
      <c r="H3131" s="22">
        <f t="shared" si="232"/>
        <v>3130</v>
      </c>
      <c r="I3131" s="21">
        <f t="shared" ca="1" si="225"/>
        <v>0</v>
      </c>
      <c r="J3131" s="21" t="str">
        <f ca="1">IF(I3131=0,"",COUNTIF($I$2:I3131,"&gt;0"))</f>
        <v/>
      </c>
      <c r="K3131" s="21" t="str">
        <f t="shared" ca="1" si="230"/>
        <v/>
      </c>
    </row>
    <row r="3132" spans="1:11" s="18" customFormat="1" ht="14.25" x14ac:dyDescent="0.2">
      <c r="A3132" s="18" t="str">
        <f t="shared" si="233"/>
        <v>Eintrag 3131</v>
      </c>
      <c r="B3132" s="18">
        <v>100</v>
      </c>
      <c r="C3132" s="19">
        <v>100</v>
      </c>
      <c r="D3132" s="20">
        <v>10</v>
      </c>
      <c r="E3132" s="20">
        <v>10</v>
      </c>
      <c r="F3132" s="20">
        <v>10</v>
      </c>
      <c r="G3132" s="19">
        <f t="shared" si="231"/>
        <v>172</v>
      </c>
      <c r="H3132" s="22">
        <f t="shared" si="232"/>
        <v>3131</v>
      </c>
      <c r="I3132" s="21">
        <f t="shared" ca="1" si="225"/>
        <v>0</v>
      </c>
      <c r="J3132" s="21" t="str">
        <f ca="1">IF(I3132=0,"",COUNTIF($I$2:I3132,"&gt;0"))</f>
        <v/>
      </c>
      <c r="K3132" s="21" t="str">
        <f t="shared" ca="1" si="230"/>
        <v/>
      </c>
    </row>
    <row r="3133" spans="1:11" s="18" customFormat="1" ht="14.25" x14ac:dyDescent="0.2">
      <c r="A3133" s="18" t="str">
        <f t="shared" si="233"/>
        <v>Eintrag 3132</v>
      </c>
      <c r="B3133" s="18">
        <v>100</v>
      </c>
      <c r="C3133" s="19">
        <v>100</v>
      </c>
      <c r="D3133" s="20">
        <v>10</v>
      </c>
      <c r="E3133" s="20">
        <v>10</v>
      </c>
      <c r="F3133" s="20">
        <v>10</v>
      </c>
      <c r="G3133" s="19">
        <f t="shared" si="231"/>
        <v>172</v>
      </c>
      <c r="H3133" s="22">
        <f t="shared" si="232"/>
        <v>3132</v>
      </c>
      <c r="I3133" s="21">
        <f t="shared" ca="1" si="225"/>
        <v>0</v>
      </c>
      <c r="J3133" s="21" t="str">
        <f ca="1">IF(I3133=0,"",COUNTIF($I$2:I3133,"&gt;0"))</f>
        <v/>
      </c>
      <c r="K3133" s="21" t="str">
        <f t="shared" ca="1" si="230"/>
        <v/>
      </c>
    </row>
    <row r="3134" spans="1:11" s="18" customFormat="1" ht="14.25" x14ac:dyDescent="0.2">
      <c r="A3134" s="18" t="str">
        <f t="shared" si="233"/>
        <v>Eintrag 3133</v>
      </c>
      <c r="B3134" s="18">
        <v>100</v>
      </c>
      <c r="C3134" s="19">
        <v>100</v>
      </c>
      <c r="D3134" s="20">
        <v>10</v>
      </c>
      <c r="E3134" s="20">
        <v>10</v>
      </c>
      <c r="F3134" s="20">
        <v>10</v>
      </c>
      <c r="G3134" s="19">
        <f t="shared" si="231"/>
        <v>172</v>
      </c>
      <c r="H3134" s="22">
        <f t="shared" si="232"/>
        <v>3133</v>
      </c>
      <c r="I3134" s="21">
        <f t="shared" ca="1" si="225"/>
        <v>0</v>
      </c>
      <c r="J3134" s="21" t="str">
        <f ca="1">IF(I3134=0,"",COUNTIF($I$2:I3134,"&gt;0"))</f>
        <v/>
      </c>
      <c r="K3134" s="21" t="str">
        <f t="shared" ca="1" si="230"/>
        <v/>
      </c>
    </row>
    <row r="3135" spans="1:11" s="18" customFormat="1" ht="14.25" x14ac:dyDescent="0.2">
      <c r="A3135" s="18" t="str">
        <f t="shared" si="233"/>
        <v>Eintrag 3134</v>
      </c>
      <c r="B3135" s="18">
        <v>100</v>
      </c>
      <c r="C3135" s="19">
        <v>100</v>
      </c>
      <c r="D3135" s="20">
        <v>10</v>
      </c>
      <c r="E3135" s="20">
        <v>10</v>
      </c>
      <c r="F3135" s="20">
        <v>10</v>
      </c>
      <c r="G3135" s="19">
        <f t="shared" si="231"/>
        <v>172</v>
      </c>
      <c r="H3135" s="22">
        <f t="shared" si="232"/>
        <v>3134</v>
      </c>
      <c r="I3135" s="21">
        <f t="shared" ca="1" si="225"/>
        <v>0</v>
      </c>
      <c r="J3135" s="21" t="str">
        <f ca="1">IF(I3135=0,"",COUNTIF($I$2:I3135,"&gt;0"))</f>
        <v/>
      </c>
      <c r="K3135" s="21" t="str">
        <f t="shared" ca="1" si="230"/>
        <v/>
      </c>
    </row>
    <row r="3136" spans="1:11" s="18" customFormat="1" ht="14.25" x14ac:dyDescent="0.2">
      <c r="A3136" s="18" t="str">
        <f t="shared" si="233"/>
        <v>Eintrag 3135</v>
      </c>
      <c r="B3136" s="18">
        <v>100</v>
      </c>
      <c r="C3136" s="19">
        <v>100</v>
      </c>
      <c r="D3136" s="20">
        <v>10</v>
      </c>
      <c r="E3136" s="20">
        <v>10</v>
      </c>
      <c r="F3136" s="20">
        <v>10</v>
      </c>
      <c r="G3136" s="19">
        <f t="shared" si="231"/>
        <v>172</v>
      </c>
      <c r="H3136" s="22">
        <f t="shared" si="232"/>
        <v>3135</v>
      </c>
      <c r="I3136" s="21">
        <f t="shared" ca="1" si="225"/>
        <v>0</v>
      </c>
      <c r="J3136" s="21" t="str">
        <f ca="1">IF(I3136=0,"",COUNTIF($I$2:I3136,"&gt;0"))</f>
        <v/>
      </c>
      <c r="K3136" s="21" t="str">
        <f t="shared" ca="1" si="230"/>
        <v/>
      </c>
    </row>
    <row r="3137" spans="1:11" s="18" customFormat="1" ht="14.25" x14ac:dyDescent="0.2">
      <c r="A3137" s="18" t="str">
        <f t="shared" si="233"/>
        <v>Eintrag 3136</v>
      </c>
      <c r="B3137" s="18">
        <v>100</v>
      </c>
      <c r="C3137" s="19">
        <v>100</v>
      </c>
      <c r="D3137" s="20">
        <v>10</v>
      </c>
      <c r="E3137" s="20">
        <v>10</v>
      </c>
      <c r="F3137" s="20">
        <v>10</v>
      </c>
      <c r="G3137" s="19">
        <f t="shared" si="231"/>
        <v>172</v>
      </c>
      <c r="H3137" s="22">
        <f t="shared" si="232"/>
        <v>3136</v>
      </c>
      <c r="I3137" s="21">
        <f t="shared" ca="1" si="225"/>
        <v>0</v>
      </c>
      <c r="J3137" s="21" t="str">
        <f ca="1">IF(I3137=0,"",COUNTIF($I$2:I3137,"&gt;0"))</f>
        <v/>
      </c>
      <c r="K3137" s="21" t="str">
        <f t="shared" ca="1" si="230"/>
        <v/>
      </c>
    </row>
    <row r="3138" spans="1:11" s="18" customFormat="1" ht="14.25" x14ac:dyDescent="0.2">
      <c r="A3138" s="18" t="str">
        <f t="shared" si="233"/>
        <v>Eintrag 3137</v>
      </c>
      <c r="B3138" s="18">
        <v>100</v>
      </c>
      <c r="C3138" s="19">
        <v>100</v>
      </c>
      <c r="D3138" s="20">
        <v>10</v>
      </c>
      <c r="E3138" s="20">
        <v>10</v>
      </c>
      <c r="F3138" s="20">
        <v>10</v>
      </c>
      <c r="G3138" s="19">
        <f t="shared" si="231"/>
        <v>172</v>
      </c>
      <c r="H3138" s="22">
        <f t="shared" si="232"/>
        <v>3137</v>
      </c>
      <c r="I3138" s="21">
        <f t="shared" ca="1" si="225"/>
        <v>0</v>
      </c>
      <c r="J3138" s="21" t="str">
        <f ca="1">IF(I3138=0,"",COUNTIF($I$2:I3138,"&gt;0"))</f>
        <v/>
      </c>
      <c r="K3138" s="21" t="str">
        <f t="shared" ref="K3138:K3201" ca="1" si="234">IFERROR(INDEX(A:A,MATCH(ROW(I3137),J:J,0)),"")</f>
        <v/>
      </c>
    </row>
    <row r="3139" spans="1:11" s="18" customFormat="1" ht="14.25" x14ac:dyDescent="0.2">
      <c r="A3139" s="18" t="str">
        <f t="shared" si="233"/>
        <v>Eintrag 3138</v>
      </c>
      <c r="B3139" s="18">
        <v>100</v>
      </c>
      <c r="C3139" s="19">
        <v>100</v>
      </c>
      <c r="D3139" s="20">
        <v>10</v>
      </c>
      <c r="E3139" s="20">
        <v>10</v>
      </c>
      <c r="F3139" s="20">
        <v>10</v>
      </c>
      <c r="G3139" s="19">
        <f t="shared" ref="G3139:G3202" si="235">D3139*9+E3139*4.1+F3139*4.1</f>
        <v>172</v>
      </c>
      <c r="H3139" s="22">
        <f t="shared" si="232"/>
        <v>3138</v>
      </c>
      <c r="I3139" s="21">
        <f t="shared" ca="1" si="225"/>
        <v>0</v>
      </c>
      <c r="J3139" s="21" t="str">
        <f ca="1">IF(I3139=0,"",COUNTIF($I$2:I3139,"&gt;0"))</f>
        <v/>
      </c>
      <c r="K3139" s="21" t="str">
        <f t="shared" ca="1" si="234"/>
        <v/>
      </c>
    </row>
    <row r="3140" spans="1:11" s="18" customFormat="1" ht="14.25" x14ac:dyDescent="0.2">
      <c r="A3140" s="18" t="str">
        <f t="shared" si="233"/>
        <v>Eintrag 3139</v>
      </c>
      <c r="B3140" s="18">
        <v>100</v>
      </c>
      <c r="C3140" s="19">
        <v>100</v>
      </c>
      <c r="D3140" s="20">
        <v>10</v>
      </c>
      <c r="E3140" s="20">
        <v>10</v>
      </c>
      <c r="F3140" s="20">
        <v>10</v>
      </c>
      <c r="G3140" s="19">
        <f t="shared" si="235"/>
        <v>172</v>
      </c>
      <c r="H3140" s="22">
        <f t="shared" si="232"/>
        <v>3139</v>
      </c>
      <c r="I3140" s="21">
        <f t="shared" ca="1" si="225"/>
        <v>0</v>
      </c>
      <c r="J3140" s="21" t="str">
        <f ca="1">IF(I3140=0,"",COUNTIF($I$2:I3140,"&gt;0"))</f>
        <v/>
      </c>
      <c r="K3140" s="21" t="str">
        <f t="shared" ca="1" si="234"/>
        <v/>
      </c>
    </row>
    <row r="3141" spans="1:11" s="18" customFormat="1" ht="14.25" x14ac:dyDescent="0.2">
      <c r="A3141" s="18" t="str">
        <f t="shared" si="233"/>
        <v>Eintrag 3140</v>
      </c>
      <c r="B3141" s="18">
        <v>100</v>
      </c>
      <c r="C3141" s="19">
        <v>100</v>
      </c>
      <c r="D3141" s="20">
        <v>10</v>
      </c>
      <c r="E3141" s="20">
        <v>10</v>
      </c>
      <c r="F3141" s="20">
        <v>10</v>
      </c>
      <c r="G3141" s="19">
        <f t="shared" si="235"/>
        <v>172</v>
      </c>
      <c r="H3141" s="22">
        <f t="shared" si="232"/>
        <v>3140</v>
      </c>
      <c r="I3141" s="21">
        <f t="shared" ca="1" si="225"/>
        <v>0</v>
      </c>
      <c r="J3141" s="21" t="str">
        <f ca="1">IF(I3141=0,"",COUNTIF($I$2:I3141,"&gt;0"))</f>
        <v/>
      </c>
      <c r="K3141" s="21" t="str">
        <f t="shared" ca="1" si="234"/>
        <v/>
      </c>
    </row>
    <row r="3142" spans="1:11" s="18" customFormat="1" ht="14.25" x14ac:dyDescent="0.2">
      <c r="A3142" s="18" t="str">
        <f t="shared" si="233"/>
        <v>Eintrag 3141</v>
      </c>
      <c r="B3142" s="18">
        <v>100</v>
      </c>
      <c r="C3142" s="19">
        <v>100</v>
      </c>
      <c r="D3142" s="20">
        <v>10</v>
      </c>
      <c r="E3142" s="20">
        <v>10</v>
      </c>
      <c r="F3142" s="20">
        <v>10</v>
      </c>
      <c r="G3142" s="19">
        <f t="shared" si="235"/>
        <v>172</v>
      </c>
      <c r="H3142" s="22">
        <f t="shared" si="232"/>
        <v>3141</v>
      </c>
      <c r="I3142" s="21">
        <f t="shared" ca="1" si="225"/>
        <v>0</v>
      </c>
      <c r="J3142" s="21" t="str">
        <f ca="1">IF(I3142=0,"",COUNTIF($I$2:I3142,"&gt;0"))</f>
        <v/>
      </c>
      <c r="K3142" s="21" t="str">
        <f t="shared" ca="1" si="234"/>
        <v/>
      </c>
    </row>
    <row r="3143" spans="1:11" s="18" customFormat="1" ht="14.25" x14ac:dyDescent="0.2">
      <c r="A3143" s="18" t="str">
        <f t="shared" si="233"/>
        <v>Eintrag 3142</v>
      </c>
      <c r="B3143" s="18">
        <v>100</v>
      </c>
      <c r="C3143" s="19">
        <v>100</v>
      </c>
      <c r="D3143" s="20">
        <v>10</v>
      </c>
      <c r="E3143" s="20">
        <v>10</v>
      </c>
      <c r="F3143" s="20">
        <v>10</v>
      </c>
      <c r="G3143" s="19">
        <f t="shared" si="235"/>
        <v>172</v>
      </c>
      <c r="H3143" s="22">
        <f t="shared" si="232"/>
        <v>3142</v>
      </c>
      <c r="I3143" s="21">
        <f t="shared" ca="1" si="225"/>
        <v>0</v>
      </c>
      <c r="J3143" s="21" t="str">
        <f ca="1">IF(I3143=0,"",COUNTIF($I$2:I3143,"&gt;0"))</f>
        <v/>
      </c>
      <c r="K3143" s="21" t="str">
        <f t="shared" ca="1" si="234"/>
        <v/>
      </c>
    </row>
    <row r="3144" spans="1:11" s="18" customFormat="1" ht="14.25" x14ac:dyDescent="0.2">
      <c r="A3144" s="18" t="str">
        <f t="shared" si="233"/>
        <v>Eintrag 3143</v>
      </c>
      <c r="B3144" s="18">
        <v>100</v>
      </c>
      <c r="C3144" s="19">
        <v>100</v>
      </c>
      <c r="D3144" s="20">
        <v>10</v>
      </c>
      <c r="E3144" s="20">
        <v>10</v>
      </c>
      <c r="F3144" s="20">
        <v>10</v>
      </c>
      <c r="G3144" s="19">
        <f t="shared" si="235"/>
        <v>172</v>
      </c>
      <c r="H3144" s="22">
        <f t="shared" si="232"/>
        <v>3143</v>
      </c>
      <c r="I3144" s="21">
        <f t="shared" ca="1" si="225"/>
        <v>0</v>
      </c>
      <c r="J3144" s="21" t="str">
        <f ca="1">IF(I3144=0,"",COUNTIF($I$2:I3144,"&gt;0"))</f>
        <v/>
      </c>
      <c r="K3144" s="21" t="str">
        <f t="shared" ca="1" si="234"/>
        <v/>
      </c>
    </row>
    <row r="3145" spans="1:11" s="18" customFormat="1" ht="14.25" x14ac:dyDescent="0.2">
      <c r="A3145" s="18" t="str">
        <f t="shared" si="233"/>
        <v>Eintrag 3144</v>
      </c>
      <c r="B3145" s="18">
        <v>100</v>
      </c>
      <c r="C3145" s="19">
        <v>100</v>
      </c>
      <c r="D3145" s="20">
        <v>10</v>
      </c>
      <c r="E3145" s="20">
        <v>10</v>
      </c>
      <c r="F3145" s="20">
        <v>10</v>
      </c>
      <c r="G3145" s="19">
        <f t="shared" si="235"/>
        <v>172</v>
      </c>
      <c r="H3145" s="22">
        <f t="shared" si="232"/>
        <v>3144</v>
      </c>
      <c r="I3145" s="21">
        <f t="shared" ca="1" si="225"/>
        <v>0</v>
      </c>
      <c r="J3145" s="21" t="str">
        <f ca="1">IF(I3145=0,"",COUNTIF($I$2:I3145,"&gt;0"))</f>
        <v/>
      </c>
      <c r="K3145" s="21" t="str">
        <f t="shared" ca="1" si="234"/>
        <v/>
      </c>
    </row>
    <row r="3146" spans="1:11" s="18" customFormat="1" ht="14.25" x14ac:dyDescent="0.2">
      <c r="A3146" s="18" t="str">
        <f t="shared" si="233"/>
        <v>Eintrag 3145</v>
      </c>
      <c r="B3146" s="18">
        <v>100</v>
      </c>
      <c r="C3146" s="19">
        <v>100</v>
      </c>
      <c r="D3146" s="20">
        <v>10</v>
      </c>
      <c r="E3146" s="20">
        <v>10</v>
      </c>
      <c r="F3146" s="20">
        <v>10</v>
      </c>
      <c r="G3146" s="19">
        <f t="shared" si="235"/>
        <v>172</v>
      </c>
      <c r="H3146" s="22">
        <f t="shared" si="232"/>
        <v>3145</v>
      </c>
      <c r="I3146" s="21">
        <f t="shared" ca="1" si="225"/>
        <v>0</v>
      </c>
      <c r="J3146" s="21" t="str">
        <f ca="1">IF(I3146=0,"",COUNTIF($I$2:I3146,"&gt;0"))</f>
        <v/>
      </c>
      <c r="K3146" s="21" t="str">
        <f t="shared" ca="1" si="234"/>
        <v/>
      </c>
    </row>
    <row r="3147" spans="1:11" s="18" customFormat="1" ht="14.25" x14ac:dyDescent="0.2">
      <c r="A3147" s="18" t="str">
        <f t="shared" si="233"/>
        <v>Eintrag 3146</v>
      </c>
      <c r="B3147" s="18">
        <v>100</v>
      </c>
      <c r="C3147" s="19">
        <v>100</v>
      </c>
      <c r="D3147" s="20">
        <v>10</v>
      </c>
      <c r="E3147" s="20">
        <v>10</v>
      </c>
      <c r="F3147" s="20">
        <v>10</v>
      </c>
      <c r="G3147" s="19">
        <f t="shared" si="235"/>
        <v>172</v>
      </c>
      <c r="H3147" s="22">
        <f t="shared" si="232"/>
        <v>3146</v>
      </c>
      <c r="I3147" s="21">
        <f t="shared" ca="1" si="225"/>
        <v>0</v>
      </c>
      <c r="J3147" s="21" t="str">
        <f ca="1">IF(I3147=0,"",COUNTIF($I$2:I3147,"&gt;0"))</f>
        <v/>
      </c>
      <c r="K3147" s="21" t="str">
        <f t="shared" ca="1" si="234"/>
        <v/>
      </c>
    </row>
    <row r="3148" spans="1:11" s="18" customFormat="1" ht="14.25" x14ac:dyDescent="0.2">
      <c r="A3148" s="18" t="str">
        <f t="shared" si="233"/>
        <v>Eintrag 3147</v>
      </c>
      <c r="B3148" s="18">
        <v>100</v>
      </c>
      <c r="C3148" s="19">
        <v>100</v>
      </c>
      <c r="D3148" s="20">
        <v>10</v>
      </c>
      <c r="E3148" s="20">
        <v>10</v>
      </c>
      <c r="F3148" s="20">
        <v>10</v>
      </c>
      <c r="G3148" s="19">
        <f t="shared" si="235"/>
        <v>172</v>
      </c>
      <c r="H3148" s="22">
        <f t="shared" si="232"/>
        <v>3147</v>
      </c>
      <c r="I3148" s="21">
        <f t="shared" ca="1" si="225"/>
        <v>0</v>
      </c>
      <c r="J3148" s="21" t="str">
        <f ca="1">IF(I3148=0,"",COUNTIF($I$2:I3148,"&gt;0"))</f>
        <v/>
      </c>
      <c r="K3148" s="21" t="str">
        <f t="shared" ca="1" si="234"/>
        <v/>
      </c>
    </row>
    <row r="3149" spans="1:11" s="18" customFormat="1" ht="14.25" x14ac:dyDescent="0.2">
      <c r="A3149" s="18" t="str">
        <f t="shared" si="233"/>
        <v>Eintrag 3148</v>
      </c>
      <c r="B3149" s="18">
        <v>100</v>
      </c>
      <c r="C3149" s="19">
        <v>100</v>
      </c>
      <c r="D3149" s="20">
        <v>10</v>
      </c>
      <c r="E3149" s="20">
        <v>10</v>
      </c>
      <c r="F3149" s="20">
        <v>10</v>
      </c>
      <c r="G3149" s="19">
        <f t="shared" si="235"/>
        <v>172</v>
      </c>
      <c r="H3149" s="22">
        <f t="shared" si="232"/>
        <v>3148</v>
      </c>
      <c r="I3149" s="21">
        <f t="shared" ca="1" si="225"/>
        <v>0</v>
      </c>
      <c r="J3149" s="21" t="str">
        <f ca="1">IF(I3149=0,"",COUNTIF($I$2:I3149,"&gt;0"))</f>
        <v/>
      </c>
      <c r="K3149" s="21" t="str">
        <f t="shared" ca="1" si="234"/>
        <v/>
      </c>
    </row>
    <row r="3150" spans="1:11" s="18" customFormat="1" ht="14.25" x14ac:dyDescent="0.2">
      <c r="A3150" s="18" t="str">
        <f t="shared" si="233"/>
        <v>Eintrag 3149</v>
      </c>
      <c r="B3150" s="18">
        <v>100</v>
      </c>
      <c r="C3150" s="19">
        <v>100</v>
      </c>
      <c r="D3150" s="20">
        <v>10</v>
      </c>
      <c r="E3150" s="20">
        <v>10</v>
      </c>
      <c r="F3150" s="20">
        <v>10</v>
      </c>
      <c r="G3150" s="19">
        <f t="shared" si="235"/>
        <v>172</v>
      </c>
      <c r="H3150" s="22">
        <f t="shared" si="232"/>
        <v>3149</v>
      </c>
      <c r="I3150" s="21">
        <f t="shared" ca="1" si="225"/>
        <v>0</v>
      </c>
      <c r="J3150" s="21" t="str">
        <f ca="1">IF(I3150=0,"",COUNTIF($I$2:I3150,"&gt;0"))</f>
        <v/>
      </c>
      <c r="K3150" s="21" t="str">
        <f t="shared" ca="1" si="234"/>
        <v/>
      </c>
    </row>
    <row r="3151" spans="1:11" s="18" customFormat="1" ht="14.25" x14ac:dyDescent="0.2">
      <c r="A3151" s="18" t="str">
        <f t="shared" si="233"/>
        <v>Eintrag 3150</v>
      </c>
      <c r="B3151" s="18">
        <v>100</v>
      </c>
      <c r="C3151" s="19">
        <v>100</v>
      </c>
      <c r="D3151" s="20">
        <v>10</v>
      </c>
      <c r="E3151" s="20">
        <v>10</v>
      </c>
      <c r="F3151" s="20">
        <v>10</v>
      </c>
      <c r="G3151" s="19">
        <f t="shared" si="235"/>
        <v>172</v>
      </c>
      <c r="H3151" s="22">
        <f t="shared" si="232"/>
        <v>3150</v>
      </c>
      <c r="I3151" s="21">
        <f t="shared" ca="1" si="225"/>
        <v>0</v>
      </c>
      <c r="J3151" s="21" t="str">
        <f ca="1">IF(I3151=0,"",COUNTIF($I$2:I3151,"&gt;0"))</f>
        <v/>
      </c>
      <c r="K3151" s="21" t="str">
        <f t="shared" ca="1" si="234"/>
        <v/>
      </c>
    </row>
    <row r="3152" spans="1:11" s="18" customFormat="1" ht="14.25" x14ac:dyDescent="0.2">
      <c r="A3152" s="18" t="str">
        <f t="shared" si="233"/>
        <v>Eintrag 3151</v>
      </c>
      <c r="B3152" s="18">
        <v>100</v>
      </c>
      <c r="C3152" s="19">
        <v>100</v>
      </c>
      <c r="D3152" s="20">
        <v>10</v>
      </c>
      <c r="E3152" s="20">
        <v>10</v>
      </c>
      <c r="F3152" s="20">
        <v>10</v>
      </c>
      <c r="G3152" s="19">
        <f t="shared" si="235"/>
        <v>172</v>
      </c>
      <c r="H3152" s="22">
        <f t="shared" si="232"/>
        <v>3151</v>
      </c>
      <c r="I3152" s="21">
        <f t="shared" ca="1" si="225"/>
        <v>0</v>
      </c>
      <c r="J3152" s="21" t="str">
        <f ca="1">IF(I3152=0,"",COUNTIF($I$2:I3152,"&gt;0"))</f>
        <v/>
      </c>
      <c r="K3152" s="21" t="str">
        <f t="shared" ca="1" si="234"/>
        <v/>
      </c>
    </row>
    <row r="3153" spans="1:11" s="18" customFormat="1" ht="14.25" x14ac:dyDescent="0.2">
      <c r="A3153" s="18" t="str">
        <f t="shared" si="233"/>
        <v>Eintrag 3152</v>
      </c>
      <c r="B3153" s="18">
        <v>100</v>
      </c>
      <c r="C3153" s="19">
        <v>100</v>
      </c>
      <c r="D3153" s="20">
        <v>10</v>
      </c>
      <c r="E3153" s="20">
        <v>10</v>
      </c>
      <c r="F3153" s="20">
        <v>10</v>
      </c>
      <c r="G3153" s="19">
        <f t="shared" si="235"/>
        <v>172</v>
      </c>
      <c r="H3153" s="22">
        <f t="shared" si="232"/>
        <v>3152</v>
      </c>
      <c r="I3153" s="21">
        <f t="shared" ca="1" si="225"/>
        <v>0</v>
      </c>
      <c r="J3153" s="21" t="str">
        <f ca="1">IF(I3153=0,"",COUNTIF($I$2:I3153,"&gt;0"))</f>
        <v/>
      </c>
      <c r="K3153" s="21" t="str">
        <f t="shared" ca="1" si="234"/>
        <v/>
      </c>
    </row>
    <row r="3154" spans="1:11" s="18" customFormat="1" ht="14.25" x14ac:dyDescent="0.2">
      <c r="A3154" s="18" t="str">
        <f t="shared" si="233"/>
        <v>Eintrag 3153</v>
      </c>
      <c r="B3154" s="18">
        <v>100</v>
      </c>
      <c r="C3154" s="19">
        <v>100</v>
      </c>
      <c r="D3154" s="20">
        <v>10</v>
      </c>
      <c r="E3154" s="20">
        <v>10</v>
      </c>
      <c r="F3154" s="20">
        <v>10</v>
      </c>
      <c r="G3154" s="19">
        <f t="shared" si="235"/>
        <v>172</v>
      </c>
      <c r="H3154" s="22">
        <f t="shared" si="232"/>
        <v>3153</v>
      </c>
      <c r="I3154" s="21">
        <f t="shared" ca="1" si="225"/>
        <v>0</v>
      </c>
      <c r="J3154" s="21" t="str">
        <f ca="1">IF(I3154=0,"",COUNTIF($I$2:I3154,"&gt;0"))</f>
        <v/>
      </c>
      <c r="K3154" s="21" t="str">
        <f t="shared" ca="1" si="234"/>
        <v/>
      </c>
    </row>
    <row r="3155" spans="1:11" s="18" customFormat="1" ht="14.25" x14ac:dyDescent="0.2">
      <c r="A3155" s="18" t="str">
        <f t="shared" si="233"/>
        <v>Eintrag 3154</v>
      </c>
      <c r="B3155" s="18">
        <v>100</v>
      </c>
      <c r="C3155" s="19">
        <v>100</v>
      </c>
      <c r="D3155" s="20">
        <v>10</v>
      </c>
      <c r="E3155" s="20">
        <v>10</v>
      </c>
      <c r="F3155" s="20">
        <v>10</v>
      </c>
      <c r="G3155" s="19">
        <f t="shared" si="235"/>
        <v>172</v>
      </c>
      <c r="H3155" s="22">
        <f t="shared" si="232"/>
        <v>3154</v>
      </c>
      <c r="I3155" s="21">
        <f t="shared" ca="1" si="225"/>
        <v>0</v>
      </c>
      <c r="J3155" s="21" t="str">
        <f ca="1">IF(I3155=0,"",COUNTIF($I$2:I3155,"&gt;0"))</f>
        <v/>
      </c>
      <c r="K3155" s="21" t="str">
        <f t="shared" ca="1" si="234"/>
        <v/>
      </c>
    </row>
    <row r="3156" spans="1:11" s="18" customFormat="1" ht="14.25" x14ac:dyDescent="0.2">
      <c r="A3156" s="18" t="str">
        <f t="shared" si="233"/>
        <v>Eintrag 3155</v>
      </c>
      <c r="B3156" s="18">
        <v>100</v>
      </c>
      <c r="C3156" s="19">
        <v>100</v>
      </c>
      <c r="D3156" s="20">
        <v>10</v>
      </c>
      <c r="E3156" s="20">
        <v>10</v>
      </c>
      <c r="F3156" s="20">
        <v>10</v>
      </c>
      <c r="G3156" s="19">
        <f t="shared" si="235"/>
        <v>172</v>
      </c>
      <c r="H3156" s="22">
        <f t="shared" si="232"/>
        <v>3155</v>
      </c>
      <c r="I3156" s="21">
        <f t="shared" ca="1" si="225"/>
        <v>0</v>
      </c>
      <c r="J3156" s="21" t="str">
        <f ca="1">IF(I3156=0,"",COUNTIF($I$2:I3156,"&gt;0"))</f>
        <v/>
      </c>
      <c r="K3156" s="21" t="str">
        <f t="shared" ca="1" si="234"/>
        <v/>
      </c>
    </row>
    <row r="3157" spans="1:11" s="18" customFormat="1" ht="14.25" x14ac:dyDescent="0.2">
      <c r="A3157" s="18" t="str">
        <f t="shared" si="233"/>
        <v>Eintrag 3156</v>
      </c>
      <c r="B3157" s="18">
        <v>100</v>
      </c>
      <c r="C3157" s="19">
        <v>100</v>
      </c>
      <c r="D3157" s="20">
        <v>10</v>
      </c>
      <c r="E3157" s="20">
        <v>10</v>
      </c>
      <c r="F3157" s="20">
        <v>10</v>
      </c>
      <c r="G3157" s="19">
        <f t="shared" si="235"/>
        <v>172</v>
      </c>
      <c r="H3157" s="22">
        <f t="shared" si="232"/>
        <v>3156</v>
      </c>
      <c r="I3157" s="21">
        <f t="shared" ca="1" si="225"/>
        <v>0</v>
      </c>
      <c r="J3157" s="21" t="str">
        <f ca="1">IF(I3157=0,"",COUNTIF($I$2:I3157,"&gt;0"))</f>
        <v/>
      </c>
      <c r="K3157" s="21" t="str">
        <f t="shared" ca="1" si="234"/>
        <v/>
      </c>
    </row>
    <row r="3158" spans="1:11" s="18" customFormat="1" ht="14.25" x14ac:dyDescent="0.2">
      <c r="A3158" s="18" t="str">
        <f t="shared" si="233"/>
        <v>Eintrag 3157</v>
      </c>
      <c r="B3158" s="18">
        <v>100</v>
      </c>
      <c r="C3158" s="19">
        <v>100</v>
      </c>
      <c r="D3158" s="20">
        <v>10</v>
      </c>
      <c r="E3158" s="20">
        <v>10</v>
      </c>
      <c r="F3158" s="20">
        <v>10</v>
      </c>
      <c r="G3158" s="19">
        <f t="shared" si="235"/>
        <v>172</v>
      </c>
      <c r="H3158" s="22">
        <f t="shared" si="232"/>
        <v>3157</v>
      </c>
      <c r="I3158" s="21">
        <f t="shared" ca="1" si="225"/>
        <v>0</v>
      </c>
      <c r="J3158" s="21" t="str">
        <f ca="1">IF(I3158=0,"",COUNTIF($I$2:I3158,"&gt;0"))</f>
        <v/>
      </c>
      <c r="K3158" s="21" t="str">
        <f t="shared" ca="1" si="234"/>
        <v/>
      </c>
    </row>
    <row r="3159" spans="1:11" s="18" customFormat="1" ht="14.25" x14ac:dyDescent="0.2">
      <c r="A3159" s="18" t="str">
        <f t="shared" si="233"/>
        <v>Eintrag 3158</v>
      </c>
      <c r="B3159" s="18">
        <v>100</v>
      </c>
      <c r="C3159" s="19">
        <v>100</v>
      </c>
      <c r="D3159" s="20">
        <v>10</v>
      </c>
      <c r="E3159" s="20">
        <v>10</v>
      </c>
      <c r="F3159" s="20">
        <v>10</v>
      </c>
      <c r="G3159" s="19">
        <f t="shared" si="235"/>
        <v>172</v>
      </c>
      <c r="H3159" s="22">
        <f t="shared" si="232"/>
        <v>3158</v>
      </c>
      <c r="I3159" s="21">
        <f t="shared" ca="1" si="225"/>
        <v>0</v>
      </c>
      <c r="J3159" s="21" t="str">
        <f ca="1">IF(I3159=0,"",COUNTIF($I$2:I3159,"&gt;0"))</f>
        <v/>
      </c>
      <c r="K3159" s="21" t="str">
        <f t="shared" ca="1" si="234"/>
        <v/>
      </c>
    </row>
    <row r="3160" spans="1:11" s="18" customFormat="1" ht="14.25" x14ac:dyDescent="0.2">
      <c r="A3160" s="18" t="str">
        <f t="shared" si="233"/>
        <v>Eintrag 3159</v>
      </c>
      <c r="B3160" s="18">
        <v>100</v>
      </c>
      <c r="C3160" s="19">
        <v>100</v>
      </c>
      <c r="D3160" s="20">
        <v>10</v>
      </c>
      <c r="E3160" s="20">
        <v>10</v>
      </c>
      <c r="F3160" s="20">
        <v>10</v>
      </c>
      <c r="G3160" s="19">
        <f t="shared" si="235"/>
        <v>172</v>
      </c>
      <c r="H3160" s="22">
        <f t="shared" si="232"/>
        <v>3159</v>
      </c>
      <c r="I3160" s="21">
        <f t="shared" ca="1" si="225"/>
        <v>0</v>
      </c>
      <c r="J3160" s="21" t="str">
        <f ca="1">IF(I3160=0,"",COUNTIF($I$2:I3160,"&gt;0"))</f>
        <v/>
      </c>
      <c r="K3160" s="21" t="str">
        <f t="shared" ca="1" si="234"/>
        <v/>
      </c>
    </row>
    <row r="3161" spans="1:11" s="18" customFormat="1" ht="14.25" x14ac:dyDescent="0.2">
      <c r="A3161" s="18" t="str">
        <f t="shared" si="233"/>
        <v>Eintrag 3160</v>
      </c>
      <c r="B3161" s="18">
        <v>100</v>
      </c>
      <c r="C3161" s="19">
        <v>100</v>
      </c>
      <c r="D3161" s="20">
        <v>10</v>
      </c>
      <c r="E3161" s="20">
        <v>10</v>
      </c>
      <c r="F3161" s="20">
        <v>10</v>
      </c>
      <c r="G3161" s="19">
        <f t="shared" si="235"/>
        <v>172</v>
      </c>
      <c r="H3161" s="22">
        <f t="shared" si="232"/>
        <v>3160</v>
      </c>
      <c r="I3161" s="21">
        <f t="shared" ca="1" si="225"/>
        <v>0</v>
      </c>
      <c r="J3161" s="21" t="str">
        <f ca="1">IF(I3161=0,"",COUNTIF($I$2:I3161,"&gt;0"))</f>
        <v/>
      </c>
      <c r="K3161" s="21" t="str">
        <f t="shared" ca="1" si="234"/>
        <v/>
      </c>
    </row>
    <row r="3162" spans="1:11" s="18" customFormat="1" ht="14.25" x14ac:dyDescent="0.2">
      <c r="A3162" s="18" t="str">
        <f t="shared" si="233"/>
        <v>Eintrag 3161</v>
      </c>
      <c r="B3162" s="18">
        <v>100</v>
      </c>
      <c r="C3162" s="19">
        <v>100</v>
      </c>
      <c r="D3162" s="20">
        <v>10</v>
      </c>
      <c r="E3162" s="20">
        <v>10</v>
      </c>
      <c r="F3162" s="20">
        <v>10</v>
      </c>
      <c r="G3162" s="19">
        <f t="shared" si="235"/>
        <v>172</v>
      </c>
      <c r="H3162" s="22">
        <f t="shared" si="232"/>
        <v>3161</v>
      </c>
      <c r="I3162" s="21">
        <f t="shared" ca="1" si="225"/>
        <v>0</v>
      </c>
      <c r="J3162" s="21" t="str">
        <f ca="1">IF(I3162=0,"",COUNTIF($I$2:I3162,"&gt;0"))</f>
        <v/>
      </c>
      <c r="K3162" s="21" t="str">
        <f t="shared" ca="1" si="234"/>
        <v/>
      </c>
    </row>
    <row r="3163" spans="1:11" s="18" customFormat="1" ht="14.25" x14ac:dyDescent="0.2">
      <c r="A3163" s="18" t="str">
        <f t="shared" si="233"/>
        <v>Eintrag 3162</v>
      </c>
      <c r="B3163" s="18">
        <v>100</v>
      </c>
      <c r="C3163" s="19">
        <v>100</v>
      </c>
      <c r="D3163" s="20">
        <v>10</v>
      </c>
      <c r="E3163" s="20">
        <v>10</v>
      </c>
      <c r="F3163" s="20">
        <v>10</v>
      </c>
      <c r="G3163" s="19">
        <f t="shared" si="235"/>
        <v>172</v>
      </c>
      <c r="H3163" s="22">
        <f t="shared" si="232"/>
        <v>3162</v>
      </c>
      <c r="I3163" s="21">
        <f t="shared" ca="1" si="225"/>
        <v>0</v>
      </c>
      <c r="J3163" s="21" t="str">
        <f ca="1">IF(I3163=0,"",COUNTIF($I$2:I3163,"&gt;0"))</f>
        <v/>
      </c>
      <c r="K3163" s="21" t="str">
        <f t="shared" ca="1" si="234"/>
        <v/>
      </c>
    </row>
    <row r="3164" spans="1:11" s="18" customFormat="1" ht="14.25" x14ac:dyDescent="0.2">
      <c r="A3164" s="18" t="str">
        <f t="shared" si="233"/>
        <v>Eintrag 3163</v>
      </c>
      <c r="B3164" s="18">
        <v>100</v>
      </c>
      <c r="C3164" s="19">
        <v>100</v>
      </c>
      <c r="D3164" s="20">
        <v>10</v>
      </c>
      <c r="E3164" s="20">
        <v>10</v>
      </c>
      <c r="F3164" s="20">
        <v>10</v>
      </c>
      <c r="G3164" s="19">
        <f t="shared" si="235"/>
        <v>172</v>
      </c>
      <c r="H3164" s="22">
        <f t="shared" si="232"/>
        <v>3163</v>
      </c>
      <c r="I3164" s="21">
        <f t="shared" ca="1" si="225"/>
        <v>0</v>
      </c>
      <c r="J3164" s="21" t="str">
        <f ca="1">IF(I3164=0,"",COUNTIF($I$2:I3164,"&gt;0"))</f>
        <v/>
      </c>
      <c r="K3164" s="21" t="str">
        <f t="shared" ca="1" si="234"/>
        <v/>
      </c>
    </row>
    <row r="3165" spans="1:11" s="18" customFormat="1" ht="14.25" x14ac:dyDescent="0.2">
      <c r="A3165" s="18" t="str">
        <f t="shared" si="233"/>
        <v>Eintrag 3164</v>
      </c>
      <c r="B3165" s="18">
        <v>100</v>
      </c>
      <c r="C3165" s="19">
        <v>100</v>
      </c>
      <c r="D3165" s="20">
        <v>10</v>
      </c>
      <c r="E3165" s="20">
        <v>10</v>
      </c>
      <c r="F3165" s="20">
        <v>10</v>
      </c>
      <c r="G3165" s="19">
        <f t="shared" si="235"/>
        <v>172</v>
      </c>
      <c r="H3165" s="22">
        <f t="shared" si="232"/>
        <v>3164</v>
      </c>
      <c r="I3165" s="21">
        <f t="shared" ca="1" si="225"/>
        <v>0</v>
      </c>
      <c r="J3165" s="21" t="str">
        <f ca="1">IF(I3165=0,"",COUNTIF($I$2:I3165,"&gt;0"))</f>
        <v/>
      </c>
      <c r="K3165" s="21" t="str">
        <f t="shared" ca="1" si="234"/>
        <v/>
      </c>
    </row>
    <row r="3166" spans="1:11" s="18" customFormat="1" ht="14.25" x14ac:dyDescent="0.2">
      <c r="A3166" s="18" t="str">
        <f t="shared" si="233"/>
        <v>Eintrag 3165</v>
      </c>
      <c r="B3166" s="18">
        <v>100</v>
      </c>
      <c r="C3166" s="19">
        <v>100</v>
      </c>
      <c r="D3166" s="20">
        <v>10</v>
      </c>
      <c r="E3166" s="20">
        <v>10</v>
      </c>
      <c r="F3166" s="20">
        <v>10</v>
      </c>
      <c r="G3166" s="19">
        <f t="shared" si="235"/>
        <v>172</v>
      </c>
      <c r="H3166" s="22">
        <f t="shared" si="232"/>
        <v>3165</v>
      </c>
      <c r="I3166" s="21">
        <f t="shared" ca="1" si="225"/>
        <v>0</v>
      </c>
      <c r="J3166" s="21" t="str">
        <f ca="1">IF(I3166=0,"",COUNTIF($I$2:I3166,"&gt;0"))</f>
        <v/>
      </c>
      <c r="K3166" s="21" t="str">
        <f t="shared" ca="1" si="234"/>
        <v/>
      </c>
    </row>
    <row r="3167" spans="1:11" s="18" customFormat="1" ht="14.25" x14ac:dyDescent="0.2">
      <c r="A3167" s="18" t="str">
        <f t="shared" si="233"/>
        <v>Eintrag 3166</v>
      </c>
      <c r="B3167" s="18">
        <v>100</v>
      </c>
      <c r="C3167" s="19">
        <v>100</v>
      </c>
      <c r="D3167" s="20">
        <v>10</v>
      </c>
      <c r="E3167" s="20">
        <v>10</v>
      </c>
      <c r="F3167" s="20">
        <v>10</v>
      </c>
      <c r="G3167" s="19">
        <f t="shared" si="235"/>
        <v>172</v>
      </c>
      <c r="H3167" s="22">
        <f t="shared" si="232"/>
        <v>3166</v>
      </c>
      <c r="I3167" s="21">
        <f t="shared" ca="1" si="225"/>
        <v>0</v>
      </c>
      <c r="J3167" s="21" t="str">
        <f ca="1">IF(I3167=0,"",COUNTIF($I$2:I3167,"&gt;0"))</f>
        <v/>
      </c>
      <c r="K3167" s="21" t="str">
        <f t="shared" ca="1" si="234"/>
        <v/>
      </c>
    </row>
    <row r="3168" spans="1:11" s="18" customFormat="1" ht="14.25" x14ac:dyDescent="0.2">
      <c r="A3168" s="18" t="str">
        <f t="shared" si="233"/>
        <v>Eintrag 3167</v>
      </c>
      <c r="B3168" s="18">
        <v>100</v>
      </c>
      <c r="C3168" s="19">
        <v>100</v>
      </c>
      <c r="D3168" s="20">
        <v>10</v>
      </c>
      <c r="E3168" s="20">
        <v>10</v>
      </c>
      <c r="F3168" s="20">
        <v>10</v>
      </c>
      <c r="G3168" s="19">
        <f t="shared" si="235"/>
        <v>172</v>
      </c>
      <c r="H3168" s="22">
        <f t="shared" si="232"/>
        <v>3167</v>
      </c>
      <c r="I3168" s="21">
        <f t="shared" ca="1" si="225"/>
        <v>0</v>
      </c>
      <c r="J3168" s="21" t="str">
        <f ca="1">IF(I3168=0,"",COUNTIF($I$2:I3168,"&gt;0"))</f>
        <v/>
      </c>
      <c r="K3168" s="21" t="str">
        <f t="shared" ca="1" si="234"/>
        <v/>
      </c>
    </row>
    <row r="3169" spans="1:11" s="18" customFormat="1" ht="14.25" x14ac:dyDescent="0.2">
      <c r="A3169" s="18" t="str">
        <f t="shared" si="233"/>
        <v>Eintrag 3168</v>
      </c>
      <c r="B3169" s="18">
        <v>100</v>
      </c>
      <c r="C3169" s="19">
        <v>100</v>
      </c>
      <c r="D3169" s="20">
        <v>10</v>
      </c>
      <c r="E3169" s="20">
        <v>10</v>
      </c>
      <c r="F3169" s="20">
        <v>10</v>
      </c>
      <c r="G3169" s="19">
        <f t="shared" si="235"/>
        <v>172</v>
      </c>
      <c r="H3169" s="22">
        <f t="shared" si="232"/>
        <v>3168</v>
      </c>
      <c r="I3169" s="21">
        <f t="shared" ca="1" si="225"/>
        <v>0</v>
      </c>
      <c r="J3169" s="21" t="str">
        <f ca="1">IF(I3169=0,"",COUNTIF($I$2:I3169,"&gt;0"))</f>
        <v/>
      </c>
      <c r="K3169" s="21" t="str">
        <f t="shared" ca="1" si="234"/>
        <v/>
      </c>
    </row>
    <row r="3170" spans="1:11" s="18" customFormat="1" ht="14.25" x14ac:dyDescent="0.2">
      <c r="A3170" s="18" t="str">
        <f t="shared" si="233"/>
        <v>Eintrag 3169</v>
      </c>
      <c r="B3170" s="18">
        <v>100</v>
      </c>
      <c r="C3170" s="19">
        <v>100</v>
      </c>
      <c r="D3170" s="20">
        <v>10</v>
      </c>
      <c r="E3170" s="20">
        <v>10</v>
      </c>
      <c r="F3170" s="20">
        <v>10</v>
      </c>
      <c r="G3170" s="19">
        <f t="shared" si="235"/>
        <v>172</v>
      </c>
      <c r="H3170" s="22">
        <f t="shared" si="232"/>
        <v>3169</v>
      </c>
      <c r="I3170" s="21">
        <f t="shared" ca="1" si="225"/>
        <v>0</v>
      </c>
      <c r="J3170" s="21" t="str">
        <f ca="1">IF(I3170=0,"",COUNTIF($I$2:I3170,"&gt;0"))</f>
        <v/>
      </c>
      <c r="K3170" s="21" t="str">
        <f t="shared" ca="1" si="234"/>
        <v/>
      </c>
    </row>
    <row r="3171" spans="1:11" s="18" customFormat="1" ht="14.25" x14ac:dyDescent="0.2">
      <c r="A3171" s="18" t="str">
        <f t="shared" si="233"/>
        <v>Eintrag 3170</v>
      </c>
      <c r="B3171" s="18">
        <v>100</v>
      </c>
      <c r="C3171" s="19">
        <v>100</v>
      </c>
      <c r="D3171" s="20">
        <v>10</v>
      </c>
      <c r="E3171" s="20">
        <v>10</v>
      </c>
      <c r="F3171" s="20">
        <v>10</v>
      </c>
      <c r="G3171" s="19">
        <f t="shared" si="235"/>
        <v>172</v>
      </c>
      <c r="H3171" s="22">
        <f t="shared" si="232"/>
        <v>3170</v>
      </c>
      <c r="I3171" s="21">
        <f t="shared" ca="1" si="225"/>
        <v>0</v>
      </c>
      <c r="J3171" s="21" t="str">
        <f ca="1">IF(I3171=0,"",COUNTIF($I$2:I3171,"&gt;0"))</f>
        <v/>
      </c>
      <c r="K3171" s="21" t="str">
        <f t="shared" ca="1" si="234"/>
        <v/>
      </c>
    </row>
    <row r="3172" spans="1:11" s="18" customFormat="1" ht="14.25" x14ac:dyDescent="0.2">
      <c r="A3172" s="18" t="str">
        <f t="shared" si="233"/>
        <v>Eintrag 3171</v>
      </c>
      <c r="B3172" s="18">
        <v>100</v>
      </c>
      <c r="C3172" s="19">
        <v>100</v>
      </c>
      <c r="D3172" s="20">
        <v>10</v>
      </c>
      <c r="E3172" s="20">
        <v>10</v>
      </c>
      <c r="F3172" s="20">
        <v>10</v>
      </c>
      <c r="G3172" s="19">
        <f t="shared" si="235"/>
        <v>172</v>
      </c>
      <c r="H3172" s="22">
        <f t="shared" si="232"/>
        <v>3171</v>
      </c>
      <c r="I3172" s="21">
        <f t="shared" ca="1" si="225"/>
        <v>0</v>
      </c>
      <c r="J3172" s="21" t="str">
        <f ca="1">IF(I3172=0,"",COUNTIF($I$2:I3172,"&gt;0"))</f>
        <v/>
      </c>
      <c r="K3172" s="21" t="str">
        <f t="shared" ca="1" si="234"/>
        <v/>
      </c>
    </row>
    <row r="3173" spans="1:11" s="18" customFormat="1" ht="14.25" x14ac:dyDescent="0.2">
      <c r="A3173" s="18" t="str">
        <f t="shared" si="233"/>
        <v>Eintrag 3172</v>
      </c>
      <c r="B3173" s="18">
        <v>100</v>
      </c>
      <c r="C3173" s="19">
        <v>100</v>
      </c>
      <c r="D3173" s="20">
        <v>10</v>
      </c>
      <c r="E3173" s="20">
        <v>10</v>
      </c>
      <c r="F3173" s="20">
        <v>10</v>
      </c>
      <c r="G3173" s="19">
        <f t="shared" si="235"/>
        <v>172</v>
      </c>
      <c r="H3173" s="22">
        <f t="shared" ref="H3173:H3236" si="236">H3172+1</f>
        <v>3172</v>
      </c>
      <c r="I3173" s="21">
        <f t="shared" ca="1" si="225"/>
        <v>0</v>
      </c>
      <c r="J3173" s="21" t="str">
        <f ca="1">IF(I3173=0,"",COUNTIF($I$2:I3173,"&gt;0"))</f>
        <v/>
      </c>
      <c r="K3173" s="21" t="str">
        <f t="shared" ca="1" si="234"/>
        <v/>
      </c>
    </row>
    <row r="3174" spans="1:11" s="18" customFormat="1" ht="14.25" x14ac:dyDescent="0.2">
      <c r="A3174" s="18" t="str">
        <f t="shared" si="233"/>
        <v>Eintrag 3173</v>
      </c>
      <c r="B3174" s="18">
        <v>100</v>
      </c>
      <c r="C3174" s="19">
        <v>100</v>
      </c>
      <c r="D3174" s="20">
        <v>10</v>
      </c>
      <c r="E3174" s="20">
        <v>10</v>
      </c>
      <c r="F3174" s="20">
        <v>10</v>
      </c>
      <c r="G3174" s="19">
        <f t="shared" si="235"/>
        <v>172</v>
      </c>
      <c r="H3174" s="22">
        <f t="shared" si="236"/>
        <v>3173</v>
      </c>
      <c r="I3174" s="21">
        <f t="shared" ca="1" si="225"/>
        <v>0</v>
      </c>
      <c r="J3174" s="21" t="str">
        <f ca="1">IF(I3174=0,"",COUNTIF($I$2:I3174,"&gt;0"))</f>
        <v/>
      </c>
      <c r="K3174" s="21" t="str">
        <f t="shared" ca="1" si="234"/>
        <v/>
      </c>
    </row>
    <row r="3175" spans="1:11" s="18" customFormat="1" ht="14.25" x14ac:dyDescent="0.2">
      <c r="A3175" s="18" t="str">
        <f t="shared" si="233"/>
        <v>Eintrag 3174</v>
      </c>
      <c r="B3175" s="18">
        <v>100</v>
      </c>
      <c r="C3175" s="19">
        <v>100</v>
      </c>
      <c r="D3175" s="20">
        <v>10</v>
      </c>
      <c r="E3175" s="20">
        <v>10</v>
      </c>
      <c r="F3175" s="20">
        <v>10</v>
      </c>
      <c r="G3175" s="19">
        <f t="shared" si="235"/>
        <v>172</v>
      </c>
      <c r="H3175" s="22">
        <f t="shared" si="236"/>
        <v>3174</v>
      </c>
      <c r="I3175" s="21">
        <f t="shared" ca="1" si="225"/>
        <v>0</v>
      </c>
      <c r="J3175" s="21" t="str">
        <f ca="1">IF(I3175=0,"",COUNTIF($I$2:I3175,"&gt;0"))</f>
        <v/>
      </c>
      <c r="K3175" s="21" t="str">
        <f t="shared" ca="1" si="234"/>
        <v/>
      </c>
    </row>
    <row r="3176" spans="1:11" s="18" customFormat="1" ht="14.25" x14ac:dyDescent="0.2">
      <c r="A3176" s="18" t="str">
        <f t="shared" si="233"/>
        <v>Eintrag 3175</v>
      </c>
      <c r="B3176" s="18">
        <v>100</v>
      </c>
      <c r="C3176" s="19">
        <v>100</v>
      </c>
      <c r="D3176" s="20">
        <v>10</v>
      </c>
      <c r="E3176" s="20">
        <v>10</v>
      </c>
      <c r="F3176" s="20">
        <v>10</v>
      </c>
      <c r="G3176" s="19">
        <f t="shared" si="235"/>
        <v>172</v>
      </c>
      <c r="H3176" s="22">
        <f t="shared" si="236"/>
        <v>3175</v>
      </c>
      <c r="I3176" s="21">
        <f t="shared" ca="1" si="225"/>
        <v>0</v>
      </c>
      <c r="J3176" s="21" t="str">
        <f ca="1">IF(I3176=0,"",COUNTIF($I$2:I3176,"&gt;0"))</f>
        <v/>
      </c>
      <c r="K3176" s="21" t="str">
        <f t="shared" ca="1" si="234"/>
        <v/>
      </c>
    </row>
    <row r="3177" spans="1:11" s="18" customFormat="1" ht="14.25" x14ac:dyDescent="0.2">
      <c r="A3177" s="18" t="str">
        <f t="shared" ref="A3177:A3240" si="237">CONCATENATE("Eintrag ",H3177)</f>
        <v>Eintrag 3176</v>
      </c>
      <c r="B3177" s="18">
        <v>100</v>
      </c>
      <c r="C3177" s="19">
        <v>100</v>
      </c>
      <c r="D3177" s="20">
        <v>10</v>
      </c>
      <c r="E3177" s="20">
        <v>10</v>
      </c>
      <c r="F3177" s="20">
        <v>10</v>
      </c>
      <c r="G3177" s="19">
        <f t="shared" si="235"/>
        <v>172</v>
      </c>
      <c r="H3177" s="22">
        <f t="shared" si="236"/>
        <v>3176</v>
      </c>
      <c r="I3177" s="21">
        <f t="shared" ca="1" si="225"/>
        <v>0</v>
      </c>
      <c r="J3177" s="21" t="str">
        <f ca="1">IF(I3177=0,"",COUNTIF($I$2:I3177,"&gt;0"))</f>
        <v/>
      </c>
      <c r="K3177" s="21" t="str">
        <f t="shared" ca="1" si="234"/>
        <v/>
      </c>
    </row>
    <row r="3178" spans="1:11" s="18" customFormat="1" ht="14.25" x14ac:dyDescent="0.2">
      <c r="A3178" s="18" t="str">
        <f t="shared" si="237"/>
        <v>Eintrag 3177</v>
      </c>
      <c r="B3178" s="18">
        <v>100</v>
      </c>
      <c r="C3178" s="19">
        <v>100</v>
      </c>
      <c r="D3178" s="20">
        <v>10</v>
      </c>
      <c r="E3178" s="20">
        <v>10</v>
      </c>
      <c r="F3178" s="20">
        <v>10</v>
      </c>
      <c r="G3178" s="19">
        <f t="shared" si="235"/>
        <v>172</v>
      </c>
      <c r="H3178" s="22">
        <f t="shared" si="236"/>
        <v>3177</v>
      </c>
      <c r="I3178" s="21">
        <f t="shared" ca="1" si="225"/>
        <v>0</v>
      </c>
      <c r="J3178" s="21" t="str">
        <f ca="1">IF(I3178=0,"",COUNTIF($I$2:I3178,"&gt;0"))</f>
        <v/>
      </c>
      <c r="K3178" s="21" t="str">
        <f t="shared" ca="1" si="234"/>
        <v/>
      </c>
    </row>
    <row r="3179" spans="1:11" s="18" customFormat="1" ht="14.25" x14ac:dyDescent="0.2">
      <c r="A3179" s="18" t="str">
        <f t="shared" si="237"/>
        <v>Eintrag 3178</v>
      </c>
      <c r="B3179" s="18">
        <v>100</v>
      </c>
      <c r="C3179" s="19">
        <v>100</v>
      </c>
      <c r="D3179" s="20">
        <v>10</v>
      </c>
      <c r="E3179" s="20">
        <v>10</v>
      </c>
      <c r="F3179" s="20">
        <v>10</v>
      </c>
      <c r="G3179" s="19">
        <f t="shared" si="235"/>
        <v>172</v>
      </c>
      <c r="H3179" s="22">
        <f t="shared" si="236"/>
        <v>3178</v>
      </c>
      <c r="I3179" s="21">
        <f t="shared" ca="1" si="225"/>
        <v>0</v>
      </c>
      <c r="J3179" s="21" t="str">
        <f ca="1">IF(I3179=0,"",COUNTIF($I$2:I3179,"&gt;0"))</f>
        <v/>
      </c>
      <c r="K3179" s="21" t="str">
        <f t="shared" ca="1" si="234"/>
        <v/>
      </c>
    </row>
    <row r="3180" spans="1:11" s="18" customFormat="1" ht="14.25" x14ac:dyDescent="0.2">
      <c r="A3180" s="18" t="str">
        <f t="shared" si="237"/>
        <v>Eintrag 3179</v>
      </c>
      <c r="B3180" s="18">
        <v>100</v>
      </c>
      <c r="C3180" s="19">
        <v>100</v>
      </c>
      <c r="D3180" s="20">
        <v>10</v>
      </c>
      <c r="E3180" s="20">
        <v>10</v>
      </c>
      <c r="F3180" s="20">
        <v>10</v>
      </c>
      <c r="G3180" s="19">
        <f t="shared" si="235"/>
        <v>172</v>
      </c>
      <c r="H3180" s="22">
        <f t="shared" si="236"/>
        <v>3179</v>
      </c>
      <c r="I3180" s="21">
        <f t="shared" ca="1" si="225"/>
        <v>0</v>
      </c>
      <c r="J3180" s="21" t="str">
        <f ca="1">IF(I3180=0,"",COUNTIF($I$2:I3180,"&gt;0"))</f>
        <v/>
      </c>
      <c r="K3180" s="21" t="str">
        <f t="shared" ca="1" si="234"/>
        <v/>
      </c>
    </row>
    <row r="3181" spans="1:11" s="18" customFormat="1" ht="14.25" x14ac:dyDescent="0.2">
      <c r="A3181" s="18" t="str">
        <f t="shared" si="237"/>
        <v>Eintrag 3180</v>
      </c>
      <c r="B3181" s="18">
        <v>100</v>
      </c>
      <c r="C3181" s="19">
        <v>100</v>
      </c>
      <c r="D3181" s="20">
        <v>10</v>
      </c>
      <c r="E3181" s="20">
        <v>10</v>
      </c>
      <c r="F3181" s="20">
        <v>10</v>
      </c>
      <c r="G3181" s="19">
        <f t="shared" si="235"/>
        <v>172</v>
      </c>
      <c r="H3181" s="22">
        <f t="shared" si="236"/>
        <v>3180</v>
      </c>
      <c r="I3181" s="21">
        <f t="shared" ca="1" si="225"/>
        <v>0</v>
      </c>
      <c r="J3181" s="21" t="str">
        <f ca="1">IF(I3181=0,"",COUNTIF($I$2:I3181,"&gt;0"))</f>
        <v/>
      </c>
      <c r="K3181" s="21" t="str">
        <f t="shared" ca="1" si="234"/>
        <v/>
      </c>
    </row>
    <row r="3182" spans="1:11" s="18" customFormat="1" ht="14.25" x14ac:dyDescent="0.2">
      <c r="A3182" s="18" t="str">
        <f t="shared" si="237"/>
        <v>Eintrag 3181</v>
      </c>
      <c r="B3182" s="18">
        <v>100</v>
      </c>
      <c r="C3182" s="19">
        <v>100</v>
      </c>
      <c r="D3182" s="20">
        <v>10</v>
      </c>
      <c r="E3182" s="20">
        <v>10</v>
      </c>
      <c r="F3182" s="20">
        <v>10</v>
      </c>
      <c r="G3182" s="19">
        <f t="shared" si="235"/>
        <v>172</v>
      </c>
      <c r="H3182" s="22">
        <f t="shared" si="236"/>
        <v>3181</v>
      </c>
      <c r="I3182" s="21">
        <f t="shared" ca="1" si="225"/>
        <v>0</v>
      </c>
      <c r="J3182" s="21" t="str">
        <f ca="1">IF(I3182=0,"",COUNTIF($I$2:I3182,"&gt;0"))</f>
        <v/>
      </c>
      <c r="K3182" s="21" t="str">
        <f t="shared" ca="1" si="234"/>
        <v/>
      </c>
    </row>
    <row r="3183" spans="1:11" s="18" customFormat="1" ht="14.25" x14ac:dyDescent="0.2">
      <c r="A3183" s="18" t="str">
        <f t="shared" si="237"/>
        <v>Eintrag 3182</v>
      </c>
      <c r="B3183" s="18">
        <v>100</v>
      </c>
      <c r="C3183" s="19">
        <v>100</v>
      </c>
      <c r="D3183" s="20">
        <v>10</v>
      </c>
      <c r="E3183" s="20">
        <v>10</v>
      </c>
      <c r="F3183" s="20">
        <v>10</v>
      </c>
      <c r="G3183" s="19">
        <f t="shared" si="235"/>
        <v>172</v>
      </c>
      <c r="H3183" s="22">
        <f t="shared" si="236"/>
        <v>3182</v>
      </c>
      <c r="I3183" s="21">
        <f t="shared" ca="1" si="225"/>
        <v>0</v>
      </c>
      <c r="J3183" s="21" t="str">
        <f ca="1">IF(I3183=0,"",COUNTIF($I$2:I3183,"&gt;0"))</f>
        <v/>
      </c>
      <c r="K3183" s="21" t="str">
        <f t="shared" ca="1" si="234"/>
        <v/>
      </c>
    </row>
    <row r="3184" spans="1:11" s="18" customFormat="1" ht="14.25" x14ac:dyDescent="0.2">
      <c r="A3184" s="18" t="str">
        <f t="shared" si="237"/>
        <v>Eintrag 3183</v>
      </c>
      <c r="B3184" s="18">
        <v>100</v>
      </c>
      <c r="C3184" s="19">
        <v>100</v>
      </c>
      <c r="D3184" s="20">
        <v>10</v>
      </c>
      <c r="E3184" s="20">
        <v>10</v>
      </c>
      <c r="F3184" s="20">
        <v>10</v>
      </c>
      <c r="G3184" s="19">
        <f t="shared" si="235"/>
        <v>172</v>
      </c>
      <c r="H3184" s="22">
        <f t="shared" si="236"/>
        <v>3183</v>
      </c>
      <c r="I3184" s="21">
        <f t="shared" ca="1" si="225"/>
        <v>0</v>
      </c>
      <c r="J3184" s="21" t="str">
        <f ca="1">IF(I3184=0,"",COUNTIF($I$2:I3184,"&gt;0"))</f>
        <v/>
      </c>
      <c r="K3184" s="21" t="str">
        <f t="shared" ca="1" si="234"/>
        <v/>
      </c>
    </row>
    <row r="3185" spans="1:11" s="18" customFormat="1" ht="14.25" x14ac:dyDescent="0.2">
      <c r="A3185" s="18" t="str">
        <f t="shared" si="237"/>
        <v>Eintrag 3184</v>
      </c>
      <c r="B3185" s="18">
        <v>100</v>
      </c>
      <c r="C3185" s="19">
        <v>100</v>
      </c>
      <c r="D3185" s="20">
        <v>10</v>
      </c>
      <c r="E3185" s="20">
        <v>10</v>
      </c>
      <c r="F3185" s="20">
        <v>10</v>
      </c>
      <c r="G3185" s="19">
        <f t="shared" si="235"/>
        <v>172</v>
      </c>
      <c r="H3185" s="22">
        <f t="shared" si="236"/>
        <v>3184</v>
      </c>
      <c r="I3185" s="21">
        <f t="shared" ca="1" si="225"/>
        <v>0</v>
      </c>
      <c r="J3185" s="21" t="str">
        <f ca="1">IF(I3185=0,"",COUNTIF($I$2:I3185,"&gt;0"))</f>
        <v/>
      </c>
      <c r="K3185" s="21" t="str">
        <f t="shared" ca="1" si="234"/>
        <v/>
      </c>
    </row>
    <row r="3186" spans="1:11" s="18" customFormat="1" ht="14.25" x14ac:dyDescent="0.2">
      <c r="A3186" s="18" t="str">
        <f t="shared" si="237"/>
        <v>Eintrag 3185</v>
      </c>
      <c r="B3186" s="18">
        <v>100</v>
      </c>
      <c r="C3186" s="19">
        <v>100</v>
      </c>
      <c r="D3186" s="20">
        <v>10</v>
      </c>
      <c r="E3186" s="20">
        <v>10</v>
      </c>
      <c r="F3186" s="20">
        <v>10</v>
      </c>
      <c r="G3186" s="19">
        <f t="shared" si="235"/>
        <v>172</v>
      </c>
      <c r="H3186" s="22">
        <f t="shared" si="236"/>
        <v>3185</v>
      </c>
      <c r="I3186" s="21">
        <f t="shared" ca="1" si="225"/>
        <v>0</v>
      </c>
      <c r="J3186" s="21" t="str">
        <f ca="1">IF(I3186=0,"",COUNTIF($I$2:I3186,"&gt;0"))</f>
        <v/>
      </c>
      <c r="K3186" s="21" t="str">
        <f t="shared" ca="1" si="234"/>
        <v/>
      </c>
    </row>
    <row r="3187" spans="1:11" s="18" customFormat="1" ht="14.25" x14ac:dyDescent="0.2">
      <c r="A3187" s="18" t="str">
        <f t="shared" si="237"/>
        <v>Eintrag 3186</v>
      </c>
      <c r="B3187" s="18">
        <v>100</v>
      </c>
      <c r="C3187" s="19">
        <v>100</v>
      </c>
      <c r="D3187" s="20">
        <v>10</v>
      </c>
      <c r="E3187" s="20">
        <v>10</v>
      </c>
      <c r="F3187" s="20">
        <v>10</v>
      </c>
      <c r="G3187" s="19">
        <f t="shared" si="235"/>
        <v>172</v>
      </c>
      <c r="H3187" s="22">
        <f t="shared" si="236"/>
        <v>3186</v>
      </c>
      <c r="I3187" s="21">
        <f t="shared" ca="1" si="225"/>
        <v>0</v>
      </c>
      <c r="J3187" s="21" t="str">
        <f ca="1">IF(I3187=0,"",COUNTIF($I$2:I3187,"&gt;0"))</f>
        <v/>
      </c>
      <c r="K3187" s="21" t="str">
        <f t="shared" ca="1" si="234"/>
        <v/>
      </c>
    </row>
    <row r="3188" spans="1:11" s="18" customFormat="1" ht="14.25" x14ac:dyDescent="0.2">
      <c r="A3188" s="18" t="str">
        <f t="shared" si="237"/>
        <v>Eintrag 3187</v>
      </c>
      <c r="B3188" s="18">
        <v>100</v>
      </c>
      <c r="C3188" s="19">
        <v>100</v>
      </c>
      <c r="D3188" s="20">
        <v>10</v>
      </c>
      <c r="E3188" s="20">
        <v>10</v>
      </c>
      <c r="F3188" s="20">
        <v>10</v>
      </c>
      <c r="G3188" s="19">
        <f t="shared" si="235"/>
        <v>172</v>
      </c>
      <c r="H3188" s="22">
        <f t="shared" si="236"/>
        <v>3187</v>
      </c>
      <c r="I3188" s="21">
        <f t="shared" ca="1" si="225"/>
        <v>0</v>
      </c>
      <c r="J3188" s="21" t="str">
        <f ca="1">IF(I3188=0,"",COUNTIF($I$2:I3188,"&gt;0"))</f>
        <v/>
      </c>
      <c r="K3188" s="21" t="str">
        <f t="shared" ca="1" si="234"/>
        <v/>
      </c>
    </row>
    <row r="3189" spans="1:11" s="18" customFormat="1" ht="14.25" x14ac:dyDescent="0.2">
      <c r="A3189" s="18" t="str">
        <f t="shared" si="237"/>
        <v>Eintrag 3188</v>
      </c>
      <c r="B3189" s="18">
        <v>100</v>
      </c>
      <c r="C3189" s="19">
        <v>100</v>
      </c>
      <c r="D3189" s="20">
        <v>10</v>
      </c>
      <c r="E3189" s="20">
        <v>10</v>
      </c>
      <c r="F3189" s="20">
        <v>10</v>
      </c>
      <c r="G3189" s="19">
        <f t="shared" si="235"/>
        <v>172</v>
      </c>
      <c r="H3189" s="22">
        <f t="shared" si="236"/>
        <v>3188</v>
      </c>
      <c r="I3189" s="21">
        <f t="shared" ca="1" si="225"/>
        <v>0</v>
      </c>
      <c r="J3189" s="21" t="str">
        <f ca="1">IF(I3189=0,"",COUNTIF($I$2:I3189,"&gt;0"))</f>
        <v/>
      </c>
      <c r="K3189" s="21" t="str">
        <f t="shared" ca="1" si="234"/>
        <v/>
      </c>
    </row>
    <row r="3190" spans="1:11" s="18" customFormat="1" ht="14.25" x14ac:dyDescent="0.2">
      <c r="A3190" s="18" t="str">
        <f t="shared" si="237"/>
        <v>Eintrag 3189</v>
      </c>
      <c r="B3190" s="18">
        <v>100</v>
      </c>
      <c r="C3190" s="19">
        <v>100</v>
      </c>
      <c r="D3190" s="20">
        <v>10</v>
      </c>
      <c r="E3190" s="20">
        <v>10</v>
      </c>
      <c r="F3190" s="20">
        <v>10</v>
      </c>
      <c r="G3190" s="19">
        <f t="shared" si="235"/>
        <v>172</v>
      </c>
      <c r="H3190" s="22">
        <f t="shared" si="236"/>
        <v>3189</v>
      </c>
      <c r="I3190" s="21">
        <f t="shared" ca="1" si="225"/>
        <v>0</v>
      </c>
      <c r="J3190" s="21" t="str">
        <f ca="1">IF(I3190=0,"",COUNTIF($I$2:I3190,"&gt;0"))</f>
        <v/>
      </c>
      <c r="K3190" s="21" t="str">
        <f t="shared" ca="1" si="234"/>
        <v/>
      </c>
    </row>
    <row r="3191" spans="1:11" s="18" customFormat="1" ht="14.25" x14ac:dyDescent="0.2">
      <c r="A3191" s="18" t="str">
        <f t="shared" si="237"/>
        <v>Eintrag 3190</v>
      </c>
      <c r="B3191" s="18">
        <v>100</v>
      </c>
      <c r="C3191" s="19">
        <v>100</v>
      </c>
      <c r="D3191" s="20">
        <v>10</v>
      </c>
      <c r="E3191" s="20">
        <v>10</v>
      </c>
      <c r="F3191" s="20">
        <v>10</v>
      </c>
      <c r="G3191" s="19">
        <f t="shared" si="235"/>
        <v>172</v>
      </c>
      <c r="H3191" s="22">
        <f t="shared" si="236"/>
        <v>3190</v>
      </c>
      <c r="I3191" s="21">
        <f t="shared" ca="1" si="225"/>
        <v>0</v>
      </c>
      <c r="J3191" s="21" t="str">
        <f ca="1">IF(I3191=0,"",COUNTIF($I$2:I3191,"&gt;0"))</f>
        <v/>
      </c>
      <c r="K3191" s="21" t="str">
        <f t="shared" ca="1" si="234"/>
        <v/>
      </c>
    </row>
    <row r="3192" spans="1:11" s="18" customFormat="1" ht="14.25" x14ac:dyDescent="0.2">
      <c r="A3192" s="18" t="str">
        <f t="shared" si="237"/>
        <v>Eintrag 3191</v>
      </c>
      <c r="B3192" s="18">
        <v>100</v>
      </c>
      <c r="C3192" s="19">
        <v>100</v>
      </c>
      <c r="D3192" s="20">
        <v>10</v>
      </c>
      <c r="E3192" s="20">
        <v>10</v>
      </c>
      <c r="F3192" s="20">
        <v>10</v>
      </c>
      <c r="G3192" s="19">
        <f t="shared" si="235"/>
        <v>172</v>
      </c>
      <c r="H3192" s="22">
        <f t="shared" si="236"/>
        <v>3191</v>
      </c>
      <c r="I3192" s="21">
        <f t="shared" ca="1" si="225"/>
        <v>0</v>
      </c>
      <c r="J3192" s="21" t="str">
        <f ca="1">IF(I3192=0,"",COUNTIF($I$2:I3192,"&gt;0"))</f>
        <v/>
      </c>
      <c r="K3192" s="21" t="str">
        <f t="shared" ca="1" si="234"/>
        <v/>
      </c>
    </row>
    <row r="3193" spans="1:11" s="18" customFormat="1" ht="14.25" x14ac:dyDescent="0.2">
      <c r="A3193" s="18" t="str">
        <f t="shared" si="237"/>
        <v>Eintrag 3192</v>
      </c>
      <c r="B3193" s="18">
        <v>100</v>
      </c>
      <c r="C3193" s="19">
        <v>100</v>
      </c>
      <c r="D3193" s="20">
        <v>10</v>
      </c>
      <c r="E3193" s="20">
        <v>10</v>
      </c>
      <c r="F3193" s="20">
        <v>10</v>
      </c>
      <c r="G3193" s="19">
        <f t="shared" si="235"/>
        <v>172</v>
      </c>
      <c r="H3193" s="22">
        <f t="shared" si="236"/>
        <v>3192</v>
      </c>
      <c r="I3193" s="21">
        <f t="shared" ca="1" si="225"/>
        <v>0</v>
      </c>
      <c r="J3193" s="21" t="str">
        <f ca="1">IF(I3193=0,"",COUNTIF($I$2:I3193,"&gt;0"))</f>
        <v/>
      </c>
      <c r="K3193" s="21" t="str">
        <f t="shared" ca="1" si="234"/>
        <v/>
      </c>
    </row>
    <row r="3194" spans="1:11" s="18" customFormat="1" ht="14.25" x14ac:dyDescent="0.2">
      <c r="A3194" s="18" t="str">
        <f t="shared" si="237"/>
        <v>Eintrag 3193</v>
      </c>
      <c r="B3194" s="18">
        <v>100</v>
      </c>
      <c r="C3194" s="19">
        <v>100</v>
      </c>
      <c r="D3194" s="20">
        <v>10</v>
      </c>
      <c r="E3194" s="20">
        <v>10</v>
      </c>
      <c r="F3194" s="20">
        <v>10</v>
      </c>
      <c r="G3194" s="19">
        <f t="shared" si="235"/>
        <v>172</v>
      </c>
      <c r="H3194" s="22">
        <f t="shared" si="236"/>
        <v>3193</v>
      </c>
      <c r="I3194" s="21">
        <f t="shared" ca="1" si="225"/>
        <v>0</v>
      </c>
      <c r="J3194" s="21" t="str">
        <f ca="1">IF(I3194=0,"",COUNTIF($I$2:I3194,"&gt;0"))</f>
        <v/>
      </c>
      <c r="K3194" s="21" t="str">
        <f t="shared" ca="1" si="234"/>
        <v/>
      </c>
    </row>
    <row r="3195" spans="1:11" s="18" customFormat="1" ht="14.25" x14ac:dyDescent="0.2">
      <c r="A3195" s="18" t="str">
        <f t="shared" si="237"/>
        <v>Eintrag 3194</v>
      </c>
      <c r="B3195" s="18">
        <v>100</v>
      </c>
      <c r="C3195" s="19">
        <v>100</v>
      </c>
      <c r="D3195" s="20">
        <v>10</v>
      </c>
      <c r="E3195" s="20">
        <v>10</v>
      </c>
      <c r="F3195" s="20">
        <v>10</v>
      </c>
      <c r="G3195" s="19">
        <f t="shared" si="235"/>
        <v>172</v>
      </c>
      <c r="H3195" s="22">
        <f t="shared" si="236"/>
        <v>3194</v>
      </c>
      <c r="I3195" s="21">
        <f t="shared" ca="1" si="225"/>
        <v>0</v>
      </c>
      <c r="J3195" s="21" t="str">
        <f ca="1">IF(I3195=0,"",COUNTIF($I$2:I3195,"&gt;0"))</f>
        <v/>
      </c>
      <c r="K3195" s="21" t="str">
        <f t="shared" ca="1" si="234"/>
        <v/>
      </c>
    </row>
    <row r="3196" spans="1:11" s="18" customFormat="1" ht="14.25" x14ac:dyDescent="0.2">
      <c r="A3196" s="18" t="str">
        <f t="shared" si="237"/>
        <v>Eintrag 3195</v>
      </c>
      <c r="B3196" s="18">
        <v>100</v>
      </c>
      <c r="C3196" s="19">
        <v>100</v>
      </c>
      <c r="D3196" s="20">
        <v>10</v>
      </c>
      <c r="E3196" s="20">
        <v>10</v>
      </c>
      <c r="F3196" s="20">
        <v>10</v>
      </c>
      <c r="G3196" s="19">
        <f t="shared" si="235"/>
        <v>172</v>
      </c>
      <c r="H3196" s="22">
        <f t="shared" si="236"/>
        <v>3195</v>
      </c>
      <c r="I3196" s="21">
        <f t="shared" ca="1" si="225"/>
        <v>0</v>
      </c>
      <c r="J3196" s="21" t="str">
        <f ca="1">IF(I3196=0,"",COUNTIF($I$2:I3196,"&gt;0"))</f>
        <v/>
      </c>
      <c r="K3196" s="21" t="str">
        <f t="shared" ca="1" si="234"/>
        <v/>
      </c>
    </row>
    <row r="3197" spans="1:11" s="18" customFormat="1" ht="14.25" x14ac:dyDescent="0.2">
      <c r="A3197" s="18" t="str">
        <f t="shared" si="237"/>
        <v>Eintrag 3196</v>
      </c>
      <c r="B3197" s="18">
        <v>100</v>
      </c>
      <c r="C3197" s="19">
        <v>100</v>
      </c>
      <c r="D3197" s="20">
        <v>10</v>
      </c>
      <c r="E3197" s="20">
        <v>10</v>
      </c>
      <c r="F3197" s="20">
        <v>10</v>
      </c>
      <c r="G3197" s="19">
        <f t="shared" si="235"/>
        <v>172</v>
      </c>
      <c r="H3197" s="22">
        <f t="shared" si="236"/>
        <v>3196</v>
      </c>
      <c r="I3197" s="21">
        <f t="shared" ca="1" si="225"/>
        <v>0</v>
      </c>
      <c r="J3197" s="21" t="str">
        <f ca="1">IF(I3197=0,"",COUNTIF($I$2:I3197,"&gt;0"))</f>
        <v/>
      </c>
      <c r="K3197" s="21" t="str">
        <f t="shared" ca="1" si="234"/>
        <v/>
      </c>
    </row>
    <row r="3198" spans="1:11" s="18" customFormat="1" ht="14.25" x14ac:dyDescent="0.2">
      <c r="A3198" s="18" t="str">
        <f t="shared" si="237"/>
        <v>Eintrag 3197</v>
      </c>
      <c r="B3198" s="18">
        <v>100</v>
      </c>
      <c r="C3198" s="19">
        <v>100</v>
      </c>
      <c r="D3198" s="20">
        <v>10</v>
      </c>
      <c r="E3198" s="20">
        <v>10</v>
      </c>
      <c r="F3198" s="20">
        <v>10</v>
      </c>
      <c r="G3198" s="19">
        <f t="shared" si="235"/>
        <v>172</v>
      </c>
      <c r="H3198" s="22">
        <f t="shared" si="236"/>
        <v>3197</v>
      </c>
      <c r="I3198" s="21">
        <f t="shared" ca="1" si="225"/>
        <v>0</v>
      </c>
      <c r="J3198" s="21" t="str">
        <f ca="1">IF(I3198=0,"",COUNTIF($I$2:I3198,"&gt;0"))</f>
        <v/>
      </c>
      <c r="K3198" s="21" t="str">
        <f t="shared" ca="1" si="234"/>
        <v/>
      </c>
    </row>
    <row r="3199" spans="1:11" s="18" customFormat="1" ht="14.25" x14ac:dyDescent="0.2">
      <c r="A3199" s="18" t="str">
        <f t="shared" si="237"/>
        <v>Eintrag 3198</v>
      </c>
      <c r="B3199" s="18">
        <v>100</v>
      </c>
      <c r="C3199" s="19">
        <v>100</v>
      </c>
      <c r="D3199" s="20">
        <v>10</v>
      </c>
      <c r="E3199" s="20">
        <v>10</v>
      </c>
      <c r="F3199" s="20">
        <v>10</v>
      </c>
      <c r="G3199" s="19">
        <f t="shared" si="235"/>
        <v>172</v>
      </c>
      <c r="H3199" s="22">
        <f t="shared" si="236"/>
        <v>3198</v>
      </c>
      <c r="I3199" s="21">
        <f t="shared" ca="1" si="225"/>
        <v>0</v>
      </c>
      <c r="J3199" s="21" t="str">
        <f ca="1">IF(I3199=0,"",COUNTIF($I$2:I3199,"&gt;0"))</f>
        <v/>
      </c>
      <c r="K3199" s="21" t="str">
        <f t="shared" ca="1" si="234"/>
        <v/>
      </c>
    </row>
    <row r="3200" spans="1:11" s="18" customFormat="1" ht="14.25" x14ac:dyDescent="0.2">
      <c r="A3200" s="18" t="str">
        <f t="shared" si="237"/>
        <v>Eintrag 3199</v>
      </c>
      <c r="B3200" s="18">
        <v>100</v>
      </c>
      <c r="C3200" s="19">
        <v>100</v>
      </c>
      <c r="D3200" s="20">
        <v>10</v>
      </c>
      <c r="E3200" s="20">
        <v>10</v>
      </c>
      <c r="F3200" s="20">
        <v>10</v>
      </c>
      <c r="G3200" s="19">
        <f t="shared" si="235"/>
        <v>172</v>
      </c>
      <c r="H3200" s="22">
        <f t="shared" si="236"/>
        <v>3199</v>
      </c>
      <c r="I3200" s="21">
        <f t="shared" ca="1" si="225"/>
        <v>0</v>
      </c>
      <c r="J3200" s="21" t="str">
        <f ca="1">IF(I3200=0,"",COUNTIF($I$2:I3200,"&gt;0"))</f>
        <v/>
      </c>
      <c r="K3200" s="21" t="str">
        <f t="shared" ca="1" si="234"/>
        <v/>
      </c>
    </row>
    <row r="3201" spans="1:11" s="18" customFormat="1" ht="14.25" x14ac:dyDescent="0.2">
      <c r="A3201" s="18" t="str">
        <f t="shared" si="237"/>
        <v>Eintrag 3200</v>
      </c>
      <c r="B3201" s="18">
        <v>100</v>
      </c>
      <c r="C3201" s="19">
        <v>100</v>
      </c>
      <c r="D3201" s="20">
        <v>10</v>
      </c>
      <c r="E3201" s="20">
        <v>10</v>
      </c>
      <c r="F3201" s="20">
        <v>10</v>
      </c>
      <c r="G3201" s="19">
        <f t="shared" si="235"/>
        <v>172</v>
      </c>
      <c r="H3201" s="22">
        <f t="shared" si="236"/>
        <v>3200</v>
      </c>
      <c r="I3201" s="21">
        <f t="shared" ca="1" si="225"/>
        <v>0</v>
      </c>
      <c r="J3201" s="21" t="str">
        <f ca="1">IF(I3201=0,"",COUNTIF($I$2:I3201,"&gt;0"))</f>
        <v/>
      </c>
      <c r="K3201" s="21" t="str">
        <f t="shared" ca="1" si="234"/>
        <v/>
      </c>
    </row>
    <row r="3202" spans="1:11" s="18" customFormat="1" ht="14.25" x14ac:dyDescent="0.2">
      <c r="A3202" s="18" t="str">
        <f t="shared" si="237"/>
        <v>Eintrag 3201</v>
      </c>
      <c r="B3202" s="18">
        <v>100</v>
      </c>
      <c r="C3202" s="19">
        <v>100</v>
      </c>
      <c r="D3202" s="20">
        <v>10</v>
      </c>
      <c r="E3202" s="20">
        <v>10</v>
      </c>
      <c r="F3202" s="20">
        <v>10</v>
      </c>
      <c r="G3202" s="19">
        <f t="shared" si="235"/>
        <v>172</v>
      </c>
      <c r="H3202" s="22">
        <f t="shared" si="236"/>
        <v>3201</v>
      </c>
      <c r="I3202" s="21">
        <f t="shared" ca="1" si="225"/>
        <v>0</v>
      </c>
      <c r="J3202" s="21" t="str">
        <f ca="1">IF(I3202=0,"",COUNTIF($I$2:I3202,"&gt;0"))</f>
        <v/>
      </c>
      <c r="K3202" s="21" t="str">
        <f t="shared" ref="K3202:K3265" ca="1" si="238">IFERROR(INDEX(A:A,MATCH(ROW(I3201),J:J,0)),"")</f>
        <v/>
      </c>
    </row>
    <row r="3203" spans="1:11" s="18" customFormat="1" ht="14.25" x14ac:dyDescent="0.2">
      <c r="A3203" s="18" t="str">
        <f t="shared" si="237"/>
        <v>Eintrag 3202</v>
      </c>
      <c r="B3203" s="18">
        <v>100</v>
      </c>
      <c r="C3203" s="19">
        <v>100</v>
      </c>
      <c r="D3203" s="20">
        <v>10</v>
      </c>
      <c r="E3203" s="20">
        <v>10</v>
      </c>
      <c r="F3203" s="20">
        <v>10</v>
      </c>
      <c r="G3203" s="19">
        <f t="shared" ref="G3203:G3266" si="239">D3203*9+E3203*4.1+F3203*4.1</f>
        <v>172</v>
      </c>
      <c r="H3203" s="22">
        <f t="shared" si="236"/>
        <v>3202</v>
      </c>
      <c r="I3203" s="21">
        <f t="shared" ca="1" si="225"/>
        <v>0</v>
      </c>
      <c r="J3203" s="21" t="str">
        <f ca="1">IF(I3203=0,"",COUNTIF($I$2:I3203,"&gt;0"))</f>
        <v/>
      </c>
      <c r="K3203" s="21" t="str">
        <f t="shared" ca="1" si="238"/>
        <v/>
      </c>
    </row>
    <row r="3204" spans="1:11" s="18" customFormat="1" ht="14.25" x14ac:dyDescent="0.2">
      <c r="A3204" s="18" t="str">
        <f t="shared" si="237"/>
        <v>Eintrag 3203</v>
      </c>
      <c r="B3204" s="18">
        <v>100</v>
      </c>
      <c r="C3204" s="19">
        <v>100</v>
      </c>
      <c r="D3204" s="20">
        <v>10</v>
      </c>
      <c r="E3204" s="20">
        <v>10</v>
      </c>
      <c r="F3204" s="20">
        <v>10</v>
      </c>
      <c r="G3204" s="19">
        <f t="shared" si="239"/>
        <v>172</v>
      </c>
      <c r="H3204" s="22">
        <f t="shared" si="236"/>
        <v>3203</v>
      </c>
      <c r="I3204" s="21">
        <f t="shared" ca="1" si="225"/>
        <v>0</v>
      </c>
      <c r="J3204" s="21" t="str">
        <f ca="1">IF(I3204=0,"",COUNTIF($I$2:I3204,"&gt;0"))</f>
        <v/>
      </c>
      <c r="K3204" s="21" t="str">
        <f t="shared" ca="1" si="238"/>
        <v/>
      </c>
    </row>
    <row r="3205" spans="1:11" s="18" customFormat="1" ht="14.25" x14ac:dyDescent="0.2">
      <c r="A3205" s="18" t="str">
        <f t="shared" si="237"/>
        <v>Eintrag 3204</v>
      </c>
      <c r="B3205" s="18">
        <v>100</v>
      </c>
      <c r="C3205" s="19">
        <v>100</v>
      </c>
      <c r="D3205" s="20">
        <v>10</v>
      </c>
      <c r="E3205" s="20">
        <v>10</v>
      </c>
      <c r="F3205" s="20">
        <v>10</v>
      </c>
      <c r="G3205" s="19">
        <f t="shared" si="239"/>
        <v>172</v>
      </c>
      <c r="H3205" s="22">
        <f t="shared" si="236"/>
        <v>3204</v>
      </c>
      <c r="I3205" s="21">
        <f t="shared" ca="1" si="225"/>
        <v>0</v>
      </c>
      <c r="J3205" s="21" t="str">
        <f ca="1">IF(I3205=0,"",COUNTIF($I$2:I3205,"&gt;0"))</f>
        <v/>
      </c>
      <c r="K3205" s="21" t="str">
        <f t="shared" ca="1" si="238"/>
        <v/>
      </c>
    </row>
    <row r="3206" spans="1:11" s="18" customFormat="1" ht="14.25" x14ac:dyDescent="0.2">
      <c r="A3206" s="18" t="str">
        <f t="shared" si="237"/>
        <v>Eintrag 3205</v>
      </c>
      <c r="B3206" s="18">
        <v>100</v>
      </c>
      <c r="C3206" s="19">
        <v>100</v>
      </c>
      <c r="D3206" s="20">
        <v>10</v>
      </c>
      <c r="E3206" s="20">
        <v>10</v>
      </c>
      <c r="F3206" s="20">
        <v>10</v>
      </c>
      <c r="G3206" s="19">
        <f t="shared" si="239"/>
        <v>172</v>
      </c>
      <c r="H3206" s="22">
        <f t="shared" si="236"/>
        <v>3205</v>
      </c>
      <c r="I3206" s="21">
        <f t="shared" ca="1" si="225"/>
        <v>0</v>
      </c>
      <c r="J3206" s="21" t="str">
        <f ca="1">IF(I3206=0,"",COUNTIF($I$2:I3206,"&gt;0"))</f>
        <v/>
      </c>
      <c r="K3206" s="21" t="str">
        <f t="shared" ca="1" si="238"/>
        <v/>
      </c>
    </row>
    <row r="3207" spans="1:11" s="18" customFormat="1" ht="14.25" x14ac:dyDescent="0.2">
      <c r="A3207" s="18" t="str">
        <f t="shared" si="237"/>
        <v>Eintrag 3206</v>
      </c>
      <c r="B3207" s="18">
        <v>100</v>
      </c>
      <c r="C3207" s="19">
        <v>100</v>
      </c>
      <c r="D3207" s="20">
        <v>10</v>
      </c>
      <c r="E3207" s="20">
        <v>10</v>
      </c>
      <c r="F3207" s="20">
        <v>10</v>
      </c>
      <c r="G3207" s="19">
        <f t="shared" si="239"/>
        <v>172</v>
      </c>
      <c r="H3207" s="22">
        <f t="shared" si="236"/>
        <v>3206</v>
      </c>
      <c r="I3207" s="21">
        <f t="shared" ca="1" si="225"/>
        <v>0</v>
      </c>
      <c r="J3207" s="21" t="str">
        <f ca="1">IF(I3207=0,"",COUNTIF($I$2:I3207,"&gt;0"))</f>
        <v/>
      </c>
      <c r="K3207" s="21" t="str">
        <f t="shared" ca="1" si="238"/>
        <v/>
      </c>
    </row>
    <row r="3208" spans="1:11" s="18" customFormat="1" ht="14.25" x14ac:dyDescent="0.2">
      <c r="A3208" s="18" t="str">
        <f t="shared" si="237"/>
        <v>Eintrag 3207</v>
      </c>
      <c r="B3208" s="18">
        <v>100</v>
      </c>
      <c r="C3208" s="19">
        <v>100</v>
      </c>
      <c r="D3208" s="20">
        <v>10</v>
      </c>
      <c r="E3208" s="20">
        <v>10</v>
      </c>
      <c r="F3208" s="20">
        <v>10</v>
      </c>
      <c r="G3208" s="19">
        <f t="shared" si="239"/>
        <v>172</v>
      </c>
      <c r="H3208" s="22">
        <f t="shared" si="236"/>
        <v>3207</v>
      </c>
      <c r="I3208" s="21">
        <f t="shared" ca="1" si="225"/>
        <v>0</v>
      </c>
      <c r="J3208" s="21" t="str">
        <f ca="1">IF(I3208=0,"",COUNTIF($I$2:I3208,"&gt;0"))</f>
        <v/>
      </c>
      <c r="K3208" s="21" t="str">
        <f t="shared" ca="1" si="238"/>
        <v/>
      </c>
    </row>
    <row r="3209" spans="1:11" s="18" customFormat="1" ht="14.25" x14ac:dyDescent="0.2">
      <c r="A3209" s="18" t="str">
        <f t="shared" si="237"/>
        <v>Eintrag 3208</v>
      </c>
      <c r="B3209" s="18">
        <v>100</v>
      </c>
      <c r="C3209" s="19">
        <v>100</v>
      </c>
      <c r="D3209" s="20">
        <v>10</v>
      </c>
      <c r="E3209" s="20">
        <v>10</v>
      </c>
      <c r="F3209" s="20">
        <v>10</v>
      </c>
      <c r="G3209" s="19">
        <f t="shared" si="239"/>
        <v>172</v>
      </c>
      <c r="H3209" s="22">
        <f t="shared" si="236"/>
        <v>3208</v>
      </c>
      <c r="I3209" s="21">
        <f t="shared" ca="1" si="225"/>
        <v>0</v>
      </c>
      <c r="J3209" s="21" t="str">
        <f ca="1">IF(I3209=0,"",COUNTIF($I$2:I3209,"&gt;0"))</f>
        <v/>
      </c>
      <c r="K3209" s="21" t="str">
        <f t="shared" ca="1" si="238"/>
        <v/>
      </c>
    </row>
    <row r="3210" spans="1:11" s="18" customFormat="1" ht="14.25" x14ac:dyDescent="0.2">
      <c r="A3210" s="18" t="str">
        <f t="shared" si="237"/>
        <v>Eintrag 3209</v>
      </c>
      <c r="B3210" s="18">
        <v>100</v>
      </c>
      <c r="C3210" s="19">
        <v>100</v>
      </c>
      <c r="D3210" s="20">
        <v>10</v>
      </c>
      <c r="E3210" s="20">
        <v>10</v>
      </c>
      <c r="F3210" s="20">
        <v>10</v>
      </c>
      <c r="G3210" s="19">
        <f t="shared" si="239"/>
        <v>172</v>
      </c>
      <c r="H3210" s="22">
        <f t="shared" si="236"/>
        <v>3209</v>
      </c>
      <c r="I3210" s="21">
        <f t="shared" ca="1" si="225"/>
        <v>0</v>
      </c>
      <c r="J3210" s="21" t="str">
        <f ca="1">IF(I3210=0,"",COUNTIF($I$2:I3210,"&gt;0"))</f>
        <v/>
      </c>
      <c r="K3210" s="21" t="str">
        <f t="shared" ca="1" si="238"/>
        <v/>
      </c>
    </row>
    <row r="3211" spans="1:11" s="18" customFormat="1" ht="14.25" x14ac:dyDescent="0.2">
      <c r="A3211" s="18" t="str">
        <f t="shared" si="237"/>
        <v>Eintrag 3210</v>
      </c>
      <c r="B3211" s="18">
        <v>100</v>
      </c>
      <c r="C3211" s="19">
        <v>100</v>
      </c>
      <c r="D3211" s="20">
        <v>10</v>
      </c>
      <c r="E3211" s="20">
        <v>10</v>
      </c>
      <c r="F3211" s="20">
        <v>10</v>
      </c>
      <c r="G3211" s="19">
        <f t="shared" si="239"/>
        <v>172</v>
      </c>
      <c r="H3211" s="22">
        <f t="shared" si="236"/>
        <v>3210</v>
      </c>
      <c r="I3211" s="21">
        <f t="shared" ca="1" si="225"/>
        <v>0</v>
      </c>
      <c r="J3211" s="21" t="str">
        <f ca="1">IF(I3211=0,"",COUNTIF($I$2:I3211,"&gt;0"))</f>
        <v/>
      </c>
      <c r="K3211" s="21" t="str">
        <f t="shared" ca="1" si="238"/>
        <v/>
      </c>
    </row>
    <row r="3212" spans="1:11" s="18" customFormat="1" ht="14.25" x14ac:dyDescent="0.2">
      <c r="A3212" s="18" t="str">
        <f t="shared" si="237"/>
        <v>Eintrag 3211</v>
      </c>
      <c r="B3212" s="18">
        <v>100</v>
      </c>
      <c r="C3212" s="19">
        <v>100</v>
      </c>
      <c r="D3212" s="20">
        <v>10</v>
      </c>
      <c r="E3212" s="20">
        <v>10</v>
      </c>
      <c r="F3212" s="20">
        <v>10</v>
      </c>
      <c r="G3212" s="19">
        <f t="shared" si="239"/>
        <v>172</v>
      </c>
      <c r="H3212" s="22">
        <f t="shared" si="236"/>
        <v>3211</v>
      </c>
      <c r="I3212" s="21">
        <f t="shared" ca="1" si="225"/>
        <v>0</v>
      </c>
      <c r="J3212" s="21" t="str">
        <f ca="1">IF(I3212=0,"",COUNTIF($I$2:I3212,"&gt;0"))</f>
        <v/>
      </c>
      <c r="K3212" s="21" t="str">
        <f t="shared" ca="1" si="238"/>
        <v/>
      </c>
    </row>
    <row r="3213" spans="1:11" s="18" customFormat="1" ht="14.25" x14ac:dyDescent="0.2">
      <c r="A3213" s="18" t="str">
        <f t="shared" si="237"/>
        <v>Eintrag 3212</v>
      </c>
      <c r="B3213" s="18">
        <v>100</v>
      </c>
      <c r="C3213" s="19">
        <v>100</v>
      </c>
      <c r="D3213" s="20">
        <v>10</v>
      </c>
      <c r="E3213" s="20">
        <v>10</v>
      </c>
      <c r="F3213" s="20">
        <v>10</v>
      </c>
      <c r="G3213" s="19">
        <f t="shared" si="239"/>
        <v>172</v>
      </c>
      <c r="H3213" s="22">
        <f t="shared" si="236"/>
        <v>3212</v>
      </c>
      <c r="I3213" s="21">
        <f t="shared" ca="1" si="225"/>
        <v>0</v>
      </c>
      <c r="J3213" s="21" t="str">
        <f ca="1">IF(I3213=0,"",COUNTIF($I$2:I3213,"&gt;0"))</f>
        <v/>
      </c>
      <c r="K3213" s="21" t="str">
        <f t="shared" ca="1" si="238"/>
        <v/>
      </c>
    </row>
    <row r="3214" spans="1:11" s="18" customFormat="1" ht="14.25" x14ac:dyDescent="0.2">
      <c r="A3214" s="18" t="str">
        <f t="shared" si="237"/>
        <v>Eintrag 3213</v>
      </c>
      <c r="B3214" s="18">
        <v>100</v>
      </c>
      <c r="C3214" s="19">
        <v>100</v>
      </c>
      <c r="D3214" s="20">
        <v>10</v>
      </c>
      <c r="E3214" s="20">
        <v>10</v>
      </c>
      <c r="F3214" s="20">
        <v>10</v>
      </c>
      <c r="G3214" s="19">
        <f t="shared" si="239"/>
        <v>172</v>
      </c>
      <c r="H3214" s="22">
        <f t="shared" si="236"/>
        <v>3213</v>
      </c>
      <c r="I3214" s="21">
        <f t="shared" ca="1" si="225"/>
        <v>0</v>
      </c>
      <c r="J3214" s="21" t="str">
        <f ca="1">IF(I3214=0,"",COUNTIF($I$2:I3214,"&gt;0"))</f>
        <v/>
      </c>
      <c r="K3214" s="21" t="str">
        <f t="shared" ca="1" si="238"/>
        <v/>
      </c>
    </row>
    <row r="3215" spans="1:11" s="18" customFormat="1" ht="14.25" x14ac:dyDescent="0.2">
      <c r="A3215" s="18" t="str">
        <f t="shared" si="237"/>
        <v>Eintrag 3214</v>
      </c>
      <c r="B3215" s="18">
        <v>100</v>
      </c>
      <c r="C3215" s="19">
        <v>100</v>
      </c>
      <c r="D3215" s="20">
        <v>10</v>
      </c>
      <c r="E3215" s="20">
        <v>10</v>
      </c>
      <c r="F3215" s="20">
        <v>10</v>
      </c>
      <c r="G3215" s="19">
        <f t="shared" si="239"/>
        <v>172</v>
      </c>
      <c r="H3215" s="22">
        <f t="shared" si="236"/>
        <v>3214</v>
      </c>
      <c r="I3215" s="21">
        <f t="shared" ca="1" si="225"/>
        <v>0</v>
      </c>
      <c r="J3215" s="21" t="str">
        <f ca="1">IF(I3215=0,"",COUNTIF($I$2:I3215,"&gt;0"))</f>
        <v/>
      </c>
      <c r="K3215" s="21" t="str">
        <f t="shared" ca="1" si="238"/>
        <v/>
      </c>
    </row>
    <row r="3216" spans="1:11" s="18" customFormat="1" ht="14.25" x14ac:dyDescent="0.2">
      <c r="A3216" s="18" t="str">
        <f t="shared" si="237"/>
        <v>Eintrag 3215</v>
      </c>
      <c r="B3216" s="18">
        <v>100</v>
      </c>
      <c r="C3216" s="19">
        <v>100</v>
      </c>
      <c r="D3216" s="20">
        <v>10</v>
      </c>
      <c r="E3216" s="20">
        <v>10</v>
      </c>
      <c r="F3216" s="20">
        <v>10</v>
      </c>
      <c r="G3216" s="19">
        <f t="shared" si="239"/>
        <v>172</v>
      </c>
      <c r="H3216" s="22">
        <f t="shared" si="236"/>
        <v>3215</v>
      </c>
      <c r="I3216" s="21">
        <f t="shared" ca="1" si="225"/>
        <v>0</v>
      </c>
      <c r="J3216" s="21" t="str">
        <f ca="1">IF(I3216=0,"",COUNTIF($I$2:I3216,"&gt;0"))</f>
        <v/>
      </c>
      <c r="K3216" s="21" t="str">
        <f t="shared" ca="1" si="238"/>
        <v/>
      </c>
    </row>
    <row r="3217" spans="1:11" s="18" customFormat="1" ht="14.25" x14ac:dyDescent="0.2">
      <c r="A3217" s="18" t="str">
        <f t="shared" si="237"/>
        <v>Eintrag 3216</v>
      </c>
      <c r="B3217" s="18">
        <v>100</v>
      </c>
      <c r="C3217" s="19">
        <v>100</v>
      </c>
      <c r="D3217" s="20">
        <v>10</v>
      </c>
      <c r="E3217" s="20">
        <v>10</v>
      </c>
      <c r="F3217" s="20">
        <v>10</v>
      </c>
      <c r="G3217" s="19">
        <f t="shared" si="239"/>
        <v>172</v>
      </c>
      <c r="H3217" s="22">
        <f t="shared" si="236"/>
        <v>3216</v>
      </c>
      <c r="I3217" s="21">
        <f t="shared" ca="1" si="225"/>
        <v>0</v>
      </c>
      <c r="J3217" s="21" t="str">
        <f ca="1">IF(I3217=0,"",COUNTIF($I$2:I3217,"&gt;0"))</f>
        <v/>
      </c>
      <c r="K3217" s="21" t="str">
        <f t="shared" ca="1" si="238"/>
        <v/>
      </c>
    </row>
    <row r="3218" spans="1:11" s="18" customFormat="1" ht="14.25" x14ac:dyDescent="0.2">
      <c r="A3218" s="18" t="str">
        <f t="shared" si="237"/>
        <v>Eintrag 3217</v>
      </c>
      <c r="B3218" s="18">
        <v>100</v>
      </c>
      <c r="C3218" s="19">
        <v>100</v>
      </c>
      <c r="D3218" s="20">
        <v>10</v>
      </c>
      <c r="E3218" s="20">
        <v>10</v>
      </c>
      <c r="F3218" s="20">
        <v>10</v>
      </c>
      <c r="G3218" s="19">
        <f t="shared" si="239"/>
        <v>172</v>
      </c>
      <c r="H3218" s="22">
        <f t="shared" si="236"/>
        <v>3217</v>
      </c>
      <c r="I3218" s="21">
        <f t="shared" ca="1" si="225"/>
        <v>0</v>
      </c>
      <c r="J3218" s="21" t="str">
        <f ca="1">IF(I3218=0,"",COUNTIF($I$2:I3218,"&gt;0"))</f>
        <v/>
      </c>
      <c r="K3218" s="21" t="str">
        <f t="shared" ca="1" si="238"/>
        <v/>
      </c>
    </row>
    <row r="3219" spans="1:11" s="18" customFormat="1" ht="14.25" x14ac:dyDescent="0.2">
      <c r="A3219" s="18" t="str">
        <f t="shared" si="237"/>
        <v>Eintrag 3218</v>
      </c>
      <c r="B3219" s="18">
        <v>100</v>
      </c>
      <c r="C3219" s="19">
        <v>100</v>
      </c>
      <c r="D3219" s="20">
        <v>10</v>
      </c>
      <c r="E3219" s="20">
        <v>10</v>
      </c>
      <c r="F3219" s="20">
        <v>10</v>
      </c>
      <c r="G3219" s="19">
        <f t="shared" si="239"/>
        <v>172</v>
      </c>
      <c r="H3219" s="22">
        <f t="shared" si="236"/>
        <v>3218</v>
      </c>
      <c r="I3219" s="21">
        <f t="shared" ca="1" si="225"/>
        <v>0</v>
      </c>
      <c r="J3219" s="21" t="str">
        <f ca="1">IF(I3219=0,"",COUNTIF($I$2:I3219,"&gt;0"))</f>
        <v/>
      </c>
      <c r="K3219" s="21" t="str">
        <f t="shared" ca="1" si="238"/>
        <v/>
      </c>
    </row>
    <row r="3220" spans="1:11" s="18" customFormat="1" ht="14.25" x14ac:dyDescent="0.2">
      <c r="A3220" s="18" t="str">
        <f t="shared" si="237"/>
        <v>Eintrag 3219</v>
      </c>
      <c r="B3220" s="18">
        <v>100</v>
      </c>
      <c r="C3220" s="19">
        <v>100</v>
      </c>
      <c r="D3220" s="20">
        <v>10</v>
      </c>
      <c r="E3220" s="20">
        <v>10</v>
      </c>
      <c r="F3220" s="20">
        <v>10</v>
      </c>
      <c r="G3220" s="19">
        <f t="shared" si="239"/>
        <v>172</v>
      </c>
      <c r="H3220" s="22">
        <f t="shared" si="236"/>
        <v>3219</v>
      </c>
      <c r="I3220" s="21">
        <f t="shared" ca="1" si="225"/>
        <v>0</v>
      </c>
      <c r="J3220" s="21" t="str">
        <f ca="1">IF(I3220=0,"",COUNTIF($I$2:I3220,"&gt;0"))</f>
        <v/>
      </c>
      <c r="K3220" s="21" t="str">
        <f t="shared" ca="1" si="238"/>
        <v/>
      </c>
    </row>
    <row r="3221" spans="1:11" s="18" customFormat="1" ht="14.25" x14ac:dyDescent="0.2">
      <c r="A3221" s="18" t="str">
        <f t="shared" si="237"/>
        <v>Eintrag 3220</v>
      </c>
      <c r="B3221" s="18">
        <v>100</v>
      </c>
      <c r="C3221" s="19">
        <v>100</v>
      </c>
      <c r="D3221" s="20">
        <v>10</v>
      </c>
      <c r="E3221" s="20">
        <v>10</v>
      </c>
      <c r="F3221" s="20">
        <v>10</v>
      </c>
      <c r="G3221" s="19">
        <f t="shared" si="239"/>
        <v>172</v>
      </c>
      <c r="H3221" s="22">
        <f t="shared" si="236"/>
        <v>3220</v>
      </c>
      <c r="I3221" s="21">
        <f t="shared" ca="1" si="225"/>
        <v>0</v>
      </c>
      <c r="J3221" s="21" t="str">
        <f ca="1">IF(I3221=0,"",COUNTIF($I$2:I3221,"&gt;0"))</f>
        <v/>
      </c>
      <c r="K3221" s="21" t="str">
        <f t="shared" ca="1" si="238"/>
        <v/>
      </c>
    </row>
    <row r="3222" spans="1:11" s="18" customFormat="1" ht="14.25" x14ac:dyDescent="0.2">
      <c r="A3222" s="18" t="str">
        <f t="shared" si="237"/>
        <v>Eintrag 3221</v>
      </c>
      <c r="B3222" s="18">
        <v>100</v>
      </c>
      <c r="C3222" s="19">
        <v>100</v>
      </c>
      <c r="D3222" s="20">
        <v>10</v>
      </c>
      <c r="E3222" s="20">
        <v>10</v>
      </c>
      <c r="F3222" s="20">
        <v>10</v>
      </c>
      <c r="G3222" s="19">
        <f t="shared" si="239"/>
        <v>172</v>
      </c>
      <c r="H3222" s="22">
        <f t="shared" si="236"/>
        <v>3221</v>
      </c>
      <c r="I3222" s="21">
        <f t="shared" ca="1" si="225"/>
        <v>0</v>
      </c>
      <c r="J3222" s="21" t="str">
        <f ca="1">IF(I3222=0,"",COUNTIF($I$2:I3222,"&gt;0"))</f>
        <v/>
      </c>
      <c r="K3222" s="21" t="str">
        <f t="shared" ca="1" si="238"/>
        <v/>
      </c>
    </row>
    <row r="3223" spans="1:11" s="18" customFormat="1" ht="14.25" x14ac:dyDescent="0.2">
      <c r="A3223" s="18" t="str">
        <f t="shared" si="237"/>
        <v>Eintrag 3222</v>
      </c>
      <c r="B3223" s="18">
        <v>100</v>
      </c>
      <c r="C3223" s="19">
        <v>100</v>
      </c>
      <c r="D3223" s="20">
        <v>10</v>
      </c>
      <c r="E3223" s="20">
        <v>10</v>
      </c>
      <c r="F3223" s="20">
        <v>10</v>
      </c>
      <c r="G3223" s="19">
        <f t="shared" si="239"/>
        <v>172</v>
      </c>
      <c r="H3223" s="22">
        <f t="shared" si="236"/>
        <v>3222</v>
      </c>
      <c r="I3223" s="21">
        <f t="shared" ca="1" si="225"/>
        <v>0</v>
      </c>
      <c r="J3223" s="21" t="str">
        <f ca="1">IF(I3223=0,"",COUNTIF($I$2:I3223,"&gt;0"))</f>
        <v/>
      </c>
      <c r="K3223" s="21" t="str">
        <f t="shared" ca="1" si="238"/>
        <v/>
      </c>
    </row>
    <row r="3224" spans="1:11" s="18" customFormat="1" ht="14.25" x14ac:dyDescent="0.2">
      <c r="A3224" s="18" t="str">
        <f t="shared" si="237"/>
        <v>Eintrag 3223</v>
      </c>
      <c r="B3224" s="18">
        <v>100</v>
      </c>
      <c r="C3224" s="19">
        <v>100</v>
      </c>
      <c r="D3224" s="20">
        <v>10</v>
      </c>
      <c r="E3224" s="20">
        <v>10</v>
      </c>
      <c r="F3224" s="20">
        <v>10</v>
      </c>
      <c r="G3224" s="19">
        <f t="shared" si="239"/>
        <v>172</v>
      </c>
      <c r="H3224" s="22">
        <f t="shared" si="236"/>
        <v>3223</v>
      </c>
      <c r="I3224" s="21">
        <f t="shared" ca="1" si="225"/>
        <v>0</v>
      </c>
      <c r="J3224" s="21" t="str">
        <f ca="1">IF(I3224=0,"",COUNTIF($I$2:I3224,"&gt;0"))</f>
        <v/>
      </c>
      <c r="K3224" s="21" t="str">
        <f t="shared" ca="1" si="238"/>
        <v/>
      </c>
    </row>
    <row r="3225" spans="1:11" s="18" customFormat="1" ht="14.25" x14ac:dyDescent="0.2">
      <c r="A3225" s="18" t="str">
        <f t="shared" si="237"/>
        <v>Eintrag 3224</v>
      </c>
      <c r="B3225" s="18">
        <v>100</v>
      </c>
      <c r="C3225" s="19">
        <v>100</v>
      </c>
      <c r="D3225" s="20">
        <v>10</v>
      </c>
      <c r="E3225" s="20">
        <v>10</v>
      </c>
      <c r="F3225" s="20">
        <v>10</v>
      </c>
      <c r="G3225" s="19">
        <f t="shared" si="239"/>
        <v>172</v>
      </c>
      <c r="H3225" s="22">
        <f t="shared" si="236"/>
        <v>3224</v>
      </c>
      <c r="I3225" s="21">
        <f t="shared" ca="1" si="225"/>
        <v>0</v>
      </c>
      <c r="J3225" s="21" t="str">
        <f ca="1">IF(I3225=0,"",COUNTIF($I$2:I3225,"&gt;0"))</f>
        <v/>
      </c>
      <c r="K3225" s="21" t="str">
        <f t="shared" ca="1" si="238"/>
        <v/>
      </c>
    </row>
    <row r="3226" spans="1:11" s="18" customFormat="1" ht="14.25" x14ac:dyDescent="0.2">
      <c r="A3226" s="18" t="str">
        <f t="shared" si="237"/>
        <v>Eintrag 3225</v>
      </c>
      <c r="B3226" s="18">
        <v>100</v>
      </c>
      <c r="C3226" s="19">
        <v>100</v>
      </c>
      <c r="D3226" s="20">
        <v>10</v>
      </c>
      <c r="E3226" s="20">
        <v>10</v>
      </c>
      <c r="F3226" s="20">
        <v>10</v>
      </c>
      <c r="G3226" s="19">
        <f t="shared" si="239"/>
        <v>172</v>
      </c>
      <c r="H3226" s="22">
        <f t="shared" si="236"/>
        <v>3225</v>
      </c>
      <c r="I3226" s="21">
        <f t="shared" ca="1" si="225"/>
        <v>0</v>
      </c>
      <c r="J3226" s="21" t="str">
        <f ca="1">IF(I3226=0,"",COUNTIF($I$2:I3226,"&gt;0"))</f>
        <v/>
      </c>
      <c r="K3226" s="21" t="str">
        <f t="shared" ca="1" si="238"/>
        <v/>
      </c>
    </row>
    <row r="3227" spans="1:11" s="18" customFormat="1" ht="14.25" x14ac:dyDescent="0.2">
      <c r="A3227" s="18" t="str">
        <f t="shared" si="237"/>
        <v>Eintrag 3226</v>
      </c>
      <c r="B3227" s="18">
        <v>100</v>
      </c>
      <c r="C3227" s="19">
        <v>100</v>
      </c>
      <c r="D3227" s="20">
        <v>10</v>
      </c>
      <c r="E3227" s="20">
        <v>10</v>
      </c>
      <c r="F3227" s="20">
        <v>10</v>
      </c>
      <c r="G3227" s="19">
        <f t="shared" si="239"/>
        <v>172</v>
      </c>
      <c r="H3227" s="22">
        <f t="shared" si="236"/>
        <v>3226</v>
      </c>
      <c r="I3227" s="21">
        <f t="shared" ca="1" si="225"/>
        <v>0</v>
      </c>
      <c r="J3227" s="21" t="str">
        <f ca="1">IF(I3227=0,"",COUNTIF($I$2:I3227,"&gt;0"))</f>
        <v/>
      </c>
      <c r="K3227" s="21" t="str">
        <f t="shared" ca="1" si="238"/>
        <v/>
      </c>
    </row>
    <row r="3228" spans="1:11" s="18" customFormat="1" ht="14.25" x14ac:dyDescent="0.2">
      <c r="A3228" s="18" t="str">
        <f t="shared" si="237"/>
        <v>Eintrag 3227</v>
      </c>
      <c r="B3228" s="18">
        <v>100</v>
      </c>
      <c r="C3228" s="19">
        <v>100</v>
      </c>
      <c r="D3228" s="20">
        <v>10</v>
      </c>
      <c r="E3228" s="20">
        <v>10</v>
      </c>
      <c r="F3228" s="20">
        <v>10</v>
      </c>
      <c r="G3228" s="19">
        <f t="shared" si="239"/>
        <v>172</v>
      </c>
      <c r="H3228" s="22">
        <f t="shared" si="236"/>
        <v>3227</v>
      </c>
      <c r="I3228" s="21">
        <f t="shared" ca="1" si="225"/>
        <v>0</v>
      </c>
      <c r="J3228" s="21" t="str">
        <f ca="1">IF(I3228=0,"",COUNTIF($I$2:I3228,"&gt;0"))</f>
        <v/>
      </c>
      <c r="K3228" s="21" t="str">
        <f t="shared" ca="1" si="238"/>
        <v/>
      </c>
    </row>
    <row r="3229" spans="1:11" s="18" customFormat="1" ht="14.25" x14ac:dyDescent="0.2">
      <c r="A3229" s="18" t="str">
        <f t="shared" si="237"/>
        <v>Eintrag 3228</v>
      </c>
      <c r="B3229" s="18">
        <v>100</v>
      </c>
      <c r="C3229" s="19">
        <v>100</v>
      </c>
      <c r="D3229" s="20">
        <v>10</v>
      </c>
      <c r="E3229" s="20">
        <v>10</v>
      </c>
      <c r="F3229" s="20">
        <v>10</v>
      </c>
      <c r="G3229" s="19">
        <f t="shared" si="239"/>
        <v>172</v>
      </c>
      <c r="H3229" s="22">
        <f t="shared" si="236"/>
        <v>3228</v>
      </c>
      <c r="I3229" s="21">
        <f t="shared" ca="1" si="225"/>
        <v>0</v>
      </c>
      <c r="J3229" s="21" t="str">
        <f ca="1">IF(I3229=0,"",COUNTIF($I$2:I3229,"&gt;0"))</f>
        <v/>
      </c>
      <c r="K3229" s="21" t="str">
        <f t="shared" ca="1" si="238"/>
        <v/>
      </c>
    </row>
    <row r="3230" spans="1:11" s="18" customFormat="1" ht="14.25" x14ac:dyDescent="0.2">
      <c r="A3230" s="18" t="str">
        <f t="shared" si="237"/>
        <v>Eintrag 3229</v>
      </c>
      <c r="B3230" s="18">
        <v>100</v>
      </c>
      <c r="C3230" s="19">
        <v>100</v>
      </c>
      <c r="D3230" s="20">
        <v>10</v>
      </c>
      <c r="E3230" s="20">
        <v>10</v>
      </c>
      <c r="F3230" s="20">
        <v>10</v>
      </c>
      <c r="G3230" s="19">
        <f t="shared" si="239"/>
        <v>172</v>
      </c>
      <c r="H3230" s="22">
        <f t="shared" si="236"/>
        <v>3229</v>
      </c>
      <c r="I3230" s="21">
        <f t="shared" ca="1" si="225"/>
        <v>0</v>
      </c>
      <c r="J3230" s="21" t="str">
        <f ca="1">IF(I3230=0,"",COUNTIF($I$2:I3230,"&gt;0"))</f>
        <v/>
      </c>
      <c r="K3230" s="21" t="str">
        <f t="shared" ca="1" si="238"/>
        <v/>
      </c>
    </row>
    <row r="3231" spans="1:11" s="18" customFormat="1" ht="14.25" x14ac:dyDescent="0.2">
      <c r="A3231" s="18" t="str">
        <f t="shared" si="237"/>
        <v>Eintrag 3230</v>
      </c>
      <c r="B3231" s="18">
        <v>100</v>
      </c>
      <c r="C3231" s="19">
        <v>100</v>
      </c>
      <c r="D3231" s="20">
        <v>10</v>
      </c>
      <c r="E3231" s="20">
        <v>10</v>
      </c>
      <c r="F3231" s="20">
        <v>10</v>
      </c>
      <c r="G3231" s="19">
        <f t="shared" si="239"/>
        <v>172</v>
      </c>
      <c r="H3231" s="22">
        <f t="shared" si="236"/>
        <v>3230</v>
      </c>
      <c r="I3231" s="21">
        <f t="shared" ca="1" si="225"/>
        <v>0</v>
      </c>
      <c r="J3231" s="21" t="str">
        <f ca="1">IF(I3231=0,"",COUNTIF($I$2:I3231,"&gt;0"))</f>
        <v/>
      </c>
      <c r="K3231" s="21" t="str">
        <f t="shared" ca="1" si="238"/>
        <v/>
      </c>
    </row>
    <row r="3232" spans="1:11" s="18" customFormat="1" ht="14.25" x14ac:dyDescent="0.2">
      <c r="A3232" s="18" t="str">
        <f t="shared" si="237"/>
        <v>Eintrag 3231</v>
      </c>
      <c r="B3232" s="18">
        <v>100</v>
      </c>
      <c r="C3232" s="19">
        <v>100</v>
      </c>
      <c r="D3232" s="20">
        <v>10</v>
      </c>
      <c r="E3232" s="20">
        <v>10</v>
      </c>
      <c r="F3232" s="20">
        <v>10</v>
      </c>
      <c r="G3232" s="19">
        <f t="shared" si="239"/>
        <v>172</v>
      </c>
      <c r="H3232" s="22">
        <f t="shared" si="236"/>
        <v>3231</v>
      </c>
      <c r="I3232" s="21">
        <f t="shared" ca="1" si="225"/>
        <v>0</v>
      </c>
      <c r="J3232" s="21" t="str">
        <f ca="1">IF(I3232=0,"",COUNTIF($I$2:I3232,"&gt;0"))</f>
        <v/>
      </c>
      <c r="K3232" s="21" t="str">
        <f t="shared" ca="1" si="238"/>
        <v/>
      </c>
    </row>
    <row r="3233" spans="1:11" s="18" customFormat="1" ht="14.25" x14ac:dyDescent="0.2">
      <c r="A3233" s="18" t="str">
        <f t="shared" si="237"/>
        <v>Eintrag 3232</v>
      </c>
      <c r="B3233" s="18">
        <v>100</v>
      </c>
      <c r="C3233" s="19">
        <v>100</v>
      </c>
      <c r="D3233" s="20">
        <v>10</v>
      </c>
      <c r="E3233" s="20">
        <v>10</v>
      </c>
      <c r="F3233" s="20">
        <v>10</v>
      </c>
      <c r="G3233" s="19">
        <f t="shared" si="239"/>
        <v>172</v>
      </c>
      <c r="H3233" s="22">
        <f t="shared" si="236"/>
        <v>3232</v>
      </c>
      <c r="I3233" s="21">
        <f t="shared" ca="1" si="225"/>
        <v>0</v>
      </c>
      <c r="J3233" s="21" t="str">
        <f ca="1">IF(I3233=0,"",COUNTIF($I$2:I3233,"&gt;0"))</f>
        <v/>
      </c>
      <c r="K3233" s="21" t="str">
        <f t="shared" ca="1" si="238"/>
        <v/>
      </c>
    </row>
    <row r="3234" spans="1:11" s="18" customFormat="1" ht="14.25" x14ac:dyDescent="0.2">
      <c r="A3234" s="18" t="str">
        <f t="shared" si="237"/>
        <v>Eintrag 3233</v>
      </c>
      <c r="B3234" s="18">
        <v>100</v>
      </c>
      <c r="C3234" s="19">
        <v>100</v>
      </c>
      <c r="D3234" s="20">
        <v>10</v>
      </c>
      <c r="E3234" s="20">
        <v>10</v>
      </c>
      <c r="F3234" s="20">
        <v>10</v>
      </c>
      <c r="G3234" s="19">
        <f t="shared" si="239"/>
        <v>172</v>
      </c>
      <c r="H3234" s="22">
        <f t="shared" si="236"/>
        <v>3233</v>
      </c>
      <c r="I3234" s="21">
        <f t="shared" ca="1" si="225"/>
        <v>0</v>
      </c>
      <c r="J3234" s="21" t="str">
        <f ca="1">IF(I3234=0,"",COUNTIF($I$2:I3234,"&gt;0"))</f>
        <v/>
      </c>
      <c r="K3234" s="21" t="str">
        <f t="shared" ca="1" si="238"/>
        <v/>
      </c>
    </row>
    <row r="3235" spans="1:11" s="18" customFormat="1" ht="14.25" x14ac:dyDescent="0.2">
      <c r="A3235" s="18" t="str">
        <f t="shared" si="237"/>
        <v>Eintrag 3234</v>
      </c>
      <c r="B3235" s="18">
        <v>100</v>
      </c>
      <c r="C3235" s="19">
        <v>100</v>
      </c>
      <c r="D3235" s="20">
        <v>10</v>
      </c>
      <c r="E3235" s="20">
        <v>10</v>
      </c>
      <c r="F3235" s="20">
        <v>10</v>
      </c>
      <c r="G3235" s="19">
        <f t="shared" si="239"/>
        <v>172</v>
      </c>
      <c r="H3235" s="22">
        <f t="shared" si="236"/>
        <v>3234</v>
      </c>
      <c r="I3235" s="21">
        <f t="shared" ca="1" si="225"/>
        <v>0</v>
      </c>
      <c r="J3235" s="21" t="str">
        <f ca="1">IF(I3235=0,"",COUNTIF($I$2:I3235,"&gt;0"))</f>
        <v/>
      </c>
      <c r="K3235" s="21" t="str">
        <f t="shared" ca="1" si="238"/>
        <v/>
      </c>
    </row>
    <row r="3236" spans="1:11" s="18" customFormat="1" ht="14.25" x14ac:dyDescent="0.2">
      <c r="A3236" s="18" t="str">
        <f t="shared" si="237"/>
        <v>Eintrag 3235</v>
      </c>
      <c r="B3236" s="18">
        <v>100</v>
      </c>
      <c r="C3236" s="19">
        <v>100</v>
      </c>
      <c r="D3236" s="20">
        <v>10</v>
      </c>
      <c r="E3236" s="20">
        <v>10</v>
      </c>
      <c r="F3236" s="20">
        <v>10</v>
      </c>
      <c r="G3236" s="19">
        <f t="shared" si="239"/>
        <v>172</v>
      </c>
      <c r="H3236" s="22">
        <f t="shared" si="236"/>
        <v>3235</v>
      </c>
      <c r="I3236" s="21">
        <f t="shared" ca="1" si="225"/>
        <v>0</v>
      </c>
      <c r="J3236" s="21" t="str">
        <f ca="1">IF(I3236=0,"",COUNTIF($I$2:I3236,"&gt;0"))</f>
        <v/>
      </c>
      <c r="K3236" s="21" t="str">
        <f t="shared" ca="1" si="238"/>
        <v/>
      </c>
    </row>
    <row r="3237" spans="1:11" s="18" customFormat="1" ht="14.25" x14ac:dyDescent="0.2">
      <c r="A3237" s="18" t="str">
        <f t="shared" si="237"/>
        <v>Eintrag 3236</v>
      </c>
      <c r="B3237" s="18">
        <v>100</v>
      </c>
      <c r="C3237" s="19">
        <v>100</v>
      </c>
      <c r="D3237" s="20">
        <v>10</v>
      </c>
      <c r="E3237" s="20">
        <v>10</v>
      </c>
      <c r="F3237" s="20">
        <v>10</v>
      </c>
      <c r="G3237" s="19">
        <f t="shared" si="239"/>
        <v>172</v>
      </c>
      <c r="H3237" s="22">
        <f t="shared" ref="H3237:H3300" si="240">H3236+1</f>
        <v>3236</v>
      </c>
      <c r="I3237" s="21">
        <f t="shared" ca="1" si="225"/>
        <v>0</v>
      </c>
      <c r="J3237" s="21" t="str">
        <f ca="1">IF(I3237=0,"",COUNTIF($I$2:I3237,"&gt;0"))</f>
        <v/>
      </c>
      <c r="K3237" s="21" t="str">
        <f t="shared" ca="1" si="238"/>
        <v/>
      </c>
    </row>
    <row r="3238" spans="1:11" s="18" customFormat="1" ht="14.25" x14ac:dyDescent="0.2">
      <c r="A3238" s="18" t="str">
        <f t="shared" si="237"/>
        <v>Eintrag 3237</v>
      </c>
      <c r="B3238" s="18">
        <v>100</v>
      </c>
      <c r="C3238" s="19">
        <v>100</v>
      </c>
      <c r="D3238" s="20">
        <v>10</v>
      </c>
      <c r="E3238" s="20">
        <v>10</v>
      </c>
      <c r="F3238" s="20">
        <v>10</v>
      </c>
      <c r="G3238" s="19">
        <f t="shared" si="239"/>
        <v>172</v>
      </c>
      <c r="H3238" s="22">
        <f t="shared" si="240"/>
        <v>3237</v>
      </c>
      <c r="I3238" s="21">
        <f t="shared" ca="1" si="225"/>
        <v>0</v>
      </c>
      <c r="J3238" s="21" t="str">
        <f ca="1">IF(I3238=0,"",COUNTIF($I$2:I3238,"&gt;0"))</f>
        <v/>
      </c>
      <c r="K3238" s="21" t="str">
        <f t="shared" ca="1" si="238"/>
        <v/>
      </c>
    </row>
    <row r="3239" spans="1:11" s="18" customFormat="1" ht="14.25" x14ac:dyDescent="0.2">
      <c r="A3239" s="18" t="str">
        <f t="shared" si="237"/>
        <v>Eintrag 3238</v>
      </c>
      <c r="B3239" s="18">
        <v>100</v>
      </c>
      <c r="C3239" s="19">
        <v>100</v>
      </c>
      <c r="D3239" s="20">
        <v>10</v>
      </c>
      <c r="E3239" s="20">
        <v>10</v>
      </c>
      <c r="F3239" s="20">
        <v>10</v>
      </c>
      <c r="G3239" s="19">
        <f t="shared" si="239"/>
        <v>172</v>
      </c>
      <c r="H3239" s="22">
        <f t="shared" si="240"/>
        <v>3238</v>
      </c>
      <c r="I3239" s="21">
        <f t="shared" ca="1" si="225"/>
        <v>0</v>
      </c>
      <c r="J3239" s="21" t="str">
        <f ca="1">IF(I3239=0,"",COUNTIF($I$2:I3239,"&gt;0"))</f>
        <v/>
      </c>
      <c r="K3239" s="21" t="str">
        <f t="shared" ca="1" si="238"/>
        <v/>
      </c>
    </row>
    <row r="3240" spans="1:11" s="18" customFormat="1" ht="14.25" x14ac:dyDescent="0.2">
      <c r="A3240" s="18" t="str">
        <f t="shared" si="237"/>
        <v>Eintrag 3239</v>
      </c>
      <c r="B3240" s="18">
        <v>100</v>
      </c>
      <c r="C3240" s="19">
        <v>100</v>
      </c>
      <c r="D3240" s="20">
        <v>10</v>
      </c>
      <c r="E3240" s="20">
        <v>10</v>
      </c>
      <c r="F3240" s="20">
        <v>10</v>
      </c>
      <c r="G3240" s="19">
        <f t="shared" si="239"/>
        <v>172</v>
      </c>
      <c r="H3240" s="22">
        <f t="shared" si="240"/>
        <v>3239</v>
      </c>
      <c r="I3240" s="21">
        <f t="shared" ca="1" si="225"/>
        <v>0</v>
      </c>
      <c r="J3240" s="21" t="str">
        <f ca="1">IF(I3240=0,"",COUNTIF($I$2:I3240,"&gt;0"))</f>
        <v/>
      </c>
      <c r="K3240" s="21" t="str">
        <f t="shared" ca="1" si="238"/>
        <v/>
      </c>
    </row>
    <row r="3241" spans="1:11" s="18" customFormat="1" ht="14.25" x14ac:dyDescent="0.2">
      <c r="A3241" s="18" t="str">
        <f t="shared" ref="A3241:A3404" si="241">CONCATENATE("Eintrag ",H3241)</f>
        <v>Eintrag 3240</v>
      </c>
      <c r="B3241" s="18">
        <v>100</v>
      </c>
      <c r="C3241" s="19">
        <v>100</v>
      </c>
      <c r="D3241" s="20">
        <v>10</v>
      </c>
      <c r="E3241" s="20">
        <v>10</v>
      </c>
      <c r="F3241" s="20">
        <v>10</v>
      </c>
      <c r="G3241" s="19">
        <f t="shared" si="239"/>
        <v>172</v>
      </c>
      <c r="H3241" s="22">
        <f t="shared" si="240"/>
        <v>3240</v>
      </c>
      <c r="I3241" s="21">
        <f t="shared" ca="1" si="225"/>
        <v>0</v>
      </c>
      <c r="J3241" s="21" t="str">
        <f ca="1">IF(I3241=0,"",COUNTIF($I$2:I3241,"&gt;0"))</f>
        <v/>
      </c>
      <c r="K3241" s="21" t="str">
        <f t="shared" ca="1" si="238"/>
        <v/>
      </c>
    </row>
    <row r="3242" spans="1:11" s="18" customFormat="1" ht="14.25" x14ac:dyDescent="0.2">
      <c r="A3242" s="18" t="str">
        <f t="shared" si="241"/>
        <v>Eintrag 3241</v>
      </c>
      <c r="B3242" s="18">
        <v>100</v>
      </c>
      <c r="C3242" s="19">
        <v>100</v>
      </c>
      <c r="D3242" s="20">
        <v>10</v>
      </c>
      <c r="E3242" s="20">
        <v>10</v>
      </c>
      <c r="F3242" s="20">
        <v>10</v>
      </c>
      <c r="G3242" s="19">
        <f t="shared" si="239"/>
        <v>172</v>
      </c>
      <c r="H3242" s="22">
        <f t="shared" si="240"/>
        <v>3241</v>
      </c>
      <c r="I3242" s="21">
        <f t="shared" ca="1" si="225"/>
        <v>0</v>
      </c>
      <c r="J3242" s="21" t="str">
        <f ca="1">IF(I3242=0,"",COUNTIF($I$2:I3242,"&gt;0"))</f>
        <v/>
      </c>
      <c r="K3242" s="21" t="str">
        <f t="shared" ca="1" si="238"/>
        <v/>
      </c>
    </row>
    <row r="3243" spans="1:11" s="18" customFormat="1" ht="14.25" x14ac:dyDescent="0.2">
      <c r="A3243" s="18" t="str">
        <f t="shared" si="241"/>
        <v>Eintrag 3242</v>
      </c>
      <c r="B3243" s="18">
        <v>100</v>
      </c>
      <c r="C3243" s="19">
        <v>100</v>
      </c>
      <c r="D3243" s="20">
        <v>10</v>
      </c>
      <c r="E3243" s="20">
        <v>10</v>
      </c>
      <c r="F3243" s="20">
        <v>10</v>
      </c>
      <c r="G3243" s="19">
        <f t="shared" si="239"/>
        <v>172</v>
      </c>
      <c r="H3243" s="22">
        <f t="shared" si="240"/>
        <v>3242</v>
      </c>
      <c r="I3243" s="21">
        <f t="shared" ca="1" si="225"/>
        <v>0</v>
      </c>
      <c r="J3243" s="21" t="str">
        <f ca="1">IF(I3243=0,"",COUNTIF($I$2:I3243,"&gt;0"))</f>
        <v/>
      </c>
      <c r="K3243" s="21" t="str">
        <f t="shared" ca="1" si="238"/>
        <v/>
      </c>
    </row>
    <row r="3244" spans="1:11" s="18" customFormat="1" ht="14.25" x14ac:dyDescent="0.2">
      <c r="A3244" s="18" t="str">
        <f t="shared" si="241"/>
        <v>Eintrag 3243</v>
      </c>
      <c r="B3244" s="18">
        <v>100</v>
      </c>
      <c r="C3244" s="19">
        <v>100</v>
      </c>
      <c r="D3244" s="20">
        <v>10</v>
      </c>
      <c r="E3244" s="20">
        <v>10</v>
      </c>
      <c r="F3244" s="20">
        <v>10</v>
      </c>
      <c r="G3244" s="19">
        <f t="shared" si="239"/>
        <v>172</v>
      </c>
      <c r="H3244" s="22">
        <f t="shared" si="240"/>
        <v>3243</v>
      </c>
      <c r="I3244" s="21">
        <f t="shared" ca="1" si="225"/>
        <v>0</v>
      </c>
      <c r="J3244" s="21" t="str">
        <f ca="1">IF(I3244=0,"",COUNTIF($I$2:I3244,"&gt;0"))</f>
        <v/>
      </c>
      <c r="K3244" s="21" t="str">
        <f t="shared" ca="1" si="238"/>
        <v/>
      </c>
    </row>
    <row r="3245" spans="1:11" s="18" customFormat="1" ht="14.25" x14ac:dyDescent="0.2">
      <c r="A3245" s="18" t="str">
        <f t="shared" si="241"/>
        <v>Eintrag 3244</v>
      </c>
      <c r="B3245" s="18">
        <v>100</v>
      </c>
      <c r="C3245" s="19">
        <v>100</v>
      </c>
      <c r="D3245" s="20">
        <v>10</v>
      </c>
      <c r="E3245" s="20">
        <v>10</v>
      </c>
      <c r="F3245" s="20">
        <v>10</v>
      </c>
      <c r="G3245" s="19">
        <f t="shared" si="239"/>
        <v>172</v>
      </c>
      <c r="H3245" s="22">
        <f t="shared" si="240"/>
        <v>3244</v>
      </c>
      <c r="I3245" s="21">
        <f t="shared" ca="1" si="225"/>
        <v>0</v>
      </c>
      <c r="J3245" s="21" t="str">
        <f ca="1">IF(I3245=0,"",COUNTIF($I$2:I3245,"&gt;0"))</f>
        <v/>
      </c>
      <c r="K3245" s="21" t="str">
        <f t="shared" ca="1" si="238"/>
        <v/>
      </c>
    </row>
    <row r="3246" spans="1:11" s="18" customFormat="1" ht="14.25" x14ac:dyDescent="0.2">
      <c r="A3246" s="18" t="str">
        <f t="shared" si="241"/>
        <v>Eintrag 3245</v>
      </c>
      <c r="B3246" s="18">
        <v>100</v>
      </c>
      <c r="C3246" s="19">
        <v>100</v>
      </c>
      <c r="D3246" s="20">
        <v>10</v>
      </c>
      <c r="E3246" s="20">
        <v>10</v>
      </c>
      <c r="F3246" s="20">
        <v>10</v>
      </c>
      <c r="G3246" s="19">
        <f t="shared" si="239"/>
        <v>172</v>
      </c>
      <c r="H3246" s="22">
        <f t="shared" si="240"/>
        <v>3245</v>
      </c>
      <c r="I3246" s="21">
        <f t="shared" ca="1" si="225"/>
        <v>0</v>
      </c>
      <c r="J3246" s="21" t="str">
        <f ca="1">IF(I3246=0,"",COUNTIF($I$2:I3246,"&gt;0"))</f>
        <v/>
      </c>
      <c r="K3246" s="21" t="str">
        <f t="shared" ca="1" si="238"/>
        <v/>
      </c>
    </row>
    <row r="3247" spans="1:11" s="18" customFormat="1" ht="14.25" x14ac:dyDescent="0.2">
      <c r="A3247" s="18" t="str">
        <f t="shared" si="241"/>
        <v>Eintrag 3246</v>
      </c>
      <c r="B3247" s="18">
        <v>100</v>
      </c>
      <c r="C3247" s="19">
        <v>100</v>
      </c>
      <c r="D3247" s="20">
        <v>10</v>
      </c>
      <c r="E3247" s="20">
        <v>10</v>
      </c>
      <c r="F3247" s="20">
        <v>10</v>
      </c>
      <c r="G3247" s="19">
        <f t="shared" si="239"/>
        <v>172</v>
      </c>
      <c r="H3247" s="22">
        <f t="shared" si="240"/>
        <v>3246</v>
      </c>
      <c r="I3247" s="21">
        <f t="shared" ca="1" si="225"/>
        <v>0</v>
      </c>
      <c r="J3247" s="21" t="str">
        <f ca="1">IF(I3247=0,"",COUNTIF($I$2:I3247,"&gt;0"))</f>
        <v/>
      </c>
      <c r="K3247" s="21" t="str">
        <f t="shared" ca="1" si="238"/>
        <v/>
      </c>
    </row>
    <row r="3248" spans="1:11" s="18" customFormat="1" ht="14.25" x14ac:dyDescent="0.2">
      <c r="A3248" s="18" t="str">
        <f t="shared" si="241"/>
        <v>Eintrag 3247</v>
      </c>
      <c r="B3248" s="18">
        <v>100</v>
      </c>
      <c r="C3248" s="19">
        <v>100</v>
      </c>
      <c r="D3248" s="20">
        <v>10</v>
      </c>
      <c r="E3248" s="20">
        <v>10</v>
      </c>
      <c r="F3248" s="20">
        <v>10</v>
      </c>
      <c r="G3248" s="19">
        <f t="shared" si="239"/>
        <v>172</v>
      </c>
      <c r="H3248" s="22">
        <f t="shared" si="240"/>
        <v>3247</v>
      </c>
      <c r="I3248" s="21">
        <f t="shared" ca="1" si="225"/>
        <v>0</v>
      </c>
      <c r="J3248" s="21" t="str">
        <f ca="1">IF(I3248=0,"",COUNTIF($I$2:I3248,"&gt;0"))</f>
        <v/>
      </c>
      <c r="K3248" s="21" t="str">
        <f t="shared" ca="1" si="238"/>
        <v/>
      </c>
    </row>
    <row r="3249" spans="1:11" s="18" customFormat="1" ht="14.25" x14ac:dyDescent="0.2">
      <c r="A3249" s="18" t="str">
        <f t="shared" si="241"/>
        <v>Eintrag 3248</v>
      </c>
      <c r="B3249" s="18">
        <v>100</v>
      </c>
      <c r="C3249" s="19">
        <v>100</v>
      </c>
      <c r="D3249" s="20">
        <v>10</v>
      </c>
      <c r="E3249" s="20">
        <v>10</v>
      </c>
      <c r="F3249" s="20">
        <v>10</v>
      </c>
      <c r="G3249" s="19">
        <f t="shared" si="239"/>
        <v>172</v>
      </c>
      <c r="H3249" s="22">
        <f t="shared" si="240"/>
        <v>3248</v>
      </c>
      <c r="I3249" s="21">
        <f t="shared" ca="1" si="225"/>
        <v>0</v>
      </c>
      <c r="J3249" s="21" t="str">
        <f ca="1">IF(I3249=0,"",COUNTIF($I$2:I3249,"&gt;0"))</f>
        <v/>
      </c>
      <c r="K3249" s="21" t="str">
        <f t="shared" ca="1" si="238"/>
        <v/>
      </c>
    </row>
    <row r="3250" spans="1:11" s="18" customFormat="1" ht="14.25" x14ac:dyDescent="0.2">
      <c r="A3250" s="18" t="str">
        <f t="shared" si="241"/>
        <v>Eintrag 3249</v>
      </c>
      <c r="B3250" s="18">
        <v>100</v>
      </c>
      <c r="C3250" s="19">
        <v>100</v>
      </c>
      <c r="D3250" s="20">
        <v>10</v>
      </c>
      <c r="E3250" s="20">
        <v>10</v>
      </c>
      <c r="F3250" s="20">
        <v>10</v>
      </c>
      <c r="G3250" s="19">
        <f t="shared" si="239"/>
        <v>172</v>
      </c>
      <c r="H3250" s="22">
        <f t="shared" si="240"/>
        <v>3249</v>
      </c>
      <c r="I3250" s="21">
        <f t="shared" ca="1" si="225"/>
        <v>0</v>
      </c>
      <c r="J3250" s="21" t="str">
        <f ca="1">IF(I3250=0,"",COUNTIF($I$2:I3250,"&gt;0"))</f>
        <v/>
      </c>
      <c r="K3250" s="21" t="str">
        <f t="shared" ca="1" si="238"/>
        <v/>
      </c>
    </row>
    <row r="3251" spans="1:11" s="18" customFormat="1" ht="14.25" x14ac:dyDescent="0.2">
      <c r="A3251" s="18" t="str">
        <f t="shared" si="241"/>
        <v>Eintrag 3250</v>
      </c>
      <c r="B3251" s="18">
        <v>100</v>
      </c>
      <c r="C3251" s="19">
        <v>100</v>
      </c>
      <c r="D3251" s="20">
        <v>10</v>
      </c>
      <c r="E3251" s="20">
        <v>10</v>
      </c>
      <c r="F3251" s="20">
        <v>10</v>
      </c>
      <c r="G3251" s="19">
        <f t="shared" si="239"/>
        <v>172</v>
      </c>
      <c r="H3251" s="22">
        <f t="shared" si="240"/>
        <v>3250</v>
      </c>
      <c r="I3251" s="21">
        <f t="shared" ca="1" si="225"/>
        <v>0</v>
      </c>
      <c r="J3251" s="21" t="str">
        <f ca="1">IF(I3251=0,"",COUNTIF($I$2:I3251,"&gt;0"))</f>
        <v/>
      </c>
      <c r="K3251" s="21" t="str">
        <f t="shared" ca="1" si="238"/>
        <v/>
      </c>
    </row>
    <row r="3252" spans="1:11" s="18" customFormat="1" ht="14.25" x14ac:dyDescent="0.2">
      <c r="A3252" s="18" t="str">
        <f t="shared" si="241"/>
        <v>Eintrag 3251</v>
      </c>
      <c r="B3252" s="18">
        <v>100</v>
      </c>
      <c r="C3252" s="19">
        <v>100</v>
      </c>
      <c r="D3252" s="20">
        <v>10</v>
      </c>
      <c r="E3252" s="20">
        <v>10</v>
      </c>
      <c r="F3252" s="20">
        <v>10</v>
      </c>
      <c r="G3252" s="19">
        <f t="shared" si="239"/>
        <v>172</v>
      </c>
      <c r="H3252" s="22">
        <f t="shared" si="240"/>
        <v>3251</v>
      </c>
      <c r="I3252" s="21">
        <f t="shared" ca="1" si="225"/>
        <v>0</v>
      </c>
      <c r="J3252" s="21" t="str">
        <f ca="1">IF(I3252=0,"",COUNTIF($I$2:I3252,"&gt;0"))</f>
        <v/>
      </c>
      <c r="K3252" s="21" t="str">
        <f t="shared" ca="1" si="238"/>
        <v/>
      </c>
    </row>
    <row r="3253" spans="1:11" s="18" customFormat="1" ht="14.25" x14ac:dyDescent="0.2">
      <c r="A3253" s="18" t="str">
        <f t="shared" si="241"/>
        <v>Eintrag 3252</v>
      </c>
      <c r="B3253" s="18">
        <v>100</v>
      </c>
      <c r="C3253" s="19">
        <v>100</v>
      </c>
      <c r="D3253" s="20">
        <v>10</v>
      </c>
      <c r="E3253" s="20">
        <v>10</v>
      </c>
      <c r="F3253" s="20">
        <v>10</v>
      </c>
      <c r="G3253" s="19">
        <f t="shared" si="239"/>
        <v>172</v>
      </c>
      <c r="H3253" s="22">
        <f t="shared" si="240"/>
        <v>3252</v>
      </c>
      <c r="I3253" s="21">
        <f t="shared" ca="1" si="225"/>
        <v>0</v>
      </c>
      <c r="J3253" s="21" t="str">
        <f ca="1">IF(I3253=0,"",COUNTIF($I$2:I3253,"&gt;0"))</f>
        <v/>
      </c>
      <c r="K3253" s="21" t="str">
        <f t="shared" ca="1" si="238"/>
        <v/>
      </c>
    </row>
    <row r="3254" spans="1:11" s="18" customFormat="1" ht="14.25" x14ac:dyDescent="0.2">
      <c r="A3254" s="18" t="str">
        <f t="shared" si="241"/>
        <v>Eintrag 3253</v>
      </c>
      <c r="B3254" s="18">
        <v>100</v>
      </c>
      <c r="C3254" s="19">
        <v>100</v>
      </c>
      <c r="D3254" s="20">
        <v>10</v>
      </c>
      <c r="E3254" s="20">
        <v>10</v>
      </c>
      <c r="F3254" s="20">
        <v>10</v>
      </c>
      <c r="G3254" s="19">
        <f t="shared" si="239"/>
        <v>172</v>
      </c>
      <c r="H3254" s="22">
        <f t="shared" si="240"/>
        <v>3253</v>
      </c>
      <c r="I3254" s="21">
        <f t="shared" ca="1" si="225"/>
        <v>0</v>
      </c>
      <c r="J3254" s="21" t="str">
        <f ca="1">IF(I3254=0,"",COUNTIF($I$2:I3254,"&gt;0"))</f>
        <v/>
      </c>
      <c r="K3254" s="21" t="str">
        <f t="shared" ca="1" si="238"/>
        <v/>
      </c>
    </row>
    <row r="3255" spans="1:11" s="18" customFormat="1" ht="14.25" x14ac:dyDescent="0.2">
      <c r="A3255" s="18" t="str">
        <f t="shared" si="241"/>
        <v>Eintrag 3254</v>
      </c>
      <c r="B3255" s="18">
        <v>100</v>
      </c>
      <c r="C3255" s="19">
        <v>100</v>
      </c>
      <c r="D3255" s="20">
        <v>10</v>
      </c>
      <c r="E3255" s="20">
        <v>10</v>
      </c>
      <c r="F3255" s="20">
        <v>10</v>
      </c>
      <c r="G3255" s="19">
        <f t="shared" si="239"/>
        <v>172</v>
      </c>
      <c r="H3255" s="22">
        <f t="shared" si="240"/>
        <v>3254</v>
      </c>
      <c r="I3255" s="21">
        <f t="shared" ca="1" si="225"/>
        <v>0</v>
      </c>
      <c r="J3255" s="21" t="str">
        <f ca="1">IF(I3255=0,"",COUNTIF($I$2:I3255,"&gt;0"))</f>
        <v/>
      </c>
      <c r="K3255" s="21" t="str">
        <f t="shared" ca="1" si="238"/>
        <v/>
      </c>
    </row>
    <row r="3256" spans="1:11" s="18" customFormat="1" ht="14.25" x14ac:dyDescent="0.2">
      <c r="A3256" s="18" t="str">
        <f t="shared" si="241"/>
        <v>Eintrag 3255</v>
      </c>
      <c r="B3256" s="18">
        <v>100</v>
      </c>
      <c r="C3256" s="19">
        <v>100</v>
      </c>
      <c r="D3256" s="20">
        <v>10</v>
      </c>
      <c r="E3256" s="20">
        <v>10</v>
      </c>
      <c r="F3256" s="20">
        <v>10</v>
      </c>
      <c r="G3256" s="19">
        <f t="shared" si="239"/>
        <v>172</v>
      </c>
      <c r="H3256" s="22">
        <f t="shared" si="240"/>
        <v>3255</v>
      </c>
      <c r="I3256" s="21">
        <f t="shared" ca="1" si="225"/>
        <v>0</v>
      </c>
      <c r="J3256" s="21" t="str">
        <f ca="1">IF(I3256=0,"",COUNTIF($I$2:I3256,"&gt;0"))</f>
        <v/>
      </c>
      <c r="K3256" s="21" t="str">
        <f t="shared" ca="1" si="238"/>
        <v/>
      </c>
    </row>
    <row r="3257" spans="1:11" s="18" customFormat="1" ht="14.25" x14ac:dyDescent="0.2">
      <c r="A3257" s="18" t="str">
        <f t="shared" si="241"/>
        <v>Eintrag 3256</v>
      </c>
      <c r="B3257" s="18">
        <v>100</v>
      </c>
      <c r="C3257" s="19">
        <v>100</v>
      </c>
      <c r="D3257" s="20">
        <v>10</v>
      </c>
      <c r="E3257" s="20">
        <v>10</v>
      </c>
      <c r="F3257" s="20">
        <v>10</v>
      </c>
      <c r="G3257" s="19">
        <f t="shared" si="239"/>
        <v>172</v>
      </c>
      <c r="H3257" s="22">
        <f t="shared" si="240"/>
        <v>3256</v>
      </c>
      <c r="I3257" s="21">
        <f t="shared" ca="1" si="225"/>
        <v>0</v>
      </c>
      <c r="J3257" s="21" t="str">
        <f ca="1">IF(I3257=0,"",COUNTIF($I$2:I3257,"&gt;0"))</f>
        <v/>
      </c>
      <c r="K3257" s="21" t="str">
        <f t="shared" ca="1" si="238"/>
        <v/>
      </c>
    </row>
    <row r="3258" spans="1:11" s="18" customFormat="1" ht="14.25" x14ac:dyDescent="0.2">
      <c r="A3258" s="18" t="str">
        <f t="shared" si="241"/>
        <v>Eintrag 3257</v>
      </c>
      <c r="B3258" s="18">
        <v>100</v>
      </c>
      <c r="C3258" s="19">
        <v>100</v>
      </c>
      <c r="D3258" s="20">
        <v>10</v>
      </c>
      <c r="E3258" s="20">
        <v>10</v>
      </c>
      <c r="F3258" s="20">
        <v>10</v>
      </c>
      <c r="G3258" s="19">
        <f t="shared" si="239"/>
        <v>172</v>
      </c>
      <c r="H3258" s="22">
        <f t="shared" si="240"/>
        <v>3257</v>
      </c>
      <c r="I3258" s="21">
        <f t="shared" ref="I3258:I3421" ca="1" si="242">IFERROR(SEARCH(INDIRECT(CELL("address")),A3258),0)</f>
        <v>0</v>
      </c>
      <c r="J3258" s="21" t="str">
        <f ca="1">IF(I3258=0,"",COUNTIF($I$2:I3258,"&gt;0"))</f>
        <v/>
      </c>
      <c r="K3258" s="21" t="str">
        <f t="shared" ca="1" si="238"/>
        <v/>
      </c>
    </row>
    <row r="3259" spans="1:11" s="18" customFormat="1" ht="14.25" x14ac:dyDescent="0.2">
      <c r="A3259" s="18" t="str">
        <f t="shared" si="241"/>
        <v>Eintrag 3258</v>
      </c>
      <c r="B3259" s="18">
        <v>100</v>
      </c>
      <c r="C3259" s="19">
        <v>100</v>
      </c>
      <c r="D3259" s="20">
        <v>10</v>
      </c>
      <c r="E3259" s="20">
        <v>10</v>
      </c>
      <c r="F3259" s="20">
        <v>10</v>
      </c>
      <c r="G3259" s="19">
        <f t="shared" si="239"/>
        <v>172</v>
      </c>
      <c r="H3259" s="22">
        <f t="shared" si="240"/>
        <v>3258</v>
      </c>
      <c r="I3259" s="21">
        <f t="shared" ca="1" si="242"/>
        <v>0</v>
      </c>
      <c r="J3259" s="21" t="str">
        <f ca="1">IF(I3259=0,"",COUNTIF($I$2:I3259,"&gt;0"))</f>
        <v/>
      </c>
      <c r="K3259" s="21" t="str">
        <f t="shared" ca="1" si="238"/>
        <v/>
      </c>
    </row>
    <row r="3260" spans="1:11" s="18" customFormat="1" ht="14.25" x14ac:dyDescent="0.2">
      <c r="A3260" s="18" t="str">
        <f t="shared" si="241"/>
        <v>Eintrag 3259</v>
      </c>
      <c r="B3260" s="18">
        <v>100</v>
      </c>
      <c r="C3260" s="19">
        <v>100</v>
      </c>
      <c r="D3260" s="20">
        <v>10</v>
      </c>
      <c r="E3260" s="20">
        <v>10</v>
      </c>
      <c r="F3260" s="20">
        <v>10</v>
      </c>
      <c r="G3260" s="19">
        <f t="shared" si="239"/>
        <v>172</v>
      </c>
      <c r="H3260" s="22">
        <f t="shared" si="240"/>
        <v>3259</v>
      </c>
      <c r="I3260" s="21">
        <f t="shared" ca="1" si="242"/>
        <v>0</v>
      </c>
      <c r="J3260" s="21" t="str">
        <f ca="1">IF(I3260=0,"",COUNTIF($I$2:I3260,"&gt;0"))</f>
        <v/>
      </c>
      <c r="K3260" s="21" t="str">
        <f t="shared" ca="1" si="238"/>
        <v/>
      </c>
    </row>
    <row r="3261" spans="1:11" s="18" customFormat="1" ht="14.25" x14ac:dyDescent="0.2">
      <c r="A3261" s="18" t="str">
        <f t="shared" si="241"/>
        <v>Eintrag 3260</v>
      </c>
      <c r="B3261" s="18">
        <v>100</v>
      </c>
      <c r="C3261" s="19">
        <v>100</v>
      </c>
      <c r="D3261" s="20">
        <v>10</v>
      </c>
      <c r="E3261" s="20">
        <v>10</v>
      </c>
      <c r="F3261" s="20">
        <v>10</v>
      </c>
      <c r="G3261" s="19">
        <f t="shared" si="239"/>
        <v>172</v>
      </c>
      <c r="H3261" s="22">
        <f t="shared" si="240"/>
        <v>3260</v>
      </c>
      <c r="I3261" s="21">
        <f t="shared" ca="1" si="242"/>
        <v>0</v>
      </c>
      <c r="J3261" s="21" t="str">
        <f ca="1">IF(I3261=0,"",COUNTIF($I$2:I3261,"&gt;0"))</f>
        <v/>
      </c>
      <c r="K3261" s="21" t="str">
        <f t="shared" ca="1" si="238"/>
        <v/>
      </c>
    </row>
    <row r="3262" spans="1:11" s="18" customFormat="1" ht="14.25" x14ac:dyDescent="0.2">
      <c r="A3262" s="18" t="str">
        <f t="shared" si="241"/>
        <v>Eintrag 3261</v>
      </c>
      <c r="B3262" s="18">
        <v>100</v>
      </c>
      <c r="C3262" s="19">
        <v>100</v>
      </c>
      <c r="D3262" s="20">
        <v>10</v>
      </c>
      <c r="E3262" s="20">
        <v>10</v>
      </c>
      <c r="F3262" s="20">
        <v>10</v>
      </c>
      <c r="G3262" s="19">
        <f t="shared" si="239"/>
        <v>172</v>
      </c>
      <c r="H3262" s="22">
        <f t="shared" si="240"/>
        <v>3261</v>
      </c>
      <c r="I3262" s="21">
        <f t="shared" ca="1" si="242"/>
        <v>0</v>
      </c>
      <c r="J3262" s="21" t="str">
        <f ca="1">IF(I3262=0,"",COUNTIF($I$2:I3262,"&gt;0"))</f>
        <v/>
      </c>
      <c r="K3262" s="21" t="str">
        <f t="shared" ca="1" si="238"/>
        <v/>
      </c>
    </row>
    <row r="3263" spans="1:11" s="18" customFormat="1" ht="14.25" x14ac:dyDescent="0.2">
      <c r="A3263" s="18" t="str">
        <f t="shared" si="241"/>
        <v>Eintrag 3262</v>
      </c>
      <c r="B3263" s="18">
        <v>100</v>
      </c>
      <c r="C3263" s="19">
        <v>100</v>
      </c>
      <c r="D3263" s="20">
        <v>10</v>
      </c>
      <c r="E3263" s="20">
        <v>10</v>
      </c>
      <c r="F3263" s="20">
        <v>10</v>
      </c>
      <c r="G3263" s="19">
        <f t="shared" si="239"/>
        <v>172</v>
      </c>
      <c r="H3263" s="22">
        <f t="shared" si="240"/>
        <v>3262</v>
      </c>
      <c r="I3263" s="21">
        <f t="shared" ca="1" si="242"/>
        <v>0</v>
      </c>
      <c r="J3263" s="21" t="str">
        <f ca="1">IF(I3263=0,"",COUNTIF($I$2:I3263,"&gt;0"))</f>
        <v/>
      </c>
      <c r="K3263" s="21" t="str">
        <f t="shared" ca="1" si="238"/>
        <v/>
      </c>
    </row>
    <row r="3264" spans="1:11" s="18" customFormat="1" ht="14.25" x14ac:dyDescent="0.2">
      <c r="A3264" s="18" t="str">
        <f t="shared" si="241"/>
        <v>Eintrag 3263</v>
      </c>
      <c r="B3264" s="18">
        <v>100</v>
      </c>
      <c r="C3264" s="19">
        <v>100</v>
      </c>
      <c r="D3264" s="20">
        <v>10</v>
      </c>
      <c r="E3264" s="20">
        <v>10</v>
      </c>
      <c r="F3264" s="20">
        <v>10</v>
      </c>
      <c r="G3264" s="19">
        <f t="shared" si="239"/>
        <v>172</v>
      </c>
      <c r="H3264" s="22">
        <f t="shared" si="240"/>
        <v>3263</v>
      </c>
      <c r="I3264" s="21">
        <f t="shared" ca="1" si="242"/>
        <v>0</v>
      </c>
      <c r="J3264" s="21" t="str">
        <f ca="1">IF(I3264=0,"",COUNTIF($I$2:I3264,"&gt;0"))</f>
        <v/>
      </c>
      <c r="K3264" s="21" t="str">
        <f t="shared" ca="1" si="238"/>
        <v/>
      </c>
    </row>
    <row r="3265" spans="1:11" s="18" customFormat="1" ht="14.25" x14ac:dyDescent="0.2">
      <c r="A3265" s="18" t="str">
        <f t="shared" si="241"/>
        <v>Eintrag 3264</v>
      </c>
      <c r="B3265" s="18">
        <v>100</v>
      </c>
      <c r="C3265" s="19">
        <v>100</v>
      </c>
      <c r="D3265" s="20">
        <v>10</v>
      </c>
      <c r="E3265" s="20">
        <v>10</v>
      </c>
      <c r="F3265" s="20">
        <v>10</v>
      </c>
      <c r="G3265" s="19">
        <f t="shared" si="239"/>
        <v>172</v>
      </c>
      <c r="H3265" s="22">
        <f t="shared" si="240"/>
        <v>3264</v>
      </c>
      <c r="I3265" s="21">
        <f t="shared" ca="1" si="242"/>
        <v>0</v>
      </c>
      <c r="J3265" s="21" t="str">
        <f ca="1">IF(I3265=0,"",COUNTIF($I$2:I3265,"&gt;0"))</f>
        <v/>
      </c>
      <c r="K3265" s="21" t="str">
        <f t="shared" ca="1" si="238"/>
        <v/>
      </c>
    </row>
    <row r="3266" spans="1:11" s="18" customFormat="1" ht="14.25" x14ac:dyDescent="0.2">
      <c r="A3266" s="18" t="str">
        <f t="shared" si="241"/>
        <v>Eintrag 3265</v>
      </c>
      <c r="B3266" s="18">
        <v>100</v>
      </c>
      <c r="C3266" s="19">
        <v>100</v>
      </c>
      <c r="D3266" s="20">
        <v>10</v>
      </c>
      <c r="E3266" s="20">
        <v>10</v>
      </c>
      <c r="F3266" s="20">
        <v>10</v>
      </c>
      <c r="G3266" s="19">
        <f t="shared" si="239"/>
        <v>172</v>
      </c>
      <c r="H3266" s="22">
        <f t="shared" si="240"/>
        <v>3265</v>
      </c>
      <c r="I3266" s="21">
        <f t="shared" ca="1" si="242"/>
        <v>0</v>
      </c>
      <c r="J3266" s="21" t="str">
        <f ca="1">IF(I3266=0,"",COUNTIF($I$2:I3266,"&gt;0"))</f>
        <v/>
      </c>
      <c r="K3266" s="21" t="str">
        <f t="shared" ref="K3266:K3329" ca="1" si="243">IFERROR(INDEX(A:A,MATCH(ROW(I3265),J:J,0)),"")</f>
        <v/>
      </c>
    </row>
    <row r="3267" spans="1:11" s="18" customFormat="1" ht="14.25" x14ac:dyDescent="0.2">
      <c r="A3267" s="18" t="str">
        <f t="shared" si="241"/>
        <v>Eintrag 3266</v>
      </c>
      <c r="B3267" s="18">
        <v>100</v>
      </c>
      <c r="C3267" s="19">
        <v>100</v>
      </c>
      <c r="D3267" s="20">
        <v>10</v>
      </c>
      <c r="E3267" s="20">
        <v>10</v>
      </c>
      <c r="F3267" s="20">
        <v>10</v>
      </c>
      <c r="G3267" s="19">
        <f t="shared" ref="G3267:G3330" si="244">D3267*9+E3267*4.1+F3267*4.1</f>
        <v>172</v>
      </c>
      <c r="H3267" s="22">
        <f t="shared" si="240"/>
        <v>3266</v>
      </c>
      <c r="I3267" s="21">
        <f t="shared" ca="1" si="242"/>
        <v>0</v>
      </c>
      <c r="J3267" s="21" t="str">
        <f ca="1">IF(I3267=0,"",COUNTIF($I$2:I3267,"&gt;0"))</f>
        <v/>
      </c>
      <c r="K3267" s="21" t="str">
        <f t="shared" ca="1" si="243"/>
        <v/>
      </c>
    </row>
    <row r="3268" spans="1:11" s="18" customFormat="1" ht="14.25" x14ac:dyDescent="0.2">
      <c r="A3268" s="18" t="str">
        <f t="shared" si="241"/>
        <v>Eintrag 3267</v>
      </c>
      <c r="B3268" s="18">
        <v>100</v>
      </c>
      <c r="C3268" s="19">
        <v>100</v>
      </c>
      <c r="D3268" s="20">
        <v>10</v>
      </c>
      <c r="E3268" s="20">
        <v>10</v>
      </c>
      <c r="F3268" s="20">
        <v>10</v>
      </c>
      <c r="G3268" s="19">
        <f t="shared" si="244"/>
        <v>172</v>
      </c>
      <c r="H3268" s="22">
        <f t="shared" si="240"/>
        <v>3267</v>
      </c>
      <c r="I3268" s="21">
        <f t="shared" ca="1" si="242"/>
        <v>0</v>
      </c>
      <c r="J3268" s="21" t="str">
        <f ca="1">IF(I3268=0,"",COUNTIF($I$2:I3268,"&gt;0"))</f>
        <v/>
      </c>
      <c r="K3268" s="21" t="str">
        <f t="shared" ca="1" si="243"/>
        <v/>
      </c>
    </row>
    <row r="3269" spans="1:11" s="18" customFormat="1" ht="14.25" x14ac:dyDescent="0.2">
      <c r="A3269" s="18" t="str">
        <f t="shared" si="241"/>
        <v>Eintrag 3268</v>
      </c>
      <c r="B3269" s="18">
        <v>100</v>
      </c>
      <c r="C3269" s="19">
        <v>100</v>
      </c>
      <c r="D3269" s="20">
        <v>10</v>
      </c>
      <c r="E3269" s="20">
        <v>10</v>
      </c>
      <c r="F3269" s="20">
        <v>10</v>
      </c>
      <c r="G3269" s="19">
        <f t="shared" si="244"/>
        <v>172</v>
      </c>
      <c r="H3269" s="22">
        <f t="shared" si="240"/>
        <v>3268</v>
      </c>
      <c r="I3269" s="21">
        <f t="shared" ca="1" si="242"/>
        <v>0</v>
      </c>
      <c r="J3269" s="21" t="str">
        <f ca="1">IF(I3269=0,"",COUNTIF($I$2:I3269,"&gt;0"))</f>
        <v/>
      </c>
      <c r="K3269" s="21" t="str">
        <f t="shared" ca="1" si="243"/>
        <v/>
      </c>
    </row>
    <row r="3270" spans="1:11" s="18" customFormat="1" ht="14.25" x14ac:dyDescent="0.2">
      <c r="A3270" s="18" t="str">
        <f t="shared" si="241"/>
        <v>Eintrag 3269</v>
      </c>
      <c r="B3270" s="18">
        <v>100</v>
      </c>
      <c r="C3270" s="19">
        <v>100</v>
      </c>
      <c r="D3270" s="20">
        <v>10</v>
      </c>
      <c r="E3270" s="20">
        <v>10</v>
      </c>
      <c r="F3270" s="20">
        <v>10</v>
      </c>
      <c r="G3270" s="19">
        <f t="shared" si="244"/>
        <v>172</v>
      </c>
      <c r="H3270" s="22">
        <f t="shared" si="240"/>
        <v>3269</v>
      </c>
      <c r="I3270" s="21">
        <f t="shared" ca="1" si="242"/>
        <v>0</v>
      </c>
      <c r="J3270" s="21" t="str">
        <f ca="1">IF(I3270=0,"",COUNTIF($I$2:I3270,"&gt;0"))</f>
        <v/>
      </c>
      <c r="K3270" s="21" t="str">
        <f t="shared" ca="1" si="243"/>
        <v/>
      </c>
    </row>
    <row r="3271" spans="1:11" s="18" customFormat="1" ht="14.25" x14ac:dyDescent="0.2">
      <c r="A3271" s="18" t="str">
        <f t="shared" si="241"/>
        <v>Eintrag 3270</v>
      </c>
      <c r="B3271" s="18">
        <v>100</v>
      </c>
      <c r="C3271" s="19">
        <v>100</v>
      </c>
      <c r="D3271" s="20">
        <v>10</v>
      </c>
      <c r="E3271" s="20">
        <v>10</v>
      </c>
      <c r="F3271" s="20">
        <v>10</v>
      </c>
      <c r="G3271" s="19">
        <f t="shared" si="244"/>
        <v>172</v>
      </c>
      <c r="H3271" s="22">
        <f t="shared" si="240"/>
        <v>3270</v>
      </c>
      <c r="I3271" s="21">
        <f t="shared" ca="1" si="242"/>
        <v>0</v>
      </c>
      <c r="J3271" s="21" t="str">
        <f ca="1">IF(I3271=0,"",COUNTIF($I$2:I3271,"&gt;0"))</f>
        <v/>
      </c>
      <c r="K3271" s="21" t="str">
        <f t="shared" ca="1" si="243"/>
        <v/>
      </c>
    </row>
    <row r="3272" spans="1:11" s="18" customFormat="1" ht="14.25" x14ac:dyDescent="0.2">
      <c r="A3272" s="18" t="str">
        <f t="shared" si="241"/>
        <v>Eintrag 3271</v>
      </c>
      <c r="B3272" s="18">
        <v>100</v>
      </c>
      <c r="C3272" s="19">
        <v>100</v>
      </c>
      <c r="D3272" s="20">
        <v>10</v>
      </c>
      <c r="E3272" s="20">
        <v>10</v>
      </c>
      <c r="F3272" s="20">
        <v>10</v>
      </c>
      <c r="G3272" s="19">
        <f t="shared" si="244"/>
        <v>172</v>
      </c>
      <c r="H3272" s="22">
        <f t="shared" si="240"/>
        <v>3271</v>
      </c>
      <c r="I3272" s="21">
        <f t="shared" ca="1" si="242"/>
        <v>0</v>
      </c>
      <c r="J3272" s="21" t="str">
        <f ca="1">IF(I3272=0,"",COUNTIF($I$2:I3272,"&gt;0"))</f>
        <v/>
      </c>
      <c r="K3272" s="21" t="str">
        <f t="shared" ca="1" si="243"/>
        <v/>
      </c>
    </row>
    <row r="3273" spans="1:11" s="18" customFormat="1" ht="14.25" x14ac:dyDescent="0.2">
      <c r="A3273" s="18" t="str">
        <f t="shared" si="241"/>
        <v>Eintrag 3272</v>
      </c>
      <c r="B3273" s="18">
        <v>100</v>
      </c>
      <c r="C3273" s="19">
        <v>100</v>
      </c>
      <c r="D3273" s="20">
        <v>10</v>
      </c>
      <c r="E3273" s="20">
        <v>10</v>
      </c>
      <c r="F3273" s="20">
        <v>10</v>
      </c>
      <c r="G3273" s="19">
        <f t="shared" si="244"/>
        <v>172</v>
      </c>
      <c r="H3273" s="22">
        <f t="shared" si="240"/>
        <v>3272</v>
      </c>
      <c r="I3273" s="21">
        <f t="shared" ca="1" si="242"/>
        <v>0</v>
      </c>
      <c r="J3273" s="21" t="str">
        <f ca="1">IF(I3273=0,"",COUNTIF($I$2:I3273,"&gt;0"))</f>
        <v/>
      </c>
      <c r="K3273" s="21" t="str">
        <f t="shared" ca="1" si="243"/>
        <v/>
      </c>
    </row>
    <row r="3274" spans="1:11" s="18" customFormat="1" ht="14.25" x14ac:dyDescent="0.2">
      <c r="A3274" s="18" t="str">
        <f t="shared" si="241"/>
        <v>Eintrag 3273</v>
      </c>
      <c r="B3274" s="18">
        <v>100</v>
      </c>
      <c r="C3274" s="19">
        <v>100</v>
      </c>
      <c r="D3274" s="20">
        <v>10</v>
      </c>
      <c r="E3274" s="20">
        <v>10</v>
      </c>
      <c r="F3274" s="20">
        <v>10</v>
      </c>
      <c r="G3274" s="19">
        <f t="shared" si="244"/>
        <v>172</v>
      </c>
      <c r="H3274" s="22">
        <f t="shared" si="240"/>
        <v>3273</v>
      </c>
      <c r="I3274" s="21">
        <f t="shared" ca="1" si="242"/>
        <v>0</v>
      </c>
      <c r="J3274" s="21" t="str">
        <f ca="1">IF(I3274=0,"",COUNTIF($I$2:I3274,"&gt;0"))</f>
        <v/>
      </c>
      <c r="K3274" s="21" t="str">
        <f t="shared" ca="1" si="243"/>
        <v/>
      </c>
    </row>
    <row r="3275" spans="1:11" s="18" customFormat="1" ht="14.25" x14ac:dyDescent="0.2">
      <c r="A3275" s="18" t="str">
        <f t="shared" si="241"/>
        <v>Eintrag 3274</v>
      </c>
      <c r="B3275" s="18">
        <v>100</v>
      </c>
      <c r="C3275" s="19">
        <v>100</v>
      </c>
      <c r="D3275" s="20">
        <v>10</v>
      </c>
      <c r="E3275" s="20">
        <v>10</v>
      </c>
      <c r="F3275" s="20">
        <v>10</v>
      </c>
      <c r="G3275" s="19">
        <f t="shared" si="244"/>
        <v>172</v>
      </c>
      <c r="H3275" s="22">
        <f t="shared" si="240"/>
        <v>3274</v>
      </c>
      <c r="I3275" s="21">
        <f t="shared" ca="1" si="242"/>
        <v>0</v>
      </c>
      <c r="J3275" s="21" t="str">
        <f ca="1">IF(I3275=0,"",COUNTIF($I$2:I3275,"&gt;0"))</f>
        <v/>
      </c>
      <c r="K3275" s="21" t="str">
        <f t="shared" ca="1" si="243"/>
        <v/>
      </c>
    </row>
    <row r="3276" spans="1:11" s="18" customFormat="1" ht="14.25" x14ac:dyDescent="0.2">
      <c r="A3276" s="18" t="str">
        <f t="shared" si="241"/>
        <v>Eintrag 3275</v>
      </c>
      <c r="B3276" s="18">
        <v>100</v>
      </c>
      <c r="C3276" s="19">
        <v>100</v>
      </c>
      <c r="D3276" s="20">
        <v>10</v>
      </c>
      <c r="E3276" s="20">
        <v>10</v>
      </c>
      <c r="F3276" s="20">
        <v>10</v>
      </c>
      <c r="G3276" s="19">
        <f t="shared" si="244"/>
        <v>172</v>
      </c>
      <c r="H3276" s="22">
        <f t="shared" si="240"/>
        <v>3275</v>
      </c>
      <c r="I3276" s="21">
        <f t="shared" ca="1" si="242"/>
        <v>0</v>
      </c>
      <c r="J3276" s="21" t="str">
        <f ca="1">IF(I3276=0,"",COUNTIF($I$2:I3276,"&gt;0"))</f>
        <v/>
      </c>
      <c r="K3276" s="21" t="str">
        <f t="shared" ca="1" si="243"/>
        <v/>
      </c>
    </row>
    <row r="3277" spans="1:11" s="18" customFormat="1" ht="14.25" x14ac:dyDescent="0.2">
      <c r="A3277" s="18" t="str">
        <f t="shared" si="241"/>
        <v>Eintrag 3276</v>
      </c>
      <c r="B3277" s="18">
        <v>100</v>
      </c>
      <c r="C3277" s="19">
        <v>100</v>
      </c>
      <c r="D3277" s="20">
        <v>10</v>
      </c>
      <c r="E3277" s="20">
        <v>10</v>
      </c>
      <c r="F3277" s="20">
        <v>10</v>
      </c>
      <c r="G3277" s="19">
        <f t="shared" si="244"/>
        <v>172</v>
      </c>
      <c r="H3277" s="22">
        <f t="shared" si="240"/>
        <v>3276</v>
      </c>
      <c r="I3277" s="21">
        <f t="shared" ca="1" si="242"/>
        <v>0</v>
      </c>
      <c r="J3277" s="21" t="str">
        <f ca="1">IF(I3277=0,"",COUNTIF($I$2:I3277,"&gt;0"))</f>
        <v/>
      </c>
      <c r="K3277" s="21" t="str">
        <f t="shared" ca="1" si="243"/>
        <v/>
      </c>
    </row>
    <row r="3278" spans="1:11" s="18" customFormat="1" ht="14.25" x14ac:dyDescent="0.2">
      <c r="A3278" s="18" t="str">
        <f t="shared" si="241"/>
        <v>Eintrag 3277</v>
      </c>
      <c r="B3278" s="18">
        <v>100</v>
      </c>
      <c r="C3278" s="19">
        <v>100</v>
      </c>
      <c r="D3278" s="20">
        <v>10</v>
      </c>
      <c r="E3278" s="20">
        <v>10</v>
      </c>
      <c r="F3278" s="20">
        <v>10</v>
      </c>
      <c r="G3278" s="19">
        <f t="shared" si="244"/>
        <v>172</v>
      </c>
      <c r="H3278" s="22">
        <f t="shared" si="240"/>
        <v>3277</v>
      </c>
      <c r="I3278" s="21">
        <f t="shared" ca="1" si="242"/>
        <v>0</v>
      </c>
      <c r="J3278" s="21" t="str">
        <f ca="1">IF(I3278=0,"",COUNTIF($I$2:I3278,"&gt;0"))</f>
        <v/>
      </c>
      <c r="K3278" s="21" t="str">
        <f t="shared" ca="1" si="243"/>
        <v/>
      </c>
    </row>
    <row r="3279" spans="1:11" s="18" customFormat="1" ht="14.25" x14ac:dyDescent="0.2">
      <c r="A3279" s="18" t="str">
        <f t="shared" si="241"/>
        <v>Eintrag 3278</v>
      </c>
      <c r="B3279" s="18">
        <v>100</v>
      </c>
      <c r="C3279" s="19">
        <v>100</v>
      </c>
      <c r="D3279" s="20">
        <v>10</v>
      </c>
      <c r="E3279" s="20">
        <v>10</v>
      </c>
      <c r="F3279" s="20">
        <v>10</v>
      </c>
      <c r="G3279" s="19">
        <f t="shared" si="244"/>
        <v>172</v>
      </c>
      <c r="H3279" s="22">
        <f t="shared" si="240"/>
        <v>3278</v>
      </c>
      <c r="I3279" s="21">
        <f t="shared" ca="1" si="242"/>
        <v>0</v>
      </c>
      <c r="J3279" s="21" t="str">
        <f ca="1">IF(I3279=0,"",COUNTIF($I$2:I3279,"&gt;0"))</f>
        <v/>
      </c>
      <c r="K3279" s="21" t="str">
        <f t="shared" ca="1" si="243"/>
        <v/>
      </c>
    </row>
    <row r="3280" spans="1:11" s="18" customFormat="1" ht="14.25" x14ac:dyDescent="0.2">
      <c r="A3280" s="18" t="str">
        <f t="shared" si="241"/>
        <v>Eintrag 3279</v>
      </c>
      <c r="B3280" s="18">
        <v>100</v>
      </c>
      <c r="C3280" s="19">
        <v>100</v>
      </c>
      <c r="D3280" s="20">
        <v>10</v>
      </c>
      <c r="E3280" s="20">
        <v>10</v>
      </c>
      <c r="F3280" s="20">
        <v>10</v>
      </c>
      <c r="G3280" s="19">
        <f t="shared" si="244"/>
        <v>172</v>
      </c>
      <c r="H3280" s="22">
        <f t="shared" si="240"/>
        <v>3279</v>
      </c>
      <c r="I3280" s="21">
        <f t="shared" ca="1" si="242"/>
        <v>0</v>
      </c>
      <c r="J3280" s="21" t="str">
        <f ca="1">IF(I3280=0,"",COUNTIF($I$2:I3280,"&gt;0"))</f>
        <v/>
      </c>
      <c r="K3280" s="21" t="str">
        <f t="shared" ca="1" si="243"/>
        <v/>
      </c>
    </row>
    <row r="3281" spans="1:11" s="18" customFormat="1" ht="14.25" x14ac:dyDescent="0.2">
      <c r="A3281" s="18" t="str">
        <f t="shared" si="241"/>
        <v>Eintrag 3280</v>
      </c>
      <c r="B3281" s="18">
        <v>100</v>
      </c>
      <c r="C3281" s="19">
        <v>100</v>
      </c>
      <c r="D3281" s="20">
        <v>10</v>
      </c>
      <c r="E3281" s="20">
        <v>10</v>
      </c>
      <c r="F3281" s="20">
        <v>10</v>
      </c>
      <c r="G3281" s="19">
        <f t="shared" si="244"/>
        <v>172</v>
      </c>
      <c r="H3281" s="22">
        <f t="shared" si="240"/>
        <v>3280</v>
      </c>
      <c r="I3281" s="21">
        <f t="shared" ca="1" si="242"/>
        <v>0</v>
      </c>
      <c r="J3281" s="21" t="str">
        <f ca="1">IF(I3281=0,"",COUNTIF($I$2:I3281,"&gt;0"))</f>
        <v/>
      </c>
      <c r="K3281" s="21" t="str">
        <f t="shared" ca="1" si="243"/>
        <v/>
      </c>
    </row>
    <row r="3282" spans="1:11" s="18" customFormat="1" ht="14.25" x14ac:dyDescent="0.2">
      <c r="A3282" s="18" t="str">
        <f t="shared" si="241"/>
        <v>Eintrag 3281</v>
      </c>
      <c r="B3282" s="18">
        <v>100</v>
      </c>
      <c r="C3282" s="19">
        <v>100</v>
      </c>
      <c r="D3282" s="20">
        <v>10</v>
      </c>
      <c r="E3282" s="20">
        <v>10</v>
      </c>
      <c r="F3282" s="20">
        <v>10</v>
      </c>
      <c r="G3282" s="19">
        <f t="shared" si="244"/>
        <v>172</v>
      </c>
      <c r="H3282" s="22">
        <f t="shared" si="240"/>
        <v>3281</v>
      </c>
      <c r="I3282" s="21">
        <f t="shared" ca="1" si="242"/>
        <v>0</v>
      </c>
      <c r="J3282" s="21" t="str">
        <f ca="1">IF(I3282=0,"",COUNTIF($I$2:I3282,"&gt;0"))</f>
        <v/>
      </c>
      <c r="K3282" s="21" t="str">
        <f t="shared" ca="1" si="243"/>
        <v/>
      </c>
    </row>
    <row r="3283" spans="1:11" s="18" customFormat="1" ht="14.25" x14ac:dyDescent="0.2">
      <c r="A3283" s="18" t="str">
        <f t="shared" si="241"/>
        <v>Eintrag 3282</v>
      </c>
      <c r="B3283" s="18">
        <v>100</v>
      </c>
      <c r="C3283" s="19">
        <v>100</v>
      </c>
      <c r="D3283" s="20">
        <v>10</v>
      </c>
      <c r="E3283" s="20">
        <v>10</v>
      </c>
      <c r="F3283" s="20">
        <v>10</v>
      </c>
      <c r="G3283" s="19">
        <f t="shared" si="244"/>
        <v>172</v>
      </c>
      <c r="H3283" s="22">
        <f t="shared" si="240"/>
        <v>3282</v>
      </c>
      <c r="I3283" s="21">
        <f t="shared" ca="1" si="242"/>
        <v>0</v>
      </c>
      <c r="J3283" s="21" t="str">
        <f ca="1">IF(I3283=0,"",COUNTIF($I$2:I3283,"&gt;0"))</f>
        <v/>
      </c>
      <c r="K3283" s="21" t="str">
        <f t="shared" ca="1" si="243"/>
        <v/>
      </c>
    </row>
    <row r="3284" spans="1:11" s="18" customFormat="1" ht="14.25" x14ac:dyDescent="0.2">
      <c r="A3284" s="18" t="str">
        <f t="shared" si="241"/>
        <v>Eintrag 3283</v>
      </c>
      <c r="B3284" s="18">
        <v>100</v>
      </c>
      <c r="C3284" s="19">
        <v>100</v>
      </c>
      <c r="D3284" s="20">
        <v>10</v>
      </c>
      <c r="E3284" s="20">
        <v>10</v>
      </c>
      <c r="F3284" s="20">
        <v>10</v>
      </c>
      <c r="G3284" s="19">
        <f t="shared" si="244"/>
        <v>172</v>
      </c>
      <c r="H3284" s="22">
        <f t="shared" si="240"/>
        <v>3283</v>
      </c>
      <c r="I3284" s="21">
        <f t="shared" ca="1" si="242"/>
        <v>0</v>
      </c>
      <c r="J3284" s="21" t="str">
        <f ca="1">IF(I3284=0,"",COUNTIF($I$2:I3284,"&gt;0"))</f>
        <v/>
      </c>
      <c r="K3284" s="21" t="str">
        <f t="shared" ca="1" si="243"/>
        <v/>
      </c>
    </row>
    <row r="3285" spans="1:11" s="18" customFormat="1" ht="14.25" x14ac:dyDescent="0.2">
      <c r="A3285" s="18" t="str">
        <f t="shared" si="241"/>
        <v>Eintrag 3284</v>
      </c>
      <c r="B3285" s="18">
        <v>100</v>
      </c>
      <c r="C3285" s="19">
        <v>100</v>
      </c>
      <c r="D3285" s="20">
        <v>10</v>
      </c>
      <c r="E3285" s="20">
        <v>10</v>
      </c>
      <c r="F3285" s="20">
        <v>10</v>
      </c>
      <c r="G3285" s="19">
        <f t="shared" si="244"/>
        <v>172</v>
      </c>
      <c r="H3285" s="22">
        <f t="shared" si="240"/>
        <v>3284</v>
      </c>
      <c r="I3285" s="21">
        <f t="shared" ca="1" si="242"/>
        <v>0</v>
      </c>
      <c r="J3285" s="21" t="str">
        <f ca="1">IF(I3285=0,"",COUNTIF($I$2:I3285,"&gt;0"))</f>
        <v/>
      </c>
      <c r="K3285" s="21" t="str">
        <f t="shared" ca="1" si="243"/>
        <v/>
      </c>
    </row>
    <row r="3286" spans="1:11" s="18" customFormat="1" ht="14.25" x14ac:dyDescent="0.2">
      <c r="A3286" s="18" t="str">
        <f t="shared" si="241"/>
        <v>Eintrag 3285</v>
      </c>
      <c r="B3286" s="18">
        <v>100</v>
      </c>
      <c r="C3286" s="19">
        <v>100</v>
      </c>
      <c r="D3286" s="20">
        <v>10</v>
      </c>
      <c r="E3286" s="20">
        <v>10</v>
      </c>
      <c r="F3286" s="20">
        <v>10</v>
      </c>
      <c r="G3286" s="19">
        <f t="shared" si="244"/>
        <v>172</v>
      </c>
      <c r="H3286" s="22">
        <f t="shared" si="240"/>
        <v>3285</v>
      </c>
      <c r="I3286" s="21">
        <f t="shared" ca="1" si="242"/>
        <v>0</v>
      </c>
      <c r="J3286" s="21" t="str">
        <f ca="1">IF(I3286=0,"",COUNTIF($I$2:I3286,"&gt;0"))</f>
        <v/>
      </c>
      <c r="K3286" s="21" t="str">
        <f t="shared" ca="1" si="243"/>
        <v/>
      </c>
    </row>
    <row r="3287" spans="1:11" s="18" customFormat="1" ht="14.25" x14ac:dyDescent="0.2">
      <c r="A3287" s="18" t="str">
        <f t="shared" si="241"/>
        <v>Eintrag 3286</v>
      </c>
      <c r="B3287" s="18">
        <v>100</v>
      </c>
      <c r="C3287" s="19">
        <v>100</v>
      </c>
      <c r="D3287" s="20">
        <v>10</v>
      </c>
      <c r="E3287" s="20">
        <v>10</v>
      </c>
      <c r="F3287" s="20">
        <v>10</v>
      </c>
      <c r="G3287" s="19">
        <f t="shared" si="244"/>
        <v>172</v>
      </c>
      <c r="H3287" s="22">
        <f t="shared" si="240"/>
        <v>3286</v>
      </c>
      <c r="I3287" s="21">
        <f t="shared" ca="1" si="242"/>
        <v>0</v>
      </c>
      <c r="J3287" s="21" t="str">
        <f ca="1">IF(I3287=0,"",COUNTIF($I$2:I3287,"&gt;0"))</f>
        <v/>
      </c>
      <c r="K3287" s="21" t="str">
        <f t="shared" ca="1" si="243"/>
        <v/>
      </c>
    </row>
    <row r="3288" spans="1:11" s="18" customFormat="1" ht="14.25" x14ac:dyDescent="0.2">
      <c r="A3288" s="18" t="str">
        <f t="shared" si="241"/>
        <v>Eintrag 3287</v>
      </c>
      <c r="B3288" s="18">
        <v>100</v>
      </c>
      <c r="C3288" s="19">
        <v>100</v>
      </c>
      <c r="D3288" s="20">
        <v>10</v>
      </c>
      <c r="E3288" s="20">
        <v>10</v>
      </c>
      <c r="F3288" s="20">
        <v>10</v>
      </c>
      <c r="G3288" s="19">
        <f t="shared" si="244"/>
        <v>172</v>
      </c>
      <c r="H3288" s="22">
        <f t="shared" si="240"/>
        <v>3287</v>
      </c>
      <c r="I3288" s="21">
        <f t="shared" ca="1" si="242"/>
        <v>0</v>
      </c>
      <c r="J3288" s="21" t="str">
        <f ca="1">IF(I3288=0,"",COUNTIF($I$2:I3288,"&gt;0"))</f>
        <v/>
      </c>
      <c r="K3288" s="21" t="str">
        <f t="shared" ca="1" si="243"/>
        <v/>
      </c>
    </row>
    <row r="3289" spans="1:11" s="18" customFormat="1" ht="14.25" x14ac:dyDescent="0.2">
      <c r="A3289" s="18" t="str">
        <f t="shared" si="241"/>
        <v>Eintrag 3288</v>
      </c>
      <c r="B3289" s="18">
        <v>100</v>
      </c>
      <c r="C3289" s="19">
        <v>100</v>
      </c>
      <c r="D3289" s="20">
        <v>10</v>
      </c>
      <c r="E3289" s="20">
        <v>10</v>
      </c>
      <c r="F3289" s="20">
        <v>10</v>
      </c>
      <c r="G3289" s="19">
        <f t="shared" si="244"/>
        <v>172</v>
      </c>
      <c r="H3289" s="22">
        <f t="shared" si="240"/>
        <v>3288</v>
      </c>
      <c r="I3289" s="21">
        <f t="shared" ca="1" si="242"/>
        <v>0</v>
      </c>
      <c r="J3289" s="21" t="str">
        <f ca="1">IF(I3289=0,"",COUNTIF($I$2:I3289,"&gt;0"))</f>
        <v/>
      </c>
      <c r="K3289" s="21" t="str">
        <f t="shared" ca="1" si="243"/>
        <v/>
      </c>
    </row>
    <row r="3290" spans="1:11" s="18" customFormat="1" ht="14.25" x14ac:dyDescent="0.2">
      <c r="A3290" s="18" t="str">
        <f t="shared" si="241"/>
        <v>Eintrag 3289</v>
      </c>
      <c r="B3290" s="18">
        <v>100</v>
      </c>
      <c r="C3290" s="19">
        <v>100</v>
      </c>
      <c r="D3290" s="20">
        <v>10</v>
      </c>
      <c r="E3290" s="20">
        <v>10</v>
      </c>
      <c r="F3290" s="20">
        <v>10</v>
      </c>
      <c r="G3290" s="19">
        <f t="shared" si="244"/>
        <v>172</v>
      </c>
      <c r="H3290" s="22">
        <f t="shared" si="240"/>
        <v>3289</v>
      </c>
      <c r="I3290" s="21">
        <f t="shared" ca="1" si="242"/>
        <v>0</v>
      </c>
      <c r="J3290" s="21" t="str">
        <f ca="1">IF(I3290=0,"",COUNTIF($I$2:I3290,"&gt;0"))</f>
        <v/>
      </c>
      <c r="K3290" s="21" t="str">
        <f t="shared" ca="1" si="243"/>
        <v/>
      </c>
    </row>
    <row r="3291" spans="1:11" s="18" customFormat="1" ht="14.25" x14ac:dyDescent="0.2">
      <c r="A3291" s="18" t="str">
        <f t="shared" si="241"/>
        <v>Eintrag 3290</v>
      </c>
      <c r="B3291" s="18">
        <v>100</v>
      </c>
      <c r="C3291" s="19">
        <v>100</v>
      </c>
      <c r="D3291" s="20">
        <v>10</v>
      </c>
      <c r="E3291" s="20">
        <v>10</v>
      </c>
      <c r="F3291" s="20">
        <v>10</v>
      </c>
      <c r="G3291" s="19">
        <f t="shared" si="244"/>
        <v>172</v>
      </c>
      <c r="H3291" s="22">
        <f t="shared" si="240"/>
        <v>3290</v>
      </c>
      <c r="I3291" s="21">
        <f t="shared" ca="1" si="242"/>
        <v>0</v>
      </c>
      <c r="J3291" s="21" t="str">
        <f ca="1">IF(I3291=0,"",COUNTIF($I$2:I3291,"&gt;0"))</f>
        <v/>
      </c>
      <c r="K3291" s="21" t="str">
        <f t="shared" ca="1" si="243"/>
        <v/>
      </c>
    </row>
    <row r="3292" spans="1:11" s="18" customFormat="1" ht="14.25" x14ac:dyDescent="0.2">
      <c r="A3292" s="18" t="str">
        <f t="shared" si="241"/>
        <v>Eintrag 3291</v>
      </c>
      <c r="B3292" s="18">
        <v>100</v>
      </c>
      <c r="C3292" s="19">
        <v>100</v>
      </c>
      <c r="D3292" s="20">
        <v>10</v>
      </c>
      <c r="E3292" s="20">
        <v>10</v>
      </c>
      <c r="F3292" s="20">
        <v>10</v>
      </c>
      <c r="G3292" s="19">
        <f t="shared" si="244"/>
        <v>172</v>
      </c>
      <c r="H3292" s="22">
        <f t="shared" si="240"/>
        <v>3291</v>
      </c>
      <c r="I3292" s="21">
        <f t="shared" ca="1" si="242"/>
        <v>0</v>
      </c>
      <c r="J3292" s="21" t="str">
        <f ca="1">IF(I3292=0,"",COUNTIF($I$2:I3292,"&gt;0"))</f>
        <v/>
      </c>
      <c r="K3292" s="21" t="str">
        <f t="shared" ca="1" si="243"/>
        <v/>
      </c>
    </row>
    <row r="3293" spans="1:11" s="18" customFormat="1" ht="14.25" x14ac:dyDescent="0.2">
      <c r="A3293" s="18" t="str">
        <f t="shared" si="241"/>
        <v>Eintrag 3292</v>
      </c>
      <c r="B3293" s="18">
        <v>100</v>
      </c>
      <c r="C3293" s="19">
        <v>100</v>
      </c>
      <c r="D3293" s="20">
        <v>10</v>
      </c>
      <c r="E3293" s="20">
        <v>10</v>
      </c>
      <c r="F3293" s="20">
        <v>10</v>
      </c>
      <c r="G3293" s="19">
        <f t="shared" si="244"/>
        <v>172</v>
      </c>
      <c r="H3293" s="22">
        <f t="shared" si="240"/>
        <v>3292</v>
      </c>
      <c r="I3293" s="21">
        <f t="shared" ca="1" si="242"/>
        <v>0</v>
      </c>
      <c r="J3293" s="21" t="str">
        <f ca="1">IF(I3293=0,"",COUNTIF($I$2:I3293,"&gt;0"))</f>
        <v/>
      </c>
      <c r="K3293" s="21" t="str">
        <f t="shared" ca="1" si="243"/>
        <v/>
      </c>
    </row>
    <row r="3294" spans="1:11" s="18" customFormat="1" ht="14.25" x14ac:dyDescent="0.2">
      <c r="A3294" s="18" t="str">
        <f t="shared" si="241"/>
        <v>Eintrag 3293</v>
      </c>
      <c r="B3294" s="18">
        <v>100</v>
      </c>
      <c r="C3294" s="19">
        <v>100</v>
      </c>
      <c r="D3294" s="20">
        <v>10</v>
      </c>
      <c r="E3294" s="20">
        <v>10</v>
      </c>
      <c r="F3294" s="20">
        <v>10</v>
      </c>
      <c r="G3294" s="19">
        <f t="shared" si="244"/>
        <v>172</v>
      </c>
      <c r="H3294" s="22">
        <f t="shared" si="240"/>
        <v>3293</v>
      </c>
      <c r="I3294" s="21">
        <f t="shared" ca="1" si="242"/>
        <v>0</v>
      </c>
      <c r="J3294" s="21" t="str">
        <f ca="1">IF(I3294=0,"",COUNTIF($I$2:I3294,"&gt;0"))</f>
        <v/>
      </c>
      <c r="K3294" s="21" t="str">
        <f t="shared" ca="1" si="243"/>
        <v/>
      </c>
    </row>
    <row r="3295" spans="1:11" s="18" customFormat="1" ht="14.25" x14ac:dyDescent="0.2">
      <c r="A3295" s="18" t="str">
        <f t="shared" si="241"/>
        <v>Eintrag 3294</v>
      </c>
      <c r="B3295" s="18">
        <v>100</v>
      </c>
      <c r="C3295" s="19">
        <v>100</v>
      </c>
      <c r="D3295" s="20">
        <v>10</v>
      </c>
      <c r="E3295" s="20">
        <v>10</v>
      </c>
      <c r="F3295" s="20">
        <v>10</v>
      </c>
      <c r="G3295" s="19">
        <f t="shared" si="244"/>
        <v>172</v>
      </c>
      <c r="H3295" s="22">
        <f t="shared" si="240"/>
        <v>3294</v>
      </c>
      <c r="I3295" s="21">
        <f t="shared" ca="1" si="242"/>
        <v>0</v>
      </c>
      <c r="J3295" s="21" t="str">
        <f ca="1">IF(I3295=0,"",COUNTIF($I$2:I3295,"&gt;0"))</f>
        <v/>
      </c>
      <c r="K3295" s="21" t="str">
        <f t="shared" ca="1" si="243"/>
        <v/>
      </c>
    </row>
    <row r="3296" spans="1:11" s="18" customFormat="1" ht="14.25" x14ac:dyDescent="0.2">
      <c r="A3296" s="18" t="str">
        <f t="shared" si="241"/>
        <v>Eintrag 3295</v>
      </c>
      <c r="B3296" s="18">
        <v>100</v>
      </c>
      <c r="C3296" s="19">
        <v>100</v>
      </c>
      <c r="D3296" s="20">
        <v>10</v>
      </c>
      <c r="E3296" s="20">
        <v>10</v>
      </c>
      <c r="F3296" s="20">
        <v>10</v>
      </c>
      <c r="G3296" s="19">
        <f t="shared" si="244"/>
        <v>172</v>
      </c>
      <c r="H3296" s="22">
        <f t="shared" si="240"/>
        <v>3295</v>
      </c>
      <c r="I3296" s="21">
        <f t="shared" ca="1" si="242"/>
        <v>0</v>
      </c>
      <c r="J3296" s="21" t="str">
        <f ca="1">IF(I3296=0,"",COUNTIF($I$2:I3296,"&gt;0"))</f>
        <v/>
      </c>
      <c r="K3296" s="21" t="str">
        <f t="shared" ca="1" si="243"/>
        <v/>
      </c>
    </row>
    <row r="3297" spans="1:11" s="18" customFormat="1" ht="14.25" x14ac:dyDescent="0.2">
      <c r="A3297" s="18" t="str">
        <f t="shared" si="241"/>
        <v>Eintrag 3296</v>
      </c>
      <c r="B3297" s="18">
        <v>100</v>
      </c>
      <c r="C3297" s="19">
        <v>100</v>
      </c>
      <c r="D3297" s="20">
        <v>10</v>
      </c>
      <c r="E3297" s="20">
        <v>10</v>
      </c>
      <c r="F3297" s="20">
        <v>10</v>
      </c>
      <c r="G3297" s="19">
        <f t="shared" si="244"/>
        <v>172</v>
      </c>
      <c r="H3297" s="22">
        <f t="shared" si="240"/>
        <v>3296</v>
      </c>
      <c r="I3297" s="21">
        <f t="shared" ca="1" si="242"/>
        <v>0</v>
      </c>
      <c r="J3297" s="21" t="str">
        <f ca="1">IF(I3297=0,"",COUNTIF($I$2:I3297,"&gt;0"))</f>
        <v/>
      </c>
      <c r="K3297" s="21" t="str">
        <f t="shared" ca="1" si="243"/>
        <v/>
      </c>
    </row>
    <row r="3298" spans="1:11" s="18" customFormat="1" ht="14.25" x14ac:dyDescent="0.2">
      <c r="A3298" s="18" t="str">
        <f t="shared" si="241"/>
        <v>Eintrag 3297</v>
      </c>
      <c r="B3298" s="18">
        <v>100</v>
      </c>
      <c r="C3298" s="19">
        <v>100</v>
      </c>
      <c r="D3298" s="20">
        <v>10</v>
      </c>
      <c r="E3298" s="20">
        <v>10</v>
      </c>
      <c r="F3298" s="20">
        <v>10</v>
      </c>
      <c r="G3298" s="19">
        <f t="shared" si="244"/>
        <v>172</v>
      </c>
      <c r="H3298" s="22">
        <f t="shared" si="240"/>
        <v>3297</v>
      </c>
      <c r="I3298" s="21">
        <f t="shared" ca="1" si="242"/>
        <v>0</v>
      </c>
      <c r="J3298" s="21" t="str">
        <f ca="1">IF(I3298=0,"",COUNTIF($I$2:I3298,"&gt;0"))</f>
        <v/>
      </c>
      <c r="K3298" s="21" t="str">
        <f t="shared" ca="1" si="243"/>
        <v/>
      </c>
    </row>
    <row r="3299" spans="1:11" s="18" customFormat="1" ht="14.25" x14ac:dyDescent="0.2">
      <c r="A3299" s="18" t="str">
        <f t="shared" si="241"/>
        <v>Eintrag 3298</v>
      </c>
      <c r="B3299" s="18">
        <v>100</v>
      </c>
      <c r="C3299" s="19">
        <v>100</v>
      </c>
      <c r="D3299" s="20">
        <v>10</v>
      </c>
      <c r="E3299" s="20">
        <v>10</v>
      </c>
      <c r="F3299" s="20">
        <v>10</v>
      </c>
      <c r="G3299" s="19">
        <f t="shared" si="244"/>
        <v>172</v>
      </c>
      <c r="H3299" s="22">
        <f t="shared" si="240"/>
        <v>3298</v>
      </c>
      <c r="I3299" s="21">
        <f t="shared" ca="1" si="242"/>
        <v>0</v>
      </c>
      <c r="J3299" s="21" t="str">
        <f ca="1">IF(I3299=0,"",COUNTIF($I$2:I3299,"&gt;0"))</f>
        <v/>
      </c>
      <c r="K3299" s="21" t="str">
        <f t="shared" ca="1" si="243"/>
        <v/>
      </c>
    </row>
    <row r="3300" spans="1:11" s="18" customFormat="1" ht="14.25" x14ac:dyDescent="0.2">
      <c r="A3300" s="18" t="str">
        <f t="shared" si="241"/>
        <v>Eintrag 3299</v>
      </c>
      <c r="B3300" s="18">
        <v>100</v>
      </c>
      <c r="C3300" s="19">
        <v>100</v>
      </c>
      <c r="D3300" s="20">
        <v>10</v>
      </c>
      <c r="E3300" s="20">
        <v>10</v>
      </c>
      <c r="F3300" s="20">
        <v>10</v>
      </c>
      <c r="G3300" s="19">
        <f t="shared" si="244"/>
        <v>172</v>
      </c>
      <c r="H3300" s="22">
        <f t="shared" si="240"/>
        <v>3299</v>
      </c>
      <c r="I3300" s="21">
        <f t="shared" ca="1" si="242"/>
        <v>0</v>
      </c>
      <c r="J3300" s="21" t="str">
        <f ca="1">IF(I3300=0,"",COUNTIF($I$2:I3300,"&gt;0"))</f>
        <v/>
      </c>
      <c r="K3300" s="21" t="str">
        <f t="shared" ca="1" si="243"/>
        <v/>
      </c>
    </row>
    <row r="3301" spans="1:11" s="18" customFormat="1" ht="14.25" x14ac:dyDescent="0.2">
      <c r="A3301" s="18" t="str">
        <f t="shared" si="241"/>
        <v>Eintrag 3300</v>
      </c>
      <c r="B3301" s="18">
        <v>100</v>
      </c>
      <c r="C3301" s="19">
        <v>100</v>
      </c>
      <c r="D3301" s="20">
        <v>10</v>
      </c>
      <c r="E3301" s="20">
        <v>10</v>
      </c>
      <c r="F3301" s="20">
        <v>10</v>
      </c>
      <c r="G3301" s="19">
        <f t="shared" si="244"/>
        <v>172</v>
      </c>
      <c r="H3301" s="22">
        <f t="shared" ref="H3301:H3364" si="245">H3300+1</f>
        <v>3300</v>
      </c>
      <c r="I3301" s="21">
        <f t="shared" ca="1" si="242"/>
        <v>0</v>
      </c>
      <c r="J3301" s="21" t="str">
        <f ca="1">IF(I3301=0,"",COUNTIF($I$2:I3301,"&gt;0"))</f>
        <v/>
      </c>
      <c r="K3301" s="21" t="str">
        <f t="shared" ca="1" si="243"/>
        <v/>
      </c>
    </row>
    <row r="3302" spans="1:11" s="18" customFormat="1" ht="14.25" x14ac:dyDescent="0.2">
      <c r="A3302" s="18" t="str">
        <f t="shared" si="241"/>
        <v>Eintrag 3301</v>
      </c>
      <c r="B3302" s="18">
        <v>100</v>
      </c>
      <c r="C3302" s="19">
        <v>100</v>
      </c>
      <c r="D3302" s="20">
        <v>10</v>
      </c>
      <c r="E3302" s="20">
        <v>10</v>
      </c>
      <c r="F3302" s="20">
        <v>10</v>
      </c>
      <c r="G3302" s="19">
        <f t="shared" si="244"/>
        <v>172</v>
      </c>
      <c r="H3302" s="22">
        <f t="shared" si="245"/>
        <v>3301</v>
      </c>
      <c r="I3302" s="21">
        <f t="shared" ca="1" si="242"/>
        <v>0</v>
      </c>
      <c r="J3302" s="21" t="str">
        <f ca="1">IF(I3302=0,"",COUNTIF($I$2:I3302,"&gt;0"))</f>
        <v/>
      </c>
      <c r="K3302" s="21" t="str">
        <f t="shared" ca="1" si="243"/>
        <v/>
      </c>
    </row>
    <row r="3303" spans="1:11" s="18" customFormat="1" ht="14.25" x14ac:dyDescent="0.2">
      <c r="A3303" s="18" t="str">
        <f t="shared" si="241"/>
        <v>Eintrag 3302</v>
      </c>
      <c r="B3303" s="18">
        <v>100</v>
      </c>
      <c r="C3303" s="19">
        <v>100</v>
      </c>
      <c r="D3303" s="20">
        <v>10</v>
      </c>
      <c r="E3303" s="20">
        <v>10</v>
      </c>
      <c r="F3303" s="20">
        <v>10</v>
      </c>
      <c r="G3303" s="19">
        <f t="shared" si="244"/>
        <v>172</v>
      </c>
      <c r="H3303" s="22">
        <f t="shared" si="245"/>
        <v>3302</v>
      </c>
      <c r="I3303" s="21">
        <f t="shared" ca="1" si="242"/>
        <v>0</v>
      </c>
      <c r="J3303" s="21" t="str">
        <f ca="1">IF(I3303=0,"",COUNTIF($I$2:I3303,"&gt;0"))</f>
        <v/>
      </c>
      <c r="K3303" s="21" t="str">
        <f t="shared" ca="1" si="243"/>
        <v/>
      </c>
    </row>
    <row r="3304" spans="1:11" s="18" customFormat="1" ht="14.25" x14ac:dyDescent="0.2">
      <c r="A3304" s="18" t="str">
        <f t="shared" si="241"/>
        <v>Eintrag 3303</v>
      </c>
      <c r="B3304" s="18">
        <v>100</v>
      </c>
      <c r="C3304" s="19">
        <v>100</v>
      </c>
      <c r="D3304" s="20">
        <v>10</v>
      </c>
      <c r="E3304" s="20">
        <v>10</v>
      </c>
      <c r="F3304" s="20">
        <v>10</v>
      </c>
      <c r="G3304" s="19">
        <f t="shared" si="244"/>
        <v>172</v>
      </c>
      <c r="H3304" s="22">
        <f t="shared" si="245"/>
        <v>3303</v>
      </c>
      <c r="I3304" s="21">
        <f t="shared" ca="1" si="242"/>
        <v>0</v>
      </c>
      <c r="J3304" s="21" t="str">
        <f ca="1">IF(I3304=0,"",COUNTIF($I$2:I3304,"&gt;0"))</f>
        <v/>
      </c>
      <c r="K3304" s="21" t="str">
        <f t="shared" ca="1" si="243"/>
        <v/>
      </c>
    </row>
    <row r="3305" spans="1:11" s="18" customFormat="1" ht="14.25" x14ac:dyDescent="0.2">
      <c r="A3305" s="18" t="str">
        <f t="shared" si="241"/>
        <v>Eintrag 3304</v>
      </c>
      <c r="B3305" s="18">
        <v>100</v>
      </c>
      <c r="C3305" s="19">
        <v>100</v>
      </c>
      <c r="D3305" s="20">
        <v>10</v>
      </c>
      <c r="E3305" s="20">
        <v>10</v>
      </c>
      <c r="F3305" s="20">
        <v>10</v>
      </c>
      <c r="G3305" s="19">
        <f t="shared" si="244"/>
        <v>172</v>
      </c>
      <c r="H3305" s="22">
        <f t="shared" si="245"/>
        <v>3304</v>
      </c>
      <c r="I3305" s="21">
        <f t="shared" ca="1" si="242"/>
        <v>0</v>
      </c>
      <c r="J3305" s="21" t="str">
        <f ca="1">IF(I3305=0,"",COUNTIF($I$2:I3305,"&gt;0"))</f>
        <v/>
      </c>
      <c r="K3305" s="21" t="str">
        <f t="shared" ca="1" si="243"/>
        <v/>
      </c>
    </row>
    <row r="3306" spans="1:11" s="18" customFormat="1" ht="14.25" x14ac:dyDescent="0.2">
      <c r="A3306" s="18" t="str">
        <f t="shared" si="241"/>
        <v>Eintrag 3305</v>
      </c>
      <c r="B3306" s="18">
        <v>100</v>
      </c>
      <c r="C3306" s="19">
        <v>100</v>
      </c>
      <c r="D3306" s="20">
        <v>10</v>
      </c>
      <c r="E3306" s="20">
        <v>10</v>
      </c>
      <c r="F3306" s="20">
        <v>10</v>
      </c>
      <c r="G3306" s="19">
        <f t="shared" si="244"/>
        <v>172</v>
      </c>
      <c r="H3306" s="22">
        <f t="shared" si="245"/>
        <v>3305</v>
      </c>
      <c r="I3306" s="21">
        <f t="shared" ca="1" si="242"/>
        <v>0</v>
      </c>
      <c r="J3306" s="21" t="str">
        <f ca="1">IF(I3306=0,"",COUNTIF($I$2:I3306,"&gt;0"))</f>
        <v/>
      </c>
      <c r="K3306" s="21" t="str">
        <f t="shared" ca="1" si="243"/>
        <v/>
      </c>
    </row>
    <row r="3307" spans="1:11" s="18" customFormat="1" ht="14.25" x14ac:dyDescent="0.2">
      <c r="A3307" s="18" t="str">
        <f t="shared" si="241"/>
        <v>Eintrag 3306</v>
      </c>
      <c r="B3307" s="18">
        <v>100</v>
      </c>
      <c r="C3307" s="19">
        <v>100</v>
      </c>
      <c r="D3307" s="20">
        <v>10</v>
      </c>
      <c r="E3307" s="20">
        <v>10</v>
      </c>
      <c r="F3307" s="20">
        <v>10</v>
      </c>
      <c r="G3307" s="19">
        <f t="shared" si="244"/>
        <v>172</v>
      </c>
      <c r="H3307" s="22">
        <f t="shared" si="245"/>
        <v>3306</v>
      </c>
      <c r="I3307" s="21">
        <f t="shared" ca="1" si="242"/>
        <v>0</v>
      </c>
      <c r="J3307" s="21" t="str">
        <f ca="1">IF(I3307=0,"",COUNTIF($I$2:I3307,"&gt;0"))</f>
        <v/>
      </c>
      <c r="K3307" s="21" t="str">
        <f t="shared" ca="1" si="243"/>
        <v/>
      </c>
    </row>
    <row r="3308" spans="1:11" s="18" customFormat="1" ht="14.25" x14ac:dyDescent="0.2">
      <c r="A3308" s="18" t="str">
        <f t="shared" si="241"/>
        <v>Eintrag 3307</v>
      </c>
      <c r="B3308" s="18">
        <v>100</v>
      </c>
      <c r="C3308" s="19">
        <v>100</v>
      </c>
      <c r="D3308" s="20">
        <v>10</v>
      </c>
      <c r="E3308" s="20">
        <v>10</v>
      </c>
      <c r="F3308" s="20">
        <v>10</v>
      </c>
      <c r="G3308" s="19">
        <f t="shared" si="244"/>
        <v>172</v>
      </c>
      <c r="H3308" s="22">
        <f t="shared" si="245"/>
        <v>3307</v>
      </c>
      <c r="I3308" s="21">
        <f t="shared" ca="1" si="242"/>
        <v>0</v>
      </c>
      <c r="J3308" s="21" t="str">
        <f ca="1">IF(I3308=0,"",COUNTIF($I$2:I3308,"&gt;0"))</f>
        <v/>
      </c>
      <c r="K3308" s="21" t="str">
        <f t="shared" ca="1" si="243"/>
        <v/>
      </c>
    </row>
    <row r="3309" spans="1:11" s="18" customFormat="1" ht="14.25" x14ac:dyDescent="0.2">
      <c r="A3309" s="18" t="str">
        <f t="shared" si="241"/>
        <v>Eintrag 3308</v>
      </c>
      <c r="B3309" s="18">
        <v>100</v>
      </c>
      <c r="C3309" s="19">
        <v>100</v>
      </c>
      <c r="D3309" s="20">
        <v>10</v>
      </c>
      <c r="E3309" s="20">
        <v>10</v>
      </c>
      <c r="F3309" s="20">
        <v>10</v>
      </c>
      <c r="G3309" s="19">
        <f t="shared" si="244"/>
        <v>172</v>
      </c>
      <c r="H3309" s="22">
        <f t="shared" si="245"/>
        <v>3308</v>
      </c>
      <c r="I3309" s="21">
        <f t="shared" ca="1" si="242"/>
        <v>0</v>
      </c>
      <c r="J3309" s="21" t="str">
        <f ca="1">IF(I3309=0,"",COUNTIF($I$2:I3309,"&gt;0"))</f>
        <v/>
      </c>
      <c r="K3309" s="21" t="str">
        <f t="shared" ca="1" si="243"/>
        <v/>
      </c>
    </row>
    <row r="3310" spans="1:11" s="18" customFormat="1" ht="14.25" x14ac:dyDescent="0.2">
      <c r="A3310" s="18" t="str">
        <f t="shared" si="241"/>
        <v>Eintrag 3309</v>
      </c>
      <c r="B3310" s="18">
        <v>100</v>
      </c>
      <c r="C3310" s="19">
        <v>100</v>
      </c>
      <c r="D3310" s="20">
        <v>10</v>
      </c>
      <c r="E3310" s="20">
        <v>10</v>
      </c>
      <c r="F3310" s="20">
        <v>10</v>
      </c>
      <c r="G3310" s="19">
        <f t="shared" si="244"/>
        <v>172</v>
      </c>
      <c r="H3310" s="22">
        <f t="shared" si="245"/>
        <v>3309</v>
      </c>
      <c r="I3310" s="21">
        <f t="shared" ca="1" si="242"/>
        <v>0</v>
      </c>
      <c r="J3310" s="21" t="str">
        <f ca="1">IF(I3310=0,"",COUNTIF($I$2:I3310,"&gt;0"))</f>
        <v/>
      </c>
      <c r="K3310" s="21" t="str">
        <f t="shared" ca="1" si="243"/>
        <v/>
      </c>
    </row>
    <row r="3311" spans="1:11" s="18" customFormat="1" ht="14.25" x14ac:dyDescent="0.2">
      <c r="A3311" s="18" t="str">
        <f t="shared" si="241"/>
        <v>Eintrag 3310</v>
      </c>
      <c r="B3311" s="18">
        <v>100</v>
      </c>
      <c r="C3311" s="19">
        <v>100</v>
      </c>
      <c r="D3311" s="20">
        <v>10</v>
      </c>
      <c r="E3311" s="20">
        <v>10</v>
      </c>
      <c r="F3311" s="20">
        <v>10</v>
      </c>
      <c r="G3311" s="19">
        <f t="shared" si="244"/>
        <v>172</v>
      </c>
      <c r="H3311" s="22">
        <f t="shared" si="245"/>
        <v>3310</v>
      </c>
      <c r="I3311" s="21">
        <f t="shared" ca="1" si="242"/>
        <v>0</v>
      </c>
      <c r="J3311" s="21" t="str">
        <f ca="1">IF(I3311=0,"",COUNTIF($I$2:I3311,"&gt;0"))</f>
        <v/>
      </c>
      <c r="K3311" s="21" t="str">
        <f t="shared" ca="1" si="243"/>
        <v/>
      </c>
    </row>
    <row r="3312" spans="1:11" s="18" customFormat="1" ht="14.25" x14ac:dyDescent="0.2">
      <c r="A3312" s="18" t="str">
        <f t="shared" si="241"/>
        <v>Eintrag 3311</v>
      </c>
      <c r="B3312" s="18">
        <v>100</v>
      </c>
      <c r="C3312" s="19">
        <v>100</v>
      </c>
      <c r="D3312" s="20">
        <v>10</v>
      </c>
      <c r="E3312" s="20">
        <v>10</v>
      </c>
      <c r="F3312" s="20">
        <v>10</v>
      </c>
      <c r="G3312" s="19">
        <f t="shared" si="244"/>
        <v>172</v>
      </c>
      <c r="H3312" s="22">
        <f t="shared" si="245"/>
        <v>3311</v>
      </c>
      <c r="I3312" s="21">
        <f t="shared" ca="1" si="242"/>
        <v>0</v>
      </c>
      <c r="J3312" s="21" t="str">
        <f ca="1">IF(I3312=0,"",COUNTIF($I$2:I3312,"&gt;0"))</f>
        <v/>
      </c>
      <c r="K3312" s="21" t="str">
        <f t="shared" ca="1" si="243"/>
        <v/>
      </c>
    </row>
    <row r="3313" spans="1:11" s="18" customFormat="1" ht="14.25" x14ac:dyDescent="0.2">
      <c r="A3313" s="18" t="str">
        <f t="shared" si="241"/>
        <v>Eintrag 3312</v>
      </c>
      <c r="B3313" s="18">
        <v>100</v>
      </c>
      <c r="C3313" s="19">
        <v>100</v>
      </c>
      <c r="D3313" s="20">
        <v>10</v>
      </c>
      <c r="E3313" s="20">
        <v>10</v>
      </c>
      <c r="F3313" s="20">
        <v>10</v>
      </c>
      <c r="G3313" s="19">
        <f t="shared" si="244"/>
        <v>172</v>
      </c>
      <c r="H3313" s="22">
        <f t="shared" si="245"/>
        <v>3312</v>
      </c>
      <c r="I3313" s="21">
        <f t="shared" ca="1" si="242"/>
        <v>0</v>
      </c>
      <c r="J3313" s="21" t="str">
        <f ca="1">IF(I3313=0,"",COUNTIF($I$2:I3313,"&gt;0"))</f>
        <v/>
      </c>
      <c r="K3313" s="21" t="str">
        <f t="shared" ca="1" si="243"/>
        <v/>
      </c>
    </row>
    <row r="3314" spans="1:11" s="18" customFormat="1" ht="14.25" x14ac:dyDescent="0.2">
      <c r="A3314" s="18" t="str">
        <f t="shared" si="241"/>
        <v>Eintrag 3313</v>
      </c>
      <c r="B3314" s="18">
        <v>100</v>
      </c>
      <c r="C3314" s="19">
        <v>100</v>
      </c>
      <c r="D3314" s="20">
        <v>10</v>
      </c>
      <c r="E3314" s="20">
        <v>10</v>
      </c>
      <c r="F3314" s="20">
        <v>10</v>
      </c>
      <c r="G3314" s="19">
        <f t="shared" si="244"/>
        <v>172</v>
      </c>
      <c r="H3314" s="22">
        <f t="shared" si="245"/>
        <v>3313</v>
      </c>
      <c r="I3314" s="21">
        <f t="shared" ca="1" si="242"/>
        <v>0</v>
      </c>
      <c r="J3314" s="21" t="str">
        <f ca="1">IF(I3314=0,"",COUNTIF($I$2:I3314,"&gt;0"))</f>
        <v/>
      </c>
      <c r="K3314" s="21" t="str">
        <f t="shared" ca="1" si="243"/>
        <v/>
      </c>
    </row>
    <row r="3315" spans="1:11" s="18" customFormat="1" ht="14.25" x14ac:dyDescent="0.2">
      <c r="A3315" s="18" t="str">
        <f t="shared" si="241"/>
        <v>Eintrag 3314</v>
      </c>
      <c r="B3315" s="18">
        <v>100</v>
      </c>
      <c r="C3315" s="19">
        <v>100</v>
      </c>
      <c r="D3315" s="20">
        <v>10</v>
      </c>
      <c r="E3315" s="20">
        <v>10</v>
      </c>
      <c r="F3315" s="20">
        <v>10</v>
      </c>
      <c r="G3315" s="19">
        <f t="shared" si="244"/>
        <v>172</v>
      </c>
      <c r="H3315" s="22">
        <f t="shared" si="245"/>
        <v>3314</v>
      </c>
      <c r="I3315" s="21">
        <f t="shared" ca="1" si="242"/>
        <v>0</v>
      </c>
      <c r="J3315" s="21" t="str">
        <f ca="1">IF(I3315=0,"",COUNTIF($I$2:I3315,"&gt;0"))</f>
        <v/>
      </c>
      <c r="K3315" s="21" t="str">
        <f t="shared" ca="1" si="243"/>
        <v/>
      </c>
    </row>
    <row r="3316" spans="1:11" s="18" customFormat="1" ht="14.25" x14ac:dyDescent="0.2">
      <c r="A3316" s="18" t="str">
        <f t="shared" si="241"/>
        <v>Eintrag 3315</v>
      </c>
      <c r="B3316" s="18">
        <v>100</v>
      </c>
      <c r="C3316" s="19">
        <v>100</v>
      </c>
      <c r="D3316" s="20">
        <v>10</v>
      </c>
      <c r="E3316" s="20">
        <v>10</v>
      </c>
      <c r="F3316" s="20">
        <v>10</v>
      </c>
      <c r="G3316" s="19">
        <f t="shared" si="244"/>
        <v>172</v>
      </c>
      <c r="H3316" s="22">
        <f t="shared" si="245"/>
        <v>3315</v>
      </c>
      <c r="I3316" s="21">
        <f t="shared" ca="1" si="242"/>
        <v>0</v>
      </c>
      <c r="J3316" s="21" t="str">
        <f ca="1">IF(I3316=0,"",COUNTIF($I$2:I3316,"&gt;0"))</f>
        <v/>
      </c>
      <c r="K3316" s="21" t="str">
        <f t="shared" ca="1" si="243"/>
        <v/>
      </c>
    </row>
    <row r="3317" spans="1:11" s="18" customFormat="1" ht="14.25" x14ac:dyDescent="0.2">
      <c r="A3317" s="18" t="str">
        <f t="shared" si="241"/>
        <v>Eintrag 3316</v>
      </c>
      <c r="B3317" s="18">
        <v>100</v>
      </c>
      <c r="C3317" s="19">
        <v>100</v>
      </c>
      <c r="D3317" s="20">
        <v>10</v>
      </c>
      <c r="E3317" s="20">
        <v>10</v>
      </c>
      <c r="F3317" s="20">
        <v>10</v>
      </c>
      <c r="G3317" s="19">
        <f t="shared" si="244"/>
        <v>172</v>
      </c>
      <c r="H3317" s="22">
        <f t="shared" si="245"/>
        <v>3316</v>
      </c>
      <c r="I3317" s="21">
        <f t="shared" ca="1" si="242"/>
        <v>0</v>
      </c>
      <c r="J3317" s="21" t="str">
        <f ca="1">IF(I3317=0,"",COUNTIF($I$2:I3317,"&gt;0"))</f>
        <v/>
      </c>
      <c r="K3317" s="21" t="str">
        <f t="shared" ca="1" si="243"/>
        <v/>
      </c>
    </row>
    <row r="3318" spans="1:11" s="18" customFormat="1" ht="14.25" x14ac:dyDescent="0.2">
      <c r="A3318" s="18" t="str">
        <f t="shared" si="241"/>
        <v>Eintrag 3317</v>
      </c>
      <c r="B3318" s="18">
        <v>100</v>
      </c>
      <c r="C3318" s="19">
        <v>100</v>
      </c>
      <c r="D3318" s="20">
        <v>10</v>
      </c>
      <c r="E3318" s="20">
        <v>10</v>
      </c>
      <c r="F3318" s="20">
        <v>10</v>
      </c>
      <c r="G3318" s="19">
        <f t="shared" si="244"/>
        <v>172</v>
      </c>
      <c r="H3318" s="22">
        <f t="shared" si="245"/>
        <v>3317</v>
      </c>
      <c r="I3318" s="21">
        <f t="shared" ca="1" si="242"/>
        <v>0</v>
      </c>
      <c r="J3318" s="21" t="str">
        <f ca="1">IF(I3318=0,"",COUNTIF($I$2:I3318,"&gt;0"))</f>
        <v/>
      </c>
      <c r="K3318" s="21" t="str">
        <f t="shared" ca="1" si="243"/>
        <v/>
      </c>
    </row>
    <row r="3319" spans="1:11" s="18" customFormat="1" ht="14.25" x14ac:dyDescent="0.2">
      <c r="A3319" s="18" t="str">
        <f t="shared" si="241"/>
        <v>Eintrag 3318</v>
      </c>
      <c r="B3319" s="18">
        <v>100</v>
      </c>
      <c r="C3319" s="19">
        <v>100</v>
      </c>
      <c r="D3319" s="20">
        <v>10</v>
      </c>
      <c r="E3319" s="20">
        <v>10</v>
      </c>
      <c r="F3319" s="20">
        <v>10</v>
      </c>
      <c r="G3319" s="19">
        <f t="shared" si="244"/>
        <v>172</v>
      </c>
      <c r="H3319" s="22">
        <f t="shared" si="245"/>
        <v>3318</v>
      </c>
      <c r="I3319" s="21">
        <f t="shared" ca="1" si="242"/>
        <v>0</v>
      </c>
      <c r="J3319" s="21" t="str">
        <f ca="1">IF(I3319=0,"",COUNTIF($I$2:I3319,"&gt;0"))</f>
        <v/>
      </c>
      <c r="K3319" s="21" t="str">
        <f t="shared" ca="1" si="243"/>
        <v/>
      </c>
    </row>
    <row r="3320" spans="1:11" s="18" customFormat="1" ht="14.25" x14ac:dyDescent="0.2">
      <c r="A3320" s="18" t="str">
        <f t="shared" si="241"/>
        <v>Eintrag 3319</v>
      </c>
      <c r="B3320" s="18">
        <v>100</v>
      </c>
      <c r="C3320" s="19">
        <v>100</v>
      </c>
      <c r="D3320" s="20">
        <v>10</v>
      </c>
      <c r="E3320" s="20">
        <v>10</v>
      </c>
      <c r="F3320" s="20">
        <v>10</v>
      </c>
      <c r="G3320" s="19">
        <f t="shared" si="244"/>
        <v>172</v>
      </c>
      <c r="H3320" s="22">
        <f t="shared" si="245"/>
        <v>3319</v>
      </c>
      <c r="I3320" s="21">
        <f t="shared" ca="1" si="242"/>
        <v>0</v>
      </c>
      <c r="J3320" s="21" t="str">
        <f ca="1">IF(I3320=0,"",COUNTIF($I$2:I3320,"&gt;0"))</f>
        <v/>
      </c>
      <c r="K3320" s="21" t="str">
        <f t="shared" ca="1" si="243"/>
        <v/>
      </c>
    </row>
    <row r="3321" spans="1:11" s="18" customFormat="1" ht="14.25" x14ac:dyDescent="0.2">
      <c r="A3321" s="18" t="str">
        <f t="shared" si="241"/>
        <v>Eintrag 3320</v>
      </c>
      <c r="B3321" s="18">
        <v>100</v>
      </c>
      <c r="C3321" s="19">
        <v>100</v>
      </c>
      <c r="D3321" s="20">
        <v>10</v>
      </c>
      <c r="E3321" s="20">
        <v>10</v>
      </c>
      <c r="F3321" s="20">
        <v>10</v>
      </c>
      <c r="G3321" s="19">
        <f t="shared" si="244"/>
        <v>172</v>
      </c>
      <c r="H3321" s="22">
        <f t="shared" si="245"/>
        <v>3320</v>
      </c>
      <c r="I3321" s="21">
        <f t="shared" ca="1" si="242"/>
        <v>0</v>
      </c>
      <c r="J3321" s="21" t="str">
        <f ca="1">IF(I3321=0,"",COUNTIF($I$2:I3321,"&gt;0"))</f>
        <v/>
      </c>
      <c r="K3321" s="21" t="str">
        <f t="shared" ca="1" si="243"/>
        <v/>
      </c>
    </row>
    <row r="3322" spans="1:11" s="18" customFormat="1" ht="14.25" x14ac:dyDescent="0.2">
      <c r="A3322" s="18" t="str">
        <f t="shared" si="241"/>
        <v>Eintrag 3321</v>
      </c>
      <c r="B3322" s="18">
        <v>100</v>
      </c>
      <c r="C3322" s="19">
        <v>100</v>
      </c>
      <c r="D3322" s="20">
        <v>10</v>
      </c>
      <c r="E3322" s="20">
        <v>10</v>
      </c>
      <c r="F3322" s="20">
        <v>10</v>
      </c>
      <c r="G3322" s="19">
        <f t="shared" si="244"/>
        <v>172</v>
      </c>
      <c r="H3322" s="22">
        <f t="shared" si="245"/>
        <v>3321</v>
      </c>
      <c r="I3322" s="21">
        <f t="shared" ca="1" si="242"/>
        <v>0</v>
      </c>
      <c r="J3322" s="21" t="str">
        <f ca="1">IF(I3322=0,"",COUNTIF($I$2:I3322,"&gt;0"))</f>
        <v/>
      </c>
      <c r="K3322" s="21" t="str">
        <f t="shared" ca="1" si="243"/>
        <v/>
      </c>
    </row>
    <row r="3323" spans="1:11" s="18" customFormat="1" ht="14.25" x14ac:dyDescent="0.2">
      <c r="A3323" s="18" t="str">
        <f t="shared" si="241"/>
        <v>Eintrag 3322</v>
      </c>
      <c r="B3323" s="18">
        <v>100</v>
      </c>
      <c r="C3323" s="19">
        <v>100</v>
      </c>
      <c r="D3323" s="20">
        <v>10</v>
      </c>
      <c r="E3323" s="20">
        <v>10</v>
      </c>
      <c r="F3323" s="20">
        <v>10</v>
      </c>
      <c r="G3323" s="19">
        <f t="shared" si="244"/>
        <v>172</v>
      </c>
      <c r="H3323" s="22">
        <f t="shared" si="245"/>
        <v>3322</v>
      </c>
      <c r="I3323" s="21">
        <f t="shared" ca="1" si="242"/>
        <v>0</v>
      </c>
      <c r="J3323" s="21" t="str">
        <f ca="1">IF(I3323=0,"",COUNTIF($I$2:I3323,"&gt;0"))</f>
        <v/>
      </c>
      <c r="K3323" s="21" t="str">
        <f t="shared" ca="1" si="243"/>
        <v/>
      </c>
    </row>
    <row r="3324" spans="1:11" s="18" customFormat="1" ht="14.25" x14ac:dyDescent="0.2">
      <c r="A3324" s="18" t="str">
        <f t="shared" si="241"/>
        <v>Eintrag 3323</v>
      </c>
      <c r="B3324" s="18">
        <v>100</v>
      </c>
      <c r="C3324" s="19">
        <v>100</v>
      </c>
      <c r="D3324" s="20">
        <v>10</v>
      </c>
      <c r="E3324" s="20">
        <v>10</v>
      </c>
      <c r="F3324" s="20">
        <v>10</v>
      </c>
      <c r="G3324" s="19">
        <f t="shared" si="244"/>
        <v>172</v>
      </c>
      <c r="H3324" s="22">
        <f t="shared" si="245"/>
        <v>3323</v>
      </c>
      <c r="I3324" s="21">
        <f t="shared" ca="1" si="242"/>
        <v>0</v>
      </c>
      <c r="J3324" s="21" t="str">
        <f ca="1">IF(I3324=0,"",COUNTIF($I$2:I3324,"&gt;0"))</f>
        <v/>
      </c>
      <c r="K3324" s="21" t="str">
        <f t="shared" ca="1" si="243"/>
        <v/>
      </c>
    </row>
    <row r="3325" spans="1:11" s="18" customFormat="1" ht="14.25" x14ac:dyDescent="0.2">
      <c r="A3325" s="18" t="str">
        <f t="shared" si="241"/>
        <v>Eintrag 3324</v>
      </c>
      <c r="B3325" s="18">
        <v>100</v>
      </c>
      <c r="C3325" s="19">
        <v>100</v>
      </c>
      <c r="D3325" s="20">
        <v>10</v>
      </c>
      <c r="E3325" s="20">
        <v>10</v>
      </c>
      <c r="F3325" s="20">
        <v>10</v>
      </c>
      <c r="G3325" s="19">
        <f t="shared" si="244"/>
        <v>172</v>
      </c>
      <c r="H3325" s="22">
        <f t="shared" si="245"/>
        <v>3324</v>
      </c>
      <c r="I3325" s="21">
        <f t="shared" ca="1" si="242"/>
        <v>0</v>
      </c>
      <c r="J3325" s="21" t="str">
        <f ca="1">IF(I3325=0,"",COUNTIF($I$2:I3325,"&gt;0"))</f>
        <v/>
      </c>
      <c r="K3325" s="21" t="str">
        <f t="shared" ca="1" si="243"/>
        <v/>
      </c>
    </row>
    <row r="3326" spans="1:11" s="18" customFormat="1" ht="14.25" x14ac:dyDescent="0.2">
      <c r="A3326" s="18" t="str">
        <f t="shared" si="241"/>
        <v>Eintrag 3325</v>
      </c>
      <c r="B3326" s="18">
        <v>100</v>
      </c>
      <c r="C3326" s="19">
        <v>100</v>
      </c>
      <c r="D3326" s="20">
        <v>10</v>
      </c>
      <c r="E3326" s="20">
        <v>10</v>
      </c>
      <c r="F3326" s="20">
        <v>10</v>
      </c>
      <c r="G3326" s="19">
        <f t="shared" si="244"/>
        <v>172</v>
      </c>
      <c r="H3326" s="22">
        <f t="shared" si="245"/>
        <v>3325</v>
      </c>
      <c r="I3326" s="21">
        <f t="shared" ca="1" si="242"/>
        <v>0</v>
      </c>
      <c r="J3326" s="21" t="str">
        <f ca="1">IF(I3326=0,"",COUNTIF($I$2:I3326,"&gt;0"))</f>
        <v/>
      </c>
      <c r="K3326" s="21" t="str">
        <f t="shared" ca="1" si="243"/>
        <v/>
      </c>
    </row>
    <row r="3327" spans="1:11" s="18" customFormat="1" ht="14.25" x14ac:dyDescent="0.2">
      <c r="A3327" s="18" t="str">
        <f t="shared" si="241"/>
        <v>Eintrag 3326</v>
      </c>
      <c r="B3327" s="18">
        <v>100</v>
      </c>
      <c r="C3327" s="19">
        <v>100</v>
      </c>
      <c r="D3327" s="20">
        <v>10</v>
      </c>
      <c r="E3327" s="20">
        <v>10</v>
      </c>
      <c r="F3327" s="20">
        <v>10</v>
      </c>
      <c r="G3327" s="19">
        <f t="shared" si="244"/>
        <v>172</v>
      </c>
      <c r="H3327" s="22">
        <f t="shared" si="245"/>
        <v>3326</v>
      </c>
      <c r="I3327" s="21">
        <f t="shared" ca="1" si="242"/>
        <v>0</v>
      </c>
      <c r="J3327" s="21" t="str">
        <f ca="1">IF(I3327=0,"",COUNTIF($I$2:I3327,"&gt;0"))</f>
        <v/>
      </c>
      <c r="K3327" s="21" t="str">
        <f t="shared" ca="1" si="243"/>
        <v/>
      </c>
    </row>
    <row r="3328" spans="1:11" s="18" customFormat="1" ht="14.25" x14ac:dyDescent="0.2">
      <c r="A3328" s="18" t="str">
        <f t="shared" si="241"/>
        <v>Eintrag 3327</v>
      </c>
      <c r="B3328" s="18">
        <v>100</v>
      </c>
      <c r="C3328" s="19">
        <v>100</v>
      </c>
      <c r="D3328" s="20">
        <v>10</v>
      </c>
      <c r="E3328" s="20">
        <v>10</v>
      </c>
      <c r="F3328" s="20">
        <v>10</v>
      </c>
      <c r="G3328" s="19">
        <f t="shared" si="244"/>
        <v>172</v>
      </c>
      <c r="H3328" s="22">
        <f t="shared" si="245"/>
        <v>3327</v>
      </c>
      <c r="I3328" s="21">
        <f t="shared" ca="1" si="242"/>
        <v>0</v>
      </c>
      <c r="J3328" s="21" t="str">
        <f ca="1">IF(I3328=0,"",COUNTIF($I$2:I3328,"&gt;0"))</f>
        <v/>
      </c>
      <c r="K3328" s="21" t="str">
        <f t="shared" ca="1" si="243"/>
        <v/>
      </c>
    </row>
    <row r="3329" spans="1:11" s="18" customFormat="1" ht="14.25" x14ac:dyDescent="0.2">
      <c r="A3329" s="18" t="str">
        <f t="shared" si="241"/>
        <v>Eintrag 3328</v>
      </c>
      <c r="B3329" s="18">
        <v>100</v>
      </c>
      <c r="C3329" s="19">
        <v>100</v>
      </c>
      <c r="D3329" s="20">
        <v>10</v>
      </c>
      <c r="E3329" s="20">
        <v>10</v>
      </c>
      <c r="F3329" s="20">
        <v>10</v>
      </c>
      <c r="G3329" s="19">
        <f t="shared" si="244"/>
        <v>172</v>
      </c>
      <c r="H3329" s="22">
        <f t="shared" si="245"/>
        <v>3328</v>
      </c>
      <c r="I3329" s="21">
        <f t="shared" ca="1" si="242"/>
        <v>0</v>
      </c>
      <c r="J3329" s="21" t="str">
        <f ca="1">IF(I3329=0,"",COUNTIF($I$2:I3329,"&gt;0"))</f>
        <v/>
      </c>
      <c r="K3329" s="21" t="str">
        <f t="shared" ca="1" si="243"/>
        <v/>
      </c>
    </row>
    <row r="3330" spans="1:11" s="18" customFormat="1" ht="14.25" x14ac:dyDescent="0.2">
      <c r="A3330" s="18" t="str">
        <f t="shared" si="241"/>
        <v>Eintrag 3329</v>
      </c>
      <c r="B3330" s="18">
        <v>100</v>
      </c>
      <c r="C3330" s="19">
        <v>100</v>
      </c>
      <c r="D3330" s="20">
        <v>10</v>
      </c>
      <c r="E3330" s="20">
        <v>10</v>
      </c>
      <c r="F3330" s="20">
        <v>10</v>
      </c>
      <c r="G3330" s="19">
        <f t="shared" si="244"/>
        <v>172</v>
      </c>
      <c r="H3330" s="22">
        <f t="shared" si="245"/>
        <v>3329</v>
      </c>
      <c r="I3330" s="21">
        <f t="shared" ca="1" si="242"/>
        <v>0</v>
      </c>
      <c r="J3330" s="21" t="str">
        <f ca="1">IF(I3330=0,"",COUNTIF($I$2:I3330,"&gt;0"))</f>
        <v/>
      </c>
      <c r="K3330" s="21" t="str">
        <f t="shared" ref="K3330:K3393" ca="1" si="246">IFERROR(INDEX(A:A,MATCH(ROW(I3329),J:J,0)),"")</f>
        <v/>
      </c>
    </row>
    <row r="3331" spans="1:11" s="18" customFormat="1" ht="14.25" x14ac:dyDescent="0.2">
      <c r="A3331" s="18" t="str">
        <f t="shared" si="241"/>
        <v>Eintrag 3330</v>
      </c>
      <c r="B3331" s="18">
        <v>100</v>
      </c>
      <c r="C3331" s="19">
        <v>100</v>
      </c>
      <c r="D3331" s="20">
        <v>10</v>
      </c>
      <c r="E3331" s="20">
        <v>10</v>
      </c>
      <c r="F3331" s="20">
        <v>10</v>
      </c>
      <c r="G3331" s="19">
        <f t="shared" ref="G3331:G3394" si="247">D3331*9+E3331*4.1+F3331*4.1</f>
        <v>172</v>
      </c>
      <c r="H3331" s="22">
        <f t="shared" si="245"/>
        <v>3330</v>
      </c>
      <c r="I3331" s="21">
        <f t="shared" ca="1" si="242"/>
        <v>0</v>
      </c>
      <c r="J3331" s="21" t="str">
        <f ca="1">IF(I3331=0,"",COUNTIF($I$2:I3331,"&gt;0"))</f>
        <v/>
      </c>
      <c r="K3331" s="21" t="str">
        <f t="shared" ca="1" si="246"/>
        <v/>
      </c>
    </row>
    <row r="3332" spans="1:11" s="18" customFormat="1" ht="14.25" x14ac:dyDescent="0.2">
      <c r="A3332" s="18" t="str">
        <f t="shared" si="241"/>
        <v>Eintrag 3331</v>
      </c>
      <c r="B3332" s="18">
        <v>100</v>
      </c>
      <c r="C3332" s="19">
        <v>100</v>
      </c>
      <c r="D3332" s="20">
        <v>10</v>
      </c>
      <c r="E3332" s="20">
        <v>10</v>
      </c>
      <c r="F3332" s="20">
        <v>10</v>
      </c>
      <c r="G3332" s="19">
        <f t="shared" si="247"/>
        <v>172</v>
      </c>
      <c r="H3332" s="22">
        <f t="shared" si="245"/>
        <v>3331</v>
      </c>
      <c r="I3332" s="21">
        <f t="shared" ca="1" si="242"/>
        <v>0</v>
      </c>
      <c r="J3332" s="21" t="str">
        <f ca="1">IF(I3332=0,"",COUNTIF($I$2:I3332,"&gt;0"))</f>
        <v/>
      </c>
      <c r="K3332" s="21" t="str">
        <f t="shared" ca="1" si="246"/>
        <v/>
      </c>
    </row>
    <row r="3333" spans="1:11" s="18" customFormat="1" ht="14.25" x14ac:dyDescent="0.2">
      <c r="A3333" s="18" t="str">
        <f t="shared" si="241"/>
        <v>Eintrag 3332</v>
      </c>
      <c r="B3333" s="18">
        <v>100</v>
      </c>
      <c r="C3333" s="19">
        <v>100</v>
      </c>
      <c r="D3333" s="20">
        <v>10</v>
      </c>
      <c r="E3333" s="20">
        <v>10</v>
      </c>
      <c r="F3333" s="20">
        <v>10</v>
      </c>
      <c r="G3333" s="19">
        <f t="shared" si="247"/>
        <v>172</v>
      </c>
      <c r="H3333" s="22">
        <f t="shared" si="245"/>
        <v>3332</v>
      </c>
      <c r="I3333" s="21">
        <f t="shared" ca="1" si="242"/>
        <v>0</v>
      </c>
      <c r="J3333" s="21" t="str">
        <f ca="1">IF(I3333=0,"",COUNTIF($I$2:I3333,"&gt;0"))</f>
        <v/>
      </c>
      <c r="K3333" s="21" t="str">
        <f t="shared" ca="1" si="246"/>
        <v/>
      </c>
    </row>
    <row r="3334" spans="1:11" s="18" customFormat="1" ht="14.25" x14ac:dyDescent="0.2">
      <c r="A3334" s="18" t="str">
        <f t="shared" si="241"/>
        <v>Eintrag 3333</v>
      </c>
      <c r="B3334" s="18">
        <v>100</v>
      </c>
      <c r="C3334" s="19">
        <v>100</v>
      </c>
      <c r="D3334" s="20">
        <v>10</v>
      </c>
      <c r="E3334" s="20">
        <v>10</v>
      </c>
      <c r="F3334" s="20">
        <v>10</v>
      </c>
      <c r="G3334" s="19">
        <f t="shared" si="247"/>
        <v>172</v>
      </c>
      <c r="H3334" s="22">
        <f t="shared" si="245"/>
        <v>3333</v>
      </c>
      <c r="I3334" s="21">
        <f t="shared" ca="1" si="242"/>
        <v>0</v>
      </c>
      <c r="J3334" s="21" t="str">
        <f ca="1">IF(I3334=0,"",COUNTIF($I$2:I3334,"&gt;0"))</f>
        <v/>
      </c>
      <c r="K3334" s="21" t="str">
        <f t="shared" ca="1" si="246"/>
        <v/>
      </c>
    </row>
    <row r="3335" spans="1:11" s="18" customFormat="1" ht="14.25" x14ac:dyDescent="0.2">
      <c r="A3335" s="18" t="str">
        <f t="shared" si="241"/>
        <v>Eintrag 3334</v>
      </c>
      <c r="B3335" s="18">
        <v>100</v>
      </c>
      <c r="C3335" s="19">
        <v>100</v>
      </c>
      <c r="D3335" s="20">
        <v>10</v>
      </c>
      <c r="E3335" s="20">
        <v>10</v>
      </c>
      <c r="F3335" s="20">
        <v>10</v>
      </c>
      <c r="G3335" s="19">
        <f t="shared" si="247"/>
        <v>172</v>
      </c>
      <c r="H3335" s="22">
        <f t="shared" si="245"/>
        <v>3334</v>
      </c>
      <c r="I3335" s="21">
        <f t="shared" ca="1" si="242"/>
        <v>0</v>
      </c>
      <c r="J3335" s="21" t="str">
        <f ca="1">IF(I3335=0,"",COUNTIF($I$2:I3335,"&gt;0"))</f>
        <v/>
      </c>
      <c r="K3335" s="21" t="str">
        <f t="shared" ca="1" si="246"/>
        <v/>
      </c>
    </row>
    <row r="3336" spans="1:11" s="18" customFormat="1" ht="14.25" x14ac:dyDescent="0.2">
      <c r="A3336" s="18" t="str">
        <f t="shared" si="241"/>
        <v>Eintrag 3335</v>
      </c>
      <c r="B3336" s="18">
        <v>100</v>
      </c>
      <c r="C3336" s="19">
        <v>100</v>
      </c>
      <c r="D3336" s="20">
        <v>10</v>
      </c>
      <c r="E3336" s="20">
        <v>10</v>
      </c>
      <c r="F3336" s="20">
        <v>10</v>
      </c>
      <c r="G3336" s="19">
        <f t="shared" si="247"/>
        <v>172</v>
      </c>
      <c r="H3336" s="22">
        <f t="shared" si="245"/>
        <v>3335</v>
      </c>
      <c r="I3336" s="21">
        <f t="shared" ca="1" si="242"/>
        <v>0</v>
      </c>
      <c r="J3336" s="21" t="str">
        <f ca="1">IF(I3336=0,"",COUNTIF($I$2:I3336,"&gt;0"))</f>
        <v/>
      </c>
      <c r="K3336" s="21" t="str">
        <f t="shared" ca="1" si="246"/>
        <v/>
      </c>
    </row>
    <row r="3337" spans="1:11" s="18" customFormat="1" ht="14.25" x14ac:dyDescent="0.2">
      <c r="A3337" s="18" t="str">
        <f t="shared" si="241"/>
        <v>Eintrag 3336</v>
      </c>
      <c r="B3337" s="18">
        <v>100</v>
      </c>
      <c r="C3337" s="19">
        <v>100</v>
      </c>
      <c r="D3337" s="20">
        <v>10</v>
      </c>
      <c r="E3337" s="20">
        <v>10</v>
      </c>
      <c r="F3337" s="20">
        <v>10</v>
      </c>
      <c r="G3337" s="19">
        <f t="shared" si="247"/>
        <v>172</v>
      </c>
      <c r="H3337" s="22">
        <f t="shared" si="245"/>
        <v>3336</v>
      </c>
      <c r="I3337" s="21">
        <f t="shared" ca="1" si="242"/>
        <v>0</v>
      </c>
      <c r="J3337" s="21" t="str">
        <f ca="1">IF(I3337=0,"",COUNTIF($I$2:I3337,"&gt;0"))</f>
        <v/>
      </c>
      <c r="K3337" s="21" t="str">
        <f t="shared" ca="1" si="246"/>
        <v/>
      </c>
    </row>
    <row r="3338" spans="1:11" s="18" customFormat="1" ht="14.25" x14ac:dyDescent="0.2">
      <c r="A3338" s="18" t="str">
        <f t="shared" si="241"/>
        <v>Eintrag 3337</v>
      </c>
      <c r="B3338" s="18">
        <v>100</v>
      </c>
      <c r="C3338" s="19">
        <v>100</v>
      </c>
      <c r="D3338" s="20">
        <v>10</v>
      </c>
      <c r="E3338" s="20">
        <v>10</v>
      </c>
      <c r="F3338" s="20">
        <v>10</v>
      </c>
      <c r="G3338" s="19">
        <f t="shared" si="247"/>
        <v>172</v>
      </c>
      <c r="H3338" s="22">
        <f t="shared" si="245"/>
        <v>3337</v>
      </c>
      <c r="I3338" s="21">
        <f t="shared" ca="1" si="242"/>
        <v>0</v>
      </c>
      <c r="J3338" s="21" t="str">
        <f ca="1">IF(I3338=0,"",COUNTIF($I$2:I3338,"&gt;0"))</f>
        <v/>
      </c>
      <c r="K3338" s="21" t="str">
        <f t="shared" ca="1" si="246"/>
        <v/>
      </c>
    </row>
    <row r="3339" spans="1:11" s="18" customFormat="1" ht="14.25" x14ac:dyDescent="0.2">
      <c r="A3339" s="18" t="str">
        <f t="shared" si="241"/>
        <v>Eintrag 3338</v>
      </c>
      <c r="B3339" s="18">
        <v>100</v>
      </c>
      <c r="C3339" s="19">
        <v>100</v>
      </c>
      <c r="D3339" s="20">
        <v>10</v>
      </c>
      <c r="E3339" s="20">
        <v>10</v>
      </c>
      <c r="F3339" s="20">
        <v>10</v>
      </c>
      <c r="G3339" s="19">
        <f t="shared" si="247"/>
        <v>172</v>
      </c>
      <c r="H3339" s="22">
        <f t="shared" si="245"/>
        <v>3338</v>
      </c>
      <c r="I3339" s="21">
        <f t="shared" ca="1" si="242"/>
        <v>0</v>
      </c>
      <c r="J3339" s="21" t="str">
        <f ca="1">IF(I3339=0,"",COUNTIF($I$2:I3339,"&gt;0"))</f>
        <v/>
      </c>
      <c r="K3339" s="21" t="str">
        <f t="shared" ca="1" si="246"/>
        <v/>
      </c>
    </row>
    <row r="3340" spans="1:11" s="18" customFormat="1" ht="14.25" x14ac:dyDescent="0.2">
      <c r="A3340" s="18" t="str">
        <f t="shared" si="241"/>
        <v>Eintrag 3339</v>
      </c>
      <c r="B3340" s="18">
        <v>100</v>
      </c>
      <c r="C3340" s="19">
        <v>100</v>
      </c>
      <c r="D3340" s="20">
        <v>10</v>
      </c>
      <c r="E3340" s="20">
        <v>10</v>
      </c>
      <c r="F3340" s="20">
        <v>10</v>
      </c>
      <c r="G3340" s="19">
        <f t="shared" si="247"/>
        <v>172</v>
      </c>
      <c r="H3340" s="22">
        <f t="shared" si="245"/>
        <v>3339</v>
      </c>
      <c r="I3340" s="21">
        <f t="shared" ca="1" si="242"/>
        <v>0</v>
      </c>
      <c r="J3340" s="21" t="str">
        <f ca="1">IF(I3340=0,"",COUNTIF($I$2:I3340,"&gt;0"))</f>
        <v/>
      </c>
      <c r="K3340" s="21" t="str">
        <f t="shared" ca="1" si="246"/>
        <v/>
      </c>
    </row>
    <row r="3341" spans="1:11" s="18" customFormat="1" ht="14.25" x14ac:dyDescent="0.2">
      <c r="A3341" s="18" t="str">
        <f t="shared" si="241"/>
        <v>Eintrag 3340</v>
      </c>
      <c r="B3341" s="18">
        <v>100</v>
      </c>
      <c r="C3341" s="19">
        <v>100</v>
      </c>
      <c r="D3341" s="20">
        <v>10</v>
      </c>
      <c r="E3341" s="20">
        <v>10</v>
      </c>
      <c r="F3341" s="20">
        <v>10</v>
      </c>
      <c r="G3341" s="19">
        <f t="shared" si="247"/>
        <v>172</v>
      </c>
      <c r="H3341" s="22">
        <f t="shared" si="245"/>
        <v>3340</v>
      </c>
      <c r="I3341" s="21">
        <f t="shared" ca="1" si="242"/>
        <v>0</v>
      </c>
      <c r="J3341" s="21" t="str">
        <f ca="1">IF(I3341=0,"",COUNTIF($I$2:I3341,"&gt;0"))</f>
        <v/>
      </c>
      <c r="K3341" s="21" t="str">
        <f t="shared" ca="1" si="246"/>
        <v/>
      </c>
    </row>
    <row r="3342" spans="1:11" s="18" customFormat="1" ht="14.25" x14ac:dyDescent="0.2">
      <c r="A3342" s="18" t="str">
        <f t="shared" si="241"/>
        <v>Eintrag 3341</v>
      </c>
      <c r="B3342" s="18">
        <v>100</v>
      </c>
      <c r="C3342" s="19">
        <v>100</v>
      </c>
      <c r="D3342" s="20">
        <v>10</v>
      </c>
      <c r="E3342" s="20">
        <v>10</v>
      </c>
      <c r="F3342" s="20">
        <v>10</v>
      </c>
      <c r="G3342" s="19">
        <f t="shared" si="247"/>
        <v>172</v>
      </c>
      <c r="H3342" s="22">
        <f t="shared" si="245"/>
        <v>3341</v>
      </c>
      <c r="I3342" s="21">
        <f t="shared" ca="1" si="242"/>
        <v>0</v>
      </c>
      <c r="J3342" s="21" t="str">
        <f ca="1">IF(I3342=0,"",COUNTIF($I$2:I3342,"&gt;0"))</f>
        <v/>
      </c>
      <c r="K3342" s="21" t="str">
        <f t="shared" ca="1" si="246"/>
        <v/>
      </c>
    </row>
    <row r="3343" spans="1:11" s="18" customFormat="1" ht="14.25" x14ac:dyDescent="0.2">
      <c r="A3343" s="18" t="str">
        <f t="shared" si="241"/>
        <v>Eintrag 3342</v>
      </c>
      <c r="B3343" s="18">
        <v>100</v>
      </c>
      <c r="C3343" s="19">
        <v>100</v>
      </c>
      <c r="D3343" s="20">
        <v>10</v>
      </c>
      <c r="E3343" s="20">
        <v>10</v>
      </c>
      <c r="F3343" s="20">
        <v>10</v>
      </c>
      <c r="G3343" s="19">
        <f t="shared" si="247"/>
        <v>172</v>
      </c>
      <c r="H3343" s="22">
        <f t="shared" si="245"/>
        <v>3342</v>
      </c>
      <c r="I3343" s="21">
        <f t="shared" ca="1" si="242"/>
        <v>0</v>
      </c>
      <c r="J3343" s="21" t="str">
        <f ca="1">IF(I3343=0,"",COUNTIF($I$2:I3343,"&gt;0"))</f>
        <v/>
      </c>
      <c r="K3343" s="21" t="str">
        <f t="shared" ca="1" si="246"/>
        <v/>
      </c>
    </row>
    <row r="3344" spans="1:11" s="18" customFormat="1" ht="14.25" x14ac:dyDescent="0.2">
      <c r="A3344" s="18" t="str">
        <f t="shared" si="241"/>
        <v>Eintrag 3343</v>
      </c>
      <c r="B3344" s="18">
        <v>100</v>
      </c>
      <c r="C3344" s="19">
        <v>100</v>
      </c>
      <c r="D3344" s="20">
        <v>10</v>
      </c>
      <c r="E3344" s="20">
        <v>10</v>
      </c>
      <c r="F3344" s="20">
        <v>10</v>
      </c>
      <c r="G3344" s="19">
        <f t="shared" si="247"/>
        <v>172</v>
      </c>
      <c r="H3344" s="22">
        <f t="shared" si="245"/>
        <v>3343</v>
      </c>
      <c r="I3344" s="21">
        <f t="shared" ca="1" si="242"/>
        <v>0</v>
      </c>
      <c r="J3344" s="21" t="str">
        <f ca="1">IF(I3344=0,"",COUNTIF($I$2:I3344,"&gt;0"))</f>
        <v/>
      </c>
      <c r="K3344" s="21" t="str">
        <f t="shared" ca="1" si="246"/>
        <v/>
      </c>
    </row>
    <row r="3345" spans="1:11" s="18" customFormat="1" ht="14.25" x14ac:dyDescent="0.2">
      <c r="A3345" s="18" t="str">
        <f t="shared" si="241"/>
        <v>Eintrag 3344</v>
      </c>
      <c r="B3345" s="18">
        <v>100</v>
      </c>
      <c r="C3345" s="19">
        <v>100</v>
      </c>
      <c r="D3345" s="20">
        <v>10</v>
      </c>
      <c r="E3345" s="20">
        <v>10</v>
      </c>
      <c r="F3345" s="20">
        <v>10</v>
      </c>
      <c r="G3345" s="19">
        <f t="shared" si="247"/>
        <v>172</v>
      </c>
      <c r="H3345" s="22">
        <f t="shared" si="245"/>
        <v>3344</v>
      </c>
      <c r="I3345" s="21">
        <f t="shared" ca="1" si="242"/>
        <v>0</v>
      </c>
      <c r="J3345" s="21" t="str">
        <f ca="1">IF(I3345=0,"",COUNTIF($I$2:I3345,"&gt;0"))</f>
        <v/>
      </c>
      <c r="K3345" s="21" t="str">
        <f t="shared" ca="1" si="246"/>
        <v/>
      </c>
    </row>
    <row r="3346" spans="1:11" s="18" customFormat="1" ht="14.25" x14ac:dyDescent="0.2">
      <c r="A3346" s="18" t="str">
        <f t="shared" si="241"/>
        <v>Eintrag 3345</v>
      </c>
      <c r="B3346" s="18">
        <v>100</v>
      </c>
      <c r="C3346" s="19">
        <v>100</v>
      </c>
      <c r="D3346" s="20">
        <v>10</v>
      </c>
      <c r="E3346" s="20">
        <v>10</v>
      </c>
      <c r="F3346" s="20">
        <v>10</v>
      </c>
      <c r="G3346" s="19">
        <f t="shared" si="247"/>
        <v>172</v>
      </c>
      <c r="H3346" s="22">
        <f t="shared" si="245"/>
        <v>3345</v>
      </c>
      <c r="I3346" s="21">
        <f t="shared" ca="1" si="242"/>
        <v>0</v>
      </c>
      <c r="J3346" s="21" t="str">
        <f ca="1">IF(I3346=0,"",COUNTIF($I$2:I3346,"&gt;0"))</f>
        <v/>
      </c>
      <c r="K3346" s="21" t="str">
        <f t="shared" ca="1" si="246"/>
        <v/>
      </c>
    </row>
    <row r="3347" spans="1:11" s="18" customFormat="1" ht="14.25" x14ac:dyDescent="0.2">
      <c r="A3347" s="18" t="str">
        <f t="shared" si="241"/>
        <v>Eintrag 3346</v>
      </c>
      <c r="B3347" s="18">
        <v>100</v>
      </c>
      <c r="C3347" s="19">
        <v>100</v>
      </c>
      <c r="D3347" s="20">
        <v>10</v>
      </c>
      <c r="E3347" s="20">
        <v>10</v>
      </c>
      <c r="F3347" s="20">
        <v>10</v>
      </c>
      <c r="G3347" s="19">
        <f t="shared" si="247"/>
        <v>172</v>
      </c>
      <c r="H3347" s="22">
        <f t="shared" si="245"/>
        <v>3346</v>
      </c>
      <c r="I3347" s="21">
        <f t="shared" ca="1" si="242"/>
        <v>0</v>
      </c>
      <c r="J3347" s="21" t="str">
        <f ca="1">IF(I3347=0,"",COUNTIF($I$2:I3347,"&gt;0"))</f>
        <v/>
      </c>
      <c r="K3347" s="21" t="str">
        <f t="shared" ca="1" si="246"/>
        <v/>
      </c>
    </row>
    <row r="3348" spans="1:11" s="18" customFormat="1" ht="14.25" x14ac:dyDescent="0.2">
      <c r="A3348" s="18" t="str">
        <f t="shared" si="241"/>
        <v>Eintrag 3347</v>
      </c>
      <c r="B3348" s="18">
        <v>100</v>
      </c>
      <c r="C3348" s="19">
        <v>100</v>
      </c>
      <c r="D3348" s="20">
        <v>10</v>
      </c>
      <c r="E3348" s="20">
        <v>10</v>
      </c>
      <c r="F3348" s="20">
        <v>10</v>
      </c>
      <c r="G3348" s="19">
        <f t="shared" si="247"/>
        <v>172</v>
      </c>
      <c r="H3348" s="22">
        <f t="shared" si="245"/>
        <v>3347</v>
      </c>
      <c r="I3348" s="21">
        <f t="shared" ca="1" si="242"/>
        <v>0</v>
      </c>
      <c r="J3348" s="21" t="str">
        <f ca="1">IF(I3348=0,"",COUNTIF($I$2:I3348,"&gt;0"))</f>
        <v/>
      </c>
      <c r="K3348" s="21" t="str">
        <f t="shared" ca="1" si="246"/>
        <v/>
      </c>
    </row>
    <row r="3349" spans="1:11" s="18" customFormat="1" ht="14.25" x14ac:dyDescent="0.2">
      <c r="A3349" s="18" t="str">
        <f t="shared" si="241"/>
        <v>Eintrag 3348</v>
      </c>
      <c r="B3349" s="18">
        <v>100</v>
      </c>
      <c r="C3349" s="19">
        <v>100</v>
      </c>
      <c r="D3349" s="20">
        <v>10</v>
      </c>
      <c r="E3349" s="20">
        <v>10</v>
      </c>
      <c r="F3349" s="20">
        <v>10</v>
      </c>
      <c r="G3349" s="19">
        <f t="shared" si="247"/>
        <v>172</v>
      </c>
      <c r="H3349" s="22">
        <f t="shared" si="245"/>
        <v>3348</v>
      </c>
      <c r="I3349" s="21">
        <f t="shared" ca="1" si="242"/>
        <v>0</v>
      </c>
      <c r="J3349" s="21" t="str">
        <f ca="1">IF(I3349=0,"",COUNTIF($I$2:I3349,"&gt;0"))</f>
        <v/>
      </c>
      <c r="K3349" s="21" t="str">
        <f t="shared" ca="1" si="246"/>
        <v/>
      </c>
    </row>
    <row r="3350" spans="1:11" s="18" customFormat="1" ht="14.25" x14ac:dyDescent="0.2">
      <c r="A3350" s="18" t="str">
        <f t="shared" si="241"/>
        <v>Eintrag 3349</v>
      </c>
      <c r="B3350" s="18">
        <v>100</v>
      </c>
      <c r="C3350" s="19">
        <v>100</v>
      </c>
      <c r="D3350" s="20">
        <v>10</v>
      </c>
      <c r="E3350" s="20">
        <v>10</v>
      </c>
      <c r="F3350" s="20">
        <v>10</v>
      </c>
      <c r="G3350" s="19">
        <f t="shared" si="247"/>
        <v>172</v>
      </c>
      <c r="H3350" s="22">
        <f t="shared" si="245"/>
        <v>3349</v>
      </c>
      <c r="I3350" s="21">
        <f t="shared" ca="1" si="242"/>
        <v>0</v>
      </c>
      <c r="J3350" s="21" t="str">
        <f ca="1">IF(I3350=0,"",COUNTIF($I$2:I3350,"&gt;0"))</f>
        <v/>
      </c>
      <c r="K3350" s="21" t="str">
        <f t="shared" ca="1" si="246"/>
        <v/>
      </c>
    </row>
    <row r="3351" spans="1:11" s="18" customFormat="1" ht="14.25" x14ac:dyDescent="0.2">
      <c r="A3351" s="18" t="str">
        <f t="shared" si="241"/>
        <v>Eintrag 3350</v>
      </c>
      <c r="B3351" s="18">
        <v>100</v>
      </c>
      <c r="C3351" s="19">
        <v>100</v>
      </c>
      <c r="D3351" s="20">
        <v>10</v>
      </c>
      <c r="E3351" s="20">
        <v>10</v>
      </c>
      <c r="F3351" s="20">
        <v>10</v>
      </c>
      <c r="G3351" s="19">
        <f t="shared" si="247"/>
        <v>172</v>
      </c>
      <c r="H3351" s="22">
        <f t="shared" si="245"/>
        <v>3350</v>
      </c>
      <c r="I3351" s="21">
        <f t="shared" ca="1" si="242"/>
        <v>0</v>
      </c>
      <c r="J3351" s="21" t="str">
        <f ca="1">IF(I3351=0,"",COUNTIF($I$2:I3351,"&gt;0"))</f>
        <v/>
      </c>
      <c r="K3351" s="21" t="str">
        <f t="shared" ca="1" si="246"/>
        <v/>
      </c>
    </row>
    <row r="3352" spans="1:11" s="18" customFormat="1" ht="14.25" x14ac:dyDescent="0.2">
      <c r="A3352" s="18" t="str">
        <f t="shared" si="241"/>
        <v>Eintrag 3351</v>
      </c>
      <c r="B3352" s="18">
        <v>100</v>
      </c>
      <c r="C3352" s="19">
        <v>100</v>
      </c>
      <c r="D3352" s="20">
        <v>10</v>
      </c>
      <c r="E3352" s="20">
        <v>10</v>
      </c>
      <c r="F3352" s="20">
        <v>10</v>
      </c>
      <c r="G3352" s="19">
        <f t="shared" si="247"/>
        <v>172</v>
      </c>
      <c r="H3352" s="22">
        <f t="shared" si="245"/>
        <v>3351</v>
      </c>
      <c r="I3352" s="21">
        <f t="shared" ca="1" si="242"/>
        <v>0</v>
      </c>
      <c r="J3352" s="21" t="str">
        <f ca="1">IF(I3352=0,"",COUNTIF($I$2:I3352,"&gt;0"))</f>
        <v/>
      </c>
      <c r="K3352" s="21" t="str">
        <f t="shared" ca="1" si="246"/>
        <v/>
      </c>
    </row>
    <row r="3353" spans="1:11" s="18" customFormat="1" ht="14.25" x14ac:dyDescent="0.2">
      <c r="A3353" s="18" t="str">
        <f t="shared" si="241"/>
        <v>Eintrag 3352</v>
      </c>
      <c r="B3353" s="18">
        <v>100</v>
      </c>
      <c r="C3353" s="19">
        <v>100</v>
      </c>
      <c r="D3353" s="20">
        <v>10</v>
      </c>
      <c r="E3353" s="20">
        <v>10</v>
      </c>
      <c r="F3353" s="20">
        <v>10</v>
      </c>
      <c r="G3353" s="19">
        <f t="shared" si="247"/>
        <v>172</v>
      </c>
      <c r="H3353" s="22">
        <f t="shared" si="245"/>
        <v>3352</v>
      </c>
      <c r="I3353" s="21">
        <f t="shared" ca="1" si="242"/>
        <v>0</v>
      </c>
      <c r="J3353" s="21" t="str">
        <f ca="1">IF(I3353=0,"",COUNTIF($I$2:I3353,"&gt;0"))</f>
        <v/>
      </c>
      <c r="K3353" s="21" t="str">
        <f t="shared" ca="1" si="246"/>
        <v/>
      </c>
    </row>
    <row r="3354" spans="1:11" s="18" customFormat="1" ht="14.25" x14ac:dyDescent="0.2">
      <c r="A3354" s="18" t="str">
        <f t="shared" si="241"/>
        <v>Eintrag 3353</v>
      </c>
      <c r="B3354" s="18">
        <v>100</v>
      </c>
      <c r="C3354" s="19">
        <v>100</v>
      </c>
      <c r="D3354" s="20">
        <v>10</v>
      </c>
      <c r="E3354" s="20">
        <v>10</v>
      </c>
      <c r="F3354" s="20">
        <v>10</v>
      </c>
      <c r="G3354" s="19">
        <f t="shared" si="247"/>
        <v>172</v>
      </c>
      <c r="H3354" s="22">
        <f t="shared" si="245"/>
        <v>3353</v>
      </c>
      <c r="I3354" s="21">
        <f t="shared" ca="1" si="242"/>
        <v>0</v>
      </c>
      <c r="J3354" s="21" t="str">
        <f ca="1">IF(I3354=0,"",COUNTIF($I$2:I3354,"&gt;0"))</f>
        <v/>
      </c>
      <c r="K3354" s="21" t="str">
        <f t="shared" ca="1" si="246"/>
        <v/>
      </c>
    </row>
    <row r="3355" spans="1:11" s="18" customFormat="1" ht="14.25" x14ac:dyDescent="0.2">
      <c r="A3355" s="18" t="str">
        <f t="shared" si="241"/>
        <v>Eintrag 3354</v>
      </c>
      <c r="B3355" s="18">
        <v>100</v>
      </c>
      <c r="C3355" s="19">
        <v>100</v>
      </c>
      <c r="D3355" s="20">
        <v>10</v>
      </c>
      <c r="E3355" s="20">
        <v>10</v>
      </c>
      <c r="F3355" s="20">
        <v>10</v>
      </c>
      <c r="G3355" s="19">
        <f t="shared" si="247"/>
        <v>172</v>
      </c>
      <c r="H3355" s="22">
        <f t="shared" si="245"/>
        <v>3354</v>
      </c>
      <c r="I3355" s="21">
        <f t="shared" ca="1" si="242"/>
        <v>0</v>
      </c>
      <c r="J3355" s="21" t="str">
        <f ca="1">IF(I3355=0,"",COUNTIF($I$2:I3355,"&gt;0"))</f>
        <v/>
      </c>
      <c r="K3355" s="21" t="str">
        <f t="shared" ca="1" si="246"/>
        <v/>
      </c>
    </row>
    <row r="3356" spans="1:11" s="18" customFormat="1" ht="14.25" x14ac:dyDescent="0.2">
      <c r="A3356" s="18" t="str">
        <f t="shared" si="241"/>
        <v>Eintrag 3355</v>
      </c>
      <c r="B3356" s="18">
        <v>100</v>
      </c>
      <c r="C3356" s="19">
        <v>100</v>
      </c>
      <c r="D3356" s="20">
        <v>10</v>
      </c>
      <c r="E3356" s="20">
        <v>10</v>
      </c>
      <c r="F3356" s="20">
        <v>10</v>
      </c>
      <c r="G3356" s="19">
        <f t="shared" si="247"/>
        <v>172</v>
      </c>
      <c r="H3356" s="22">
        <f t="shared" si="245"/>
        <v>3355</v>
      </c>
      <c r="I3356" s="21">
        <f t="shared" ca="1" si="242"/>
        <v>0</v>
      </c>
      <c r="J3356" s="21" t="str">
        <f ca="1">IF(I3356=0,"",COUNTIF($I$2:I3356,"&gt;0"))</f>
        <v/>
      </c>
      <c r="K3356" s="21" t="str">
        <f t="shared" ca="1" si="246"/>
        <v/>
      </c>
    </row>
    <row r="3357" spans="1:11" s="18" customFormat="1" ht="14.25" x14ac:dyDescent="0.2">
      <c r="A3357" s="18" t="str">
        <f t="shared" si="241"/>
        <v>Eintrag 3356</v>
      </c>
      <c r="B3357" s="18">
        <v>100</v>
      </c>
      <c r="C3357" s="19">
        <v>100</v>
      </c>
      <c r="D3357" s="20">
        <v>10</v>
      </c>
      <c r="E3357" s="20">
        <v>10</v>
      </c>
      <c r="F3357" s="20">
        <v>10</v>
      </c>
      <c r="G3357" s="19">
        <f t="shared" si="247"/>
        <v>172</v>
      </c>
      <c r="H3357" s="22">
        <f t="shared" si="245"/>
        <v>3356</v>
      </c>
      <c r="I3357" s="21">
        <f t="shared" ca="1" si="242"/>
        <v>0</v>
      </c>
      <c r="J3357" s="21" t="str">
        <f ca="1">IF(I3357=0,"",COUNTIF($I$2:I3357,"&gt;0"))</f>
        <v/>
      </c>
      <c r="K3357" s="21" t="str">
        <f t="shared" ca="1" si="246"/>
        <v/>
      </c>
    </row>
    <row r="3358" spans="1:11" s="18" customFormat="1" ht="14.25" x14ac:dyDescent="0.2">
      <c r="A3358" s="18" t="str">
        <f t="shared" si="241"/>
        <v>Eintrag 3357</v>
      </c>
      <c r="B3358" s="18">
        <v>100</v>
      </c>
      <c r="C3358" s="19">
        <v>100</v>
      </c>
      <c r="D3358" s="20">
        <v>10</v>
      </c>
      <c r="E3358" s="20">
        <v>10</v>
      </c>
      <c r="F3358" s="20">
        <v>10</v>
      </c>
      <c r="G3358" s="19">
        <f t="shared" si="247"/>
        <v>172</v>
      </c>
      <c r="H3358" s="22">
        <f t="shared" si="245"/>
        <v>3357</v>
      </c>
      <c r="I3358" s="21">
        <f t="shared" ca="1" si="242"/>
        <v>0</v>
      </c>
      <c r="J3358" s="21" t="str">
        <f ca="1">IF(I3358=0,"",COUNTIF($I$2:I3358,"&gt;0"))</f>
        <v/>
      </c>
      <c r="K3358" s="21" t="str">
        <f t="shared" ca="1" si="246"/>
        <v/>
      </c>
    </row>
    <row r="3359" spans="1:11" s="18" customFormat="1" ht="14.25" x14ac:dyDescent="0.2">
      <c r="A3359" s="18" t="str">
        <f t="shared" si="241"/>
        <v>Eintrag 3358</v>
      </c>
      <c r="B3359" s="18">
        <v>100</v>
      </c>
      <c r="C3359" s="19">
        <v>100</v>
      </c>
      <c r="D3359" s="20">
        <v>10</v>
      </c>
      <c r="E3359" s="20">
        <v>10</v>
      </c>
      <c r="F3359" s="20">
        <v>10</v>
      </c>
      <c r="G3359" s="19">
        <f t="shared" si="247"/>
        <v>172</v>
      </c>
      <c r="H3359" s="22">
        <f t="shared" si="245"/>
        <v>3358</v>
      </c>
      <c r="I3359" s="21">
        <f t="shared" ca="1" si="242"/>
        <v>0</v>
      </c>
      <c r="J3359" s="21" t="str">
        <f ca="1">IF(I3359=0,"",COUNTIF($I$2:I3359,"&gt;0"))</f>
        <v/>
      </c>
      <c r="K3359" s="21" t="str">
        <f t="shared" ca="1" si="246"/>
        <v/>
      </c>
    </row>
    <row r="3360" spans="1:11" s="18" customFormat="1" ht="14.25" x14ac:dyDescent="0.2">
      <c r="A3360" s="18" t="str">
        <f t="shared" si="241"/>
        <v>Eintrag 3359</v>
      </c>
      <c r="B3360" s="18">
        <v>100</v>
      </c>
      <c r="C3360" s="19">
        <v>100</v>
      </c>
      <c r="D3360" s="20">
        <v>10</v>
      </c>
      <c r="E3360" s="20">
        <v>10</v>
      </c>
      <c r="F3360" s="20">
        <v>10</v>
      </c>
      <c r="G3360" s="19">
        <f t="shared" si="247"/>
        <v>172</v>
      </c>
      <c r="H3360" s="22">
        <f t="shared" si="245"/>
        <v>3359</v>
      </c>
      <c r="I3360" s="21">
        <f t="shared" ca="1" si="242"/>
        <v>0</v>
      </c>
      <c r="J3360" s="21" t="str">
        <f ca="1">IF(I3360=0,"",COUNTIF($I$2:I3360,"&gt;0"))</f>
        <v/>
      </c>
      <c r="K3360" s="21" t="str">
        <f t="shared" ca="1" si="246"/>
        <v/>
      </c>
    </row>
    <row r="3361" spans="1:11" s="18" customFormat="1" ht="14.25" x14ac:dyDescent="0.2">
      <c r="A3361" s="18" t="str">
        <f t="shared" si="241"/>
        <v>Eintrag 3360</v>
      </c>
      <c r="B3361" s="18">
        <v>100</v>
      </c>
      <c r="C3361" s="19">
        <v>100</v>
      </c>
      <c r="D3361" s="20">
        <v>10</v>
      </c>
      <c r="E3361" s="20">
        <v>10</v>
      </c>
      <c r="F3361" s="20">
        <v>10</v>
      </c>
      <c r="G3361" s="19">
        <f t="shared" si="247"/>
        <v>172</v>
      </c>
      <c r="H3361" s="22">
        <f t="shared" si="245"/>
        <v>3360</v>
      </c>
      <c r="I3361" s="21">
        <f t="shared" ca="1" si="242"/>
        <v>0</v>
      </c>
      <c r="J3361" s="21" t="str">
        <f ca="1">IF(I3361=0,"",COUNTIF($I$2:I3361,"&gt;0"))</f>
        <v/>
      </c>
      <c r="K3361" s="21" t="str">
        <f t="shared" ca="1" si="246"/>
        <v/>
      </c>
    </row>
    <row r="3362" spans="1:11" s="18" customFormat="1" ht="14.25" x14ac:dyDescent="0.2">
      <c r="A3362" s="18" t="str">
        <f t="shared" si="241"/>
        <v>Eintrag 3361</v>
      </c>
      <c r="B3362" s="18">
        <v>100</v>
      </c>
      <c r="C3362" s="19">
        <v>100</v>
      </c>
      <c r="D3362" s="20">
        <v>10</v>
      </c>
      <c r="E3362" s="20">
        <v>10</v>
      </c>
      <c r="F3362" s="20">
        <v>10</v>
      </c>
      <c r="G3362" s="19">
        <f t="shared" si="247"/>
        <v>172</v>
      </c>
      <c r="H3362" s="22">
        <f t="shared" si="245"/>
        <v>3361</v>
      </c>
      <c r="I3362" s="21">
        <f t="shared" ca="1" si="242"/>
        <v>0</v>
      </c>
      <c r="J3362" s="21" t="str">
        <f ca="1">IF(I3362=0,"",COUNTIF($I$2:I3362,"&gt;0"))</f>
        <v/>
      </c>
      <c r="K3362" s="21" t="str">
        <f t="shared" ca="1" si="246"/>
        <v/>
      </c>
    </row>
    <row r="3363" spans="1:11" s="18" customFormat="1" ht="14.25" x14ac:dyDescent="0.2">
      <c r="A3363" s="18" t="str">
        <f t="shared" si="241"/>
        <v>Eintrag 3362</v>
      </c>
      <c r="B3363" s="18">
        <v>100</v>
      </c>
      <c r="C3363" s="19">
        <v>100</v>
      </c>
      <c r="D3363" s="20">
        <v>10</v>
      </c>
      <c r="E3363" s="20">
        <v>10</v>
      </c>
      <c r="F3363" s="20">
        <v>10</v>
      </c>
      <c r="G3363" s="19">
        <f t="shared" si="247"/>
        <v>172</v>
      </c>
      <c r="H3363" s="22">
        <f t="shared" si="245"/>
        <v>3362</v>
      </c>
      <c r="I3363" s="21">
        <f t="shared" ca="1" si="242"/>
        <v>0</v>
      </c>
      <c r="J3363" s="21" t="str">
        <f ca="1">IF(I3363=0,"",COUNTIF($I$2:I3363,"&gt;0"))</f>
        <v/>
      </c>
      <c r="K3363" s="21" t="str">
        <f t="shared" ca="1" si="246"/>
        <v/>
      </c>
    </row>
    <row r="3364" spans="1:11" s="18" customFormat="1" ht="14.25" x14ac:dyDescent="0.2">
      <c r="A3364" s="18" t="str">
        <f t="shared" si="241"/>
        <v>Eintrag 3363</v>
      </c>
      <c r="B3364" s="18">
        <v>100</v>
      </c>
      <c r="C3364" s="19">
        <v>100</v>
      </c>
      <c r="D3364" s="20">
        <v>10</v>
      </c>
      <c r="E3364" s="20">
        <v>10</v>
      </c>
      <c r="F3364" s="20">
        <v>10</v>
      </c>
      <c r="G3364" s="19">
        <f t="shared" si="247"/>
        <v>172</v>
      </c>
      <c r="H3364" s="22">
        <f t="shared" si="245"/>
        <v>3363</v>
      </c>
      <c r="I3364" s="21">
        <f t="shared" ca="1" si="242"/>
        <v>0</v>
      </c>
      <c r="J3364" s="21" t="str">
        <f ca="1">IF(I3364=0,"",COUNTIF($I$2:I3364,"&gt;0"))</f>
        <v/>
      </c>
      <c r="K3364" s="21" t="str">
        <f t="shared" ca="1" si="246"/>
        <v/>
      </c>
    </row>
    <row r="3365" spans="1:11" s="18" customFormat="1" ht="14.25" x14ac:dyDescent="0.2">
      <c r="A3365" s="18" t="str">
        <f t="shared" si="241"/>
        <v>Eintrag 3364</v>
      </c>
      <c r="B3365" s="18">
        <v>100</v>
      </c>
      <c r="C3365" s="19">
        <v>100</v>
      </c>
      <c r="D3365" s="20">
        <v>10</v>
      </c>
      <c r="E3365" s="20">
        <v>10</v>
      </c>
      <c r="F3365" s="20">
        <v>10</v>
      </c>
      <c r="G3365" s="19">
        <f t="shared" si="247"/>
        <v>172</v>
      </c>
      <c r="H3365" s="22">
        <f t="shared" ref="H3365:H3428" si="248">H3364+1</f>
        <v>3364</v>
      </c>
      <c r="I3365" s="21">
        <f t="shared" ca="1" si="242"/>
        <v>0</v>
      </c>
      <c r="J3365" s="21" t="str">
        <f ca="1">IF(I3365=0,"",COUNTIF($I$2:I3365,"&gt;0"))</f>
        <v/>
      </c>
      <c r="K3365" s="21" t="str">
        <f t="shared" ca="1" si="246"/>
        <v/>
      </c>
    </row>
    <row r="3366" spans="1:11" s="18" customFormat="1" ht="14.25" x14ac:dyDescent="0.2">
      <c r="A3366" s="18" t="str">
        <f t="shared" si="241"/>
        <v>Eintrag 3365</v>
      </c>
      <c r="B3366" s="18">
        <v>100</v>
      </c>
      <c r="C3366" s="19">
        <v>100</v>
      </c>
      <c r="D3366" s="20">
        <v>10</v>
      </c>
      <c r="E3366" s="20">
        <v>10</v>
      </c>
      <c r="F3366" s="20">
        <v>10</v>
      </c>
      <c r="G3366" s="19">
        <f t="shared" si="247"/>
        <v>172</v>
      </c>
      <c r="H3366" s="22">
        <f t="shared" si="248"/>
        <v>3365</v>
      </c>
      <c r="I3366" s="21">
        <f t="shared" ca="1" si="242"/>
        <v>0</v>
      </c>
      <c r="J3366" s="21" t="str">
        <f ca="1">IF(I3366=0,"",COUNTIF($I$2:I3366,"&gt;0"))</f>
        <v/>
      </c>
      <c r="K3366" s="21" t="str">
        <f t="shared" ca="1" si="246"/>
        <v/>
      </c>
    </row>
    <row r="3367" spans="1:11" s="18" customFormat="1" ht="14.25" x14ac:dyDescent="0.2">
      <c r="A3367" s="18" t="str">
        <f t="shared" si="241"/>
        <v>Eintrag 3366</v>
      </c>
      <c r="B3367" s="18">
        <v>100</v>
      </c>
      <c r="C3367" s="19">
        <v>100</v>
      </c>
      <c r="D3367" s="20">
        <v>10</v>
      </c>
      <c r="E3367" s="20">
        <v>10</v>
      </c>
      <c r="F3367" s="20">
        <v>10</v>
      </c>
      <c r="G3367" s="19">
        <f t="shared" si="247"/>
        <v>172</v>
      </c>
      <c r="H3367" s="22">
        <f t="shared" si="248"/>
        <v>3366</v>
      </c>
      <c r="I3367" s="21">
        <f t="shared" ca="1" si="242"/>
        <v>0</v>
      </c>
      <c r="J3367" s="21" t="str">
        <f ca="1">IF(I3367=0,"",COUNTIF($I$2:I3367,"&gt;0"))</f>
        <v/>
      </c>
      <c r="K3367" s="21" t="str">
        <f t="shared" ca="1" si="246"/>
        <v/>
      </c>
    </row>
    <row r="3368" spans="1:11" s="18" customFormat="1" ht="14.25" x14ac:dyDescent="0.2">
      <c r="A3368" s="18" t="str">
        <f t="shared" si="241"/>
        <v>Eintrag 3367</v>
      </c>
      <c r="B3368" s="18">
        <v>100</v>
      </c>
      <c r="C3368" s="19">
        <v>100</v>
      </c>
      <c r="D3368" s="20">
        <v>10</v>
      </c>
      <c r="E3368" s="20">
        <v>10</v>
      </c>
      <c r="F3368" s="20">
        <v>10</v>
      </c>
      <c r="G3368" s="19">
        <f t="shared" si="247"/>
        <v>172</v>
      </c>
      <c r="H3368" s="22">
        <f t="shared" si="248"/>
        <v>3367</v>
      </c>
      <c r="I3368" s="21">
        <f t="shared" ca="1" si="242"/>
        <v>0</v>
      </c>
      <c r="J3368" s="21" t="str">
        <f ca="1">IF(I3368=0,"",COUNTIF($I$2:I3368,"&gt;0"))</f>
        <v/>
      </c>
      <c r="K3368" s="21" t="str">
        <f t="shared" ca="1" si="246"/>
        <v/>
      </c>
    </row>
    <row r="3369" spans="1:11" s="18" customFormat="1" ht="14.25" x14ac:dyDescent="0.2">
      <c r="A3369" s="18" t="str">
        <f t="shared" si="241"/>
        <v>Eintrag 3368</v>
      </c>
      <c r="B3369" s="18">
        <v>100</v>
      </c>
      <c r="C3369" s="19">
        <v>100</v>
      </c>
      <c r="D3369" s="20">
        <v>10</v>
      </c>
      <c r="E3369" s="20">
        <v>10</v>
      </c>
      <c r="F3369" s="20">
        <v>10</v>
      </c>
      <c r="G3369" s="19">
        <f t="shared" si="247"/>
        <v>172</v>
      </c>
      <c r="H3369" s="22">
        <f t="shared" si="248"/>
        <v>3368</v>
      </c>
      <c r="I3369" s="21">
        <f t="shared" ca="1" si="242"/>
        <v>0</v>
      </c>
      <c r="J3369" s="21" t="str">
        <f ca="1">IF(I3369=0,"",COUNTIF($I$2:I3369,"&gt;0"))</f>
        <v/>
      </c>
      <c r="K3369" s="21" t="str">
        <f t="shared" ca="1" si="246"/>
        <v/>
      </c>
    </row>
    <row r="3370" spans="1:11" s="18" customFormat="1" ht="14.25" x14ac:dyDescent="0.2">
      <c r="A3370" s="18" t="str">
        <f t="shared" si="241"/>
        <v>Eintrag 3369</v>
      </c>
      <c r="B3370" s="18">
        <v>100</v>
      </c>
      <c r="C3370" s="19">
        <v>100</v>
      </c>
      <c r="D3370" s="20">
        <v>10</v>
      </c>
      <c r="E3370" s="20">
        <v>10</v>
      </c>
      <c r="F3370" s="20">
        <v>10</v>
      </c>
      <c r="G3370" s="19">
        <f t="shared" si="247"/>
        <v>172</v>
      </c>
      <c r="H3370" s="22">
        <f t="shared" si="248"/>
        <v>3369</v>
      </c>
      <c r="I3370" s="21">
        <f t="shared" ca="1" si="242"/>
        <v>0</v>
      </c>
      <c r="J3370" s="21" t="str">
        <f ca="1">IF(I3370=0,"",COUNTIF($I$2:I3370,"&gt;0"))</f>
        <v/>
      </c>
      <c r="K3370" s="21" t="str">
        <f t="shared" ca="1" si="246"/>
        <v/>
      </c>
    </row>
    <row r="3371" spans="1:11" s="18" customFormat="1" ht="14.25" x14ac:dyDescent="0.2">
      <c r="A3371" s="18" t="str">
        <f t="shared" si="241"/>
        <v>Eintrag 3370</v>
      </c>
      <c r="B3371" s="18">
        <v>100</v>
      </c>
      <c r="C3371" s="19">
        <v>100</v>
      </c>
      <c r="D3371" s="20">
        <v>10</v>
      </c>
      <c r="E3371" s="20">
        <v>10</v>
      </c>
      <c r="F3371" s="20">
        <v>10</v>
      </c>
      <c r="G3371" s="19">
        <f t="shared" si="247"/>
        <v>172</v>
      </c>
      <c r="H3371" s="22">
        <f t="shared" si="248"/>
        <v>3370</v>
      </c>
      <c r="I3371" s="21">
        <f t="shared" ca="1" si="242"/>
        <v>0</v>
      </c>
      <c r="J3371" s="21" t="str">
        <f ca="1">IF(I3371=0,"",COUNTIF($I$2:I3371,"&gt;0"))</f>
        <v/>
      </c>
      <c r="K3371" s="21" t="str">
        <f t="shared" ca="1" si="246"/>
        <v/>
      </c>
    </row>
    <row r="3372" spans="1:11" s="18" customFormat="1" ht="14.25" x14ac:dyDescent="0.2">
      <c r="A3372" s="18" t="str">
        <f t="shared" si="241"/>
        <v>Eintrag 3371</v>
      </c>
      <c r="B3372" s="18">
        <v>100</v>
      </c>
      <c r="C3372" s="19">
        <v>100</v>
      </c>
      <c r="D3372" s="20">
        <v>10</v>
      </c>
      <c r="E3372" s="20">
        <v>10</v>
      </c>
      <c r="F3372" s="20">
        <v>10</v>
      </c>
      <c r="G3372" s="19">
        <f t="shared" si="247"/>
        <v>172</v>
      </c>
      <c r="H3372" s="22">
        <f t="shared" si="248"/>
        <v>3371</v>
      </c>
      <c r="I3372" s="21">
        <f t="shared" ca="1" si="242"/>
        <v>0</v>
      </c>
      <c r="J3372" s="21" t="str">
        <f ca="1">IF(I3372=0,"",COUNTIF($I$2:I3372,"&gt;0"))</f>
        <v/>
      </c>
      <c r="K3372" s="21" t="str">
        <f t="shared" ca="1" si="246"/>
        <v/>
      </c>
    </row>
    <row r="3373" spans="1:11" s="18" customFormat="1" ht="14.25" x14ac:dyDescent="0.2">
      <c r="A3373" s="18" t="str">
        <f t="shared" si="241"/>
        <v>Eintrag 3372</v>
      </c>
      <c r="B3373" s="18">
        <v>100</v>
      </c>
      <c r="C3373" s="19">
        <v>100</v>
      </c>
      <c r="D3373" s="20">
        <v>10</v>
      </c>
      <c r="E3373" s="20">
        <v>10</v>
      </c>
      <c r="F3373" s="20">
        <v>10</v>
      </c>
      <c r="G3373" s="19">
        <f t="shared" si="247"/>
        <v>172</v>
      </c>
      <c r="H3373" s="22">
        <f t="shared" si="248"/>
        <v>3372</v>
      </c>
      <c r="I3373" s="21">
        <f t="shared" ca="1" si="242"/>
        <v>0</v>
      </c>
      <c r="J3373" s="21" t="str">
        <f ca="1">IF(I3373=0,"",COUNTIF($I$2:I3373,"&gt;0"))</f>
        <v/>
      </c>
      <c r="K3373" s="21" t="str">
        <f t="shared" ca="1" si="246"/>
        <v/>
      </c>
    </row>
    <row r="3374" spans="1:11" s="18" customFormat="1" ht="14.25" x14ac:dyDescent="0.2">
      <c r="A3374" s="18" t="str">
        <f t="shared" si="241"/>
        <v>Eintrag 3373</v>
      </c>
      <c r="B3374" s="18">
        <v>100</v>
      </c>
      <c r="C3374" s="19">
        <v>100</v>
      </c>
      <c r="D3374" s="20">
        <v>10</v>
      </c>
      <c r="E3374" s="20">
        <v>10</v>
      </c>
      <c r="F3374" s="20">
        <v>10</v>
      </c>
      <c r="G3374" s="19">
        <f t="shared" si="247"/>
        <v>172</v>
      </c>
      <c r="H3374" s="22">
        <f t="shared" si="248"/>
        <v>3373</v>
      </c>
      <c r="I3374" s="21">
        <f t="shared" ca="1" si="242"/>
        <v>0</v>
      </c>
      <c r="J3374" s="21" t="str">
        <f ca="1">IF(I3374=0,"",COUNTIF($I$2:I3374,"&gt;0"))</f>
        <v/>
      </c>
      <c r="K3374" s="21" t="str">
        <f t="shared" ca="1" si="246"/>
        <v/>
      </c>
    </row>
    <row r="3375" spans="1:11" s="18" customFormat="1" ht="14.25" x14ac:dyDescent="0.2">
      <c r="A3375" s="18" t="str">
        <f t="shared" si="241"/>
        <v>Eintrag 3374</v>
      </c>
      <c r="B3375" s="18">
        <v>100</v>
      </c>
      <c r="C3375" s="19">
        <v>100</v>
      </c>
      <c r="D3375" s="20">
        <v>10</v>
      </c>
      <c r="E3375" s="20">
        <v>10</v>
      </c>
      <c r="F3375" s="20">
        <v>10</v>
      </c>
      <c r="G3375" s="19">
        <f t="shared" si="247"/>
        <v>172</v>
      </c>
      <c r="H3375" s="22">
        <f t="shared" si="248"/>
        <v>3374</v>
      </c>
      <c r="I3375" s="21">
        <f t="shared" ca="1" si="242"/>
        <v>0</v>
      </c>
      <c r="J3375" s="21" t="str">
        <f ca="1">IF(I3375=0,"",COUNTIF($I$2:I3375,"&gt;0"))</f>
        <v/>
      </c>
      <c r="K3375" s="21" t="str">
        <f t="shared" ca="1" si="246"/>
        <v/>
      </c>
    </row>
    <row r="3376" spans="1:11" s="18" customFormat="1" ht="14.25" x14ac:dyDescent="0.2">
      <c r="A3376" s="18" t="str">
        <f t="shared" si="241"/>
        <v>Eintrag 3375</v>
      </c>
      <c r="B3376" s="18">
        <v>100</v>
      </c>
      <c r="C3376" s="19">
        <v>100</v>
      </c>
      <c r="D3376" s="20">
        <v>10</v>
      </c>
      <c r="E3376" s="20">
        <v>10</v>
      </c>
      <c r="F3376" s="20">
        <v>10</v>
      </c>
      <c r="G3376" s="19">
        <f t="shared" si="247"/>
        <v>172</v>
      </c>
      <c r="H3376" s="22">
        <f t="shared" si="248"/>
        <v>3375</v>
      </c>
      <c r="I3376" s="21">
        <f t="shared" ca="1" si="242"/>
        <v>0</v>
      </c>
      <c r="J3376" s="21" t="str">
        <f ca="1">IF(I3376=0,"",COUNTIF($I$2:I3376,"&gt;0"))</f>
        <v/>
      </c>
      <c r="K3376" s="21" t="str">
        <f t="shared" ca="1" si="246"/>
        <v/>
      </c>
    </row>
    <row r="3377" spans="1:11" s="18" customFormat="1" ht="14.25" x14ac:dyDescent="0.2">
      <c r="A3377" s="18" t="str">
        <f t="shared" si="241"/>
        <v>Eintrag 3376</v>
      </c>
      <c r="B3377" s="18">
        <v>100</v>
      </c>
      <c r="C3377" s="19">
        <v>100</v>
      </c>
      <c r="D3377" s="20">
        <v>10</v>
      </c>
      <c r="E3377" s="20">
        <v>10</v>
      </c>
      <c r="F3377" s="20">
        <v>10</v>
      </c>
      <c r="G3377" s="19">
        <f t="shared" si="247"/>
        <v>172</v>
      </c>
      <c r="H3377" s="22">
        <f t="shared" si="248"/>
        <v>3376</v>
      </c>
      <c r="I3377" s="21">
        <f t="shared" ca="1" si="242"/>
        <v>0</v>
      </c>
      <c r="J3377" s="21" t="str">
        <f ca="1">IF(I3377=0,"",COUNTIF($I$2:I3377,"&gt;0"))</f>
        <v/>
      </c>
      <c r="K3377" s="21" t="str">
        <f t="shared" ca="1" si="246"/>
        <v/>
      </c>
    </row>
    <row r="3378" spans="1:11" s="18" customFormat="1" ht="14.25" x14ac:dyDescent="0.2">
      <c r="A3378" s="18" t="str">
        <f t="shared" si="241"/>
        <v>Eintrag 3377</v>
      </c>
      <c r="B3378" s="18">
        <v>100</v>
      </c>
      <c r="C3378" s="19">
        <v>100</v>
      </c>
      <c r="D3378" s="20">
        <v>10</v>
      </c>
      <c r="E3378" s="20">
        <v>10</v>
      </c>
      <c r="F3378" s="20">
        <v>10</v>
      </c>
      <c r="G3378" s="19">
        <f t="shared" si="247"/>
        <v>172</v>
      </c>
      <c r="H3378" s="22">
        <f t="shared" si="248"/>
        <v>3377</v>
      </c>
      <c r="I3378" s="21">
        <f t="shared" ca="1" si="242"/>
        <v>0</v>
      </c>
      <c r="J3378" s="21" t="str">
        <f ca="1">IF(I3378=0,"",COUNTIF($I$2:I3378,"&gt;0"))</f>
        <v/>
      </c>
      <c r="K3378" s="21" t="str">
        <f t="shared" ca="1" si="246"/>
        <v/>
      </c>
    </row>
    <row r="3379" spans="1:11" s="18" customFormat="1" ht="14.25" x14ac:dyDescent="0.2">
      <c r="A3379" s="18" t="str">
        <f t="shared" si="241"/>
        <v>Eintrag 3378</v>
      </c>
      <c r="B3379" s="18">
        <v>100</v>
      </c>
      <c r="C3379" s="19">
        <v>100</v>
      </c>
      <c r="D3379" s="20">
        <v>10</v>
      </c>
      <c r="E3379" s="20">
        <v>10</v>
      </c>
      <c r="F3379" s="20">
        <v>10</v>
      </c>
      <c r="G3379" s="19">
        <f t="shared" si="247"/>
        <v>172</v>
      </c>
      <c r="H3379" s="22">
        <f t="shared" si="248"/>
        <v>3378</v>
      </c>
      <c r="I3379" s="21">
        <f t="shared" ca="1" si="242"/>
        <v>0</v>
      </c>
      <c r="J3379" s="21" t="str">
        <f ca="1">IF(I3379=0,"",COUNTIF($I$2:I3379,"&gt;0"))</f>
        <v/>
      </c>
      <c r="K3379" s="21" t="str">
        <f t="shared" ca="1" si="246"/>
        <v/>
      </c>
    </row>
    <row r="3380" spans="1:11" s="18" customFormat="1" ht="14.25" x14ac:dyDescent="0.2">
      <c r="A3380" s="18" t="str">
        <f t="shared" si="241"/>
        <v>Eintrag 3379</v>
      </c>
      <c r="B3380" s="18">
        <v>100</v>
      </c>
      <c r="C3380" s="19">
        <v>100</v>
      </c>
      <c r="D3380" s="20">
        <v>10</v>
      </c>
      <c r="E3380" s="20">
        <v>10</v>
      </c>
      <c r="F3380" s="20">
        <v>10</v>
      </c>
      <c r="G3380" s="19">
        <f t="shared" si="247"/>
        <v>172</v>
      </c>
      <c r="H3380" s="22">
        <f t="shared" si="248"/>
        <v>3379</v>
      </c>
      <c r="I3380" s="21">
        <f t="shared" ca="1" si="242"/>
        <v>0</v>
      </c>
      <c r="J3380" s="21" t="str">
        <f ca="1">IF(I3380=0,"",COUNTIF($I$2:I3380,"&gt;0"))</f>
        <v/>
      </c>
      <c r="K3380" s="21" t="str">
        <f t="shared" ca="1" si="246"/>
        <v/>
      </c>
    </row>
    <row r="3381" spans="1:11" s="18" customFormat="1" ht="14.25" x14ac:dyDescent="0.2">
      <c r="A3381" s="18" t="str">
        <f t="shared" si="241"/>
        <v>Eintrag 3380</v>
      </c>
      <c r="B3381" s="18">
        <v>100</v>
      </c>
      <c r="C3381" s="19">
        <v>100</v>
      </c>
      <c r="D3381" s="20">
        <v>10</v>
      </c>
      <c r="E3381" s="20">
        <v>10</v>
      </c>
      <c r="F3381" s="20">
        <v>10</v>
      </c>
      <c r="G3381" s="19">
        <f t="shared" si="247"/>
        <v>172</v>
      </c>
      <c r="H3381" s="22">
        <f t="shared" si="248"/>
        <v>3380</v>
      </c>
      <c r="I3381" s="21">
        <f t="shared" ca="1" si="242"/>
        <v>0</v>
      </c>
      <c r="J3381" s="21" t="str">
        <f ca="1">IF(I3381=0,"",COUNTIF($I$2:I3381,"&gt;0"))</f>
        <v/>
      </c>
      <c r="K3381" s="21" t="str">
        <f t="shared" ca="1" si="246"/>
        <v/>
      </c>
    </row>
    <row r="3382" spans="1:11" s="18" customFormat="1" ht="14.25" x14ac:dyDescent="0.2">
      <c r="A3382" s="18" t="str">
        <f t="shared" si="241"/>
        <v>Eintrag 3381</v>
      </c>
      <c r="B3382" s="18">
        <v>100</v>
      </c>
      <c r="C3382" s="19">
        <v>100</v>
      </c>
      <c r="D3382" s="20">
        <v>10</v>
      </c>
      <c r="E3382" s="20">
        <v>10</v>
      </c>
      <c r="F3382" s="20">
        <v>10</v>
      </c>
      <c r="G3382" s="19">
        <f t="shared" si="247"/>
        <v>172</v>
      </c>
      <c r="H3382" s="22">
        <f t="shared" si="248"/>
        <v>3381</v>
      </c>
      <c r="I3382" s="21">
        <f t="shared" ca="1" si="242"/>
        <v>0</v>
      </c>
      <c r="J3382" s="21" t="str">
        <f ca="1">IF(I3382=0,"",COUNTIF($I$2:I3382,"&gt;0"))</f>
        <v/>
      </c>
      <c r="K3382" s="21" t="str">
        <f t="shared" ca="1" si="246"/>
        <v/>
      </c>
    </row>
    <row r="3383" spans="1:11" s="18" customFormat="1" ht="14.25" x14ac:dyDescent="0.2">
      <c r="A3383" s="18" t="str">
        <f t="shared" si="241"/>
        <v>Eintrag 3382</v>
      </c>
      <c r="B3383" s="18">
        <v>100</v>
      </c>
      <c r="C3383" s="19">
        <v>100</v>
      </c>
      <c r="D3383" s="20">
        <v>10</v>
      </c>
      <c r="E3383" s="20">
        <v>10</v>
      </c>
      <c r="F3383" s="20">
        <v>10</v>
      </c>
      <c r="G3383" s="19">
        <f t="shared" si="247"/>
        <v>172</v>
      </c>
      <c r="H3383" s="22">
        <f t="shared" si="248"/>
        <v>3382</v>
      </c>
      <c r="I3383" s="21">
        <f t="shared" ca="1" si="242"/>
        <v>0</v>
      </c>
      <c r="J3383" s="21" t="str">
        <f ca="1">IF(I3383=0,"",COUNTIF($I$2:I3383,"&gt;0"))</f>
        <v/>
      </c>
      <c r="K3383" s="21" t="str">
        <f t="shared" ca="1" si="246"/>
        <v/>
      </c>
    </row>
    <row r="3384" spans="1:11" s="18" customFormat="1" ht="14.25" x14ac:dyDescent="0.2">
      <c r="A3384" s="18" t="str">
        <f t="shared" si="241"/>
        <v>Eintrag 3383</v>
      </c>
      <c r="B3384" s="18">
        <v>100</v>
      </c>
      <c r="C3384" s="19">
        <v>100</v>
      </c>
      <c r="D3384" s="20">
        <v>10</v>
      </c>
      <c r="E3384" s="20">
        <v>10</v>
      </c>
      <c r="F3384" s="20">
        <v>10</v>
      </c>
      <c r="G3384" s="19">
        <f t="shared" si="247"/>
        <v>172</v>
      </c>
      <c r="H3384" s="22">
        <f t="shared" si="248"/>
        <v>3383</v>
      </c>
      <c r="I3384" s="21">
        <f t="shared" ca="1" si="242"/>
        <v>0</v>
      </c>
      <c r="J3384" s="21" t="str">
        <f ca="1">IF(I3384=0,"",COUNTIF($I$2:I3384,"&gt;0"))</f>
        <v/>
      </c>
      <c r="K3384" s="21" t="str">
        <f t="shared" ca="1" si="246"/>
        <v/>
      </c>
    </row>
    <row r="3385" spans="1:11" s="18" customFormat="1" ht="14.25" x14ac:dyDescent="0.2">
      <c r="A3385" s="18" t="str">
        <f t="shared" si="241"/>
        <v>Eintrag 3384</v>
      </c>
      <c r="B3385" s="18">
        <v>100</v>
      </c>
      <c r="C3385" s="19">
        <v>100</v>
      </c>
      <c r="D3385" s="20">
        <v>10</v>
      </c>
      <c r="E3385" s="20">
        <v>10</v>
      </c>
      <c r="F3385" s="20">
        <v>10</v>
      </c>
      <c r="G3385" s="19">
        <f t="shared" si="247"/>
        <v>172</v>
      </c>
      <c r="H3385" s="22">
        <f t="shared" si="248"/>
        <v>3384</v>
      </c>
      <c r="I3385" s="21">
        <f t="shared" ca="1" si="242"/>
        <v>0</v>
      </c>
      <c r="J3385" s="21" t="str">
        <f ca="1">IF(I3385=0,"",COUNTIF($I$2:I3385,"&gt;0"))</f>
        <v/>
      </c>
      <c r="K3385" s="21" t="str">
        <f t="shared" ca="1" si="246"/>
        <v/>
      </c>
    </row>
    <row r="3386" spans="1:11" s="18" customFormat="1" ht="14.25" x14ac:dyDescent="0.2">
      <c r="A3386" s="18" t="str">
        <f t="shared" si="241"/>
        <v>Eintrag 3385</v>
      </c>
      <c r="B3386" s="18">
        <v>100</v>
      </c>
      <c r="C3386" s="19">
        <v>100</v>
      </c>
      <c r="D3386" s="20">
        <v>10</v>
      </c>
      <c r="E3386" s="20">
        <v>10</v>
      </c>
      <c r="F3386" s="20">
        <v>10</v>
      </c>
      <c r="G3386" s="19">
        <f t="shared" si="247"/>
        <v>172</v>
      </c>
      <c r="H3386" s="22">
        <f t="shared" si="248"/>
        <v>3385</v>
      </c>
      <c r="I3386" s="21">
        <f t="shared" ca="1" si="242"/>
        <v>0</v>
      </c>
      <c r="J3386" s="21" t="str">
        <f ca="1">IF(I3386=0,"",COUNTIF($I$2:I3386,"&gt;0"))</f>
        <v/>
      </c>
      <c r="K3386" s="21" t="str">
        <f t="shared" ca="1" si="246"/>
        <v/>
      </c>
    </row>
    <row r="3387" spans="1:11" s="18" customFormat="1" ht="14.25" x14ac:dyDescent="0.2">
      <c r="A3387" s="18" t="str">
        <f t="shared" si="241"/>
        <v>Eintrag 3386</v>
      </c>
      <c r="B3387" s="18">
        <v>100</v>
      </c>
      <c r="C3387" s="19">
        <v>100</v>
      </c>
      <c r="D3387" s="20">
        <v>10</v>
      </c>
      <c r="E3387" s="20">
        <v>10</v>
      </c>
      <c r="F3387" s="20">
        <v>10</v>
      </c>
      <c r="G3387" s="19">
        <f t="shared" si="247"/>
        <v>172</v>
      </c>
      <c r="H3387" s="22">
        <f t="shared" si="248"/>
        <v>3386</v>
      </c>
      <c r="I3387" s="21">
        <f t="shared" ca="1" si="242"/>
        <v>0</v>
      </c>
      <c r="J3387" s="21" t="str">
        <f ca="1">IF(I3387=0,"",COUNTIF($I$2:I3387,"&gt;0"))</f>
        <v/>
      </c>
      <c r="K3387" s="21" t="str">
        <f t="shared" ca="1" si="246"/>
        <v/>
      </c>
    </row>
    <row r="3388" spans="1:11" s="18" customFormat="1" ht="14.25" x14ac:dyDescent="0.2">
      <c r="A3388" s="18" t="str">
        <f t="shared" si="241"/>
        <v>Eintrag 3387</v>
      </c>
      <c r="B3388" s="18">
        <v>100</v>
      </c>
      <c r="C3388" s="19">
        <v>100</v>
      </c>
      <c r="D3388" s="20">
        <v>10</v>
      </c>
      <c r="E3388" s="20">
        <v>10</v>
      </c>
      <c r="F3388" s="20">
        <v>10</v>
      </c>
      <c r="G3388" s="19">
        <f t="shared" si="247"/>
        <v>172</v>
      </c>
      <c r="H3388" s="22">
        <f t="shared" si="248"/>
        <v>3387</v>
      </c>
      <c r="I3388" s="21">
        <f t="shared" ca="1" si="242"/>
        <v>0</v>
      </c>
      <c r="J3388" s="21" t="str">
        <f ca="1">IF(I3388=0,"",COUNTIF($I$2:I3388,"&gt;0"))</f>
        <v/>
      </c>
      <c r="K3388" s="21" t="str">
        <f t="shared" ca="1" si="246"/>
        <v/>
      </c>
    </row>
    <row r="3389" spans="1:11" s="18" customFormat="1" ht="14.25" x14ac:dyDescent="0.2">
      <c r="A3389" s="18" t="str">
        <f t="shared" si="241"/>
        <v>Eintrag 3388</v>
      </c>
      <c r="B3389" s="18">
        <v>100</v>
      </c>
      <c r="C3389" s="19">
        <v>100</v>
      </c>
      <c r="D3389" s="20">
        <v>10</v>
      </c>
      <c r="E3389" s="20">
        <v>10</v>
      </c>
      <c r="F3389" s="20">
        <v>10</v>
      </c>
      <c r="G3389" s="19">
        <f t="shared" si="247"/>
        <v>172</v>
      </c>
      <c r="H3389" s="22">
        <f t="shared" si="248"/>
        <v>3388</v>
      </c>
      <c r="I3389" s="21">
        <f t="shared" ca="1" si="242"/>
        <v>0</v>
      </c>
      <c r="J3389" s="21" t="str">
        <f ca="1">IF(I3389=0,"",COUNTIF($I$2:I3389,"&gt;0"))</f>
        <v/>
      </c>
      <c r="K3389" s="21" t="str">
        <f t="shared" ca="1" si="246"/>
        <v/>
      </c>
    </row>
    <row r="3390" spans="1:11" s="18" customFormat="1" ht="14.25" x14ac:dyDescent="0.2">
      <c r="A3390" s="18" t="str">
        <f t="shared" si="241"/>
        <v>Eintrag 3389</v>
      </c>
      <c r="B3390" s="18">
        <v>100</v>
      </c>
      <c r="C3390" s="19">
        <v>100</v>
      </c>
      <c r="D3390" s="20">
        <v>10</v>
      </c>
      <c r="E3390" s="20">
        <v>10</v>
      </c>
      <c r="F3390" s="20">
        <v>10</v>
      </c>
      <c r="G3390" s="19">
        <f t="shared" si="247"/>
        <v>172</v>
      </c>
      <c r="H3390" s="22">
        <f t="shared" si="248"/>
        <v>3389</v>
      </c>
      <c r="I3390" s="21">
        <f t="shared" ca="1" si="242"/>
        <v>0</v>
      </c>
      <c r="J3390" s="21" t="str">
        <f ca="1">IF(I3390=0,"",COUNTIF($I$2:I3390,"&gt;0"))</f>
        <v/>
      </c>
      <c r="K3390" s="21" t="str">
        <f t="shared" ca="1" si="246"/>
        <v/>
      </c>
    </row>
    <row r="3391" spans="1:11" s="18" customFormat="1" ht="14.25" x14ac:dyDescent="0.2">
      <c r="A3391" s="18" t="str">
        <f t="shared" si="241"/>
        <v>Eintrag 3390</v>
      </c>
      <c r="B3391" s="18">
        <v>100</v>
      </c>
      <c r="C3391" s="19">
        <v>100</v>
      </c>
      <c r="D3391" s="20">
        <v>10</v>
      </c>
      <c r="E3391" s="20">
        <v>10</v>
      </c>
      <c r="F3391" s="20">
        <v>10</v>
      </c>
      <c r="G3391" s="19">
        <f t="shared" si="247"/>
        <v>172</v>
      </c>
      <c r="H3391" s="22">
        <f t="shared" si="248"/>
        <v>3390</v>
      </c>
      <c r="I3391" s="21">
        <f t="shared" ca="1" si="242"/>
        <v>0</v>
      </c>
      <c r="J3391" s="21" t="str">
        <f ca="1">IF(I3391=0,"",COUNTIF($I$2:I3391,"&gt;0"))</f>
        <v/>
      </c>
      <c r="K3391" s="21" t="str">
        <f t="shared" ca="1" si="246"/>
        <v/>
      </c>
    </row>
    <row r="3392" spans="1:11" s="18" customFormat="1" ht="14.25" x14ac:dyDescent="0.2">
      <c r="A3392" s="18" t="str">
        <f t="shared" si="241"/>
        <v>Eintrag 3391</v>
      </c>
      <c r="B3392" s="18">
        <v>100</v>
      </c>
      <c r="C3392" s="19">
        <v>100</v>
      </c>
      <c r="D3392" s="20">
        <v>10</v>
      </c>
      <c r="E3392" s="20">
        <v>10</v>
      </c>
      <c r="F3392" s="20">
        <v>10</v>
      </c>
      <c r="G3392" s="19">
        <f t="shared" si="247"/>
        <v>172</v>
      </c>
      <c r="H3392" s="22">
        <f t="shared" si="248"/>
        <v>3391</v>
      </c>
      <c r="I3392" s="21">
        <f t="shared" ca="1" si="242"/>
        <v>0</v>
      </c>
      <c r="J3392" s="21" t="str">
        <f ca="1">IF(I3392=0,"",COUNTIF($I$2:I3392,"&gt;0"))</f>
        <v/>
      </c>
      <c r="K3392" s="21" t="str">
        <f t="shared" ca="1" si="246"/>
        <v/>
      </c>
    </row>
    <row r="3393" spans="1:11" s="18" customFormat="1" ht="14.25" x14ac:dyDescent="0.2">
      <c r="A3393" s="18" t="str">
        <f t="shared" si="241"/>
        <v>Eintrag 3392</v>
      </c>
      <c r="B3393" s="18">
        <v>100</v>
      </c>
      <c r="C3393" s="19">
        <v>100</v>
      </c>
      <c r="D3393" s="20">
        <v>10</v>
      </c>
      <c r="E3393" s="20">
        <v>10</v>
      </c>
      <c r="F3393" s="20">
        <v>10</v>
      </c>
      <c r="G3393" s="19">
        <f t="shared" si="247"/>
        <v>172</v>
      </c>
      <c r="H3393" s="22">
        <f t="shared" si="248"/>
        <v>3392</v>
      </c>
      <c r="I3393" s="21">
        <f t="shared" ca="1" si="242"/>
        <v>0</v>
      </c>
      <c r="J3393" s="21" t="str">
        <f ca="1">IF(I3393=0,"",COUNTIF($I$2:I3393,"&gt;0"))</f>
        <v/>
      </c>
      <c r="K3393" s="21" t="str">
        <f t="shared" ca="1" si="246"/>
        <v/>
      </c>
    </row>
    <row r="3394" spans="1:11" s="18" customFormat="1" ht="14.25" x14ac:dyDescent="0.2">
      <c r="A3394" s="18" t="str">
        <f t="shared" si="241"/>
        <v>Eintrag 3393</v>
      </c>
      <c r="B3394" s="18">
        <v>100</v>
      </c>
      <c r="C3394" s="19">
        <v>100</v>
      </c>
      <c r="D3394" s="20">
        <v>10</v>
      </c>
      <c r="E3394" s="20">
        <v>10</v>
      </c>
      <c r="F3394" s="20">
        <v>10</v>
      </c>
      <c r="G3394" s="19">
        <f t="shared" si="247"/>
        <v>172</v>
      </c>
      <c r="H3394" s="22">
        <f t="shared" si="248"/>
        <v>3393</v>
      </c>
      <c r="I3394" s="21">
        <f t="shared" ca="1" si="242"/>
        <v>0</v>
      </c>
      <c r="J3394" s="21" t="str">
        <f ca="1">IF(I3394=0,"",COUNTIF($I$2:I3394,"&gt;0"))</f>
        <v/>
      </c>
      <c r="K3394" s="21" t="str">
        <f t="shared" ref="K3394:K3457" ca="1" si="249">IFERROR(INDEX(A:A,MATCH(ROW(I3393),J:J,0)),"")</f>
        <v/>
      </c>
    </row>
    <row r="3395" spans="1:11" s="18" customFormat="1" ht="14.25" x14ac:dyDescent="0.2">
      <c r="A3395" s="18" t="str">
        <f t="shared" si="241"/>
        <v>Eintrag 3394</v>
      </c>
      <c r="B3395" s="18">
        <v>100</v>
      </c>
      <c r="C3395" s="19">
        <v>100</v>
      </c>
      <c r="D3395" s="20">
        <v>10</v>
      </c>
      <c r="E3395" s="20">
        <v>10</v>
      </c>
      <c r="F3395" s="20">
        <v>10</v>
      </c>
      <c r="G3395" s="19">
        <f t="shared" ref="G3395:G3458" si="250">D3395*9+E3395*4.1+F3395*4.1</f>
        <v>172</v>
      </c>
      <c r="H3395" s="22">
        <f t="shared" si="248"/>
        <v>3394</v>
      </c>
      <c r="I3395" s="21">
        <f t="shared" ca="1" si="242"/>
        <v>0</v>
      </c>
      <c r="J3395" s="21" t="str">
        <f ca="1">IF(I3395=0,"",COUNTIF($I$2:I3395,"&gt;0"))</f>
        <v/>
      </c>
      <c r="K3395" s="21" t="str">
        <f t="shared" ca="1" si="249"/>
        <v/>
      </c>
    </row>
    <row r="3396" spans="1:11" s="18" customFormat="1" ht="14.25" x14ac:dyDescent="0.2">
      <c r="A3396" s="18" t="str">
        <f t="shared" si="241"/>
        <v>Eintrag 3395</v>
      </c>
      <c r="B3396" s="18">
        <v>100</v>
      </c>
      <c r="C3396" s="19">
        <v>100</v>
      </c>
      <c r="D3396" s="20">
        <v>10</v>
      </c>
      <c r="E3396" s="20">
        <v>10</v>
      </c>
      <c r="F3396" s="20">
        <v>10</v>
      </c>
      <c r="G3396" s="19">
        <f t="shared" si="250"/>
        <v>172</v>
      </c>
      <c r="H3396" s="22">
        <f t="shared" si="248"/>
        <v>3395</v>
      </c>
      <c r="I3396" s="21">
        <f t="shared" ca="1" si="242"/>
        <v>0</v>
      </c>
      <c r="J3396" s="21" t="str">
        <f ca="1">IF(I3396=0,"",COUNTIF($I$2:I3396,"&gt;0"))</f>
        <v/>
      </c>
      <c r="K3396" s="21" t="str">
        <f t="shared" ca="1" si="249"/>
        <v/>
      </c>
    </row>
    <row r="3397" spans="1:11" s="18" customFormat="1" ht="14.25" x14ac:dyDescent="0.2">
      <c r="A3397" s="18" t="str">
        <f t="shared" si="241"/>
        <v>Eintrag 3396</v>
      </c>
      <c r="B3397" s="18">
        <v>100</v>
      </c>
      <c r="C3397" s="19">
        <v>100</v>
      </c>
      <c r="D3397" s="20">
        <v>10</v>
      </c>
      <c r="E3397" s="20">
        <v>10</v>
      </c>
      <c r="F3397" s="20">
        <v>10</v>
      </c>
      <c r="G3397" s="19">
        <f t="shared" si="250"/>
        <v>172</v>
      </c>
      <c r="H3397" s="22">
        <f t="shared" si="248"/>
        <v>3396</v>
      </c>
      <c r="I3397" s="21">
        <f t="shared" ca="1" si="242"/>
        <v>0</v>
      </c>
      <c r="J3397" s="21" t="str">
        <f ca="1">IF(I3397=0,"",COUNTIF($I$2:I3397,"&gt;0"))</f>
        <v/>
      </c>
      <c r="K3397" s="21" t="str">
        <f t="shared" ca="1" si="249"/>
        <v/>
      </c>
    </row>
    <row r="3398" spans="1:11" s="18" customFormat="1" ht="14.25" x14ac:dyDescent="0.2">
      <c r="A3398" s="18" t="str">
        <f t="shared" si="241"/>
        <v>Eintrag 3397</v>
      </c>
      <c r="B3398" s="18">
        <v>100</v>
      </c>
      <c r="C3398" s="19">
        <v>100</v>
      </c>
      <c r="D3398" s="20">
        <v>10</v>
      </c>
      <c r="E3398" s="20">
        <v>10</v>
      </c>
      <c r="F3398" s="20">
        <v>10</v>
      </c>
      <c r="G3398" s="19">
        <f t="shared" si="250"/>
        <v>172</v>
      </c>
      <c r="H3398" s="22">
        <f t="shared" si="248"/>
        <v>3397</v>
      </c>
      <c r="I3398" s="21">
        <f t="shared" ca="1" si="242"/>
        <v>0</v>
      </c>
      <c r="J3398" s="21" t="str">
        <f ca="1">IF(I3398=0,"",COUNTIF($I$2:I3398,"&gt;0"))</f>
        <v/>
      </c>
      <c r="K3398" s="21" t="str">
        <f t="shared" ca="1" si="249"/>
        <v/>
      </c>
    </row>
    <row r="3399" spans="1:11" s="18" customFormat="1" ht="14.25" x14ac:dyDescent="0.2">
      <c r="A3399" s="18" t="str">
        <f t="shared" si="241"/>
        <v>Eintrag 3398</v>
      </c>
      <c r="B3399" s="18">
        <v>100</v>
      </c>
      <c r="C3399" s="19">
        <v>100</v>
      </c>
      <c r="D3399" s="20">
        <v>10</v>
      </c>
      <c r="E3399" s="20">
        <v>10</v>
      </c>
      <c r="F3399" s="20">
        <v>10</v>
      </c>
      <c r="G3399" s="19">
        <f t="shared" si="250"/>
        <v>172</v>
      </c>
      <c r="H3399" s="22">
        <f t="shared" si="248"/>
        <v>3398</v>
      </c>
      <c r="I3399" s="21">
        <f t="shared" ca="1" si="242"/>
        <v>0</v>
      </c>
      <c r="J3399" s="21" t="str">
        <f ca="1">IF(I3399=0,"",COUNTIF($I$2:I3399,"&gt;0"))</f>
        <v/>
      </c>
      <c r="K3399" s="21" t="str">
        <f t="shared" ca="1" si="249"/>
        <v/>
      </c>
    </row>
    <row r="3400" spans="1:11" s="18" customFormat="1" ht="14.25" x14ac:dyDescent="0.2">
      <c r="A3400" s="18" t="str">
        <f t="shared" si="241"/>
        <v>Eintrag 3399</v>
      </c>
      <c r="B3400" s="18">
        <v>100</v>
      </c>
      <c r="C3400" s="19">
        <v>100</v>
      </c>
      <c r="D3400" s="20">
        <v>10</v>
      </c>
      <c r="E3400" s="20">
        <v>10</v>
      </c>
      <c r="F3400" s="20">
        <v>10</v>
      </c>
      <c r="G3400" s="19">
        <f t="shared" si="250"/>
        <v>172</v>
      </c>
      <c r="H3400" s="22">
        <f t="shared" si="248"/>
        <v>3399</v>
      </c>
      <c r="I3400" s="21">
        <f t="shared" ca="1" si="242"/>
        <v>0</v>
      </c>
      <c r="J3400" s="21" t="str">
        <f ca="1">IF(I3400=0,"",COUNTIF($I$2:I3400,"&gt;0"))</f>
        <v/>
      </c>
      <c r="K3400" s="21" t="str">
        <f t="shared" ca="1" si="249"/>
        <v/>
      </c>
    </row>
    <row r="3401" spans="1:11" s="18" customFormat="1" ht="14.25" x14ac:dyDescent="0.2">
      <c r="A3401" s="18" t="str">
        <f t="shared" si="241"/>
        <v>Eintrag 3400</v>
      </c>
      <c r="B3401" s="18">
        <v>100</v>
      </c>
      <c r="C3401" s="19">
        <v>100</v>
      </c>
      <c r="D3401" s="20">
        <v>10</v>
      </c>
      <c r="E3401" s="20">
        <v>10</v>
      </c>
      <c r="F3401" s="20">
        <v>10</v>
      </c>
      <c r="G3401" s="19">
        <f t="shared" si="250"/>
        <v>172</v>
      </c>
      <c r="H3401" s="22">
        <f t="shared" si="248"/>
        <v>3400</v>
      </c>
      <c r="I3401" s="21">
        <f t="shared" ca="1" si="242"/>
        <v>0</v>
      </c>
      <c r="J3401" s="21" t="str">
        <f ca="1">IF(I3401=0,"",COUNTIF($I$2:I3401,"&gt;0"))</f>
        <v/>
      </c>
      <c r="K3401" s="21" t="str">
        <f t="shared" ca="1" si="249"/>
        <v/>
      </c>
    </row>
    <row r="3402" spans="1:11" s="18" customFormat="1" ht="14.25" x14ac:dyDescent="0.2">
      <c r="A3402" s="18" t="str">
        <f t="shared" si="241"/>
        <v>Eintrag 3401</v>
      </c>
      <c r="B3402" s="18">
        <v>100</v>
      </c>
      <c r="C3402" s="19">
        <v>100</v>
      </c>
      <c r="D3402" s="20">
        <v>10</v>
      </c>
      <c r="E3402" s="20">
        <v>10</v>
      </c>
      <c r="F3402" s="20">
        <v>10</v>
      </c>
      <c r="G3402" s="19">
        <f t="shared" si="250"/>
        <v>172</v>
      </c>
      <c r="H3402" s="22">
        <f t="shared" si="248"/>
        <v>3401</v>
      </c>
      <c r="I3402" s="21">
        <f t="shared" ca="1" si="242"/>
        <v>0</v>
      </c>
      <c r="J3402" s="21" t="str">
        <f ca="1">IF(I3402=0,"",COUNTIF($I$2:I3402,"&gt;0"))</f>
        <v/>
      </c>
      <c r="K3402" s="21" t="str">
        <f t="shared" ca="1" si="249"/>
        <v/>
      </c>
    </row>
    <row r="3403" spans="1:11" s="18" customFormat="1" ht="14.25" x14ac:dyDescent="0.2">
      <c r="A3403" s="18" t="str">
        <f t="shared" si="241"/>
        <v>Eintrag 3402</v>
      </c>
      <c r="B3403" s="18">
        <v>100</v>
      </c>
      <c r="C3403" s="19">
        <v>100</v>
      </c>
      <c r="D3403" s="20">
        <v>10</v>
      </c>
      <c r="E3403" s="20">
        <v>10</v>
      </c>
      <c r="F3403" s="20">
        <v>10</v>
      </c>
      <c r="G3403" s="19">
        <f t="shared" si="250"/>
        <v>172</v>
      </c>
      <c r="H3403" s="22">
        <f t="shared" si="248"/>
        <v>3402</v>
      </c>
      <c r="I3403" s="21">
        <f t="shared" ca="1" si="242"/>
        <v>0</v>
      </c>
      <c r="J3403" s="21" t="str">
        <f ca="1">IF(I3403=0,"",COUNTIF($I$2:I3403,"&gt;0"))</f>
        <v/>
      </c>
      <c r="K3403" s="21" t="str">
        <f t="shared" ca="1" si="249"/>
        <v/>
      </c>
    </row>
    <row r="3404" spans="1:11" s="18" customFormat="1" ht="14.25" x14ac:dyDescent="0.2">
      <c r="A3404" s="18" t="str">
        <f t="shared" si="241"/>
        <v>Eintrag 3403</v>
      </c>
      <c r="B3404" s="18">
        <v>100</v>
      </c>
      <c r="C3404" s="19">
        <v>100</v>
      </c>
      <c r="D3404" s="20">
        <v>10</v>
      </c>
      <c r="E3404" s="20">
        <v>10</v>
      </c>
      <c r="F3404" s="20">
        <v>10</v>
      </c>
      <c r="G3404" s="19">
        <f t="shared" si="250"/>
        <v>172</v>
      </c>
      <c r="H3404" s="22">
        <f t="shared" si="248"/>
        <v>3403</v>
      </c>
      <c r="I3404" s="21">
        <f t="shared" ca="1" si="242"/>
        <v>0</v>
      </c>
      <c r="J3404" s="21" t="str">
        <f ca="1">IF(I3404=0,"",COUNTIF($I$2:I3404,"&gt;0"))</f>
        <v/>
      </c>
      <c r="K3404" s="21" t="str">
        <f t="shared" ca="1" si="249"/>
        <v/>
      </c>
    </row>
    <row r="3405" spans="1:11" s="18" customFormat="1" ht="14.25" x14ac:dyDescent="0.2">
      <c r="A3405" s="18" t="str">
        <f t="shared" ref="A3405:A3468" si="251">CONCATENATE("Eintrag ",H3405)</f>
        <v>Eintrag 3404</v>
      </c>
      <c r="B3405" s="18">
        <v>100</v>
      </c>
      <c r="C3405" s="19">
        <v>100</v>
      </c>
      <c r="D3405" s="20">
        <v>10</v>
      </c>
      <c r="E3405" s="20">
        <v>10</v>
      </c>
      <c r="F3405" s="20">
        <v>10</v>
      </c>
      <c r="G3405" s="19">
        <f t="shared" si="250"/>
        <v>172</v>
      </c>
      <c r="H3405" s="22">
        <f t="shared" si="248"/>
        <v>3404</v>
      </c>
      <c r="I3405" s="21">
        <f t="shared" ca="1" si="242"/>
        <v>0</v>
      </c>
      <c r="J3405" s="21" t="str">
        <f ca="1">IF(I3405=0,"",COUNTIF($I$2:I3405,"&gt;0"))</f>
        <v/>
      </c>
      <c r="K3405" s="21" t="str">
        <f t="shared" ca="1" si="249"/>
        <v/>
      </c>
    </row>
    <row r="3406" spans="1:11" s="18" customFormat="1" ht="14.25" x14ac:dyDescent="0.2">
      <c r="A3406" s="18" t="str">
        <f t="shared" si="251"/>
        <v>Eintrag 3405</v>
      </c>
      <c r="B3406" s="18">
        <v>100</v>
      </c>
      <c r="C3406" s="19">
        <v>100</v>
      </c>
      <c r="D3406" s="20">
        <v>10</v>
      </c>
      <c r="E3406" s="20">
        <v>10</v>
      </c>
      <c r="F3406" s="20">
        <v>10</v>
      </c>
      <c r="G3406" s="19">
        <f t="shared" si="250"/>
        <v>172</v>
      </c>
      <c r="H3406" s="22">
        <f t="shared" si="248"/>
        <v>3405</v>
      </c>
      <c r="I3406" s="21">
        <f t="shared" ca="1" si="242"/>
        <v>0</v>
      </c>
      <c r="J3406" s="21" t="str">
        <f ca="1">IF(I3406=0,"",COUNTIF($I$2:I3406,"&gt;0"))</f>
        <v/>
      </c>
      <c r="K3406" s="21" t="str">
        <f t="shared" ca="1" si="249"/>
        <v/>
      </c>
    </row>
    <row r="3407" spans="1:11" s="18" customFormat="1" ht="14.25" x14ac:dyDescent="0.2">
      <c r="A3407" s="18" t="str">
        <f t="shared" si="251"/>
        <v>Eintrag 3406</v>
      </c>
      <c r="B3407" s="18">
        <v>100</v>
      </c>
      <c r="C3407" s="19">
        <v>100</v>
      </c>
      <c r="D3407" s="20">
        <v>10</v>
      </c>
      <c r="E3407" s="20">
        <v>10</v>
      </c>
      <c r="F3407" s="20">
        <v>10</v>
      </c>
      <c r="G3407" s="19">
        <f t="shared" si="250"/>
        <v>172</v>
      </c>
      <c r="H3407" s="22">
        <f t="shared" si="248"/>
        <v>3406</v>
      </c>
      <c r="I3407" s="21">
        <f t="shared" ca="1" si="242"/>
        <v>0</v>
      </c>
      <c r="J3407" s="21" t="str">
        <f ca="1">IF(I3407=0,"",COUNTIF($I$2:I3407,"&gt;0"))</f>
        <v/>
      </c>
      <c r="K3407" s="21" t="str">
        <f t="shared" ca="1" si="249"/>
        <v/>
      </c>
    </row>
    <row r="3408" spans="1:11" s="18" customFormat="1" ht="14.25" x14ac:dyDescent="0.2">
      <c r="A3408" s="18" t="str">
        <f t="shared" si="251"/>
        <v>Eintrag 3407</v>
      </c>
      <c r="B3408" s="18">
        <v>100</v>
      </c>
      <c r="C3408" s="19">
        <v>100</v>
      </c>
      <c r="D3408" s="20">
        <v>10</v>
      </c>
      <c r="E3408" s="20">
        <v>10</v>
      </c>
      <c r="F3408" s="20">
        <v>10</v>
      </c>
      <c r="G3408" s="19">
        <f t="shared" si="250"/>
        <v>172</v>
      </c>
      <c r="H3408" s="22">
        <f t="shared" si="248"/>
        <v>3407</v>
      </c>
      <c r="I3408" s="21">
        <f t="shared" ca="1" si="242"/>
        <v>0</v>
      </c>
      <c r="J3408" s="21" t="str">
        <f ca="1">IF(I3408=0,"",COUNTIF($I$2:I3408,"&gt;0"))</f>
        <v/>
      </c>
      <c r="K3408" s="21" t="str">
        <f t="shared" ca="1" si="249"/>
        <v/>
      </c>
    </row>
    <row r="3409" spans="1:11" s="18" customFormat="1" ht="14.25" x14ac:dyDescent="0.2">
      <c r="A3409" s="18" t="str">
        <f t="shared" si="251"/>
        <v>Eintrag 3408</v>
      </c>
      <c r="B3409" s="18">
        <v>100</v>
      </c>
      <c r="C3409" s="19">
        <v>100</v>
      </c>
      <c r="D3409" s="20">
        <v>10</v>
      </c>
      <c r="E3409" s="20">
        <v>10</v>
      </c>
      <c r="F3409" s="20">
        <v>10</v>
      </c>
      <c r="G3409" s="19">
        <f t="shared" si="250"/>
        <v>172</v>
      </c>
      <c r="H3409" s="22">
        <f t="shared" si="248"/>
        <v>3408</v>
      </c>
      <c r="I3409" s="21">
        <f t="shared" ca="1" si="242"/>
        <v>0</v>
      </c>
      <c r="J3409" s="21" t="str">
        <f ca="1">IF(I3409=0,"",COUNTIF($I$2:I3409,"&gt;0"))</f>
        <v/>
      </c>
      <c r="K3409" s="21" t="str">
        <f t="shared" ca="1" si="249"/>
        <v/>
      </c>
    </row>
    <row r="3410" spans="1:11" s="18" customFormat="1" ht="14.25" x14ac:dyDescent="0.2">
      <c r="A3410" s="18" t="str">
        <f t="shared" si="251"/>
        <v>Eintrag 3409</v>
      </c>
      <c r="B3410" s="18">
        <v>100</v>
      </c>
      <c r="C3410" s="19">
        <v>100</v>
      </c>
      <c r="D3410" s="20">
        <v>10</v>
      </c>
      <c r="E3410" s="20">
        <v>10</v>
      </c>
      <c r="F3410" s="20">
        <v>10</v>
      </c>
      <c r="G3410" s="19">
        <f t="shared" si="250"/>
        <v>172</v>
      </c>
      <c r="H3410" s="22">
        <f t="shared" si="248"/>
        <v>3409</v>
      </c>
      <c r="I3410" s="21">
        <f t="shared" ca="1" si="242"/>
        <v>0</v>
      </c>
      <c r="J3410" s="21" t="str">
        <f ca="1">IF(I3410=0,"",COUNTIF($I$2:I3410,"&gt;0"))</f>
        <v/>
      </c>
      <c r="K3410" s="21" t="str">
        <f t="shared" ca="1" si="249"/>
        <v/>
      </c>
    </row>
    <row r="3411" spans="1:11" s="18" customFormat="1" ht="14.25" x14ac:dyDescent="0.2">
      <c r="A3411" s="18" t="str">
        <f t="shared" si="251"/>
        <v>Eintrag 3410</v>
      </c>
      <c r="B3411" s="18">
        <v>100</v>
      </c>
      <c r="C3411" s="19">
        <v>100</v>
      </c>
      <c r="D3411" s="20">
        <v>10</v>
      </c>
      <c r="E3411" s="20">
        <v>10</v>
      </c>
      <c r="F3411" s="20">
        <v>10</v>
      </c>
      <c r="G3411" s="19">
        <f t="shared" si="250"/>
        <v>172</v>
      </c>
      <c r="H3411" s="22">
        <f t="shared" si="248"/>
        <v>3410</v>
      </c>
      <c r="I3411" s="21">
        <f t="shared" ca="1" si="242"/>
        <v>0</v>
      </c>
      <c r="J3411" s="21" t="str">
        <f ca="1">IF(I3411=0,"",COUNTIF($I$2:I3411,"&gt;0"))</f>
        <v/>
      </c>
      <c r="K3411" s="21" t="str">
        <f t="shared" ca="1" si="249"/>
        <v/>
      </c>
    </row>
    <row r="3412" spans="1:11" s="18" customFormat="1" ht="14.25" x14ac:dyDescent="0.2">
      <c r="A3412" s="18" t="str">
        <f t="shared" si="251"/>
        <v>Eintrag 3411</v>
      </c>
      <c r="B3412" s="18">
        <v>100</v>
      </c>
      <c r="C3412" s="19">
        <v>100</v>
      </c>
      <c r="D3412" s="20">
        <v>10</v>
      </c>
      <c r="E3412" s="20">
        <v>10</v>
      </c>
      <c r="F3412" s="20">
        <v>10</v>
      </c>
      <c r="G3412" s="19">
        <f t="shared" si="250"/>
        <v>172</v>
      </c>
      <c r="H3412" s="22">
        <f t="shared" si="248"/>
        <v>3411</v>
      </c>
      <c r="I3412" s="21">
        <f t="shared" ca="1" si="242"/>
        <v>0</v>
      </c>
      <c r="J3412" s="21" t="str">
        <f ca="1">IF(I3412=0,"",COUNTIF($I$2:I3412,"&gt;0"))</f>
        <v/>
      </c>
      <c r="K3412" s="21" t="str">
        <f t="shared" ca="1" si="249"/>
        <v/>
      </c>
    </row>
    <row r="3413" spans="1:11" s="18" customFormat="1" ht="14.25" x14ac:dyDescent="0.2">
      <c r="A3413" s="18" t="str">
        <f t="shared" si="251"/>
        <v>Eintrag 3412</v>
      </c>
      <c r="B3413" s="18">
        <v>100</v>
      </c>
      <c r="C3413" s="19">
        <v>100</v>
      </c>
      <c r="D3413" s="20">
        <v>10</v>
      </c>
      <c r="E3413" s="20">
        <v>10</v>
      </c>
      <c r="F3413" s="20">
        <v>10</v>
      </c>
      <c r="G3413" s="19">
        <f t="shared" si="250"/>
        <v>172</v>
      </c>
      <c r="H3413" s="22">
        <f t="shared" si="248"/>
        <v>3412</v>
      </c>
      <c r="I3413" s="21">
        <f t="shared" ca="1" si="242"/>
        <v>0</v>
      </c>
      <c r="J3413" s="21" t="str">
        <f ca="1">IF(I3413=0,"",COUNTIF($I$2:I3413,"&gt;0"))</f>
        <v/>
      </c>
      <c r="K3413" s="21" t="str">
        <f t="shared" ca="1" si="249"/>
        <v/>
      </c>
    </row>
    <row r="3414" spans="1:11" s="18" customFormat="1" ht="14.25" x14ac:dyDescent="0.2">
      <c r="A3414" s="18" t="str">
        <f t="shared" si="251"/>
        <v>Eintrag 3413</v>
      </c>
      <c r="B3414" s="18">
        <v>100</v>
      </c>
      <c r="C3414" s="19">
        <v>100</v>
      </c>
      <c r="D3414" s="20">
        <v>10</v>
      </c>
      <c r="E3414" s="20">
        <v>10</v>
      </c>
      <c r="F3414" s="20">
        <v>10</v>
      </c>
      <c r="G3414" s="19">
        <f t="shared" si="250"/>
        <v>172</v>
      </c>
      <c r="H3414" s="22">
        <f t="shared" si="248"/>
        <v>3413</v>
      </c>
      <c r="I3414" s="21">
        <f t="shared" ca="1" si="242"/>
        <v>0</v>
      </c>
      <c r="J3414" s="21" t="str">
        <f ca="1">IF(I3414=0,"",COUNTIF($I$2:I3414,"&gt;0"))</f>
        <v/>
      </c>
      <c r="K3414" s="21" t="str">
        <f t="shared" ca="1" si="249"/>
        <v/>
      </c>
    </row>
    <row r="3415" spans="1:11" s="18" customFormat="1" ht="14.25" x14ac:dyDescent="0.2">
      <c r="A3415" s="18" t="str">
        <f t="shared" si="251"/>
        <v>Eintrag 3414</v>
      </c>
      <c r="B3415" s="18">
        <v>100</v>
      </c>
      <c r="C3415" s="19">
        <v>100</v>
      </c>
      <c r="D3415" s="20">
        <v>10</v>
      </c>
      <c r="E3415" s="20">
        <v>10</v>
      </c>
      <c r="F3415" s="20">
        <v>10</v>
      </c>
      <c r="G3415" s="19">
        <f t="shared" si="250"/>
        <v>172</v>
      </c>
      <c r="H3415" s="22">
        <f t="shared" si="248"/>
        <v>3414</v>
      </c>
      <c r="I3415" s="21">
        <f t="shared" ca="1" si="242"/>
        <v>0</v>
      </c>
      <c r="J3415" s="21" t="str">
        <f ca="1">IF(I3415=0,"",COUNTIF($I$2:I3415,"&gt;0"))</f>
        <v/>
      </c>
      <c r="K3415" s="21" t="str">
        <f t="shared" ca="1" si="249"/>
        <v/>
      </c>
    </row>
    <row r="3416" spans="1:11" s="18" customFormat="1" ht="14.25" x14ac:dyDescent="0.2">
      <c r="A3416" s="18" t="str">
        <f t="shared" si="251"/>
        <v>Eintrag 3415</v>
      </c>
      <c r="B3416" s="18">
        <v>100</v>
      </c>
      <c r="C3416" s="19">
        <v>100</v>
      </c>
      <c r="D3416" s="20">
        <v>10</v>
      </c>
      <c r="E3416" s="20">
        <v>10</v>
      </c>
      <c r="F3416" s="20">
        <v>10</v>
      </c>
      <c r="G3416" s="19">
        <f t="shared" si="250"/>
        <v>172</v>
      </c>
      <c r="H3416" s="22">
        <f t="shared" si="248"/>
        <v>3415</v>
      </c>
      <c r="I3416" s="21">
        <f t="shared" ca="1" si="242"/>
        <v>0</v>
      </c>
      <c r="J3416" s="21" t="str">
        <f ca="1">IF(I3416=0,"",COUNTIF($I$2:I3416,"&gt;0"))</f>
        <v/>
      </c>
      <c r="K3416" s="21" t="str">
        <f t="shared" ca="1" si="249"/>
        <v/>
      </c>
    </row>
    <row r="3417" spans="1:11" s="18" customFormat="1" ht="14.25" x14ac:dyDescent="0.2">
      <c r="A3417" s="18" t="str">
        <f t="shared" si="251"/>
        <v>Eintrag 3416</v>
      </c>
      <c r="B3417" s="18">
        <v>100</v>
      </c>
      <c r="C3417" s="19">
        <v>100</v>
      </c>
      <c r="D3417" s="20">
        <v>10</v>
      </c>
      <c r="E3417" s="20">
        <v>10</v>
      </c>
      <c r="F3417" s="20">
        <v>10</v>
      </c>
      <c r="G3417" s="19">
        <f t="shared" si="250"/>
        <v>172</v>
      </c>
      <c r="H3417" s="22">
        <f t="shared" si="248"/>
        <v>3416</v>
      </c>
      <c r="I3417" s="21">
        <f t="shared" ca="1" si="242"/>
        <v>0</v>
      </c>
      <c r="J3417" s="21" t="str">
        <f ca="1">IF(I3417=0,"",COUNTIF($I$2:I3417,"&gt;0"))</f>
        <v/>
      </c>
      <c r="K3417" s="21" t="str">
        <f t="shared" ca="1" si="249"/>
        <v/>
      </c>
    </row>
    <row r="3418" spans="1:11" s="18" customFormat="1" ht="14.25" x14ac:dyDescent="0.2">
      <c r="A3418" s="18" t="str">
        <f t="shared" si="251"/>
        <v>Eintrag 3417</v>
      </c>
      <c r="B3418" s="18">
        <v>100</v>
      </c>
      <c r="C3418" s="19">
        <v>100</v>
      </c>
      <c r="D3418" s="20">
        <v>10</v>
      </c>
      <c r="E3418" s="20">
        <v>10</v>
      </c>
      <c r="F3418" s="20">
        <v>10</v>
      </c>
      <c r="G3418" s="19">
        <f t="shared" si="250"/>
        <v>172</v>
      </c>
      <c r="H3418" s="22">
        <f t="shared" si="248"/>
        <v>3417</v>
      </c>
      <c r="I3418" s="21">
        <f t="shared" ca="1" si="242"/>
        <v>0</v>
      </c>
      <c r="J3418" s="21" t="str">
        <f ca="1">IF(I3418=0,"",COUNTIF($I$2:I3418,"&gt;0"))</f>
        <v/>
      </c>
      <c r="K3418" s="21" t="str">
        <f t="shared" ca="1" si="249"/>
        <v/>
      </c>
    </row>
    <row r="3419" spans="1:11" s="18" customFormat="1" ht="14.25" x14ac:dyDescent="0.2">
      <c r="A3419" s="18" t="str">
        <f t="shared" si="251"/>
        <v>Eintrag 3418</v>
      </c>
      <c r="B3419" s="18">
        <v>100</v>
      </c>
      <c r="C3419" s="19">
        <v>100</v>
      </c>
      <c r="D3419" s="20">
        <v>10</v>
      </c>
      <c r="E3419" s="20">
        <v>10</v>
      </c>
      <c r="F3419" s="20">
        <v>10</v>
      </c>
      <c r="G3419" s="19">
        <f t="shared" si="250"/>
        <v>172</v>
      </c>
      <c r="H3419" s="22">
        <f t="shared" si="248"/>
        <v>3418</v>
      </c>
      <c r="I3419" s="21">
        <f t="shared" ca="1" si="242"/>
        <v>0</v>
      </c>
      <c r="J3419" s="21" t="str">
        <f ca="1">IF(I3419=0,"",COUNTIF($I$2:I3419,"&gt;0"))</f>
        <v/>
      </c>
      <c r="K3419" s="21" t="str">
        <f t="shared" ca="1" si="249"/>
        <v/>
      </c>
    </row>
    <row r="3420" spans="1:11" s="18" customFormat="1" ht="14.25" x14ac:dyDescent="0.2">
      <c r="A3420" s="18" t="str">
        <f t="shared" si="251"/>
        <v>Eintrag 3419</v>
      </c>
      <c r="B3420" s="18">
        <v>100</v>
      </c>
      <c r="C3420" s="19">
        <v>100</v>
      </c>
      <c r="D3420" s="20">
        <v>10</v>
      </c>
      <c r="E3420" s="20">
        <v>10</v>
      </c>
      <c r="F3420" s="20">
        <v>10</v>
      </c>
      <c r="G3420" s="19">
        <f t="shared" si="250"/>
        <v>172</v>
      </c>
      <c r="H3420" s="22">
        <f t="shared" si="248"/>
        <v>3419</v>
      </c>
      <c r="I3420" s="21">
        <f t="shared" ca="1" si="242"/>
        <v>0</v>
      </c>
      <c r="J3420" s="21" t="str">
        <f ca="1">IF(I3420=0,"",COUNTIF($I$2:I3420,"&gt;0"))</f>
        <v/>
      </c>
      <c r="K3420" s="21" t="str">
        <f t="shared" ca="1" si="249"/>
        <v/>
      </c>
    </row>
    <row r="3421" spans="1:11" s="18" customFormat="1" ht="14.25" x14ac:dyDescent="0.2">
      <c r="A3421" s="18" t="str">
        <f t="shared" si="251"/>
        <v>Eintrag 3420</v>
      </c>
      <c r="B3421" s="18">
        <v>100</v>
      </c>
      <c r="C3421" s="19">
        <v>100</v>
      </c>
      <c r="D3421" s="20">
        <v>10</v>
      </c>
      <c r="E3421" s="20">
        <v>10</v>
      </c>
      <c r="F3421" s="20">
        <v>10</v>
      </c>
      <c r="G3421" s="19">
        <f t="shared" si="250"/>
        <v>172</v>
      </c>
      <c r="H3421" s="22">
        <f t="shared" si="248"/>
        <v>3420</v>
      </c>
      <c r="I3421" s="21">
        <f t="shared" ca="1" si="242"/>
        <v>0</v>
      </c>
      <c r="J3421" s="21" t="str">
        <f ca="1">IF(I3421=0,"",COUNTIF($I$2:I3421,"&gt;0"))</f>
        <v/>
      </c>
      <c r="K3421" s="21" t="str">
        <f t="shared" ca="1" si="249"/>
        <v/>
      </c>
    </row>
    <row r="3422" spans="1:11" s="18" customFormat="1" ht="14.25" x14ac:dyDescent="0.2">
      <c r="A3422" s="18" t="str">
        <f t="shared" si="251"/>
        <v>Eintrag 3421</v>
      </c>
      <c r="B3422" s="18">
        <v>100</v>
      </c>
      <c r="C3422" s="19">
        <v>100</v>
      </c>
      <c r="D3422" s="20">
        <v>10</v>
      </c>
      <c r="E3422" s="20">
        <v>10</v>
      </c>
      <c r="F3422" s="20">
        <v>10</v>
      </c>
      <c r="G3422" s="19">
        <f t="shared" si="250"/>
        <v>172</v>
      </c>
      <c r="H3422" s="22">
        <f t="shared" si="248"/>
        <v>3421</v>
      </c>
      <c r="I3422" s="21">
        <f t="shared" ref="I3422:I3485" ca="1" si="252">IFERROR(SEARCH(INDIRECT(CELL("address")),A3422),0)</f>
        <v>0</v>
      </c>
      <c r="J3422" s="21" t="str">
        <f ca="1">IF(I3422=0,"",COUNTIF($I$2:I3422,"&gt;0"))</f>
        <v/>
      </c>
      <c r="K3422" s="21" t="str">
        <f t="shared" ca="1" si="249"/>
        <v/>
      </c>
    </row>
    <row r="3423" spans="1:11" s="18" customFormat="1" ht="14.25" x14ac:dyDescent="0.2">
      <c r="A3423" s="18" t="str">
        <f t="shared" si="251"/>
        <v>Eintrag 3422</v>
      </c>
      <c r="B3423" s="18">
        <v>100</v>
      </c>
      <c r="C3423" s="19">
        <v>100</v>
      </c>
      <c r="D3423" s="20">
        <v>10</v>
      </c>
      <c r="E3423" s="20">
        <v>10</v>
      </c>
      <c r="F3423" s="20">
        <v>10</v>
      </c>
      <c r="G3423" s="19">
        <f t="shared" si="250"/>
        <v>172</v>
      </c>
      <c r="H3423" s="22">
        <f t="shared" si="248"/>
        <v>3422</v>
      </c>
      <c r="I3423" s="21">
        <f t="shared" ca="1" si="252"/>
        <v>0</v>
      </c>
      <c r="J3423" s="21" t="str">
        <f ca="1">IF(I3423=0,"",COUNTIF($I$2:I3423,"&gt;0"))</f>
        <v/>
      </c>
      <c r="K3423" s="21" t="str">
        <f t="shared" ca="1" si="249"/>
        <v/>
      </c>
    </row>
    <row r="3424" spans="1:11" s="18" customFormat="1" ht="14.25" x14ac:dyDescent="0.2">
      <c r="A3424" s="18" t="str">
        <f t="shared" si="251"/>
        <v>Eintrag 3423</v>
      </c>
      <c r="B3424" s="18">
        <v>100</v>
      </c>
      <c r="C3424" s="19">
        <v>100</v>
      </c>
      <c r="D3424" s="20">
        <v>10</v>
      </c>
      <c r="E3424" s="20">
        <v>10</v>
      </c>
      <c r="F3424" s="20">
        <v>10</v>
      </c>
      <c r="G3424" s="19">
        <f t="shared" si="250"/>
        <v>172</v>
      </c>
      <c r="H3424" s="22">
        <f t="shared" si="248"/>
        <v>3423</v>
      </c>
      <c r="I3424" s="21">
        <f t="shared" ca="1" si="252"/>
        <v>0</v>
      </c>
      <c r="J3424" s="21" t="str">
        <f ca="1">IF(I3424=0,"",COUNTIF($I$2:I3424,"&gt;0"))</f>
        <v/>
      </c>
      <c r="K3424" s="21" t="str">
        <f t="shared" ca="1" si="249"/>
        <v/>
      </c>
    </row>
    <row r="3425" spans="1:11" s="18" customFormat="1" ht="14.25" x14ac:dyDescent="0.2">
      <c r="A3425" s="18" t="str">
        <f t="shared" si="251"/>
        <v>Eintrag 3424</v>
      </c>
      <c r="B3425" s="18">
        <v>100</v>
      </c>
      <c r="C3425" s="19">
        <v>100</v>
      </c>
      <c r="D3425" s="20">
        <v>10</v>
      </c>
      <c r="E3425" s="20">
        <v>10</v>
      </c>
      <c r="F3425" s="20">
        <v>10</v>
      </c>
      <c r="G3425" s="19">
        <f t="shared" si="250"/>
        <v>172</v>
      </c>
      <c r="H3425" s="22">
        <f t="shared" si="248"/>
        <v>3424</v>
      </c>
      <c r="I3425" s="21">
        <f t="shared" ca="1" si="252"/>
        <v>0</v>
      </c>
      <c r="J3425" s="21" t="str">
        <f ca="1">IF(I3425=0,"",COUNTIF($I$2:I3425,"&gt;0"))</f>
        <v/>
      </c>
      <c r="K3425" s="21" t="str">
        <f t="shared" ca="1" si="249"/>
        <v/>
      </c>
    </row>
    <row r="3426" spans="1:11" s="18" customFormat="1" ht="14.25" x14ac:dyDescent="0.2">
      <c r="A3426" s="18" t="str">
        <f t="shared" si="251"/>
        <v>Eintrag 3425</v>
      </c>
      <c r="B3426" s="18">
        <v>100</v>
      </c>
      <c r="C3426" s="19">
        <v>100</v>
      </c>
      <c r="D3426" s="20">
        <v>10</v>
      </c>
      <c r="E3426" s="20">
        <v>10</v>
      </c>
      <c r="F3426" s="20">
        <v>10</v>
      </c>
      <c r="G3426" s="19">
        <f t="shared" si="250"/>
        <v>172</v>
      </c>
      <c r="H3426" s="22">
        <f t="shared" si="248"/>
        <v>3425</v>
      </c>
      <c r="I3426" s="21">
        <f t="shared" ca="1" si="252"/>
        <v>0</v>
      </c>
      <c r="J3426" s="21" t="str">
        <f ca="1">IF(I3426=0,"",COUNTIF($I$2:I3426,"&gt;0"))</f>
        <v/>
      </c>
      <c r="K3426" s="21" t="str">
        <f t="shared" ca="1" si="249"/>
        <v/>
      </c>
    </row>
    <row r="3427" spans="1:11" s="18" customFormat="1" ht="14.25" x14ac:dyDescent="0.2">
      <c r="A3427" s="18" t="str">
        <f t="shared" si="251"/>
        <v>Eintrag 3426</v>
      </c>
      <c r="B3427" s="18">
        <v>100</v>
      </c>
      <c r="C3427" s="19">
        <v>100</v>
      </c>
      <c r="D3427" s="20">
        <v>10</v>
      </c>
      <c r="E3427" s="20">
        <v>10</v>
      </c>
      <c r="F3427" s="20">
        <v>10</v>
      </c>
      <c r="G3427" s="19">
        <f t="shared" si="250"/>
        <v>172</v>
      </c>
      <c r="H3427" s="22">
        <f t="shared" si="248"/>
        <v>3426</v>
      </c>
      <c r="I3427" s="21">
        <f t="shared" ca="1" si="252"/>
        <v>0</v>
      </c>
      <c r="J3427" s="21" t="str">
        <f ca="1">IF(I3427=0,"",COUNTIF($I$2:I3427,"&gt;0"))</f>
        <v/>
      </c>
      <c r="K3427" s="21" t="str">
        <f t="shared" ca="1" si="249"/>
        <v/>
      </c>
    </row>
    <row r="3428" spans="1:11" s="18" customFormat="1" ht="14.25" x14ac:dyDescent="0.2">
      <c r="A3428" s="18" t="str">
        <f t="shared" si="251"/>
        <v>Eintrag 3427</v>
      </c>
      <c r="B3428" s="18">
        <v>100</v>
      </c>
      <c r="C3428" s="19">
        <v>100</v>
      </c>
      <c r="D3428" s="20">
        <v>10</v>
      </c>
      <c r="E3428" s="20">
        <v>10</v>
      </c>
      <c r="F3428" s="20">
        <v>10</v>
      </c>
      <c r="G3428" s="19">
        <f t="shared" si="250"/>
        <v>172</v>
      </c>
      <c r="H3428" s="22">
        <f t="shared" si="248"/>
        <v>3427</v>
      </c>
      <c r="I3428" s="21">
        <f t="shared" ca="1" si="252"/>
        <v>0</v>
      </c>
      <c r="J3428" s="21" t="str">
        <f ca="1">IF(I3428=0,"",COUNTIF($I$2:I3428,"&gt;0"))</f>
        <v/>
      </c>
      <c r="K3428" s="21" t="str">
        <f t="shared" ca="1" si="249"/>
        <v/>
      </c>
    </row>
    <row r="3429" spans="1:11" s="18" customFormat="1" ht="14.25" x14ac:dyDescent="0.2">
      <c r="A3429" s="18" t="str">
        <f t="shared" si="251"/>
        <v>Eintrag 3428</v>
      </c>
      <c r="B3429" s="18">
        <v>100</v>
      </c>
      <c r="C3429" s="19">
        <v>100</v>
      </c>
      <c r="D3429" s="20">
        <v>10</v>
      </c>
      <c r="E3429" s="20">
        <v>10</v>
      </c>
      <c r="F3429" s="20">
        <v>10</v>
      </c>
      <c r="G3429" s="19">
        <f t="shared" si="250"/>
        <v>172</v>
      </c>
      <c r="H3429" s="22">
        <f t="shared" ref="H3429:H3492" si="253">H3428+1</f>
        <v>3428</v>
      </c>
      <c r="I3429" s="21">
        <f t="shared" ca="1" si="252"/>
        <v>0</v>
      </c>
      <c r="J3429" s="21" t="str">
        <f ca="1">IF(I3429=0,"",COUNTIF($I$2:I3429,"&gt;0"))</f>
        <v/>
      </c>
      <c r="K3429" s="21" t="str">
        <f t="shared" ca="1" si="249"/>
        <v/>
      </c>
    </row>
    <row r="3430" spans="1:11" s="18" customFormat="1" ht="14.25" x14ac:dyDescent="0.2">
      <c r="A3430" s="18" t="str">
        <f t="shared" si="251"/>
        <v>Eintrag 3429</v>
      </c>
      <c r="B3430" s="18">
        <v>100</v>
      </c>
      <c r="C3430" s="19">
        <v>100</v>
      </c>
      <c r="D3430" s="20">
        <v>10</v>
      </c>
      <c r="E3430" s="20">
        <v>10</v>
      </c>
      <c r="F3430" s="20">
        <v>10</v>
      </c>
      <c r="G3430" s="19">
        <f t="shared" si="250"/>
        <v>172</v>
      </c>
      <c r="H3430" s="22">
        <f t="shared" si="253"/>
        <v>3429</v>
      </c>
      <c r="I3430" s="21">
        <f t="shared" ca="1" si="252"/>
        <v>0</v>
      </c>
      <c r="J3430" s="21" t="str">
        <f ca="1">IF(I3430=0,"",COUNTIF($I$2:I3430,"&gt;0"))</f>
        <v/>
      </c>
      <c r="K3430" s="21" t="str">
        <f t="shared" ca="1" si="249"/>
        <v/>
      </c>
    </row>
    <row r="3431" spans="1:11" s="18" customFormat="1" ht="14.25" x14ac:dyDescent="0.2">
      <c r="A3431" s="18" t="str">
        <f t="shared" si="251"/>
        <v>Eintrag 3430</v>
      </c>
      <c r="B3431" s="18">
        <v>100</v>
      </c>
      <c r="C3431" s="19">
        <v>100</v>
      </c>
      <c r="D3431" s="20">
        <v>10</v>
      </c>
      <c r="E3431" s="20">
        <v>10</v>
      </c>
      <c r="F3431" s="20">
        <v>10</v>
      </c>
      <c r="G3431" s="19">
        <f t="shared" si="250"/>
        <v>172</v>
      </c>
      <c r="H3431" s="22">
        <f t="shared" si="253"/>
        <v>3430</v>
      </c>
      <c r="I3431" s="21">
        <f t="shared" ca="1" si="252"/>
        <v>0</v>
      </c>
      <c r="J3431" s="21" t="str">
        <f ca="1">IF(I3431=0,"",COUNTIF($I$2:I3431,"&gt;0"))</f>
        <v/>
      </c>
      <c r="K3431" s="21" t="str">
        <f t="shared" ca="1" si="249"/>
        <v/>
      </c>
    </row>
    <row r="3432" spans="1:11" s="18" customFormat="1" ht="14.25" x14ac:dyDescent="0.2">
      <c r="A3432" s="18" t="str">
        <f t="shared" si="251"/>
        <v>Eintrag 3431</v>
      </c>
      <c r="B3432" s="18">
        <v>100</v>
      </c>
      <c r="C3432" s="19">
        <v>100</v>
      </c>
      <c r="D3432" s="20">
        <v>10</v>
      </c>
      <c r="E3432" s="20">
        <v>10</v>
      </c>
      <c r="F3432" s="20">
        <v>10</v>
      </c>
      <c r="G3432" s="19">
        <f t="shared" si="250"/>
        <v>172</v>
      </c>
      <c r="H3432" s="22">
        <f t="shared" si="253"/>
        <v>3431</v>
      </c>
      <c r="I3432" s="21">
        <f t="shared" ca="1" si="252"/>
        <v>0</v>
      </c>
      <c r="J3432" s="21" t="str">
        <f ca="1">IF(I3432=0,"",COUNTIF($I$2:I3432,"&gt;0"))</f>
        <v/>
      </c>
      <c r="K3432" s="21" t="str">
        <f t="shared" ca="1" si="249"/>
        <v/>
      </c>
    </row>
    <row r="3433" spans="1:11" s="18" customFormat="1" ht="14.25" x14ac:dyDescent="0.2">
      <c r="A3433" s="18" t="str">
        <f t="shared" si="251"/>
        <v>Eintrag 3432</v>
      </c>
      <c r="B3433" s="18">
        <v>100</v>
      </c>
      <c r="C3433" s="19">
        <v>100</v>
      </c>
      <c r="D3433" s="20">
        <v>10</v>
      </c>
      <c r="E3433" s="20">
        <v>10</v>
      </c>
      <c r="F3433" s="20">
        <v>10</v>
      </c>
      <c r="G3433" s="19">
        <f t="shared" si="250"/>
        <v>172</v>
      </c>
      <c r="H3433" s="22">
        <f t="shared" si="253"/>
        <v>3432</v>
      </c>
      <c r="I3433" s="21">
        <f t="shared" ca="1" si="252"/>
        <v>0</v>
      </c>
      <c r="J3433" s="21" t="str">
        <f ca="1">IF(I3433=0,"",COUNTIF($I$2:I3433,"&gt;0"))</f>
        <v/>
      </c>
      <c r="K3433" s="21" t="str">
        <f t="shared" ca="1" si="249"/>
        <v/>
      </c>
    </row>
    <row r="3434" spans="1:11" s="18" customFormat="1" ht="14.25" x14ac:dyDescent="0.2">
      <c r="A3434" s="18" t="str">
        <f t="shared" si="251"/>
        <v>Eintrag 3433</v>
      </c>
      <c r="B3434" s="18">
        <v>100</v>
      </c>
      <c r="C3434" s="19">
        <v>100</v>
      </c>
      <c r="D3434" s="20">
        <v>10</v>
      </c>
      <c r="E3434" s="20">
        <v>10</v>
      </c>
      <c r="F3434" s="20">
        <v>10</v>
      </c>
      <c r="G3434" s="19">
        <f t="shared" si="250"/>
        <v>172</v>
      </c>
      <c r="H3434" s="22">
        <f t="shared" si="253"/>
        <v>3433</v>
      </c>
      <c r="I3434" s="21">
        <f t="shared" ca="1" si="252"/>
        <v>0</v>
      </c>
      <c r="J3434" s="21" t="str">
        <f ca="1">IF(I3434=0,"",COUNTIF($I$2:I3434,"&gt;0"))</f>
        <v/>
      </c>
      <c r="K3434" s="21" t="str">
        <f t="shared" ca="1" si="249"/>
        <v/>
      </c>
    </row>
    <row r="3435" spans="1:11" s="18" customFormat="1" ht="14.25" x14ac:dyDescent="0.2">
      <c r="A3435" s="18" t="str">
        <f t="shared" si="251"/>
        <v>Eintrag 3434</v>
      </c>
      <c r="B3435" s="18">
        <v>100</v>
      </c>
      <c r="C3435" s="19">
        <v>100</v>
      </c>
      <c r="D3435" s="20">
        <v>10</v>
      </c>
      <c r="E3435" s="20">
        <v>10</v>
      </c>
      <c r="F3435" s="20">
        <v>10</v>
      </c>
      <c r="G3435" s="19">
        <f t="shared" si="250"/>
        <v>172</v>
      </c>
      <c r="H3435" s="22">
        <f t="shared" si="253"/>
        <v>3434</v>
      </c>
      <c r="I3435" s="21">
        <f t="shared" ca="1" si="252"/>
        <v>0</v>
      </c>
      <c r="J3435" s="21" t="str">
        <f ca="1">IF(I3435=0,"",COUNTIF($I$2:I3435,"&gt;0"))</f>
        <v/>
      </c>
      <c r="K3435" s="21" t="str">
        <f t="shared" ca="1" si="249"/>
        <v/>
      </c>
    </row>
    <row r="3436" spans="1:11" s="18" customFormat="1" ht="14.25" x14ac:dyDescent="0.2">
      <c r="A3436" s="18" t="str">
        <f t="shared" si="251"/>
        <v>Eintrag 3435</v>
      </c>
      <c r="B3436" s="18">
        <v>100</v>
      </c>
      <c r="C3436" s="19">
        <v>100</v>
      </c>
      <c r="D3436" s="20">
        <v>10</v>
      </c>
      <c r="E3436" s="20">
        <v>10</v>
      </c>
      <c r="F3436" s="20">
        <v>10</v>
      </c>
      <c r="G3436" s="19">
        <f t="shared" si="250"/>
        <v>172</v>
      </c>
      <c r="H3436" s="22">
        <f t="shared" si="253"/>
        <v>3435</v>
      </c>
      <c r="I3436" s="21">
        <f t="shared" ca="1" si="252"/>
        <v>0</v>
      </c>
      <c r="J3436" s="21" t="str">
        <f ca="1">IF(I3436=0,"",COUNTIF($I$2:I3436,"&gt;0"))</f>
        <v/>
      </c>
      <c r="K3436" s="21" t="str">
        <f t="shared" ca="1" si="249"/>
        <v/>
      </c>
    </row>
    <row r="3437" spans="1:11" s="18" customFormat="1" ht="14.25" x14ac:dyDescent="0.2">
      <c r="A3437" s="18" t="str">
        <f t="shared" si="251"/>
        <v>Eintrag 3436</v>
      </c>
      <c r="B3437" s="18">
        <v>100</v>
      </c>
      <c r="C3437" s="19">
        <v>100</v>
      </c>
      <c r="D3437" s="20">
        <v>10</v>
      </c>
      <c r="E3437" s="20">
        <v>10</v>
      </c>
      <c r="F3437" s="20">
        <v>10</v>
      </c>
      <c r="G3437" s="19">
        <f t="shared" si="250"/>
        <v>172</v>
      </c>
      <c r="H3437" s="22">
        <f t="shared" si="253"/>
        <v>3436</v>
      </c>
      <c r="I3437" s="21">
        <f t="shared" ca="1" si="252"/>
        <v>0</v>
      </c>
      <c r="J3437" s="21" t="str">
        <f ca="1">IF(I3437=0,"",COUNTIF($I$2:I3437,"&gt;0"))</f>
        <v/>
      </c>
      <c r="K3437" s="21" t="str">
        <f t="shared" ca="1" si="249"/>
        <v/>
      </c>
    </row>
    <row r="3438" spans="1:11" s="18" customFormat="1" ht="14.25" x14ac:dyDescent="0.2">
      <c r="A3438" s="18" t="str">
        <f t="shared" si="251"/>
        <v>Eintrag 3437</v>
      </c>
      <c r="B3438" s="18">
        <v>100</v>
      </c>
      <c r="C3438" s="19">
        <v>100</v>
      </c>
      <c r="D3438" s="20">
        <v>10</v>
      </c>
      <c r="E3438" s="20">
        <v>10</v>
      </c>
      <c r="F3438" s="20">
        <v>10</v>
      </c>
      <c r="G3438" s="19">
        <f t="shared" si="250"/>
        <v>172</v>
      </c>
      <c r="H3438" s="22">
        <f t="shared" si="253"/>
        <v>3437</v>
      </c>
      <c r="I3438" s="21">
        <f t="shared" ca="1" si="252"/>
        <v>0</v>
      </c>
      <c r="J3438" s="21" t="str">
        <f ca="1">IF(I3438=0,"",COUNTIF($I$2:I3438,"&gt;0"))</f>
        <v/>
      </c>
      <c r="K3438" s="21" t="str">
        <f t="shared" ca="1" si="249"/>
        <v/>
      </c>
    </row>
    <row r="3439" spans="1:11" s="18" customFormat="1" ht="14.25" x14ac:dyDescent="0.2">
      <c r="A3439" s="18" t="str">
        <f t="shared" si="251"/>
        <v>Eintrag 3438</v>
      </c>
      <c r="B3439" s="18">
        <v>100</v>
      </c>
      <c r="C3439" s="19">
        <v>100</v>
      </c>
      <c r="D3439" s="20">
        <v>10</v>
      </c>
      <c r="E3439" s="20">
        <v>10</v>
      </c>
      <c r="F3439" s="20">
        <v>10</v>
      </c>
      <c r="G3439" s="19">
        <f t="shared" si="250"/>
        <v>172</v>
      </c>
      <c r="H3439" s="22">
        <f t="shared" si="253"/>
        <v>3438</v>
      </c>
      <c r="I3439" s="21">
        <f t="shared" ca="1" si="252"/>
        <v>0</v>
      </c>
      <c r="J3439" s="21" t="str">
        <f ca="1">IF(I3439=0,"",COUNTIF($I$2:I3439,"&gt;0"))</f>
        <v/>
      </c>
      <c r="K3439" s="21" t="str">
        <f t="shared" ca="1" si="249"/>
        <v/>
      </c>
    </row>
    <row r="3440" spans="1:11" s="18" customFormat="1" ht="14.25" x14ac:dyDescent="0.2">
      <c r="A3440" s="18" t="str">
        <f t="shared" si="251"/>
        <v>Eintrag 3439</v>
      </c>
      <c r="B3440" s="18">
        <v>100</v>
      </c>
      <c r="C3440" s="19">
        <v>100</v>
      </c>
      <c r="D3440" s="20">
        <v>10</v>
      </c>
      <c r="E3440" s="20">
        <v>10</v>
      </c>
      <c r="F3440" s="20">
        <v>10</v>
      </c>
      <c r="G3440" s="19">
        <f t="shared" si="250"/>
        <v>172</v>
      </c>
      <c r="H3440" s="22">
        <f t="shared" si="253"/>
        <v>3439</v>
      </c>
      <c r="I3440" s="21">
        <f t="shared" ca="1" si="252"/>
        <v>0</v>
      </c>
      <c r="J3440" s="21" t="str">
        <f ca="1">IF(I3440=0,"",COUNTIF($I$2:I3440,"&gt;0"))</f>
        <v/>
      </c>
      <c r="K3440" s="21" t="str">
        <f t="shared" ca="1" si="249"/>
        <v/>
      </c>
    </row>
    <row r="3441" spans="1:11" s="18" customFormat="1" ht="14.25" x14ac:dyDescent="0.2">
      <c r="A3441" s="18" t="str">
        <f t="shared" si="251"/>
        <v>Eintrag 3440</v>
      </c>
      <c r="B3441" s="18">
        <v>100</v>
      </c>
      <c r="C3441" s="19">
        <v>100</v>
      </c>
      <c r="D3441" s="20">
        <v>10</v>
      </c>
      <c r="E3441" s="20">
        <v>10</v>
      </c>
      <c r="F3441" s="20">
        <v>10</v>
      </c>
      <c r="G3441" s="19">
        <f t="shared" si="250"/>
        <v>172</v>
      </c>
      <c r="H3441" s="22">
        <f t="shared" si="253"/>
        <v>3440</v>
      </c>
      <c r="I3441" s="21">
        <f t="shared" ca="1" si="252"/>
        <v>0</v>
      </c>
      <c r="J3441" s="21" t="str">
        <f ca="1">IF(I3441=0,"",COUNTIF($I$2:I3441,"&gt;0"))</f>
        <v/>
      </c>
      <c r="K3441" s="21" t="str">
        <f t="shared" ca="1" si="249"/>
        <v/>
      </c>
    </row>
    <row r="3442" spans="1:11" s="18" customFormat="1" ht="14.25" x14ac:dyDescent="0.2">
      <c r="A3442" s="18" t="str">
        <f t="shared" si="251"/>
        <v>Eintrag 3441</v>
      </c>
      <c r="B3442" s="18">
        <v>100</v>
      </c>
      <c r="C3442" s="19">
        <v>100</v>
      </c>
      <c r="D3442" s="20">
        <v>10</v>
      </c>
      <c r="E3442" s="20">
        <v>10</v>
      </c>
      <c r="F3442" s="20">
        <v>10</v>
      </c>
      <c r="G3442" s="19">
        <f t="shared" si="250"/>
        <v>172</v>
      </c>
      <c r="H3442" s="22">
        <f t="shared" si="253"/>
        <v>3441</v>
      </c>
      <c r="I3442" s="21">
        <f t="shared" ca="1" si="252"/>
        <v>0</v>
      </c>
      <c r="J3442" s="21" t="str">
        <f ca="1">IF(I3442=0,"",COUNTIF($I$2:I3442,"&gt;0"))</f>
        <v/>
      </c>
      <c r="K3442" s="21" t="str">
        <f t="shared" ca="1" si="249"/>
        <v/>
      </c>
    </row>
    <row r="3443" spans="1:11" s="18" customFormat="1" ht="14.25" x14ac:dyDescent="0.2">
      <c r="A3443" s="18" t="str">
        <f t="shared" si="251"/>
        <v>Eintrag 3442</v>
      </c>
      <c r="B3443" s="18">
        <v>100</v>
      </c>
      <c r="C3443" s="19">
        <v>100</v>
      </c>
      <c r="D3443" s="20">
        <v>10</v>
      </c>
      <c r="E3443" s="20">
        <v>10</v>
      </c>
      <c r="F3443" s="20">
        <v>10</v>
      </c>
      <c r="G3443" s="19">
        <f t="shared" si="250"/>
        <v>172</v>
      </c>
      <c r="H3443" s="22">
        <f t="shared" si="253"/>
        <v>3442</v>
      </c>
      <c r="I3443" s="21">
        <f t="shared" ca="1" si="252"/>
        <v>0</v>
      </c>
      <c r="J3443" s="21" t="str">
        <f ca="1">IF(I3443=0,"",COUNTIF($I$2:I3443,"&gt;0"))</f>
        <v/>
      </c>
      <c r="K3443" s="21" t="str">
        <f t="shared" ca="1" si="249"/>
        <v/>
      </c>
    </row>
    <row r="3444" spans="1:11" s="18" customFormat="1" ht="14.25" x14ac:dyDescent="0.2">
      <c r="A3444" s="18" t="str">
        <f t="shared" si="251"/>
        <v>Eintrag 3443</v>
      </c>
      <c r="B3444" s="18">
        <v>100</v>
      </c>
      <c r="C3444" s="19">
        <v>100</v>
      </c>
      <c r="D3444" s="20">
        <v>10</v>
      </c>
      <c r="E3444" s="20">
        <v>10</v>
      </c>
      <c r="F3444" s="20">
        <v>10</v>
      </c>
      <c r="G3444" s="19">
        <f t="shared" si="250"/>
        <v>172</v>
      </c>
      <c r="H3444" s="22">
        <f t="shared" si="253"/>
        <v>3443</v>
      </c>
      <c r="I3444" s="21">
        <f t="shared" ca="1" si="252"/>
        <v>0</v>
      </c>
      <c r="J3444" s="21" t="str">
        <f ca="1">IF(I3444=0,"",COUNTIF($I$2:I3444,"&gt;0"))</f>
        <v/>
      </c>
      <c r="K3444" s="21" t="str">
        <f t="shared" ca="1" si="249"/>
        <v/>
      </c>
    </row>
    <row r="3445" spans="1:11" s="18" customFormat="1" ht="14.25" x14ac:dyDescent="0.2">
      <c r="A3445" s="18" t="str">
        <f t="shared" si="251"/>
        <v>Eintrag 3444</v>
      </c>
      <c r="B3445" s="18">
        <v>100</v>
      </c>
      <c r="C3445" s="19">
        <v>100</v>
      </c>
      <c r="D3445" s="20">
        <v>10</v>
      </c>
      <c r="E3445" s="20">
        <v>10</v>
      </c>
      <c r="F3445" s="20">
        <v>10</v>
      </c>
      <c r="G3445" s="19">
        <f t="shared" si="250"/>
        <v>172</v>
      </c>
      <c r="H3445" s="22">
        <f t="shared" si="253"/>
        <v>3444</v>
      </c>
      <c r="I3445" s="21">
        <f t="shared" ca="1" si="252"/>
        <v>0</v>
      </c>
      <c r="J3445" s="21" t="str">
        <f ca="1">IF(I3445=0,"",COUNTIF($I$2:I3445,"&gt;0"))</f>
        <v/>
      </c>
      <c r="K3445" s="21" t="str">
        <f t="shared" ca="1" si="249"/>
        <v/>
      </c>
    </row>
    <row r="3446" spans="1:11" s="18" customFormat="1" ht="14.25" x14ac:dyDescent="0.2">
      <c r="A3446" s="18" t="str">
        <f t="shared" si="251"/>
        <v>Eintrag 3445</v>
      </c>
      <c r="B3446" s="18">
        <v>100</v>
      </c>
      <c r="C3446" s="19">
        <v>100</v>
      </c>
      <c r="D3446" s="20">
        <v>10</v>
      </c>
      <c r="E3446" s="20">
        <v>10</v>
      </c>
      <c r="F3446" s="20">
        <v>10</v>
      </c>
      <c r="G3446" s="19">
        <f t="shared" si="250"/>
        <v>172</v>
      </c>
      <c r="H3446" s="22">
        <f t="shared" si="253"/>
        <v>3445</v>
      </c>
      <c r="I3446" s="21">
        <f t="shared" ca="1" si="252"/>
        <v>0</v>
      </c>
      <c r="J3446" s="21" t="str">
        <f ca="1">IF(I3446=0,"",COUNTIF($I$2:I3446,"&gt;0"))</f>
        <v/>
      </c>
      <c r="K3446" s="21" t="str">
        <f t="shared" ca="1" si="249"/>
        <v/>
      </c>
    </row>
    <row r="3447" spans="1:11" s="18" customFormat="1" ht="14.25" x14ac:dyDescent="0.2">
      <c r="A3447" s="18" t="str">
        <f t="shared" si="251"/>
        <v>Eintrag 3446</v>
      </c>
      <c r="B3447" s="18">
        <v>100</v>
      </c>
      <c r="C3447" s="19">
        <v>100</v>
      </c>
      <c r="D3447" s="20">
        <v>10</v>
      </c>
      <c r="E3447" s="20">
        <v>10</v>
      </c>
      <c r="F3447" s="20">
        <v>10</v>
      </c>
      <c r="G3447" s="19">
        <f t="shared" si="250"/>
        <v>172</v>
      </c>
      <c r="H3447" s="22">
        <f t="shared" si="253"/>
        <v>3446</v>
      </c>
      <c r="I3447" s="21">
        <f t="shared" ca="1" si="252"/>
        <v>0</v>
      </c>
      <c r="J3447" s="21" t="str">
        <f ca="1">IF(I3447=0,"",COUNTIF($I$2:I3447,"&gt;0"))</f>
        <v/>
      </c>
      <c r="K3447" s="21" t="str">
        <f t="shared" ca="1" si="249"/>
        <v/>
      </c>
    </row>
    <row r="3448" spans="1:11" s="18" customFormat="1" ht="14.25" x14ac:dyDescent="0.2">
      <c r="A3448" s="18" t="str">
        <f t="shared" si="251"/>
        <v>Eintrag 3447</v>
      </c>
      <c r="B3448" s="18">
        <v>100</v>
      </c>
      <c r="C3448" s="19">
        <v>100</v>
      </c>
      <c r="D3448" s="20">
        <v>10</v>
      </c>
      <c r="E3448" s="20">
        <v>10</v>
      </c>
      <c r="F3448" s="20">
        <v>10</v>
      </c>
      <c r="G3448" s="19">
        <f t="shared" si="250"/>
        <v>172</v>
      </c>
      <c r="H3448" s="22">
        <f t="shared" si="253"/>
        <v>3447</v>
      </c>
      <c r="I3448" s="21">
        <f t="shared" ca="1" si="252"/>
        <v>0</v>
      </c>
      <c r="J3448" s="21" t="str">
        <f ca="1">IF(I3448=0,"",COUNTIF($I$2:I3448,"&gt;0"))</f>
        <v/>
      </c>
      <c r="K3448" s="21" t="str">
        <f t="shared" ca="1" si="249"/>
        <v/>
      </c>
    </row>
    <row r="3449" spans="1:11" s="18" customFormat="1" ht="14.25" x14ac:dyDescent="0.2">
      <c r="A3449" s="18" t="str">
        <f t="shared" si="251"/>
        <v>Eintrag 3448</v>
      </c>
      <c r="B3449" s="18">
        <v>100</v>
      </c>
      <c r="C3449" s="19">
        <v>100</v>
      </c>
      <c r="D3449" s="20">
        <v>10</v>
      </c>
      <c r="E3449" s="20">
        <v>10</v>
      </c>
      <c r="F3449" s="20">
        <v>10</v>
      </c>
      <c r="G3449" s="19">
        <f t="shared" si="250"/>
        <v>172</v>
      </c>
      <c r="H3449" s="22">
        <f t="shared" si="253"/>
        <v>3448</v>
      </c>
      <c r="I3449" s="21">
        <f t="shared" ca="1" si="252"/>
        <v>0</v>
      </c>
      <c r="J3449" s="21" t="str">
        <f ca="1">IF(I3449=0,"",COUNTIF($I$2:I3449,"&gt;0"))</f>
        <v/>
      </c>
      <c r="K3449" s="21" t="str">
        <f t="shared" ca="1" si="249"/>
        <v/>
      </c>
    </row>
    <row r="3450" spans="1:11" s="18" customFormat="1" ht="14.25" x14ac:dyDescent="0.2">
      <c r="A3450" s="18" t="str">
        <f t="shared" si="251"/>
        <v>Eintrag 3449</v>
      </c>
      <c r="B3450" s="18">
        <v>100</v>
      </c>
      <c r="C3450" s="19">
        <v>100</v>
      </c>
      <c r="D3450" s="20">
        <v>10</v>
      </c>
      <c r="E3450" s="20">
        <v>10</v>
      </c>
      <c r="F3450" s="20">
        <v>10</v>
      </c>
      <c r="G3450" s="19">
        <f t="shared" si="250"/>
        <v>172</v>
      </c>
      <c r="H3450" s="22">
        <f t="shared" si="253"/>
        <v>3449</v>
      </c>
      <c r="I3450" s="21">
        <f t="shared" ca="1" si="252"/>
        <v>0</v>
      </c>
      <c r="J3450" s="21" t="str">
        <f ca="1">IF(I3450=0,"",COUNTIF($I$2:I3450,"&gt;0"))</f>
        <v/>
      </c>
      <c r="K3450" s="21" t="str">
        <f t="shared" ca="1" si="249"/>
        <v/>
      </c>
    </row>
    <row r="3451" spans="1:11" s="18" customFormat="1" ht="14.25" x14ac:dyDescent="0.2">
      <c r="A3451" s="18" t="str">
        <f t="shared" si="251"/>
        <v>Eintrag 3450</v>
      </c>
      <c r="B3451" s="18">
        <v>100</v>
      </c>
      <c r="C3451" s="19">
        <v>100</v>
      </c>
      <c r="D3451" s="20">
        <v>10</v>
      </c>
      <c r="E3451" s="20">
        <v>10</v>
      </c>
      <c r="F3451" s="20">
        <v>10</v>
      </c>
      <c r="G3451" s="19">
        <f t="shared" si="250"/>
        <v>172</v>
      </c>
      <c r="H3451" s="22">
        <f t="shared" si="253"/>
        <v>3450</v>
      </c>
      <c r="I3451" s="21">
        <f t="shared" ca="1" si="252"/>
        <v>0</v>
      </c>
      <c r="J3451" s="21" t="str">
        <f ca="1">IF(I3451=0,"",COUNTIF($I$2:I3451,"&gt;0"))</f>
        <v/>
      </c>
      <c r="K3451" s="21" t="str">
        <f t="shared" ca="1" si="249"/>
        <v/>
      </c>
    </row>
    <row r="3452" spans="1:11" s="18" customFormat="1" ht="14.25" x14ac:dyDescent="0.2">
      <c r="A3452" s="18" t="str">
        <f t="shared" si="251"/>
        <v>Eintrag 3451</v>
      </c>
      <c r="B3452" s="18">
        <v>100</v>
      </c>
      <c r="C3452" s="19">
        <v>100</v>
      </c>
      <c r="D3452" s="20">
        <v>10</v>
      </c>
      <c r="E3452" s="20">
        <v>10</v>
      </c>
      <c r="F3452" s="20">
        <v>10</v>
      </c>
      <c r="G3452" s="19">
        <f t="shared" si="250"/>
        <v>172</v>
      </c>
      <c r="H3452" s="22">
        <f t="shared" si="253"/>
        <v>3451</v>
      </c>
      <c r="I3452" s="21">
        <f t="shared" ca="1" si="252"/>
        <v>0</v>
      </c>
      <c r="J3452" s="21" t="str">
        <f ca="1">IF(I3452=0,"",COUNTIF($I$2:I3452,"&gt;0"))</f>
        <v/>
      </c>
      <c r="K3452" s="21" t="str">
        <f t="shared" ca="1" si="249"/>
        <v/>
      </c>
    </row>
    <row r="3453" spans="1:11" s="18" customFormat="1" ht="14.25" x14ac:dyDescent="0.2">
      <c r="A3453" s="18" t="str">
        <f t="shared" si="251"/>
        <v>Eintrag 3452</v>
      </c>
      <c r="B3453" s="18">
        <v>100</v>
      </c>
      <c r="C3453" s="19">
        <v>100</v>
      </c>
      <c r="D3453" s="20">
        <v>10</v>
      </c>
      <c r="E3453" s="20">
        <v>10</v>
      </c>
      <c r="F3453" s="20">
        <v>10</v>
      </c>
      <c r="G3453" s="19">
        <f t="shared" si="250"/>
        <v>172</v>
      </c>
      <c r="H3453" s="22">
        <f t="shared" si="253"/>
        <v>3452</v>
      </c>
      <c r="I3453" s="21">
        <f t="shared" ca="1" si="252"/>
        <v>0</v>
      </c>
      <c r="J3453" s="21" t="str">
        <f ca="1">IF(I3453=0,"",COUNTIF($I$2:I3453,"&gt;0"))</f>
        <v/>
      </c>
      <c r="K3453" s="21" t="str">
        <f t="shared" ca="1" si="249"/>
        <v/>
      </c>
    </row>
    <row r="3454" spans="1:11" s="18" customFormat="1" ht="14.25" x14ac:dyDescent="0.2">
      <c r="A3454" s="18" t="str">
        <f t="shared" si="251"/>
        <v>Eintrag 3453</v>
      </c>
      <c r="B3454" s="18">
        <v>100</v>
      </c>
      <c r="C3454" s="19">
        <v>100</v>
      </c>
      <c r="D3454" s="20">
        <v>10</v>
      </c>
      <c r="E3454" s="20">
        <v>10</v>
      </c>
      <c r="F3454" s="20">
        <v>10</v>
      </c>
      <c r="G3454" s="19">
        <f t="shared" si="250"/>
        <v>172</v>
      </c>
      <c r="H3454" s="22">
        <f t="shared" si="253"/>
        <v>3453</v>
      </c>
      <c r="I3454" s="21">
        <f t="shared" ca="1" si="252"/>
        <v>0</v>
      </c>
      <c r="J3454" s="21" t="str">
        <f ca="1">IF(I3454=0,"",COUNTIF($I$2:I3454,"&gt;0"))</f>
        <v/>
      </c>
      <c r="K3454" s="21" t="str">
        <f t="shared" ca="1" si="249"/>
        <v/>
      </c>
    </row>
    <row r="3455" spans="1:11" s="18" customFormat="1" ht="14.25" x14ac:dyDescent="0.2">
      <c r="A3455" s="18" t="str">
        <f t="shared" si="251"/>
        <v>Eintrag 3454</v>
      </c>
      <c r="B3455" s="18">
        <v>100</v>
      </c>
      <c r="C3455" s="19">
        <v>100</v>
      </c>
      <c r="D3455" s="20">
        <v>10</v>
      </c>
      <c r="E3455" s="20">
        <v>10</v>
      </c>
      <c r="F3455" s="20">
        <v>10</v>
      </c>
      <c r="G3455" s="19">
        <f t="shared" si="250"/>
        <v>172</v>
      </c>
      <c r="H3455" s="22">
        <f t="shared" si="253"/>
        <v>3454</v>
      </c>
      <c r="I3455" s="21">
        <f t="shared" ca="1" si="252"/>
        <v>0</v>
      </c>
      <c r="J3455" s="21" t="str">
        <f ca="1">IF(I3455=0,"",COUNTIF($I$2:I3455,"&gt;0"))</f>
        <v/>
      </c>
      <c r="K3455" s="21" t="str">
        <f t="shared" ca="1" si="249"/>
        <v/>
      </c>
    </row>
    <row r="3456" spans="1:11" s="18" customFormat="1" ht="14.25" x14ac:dyDescent="0.2">
      <c r="A3456" s="18" t="str">
        <f t="shared" si="251"/>
        <v>Eintrag 3455</v>
      </c>
      <c r="B3456" s="18">
        <v>100</v>
      </c>
      <c r="C3456" s="19">
        <v>100</v>
      </c>
      <c r="D3456" s="20">
        <v>10</v>
      </c>
      <c r="E3456" s="20">
        <v>10</v>
      </c>
      <c r="F3456" s="20">
        <v>10</v>
      </c>
      <c r="G3456" s="19">
        <f t="shared" si="250"/>
        <v>172</v>
      </c>
      <c r="H3456" s="22">
        <f t="shared" si="253"/>
        <v>3455</v>
      </c>
      <c r="I3456" s="21">
        <f t="shared" ca="1" si="252"/>
        <v>0</v>
      </c>
      <c r="J3456" s="21" t="str">
        <f ca="1">IF(I3456=0,"",COUNTIF($I$2:I3456,"&gt;0"))</f>
        <v/>
      </c>
      <c r="K3456" s="21" t="str">
        <f t="shared" ca="1" si="249"/>
        <v/>
      </c>
    </row>
    <row r="3457" spans="1:11" s="18" customFormat="1" ht="14.25" x14ac:dyDescent="0.2">
      <c r="A3457" s="18" t="str">
        <f t="shared" si="251"/>
        <v>Eintrag 3456</v>
      </c>
      <c r="B3457" s="18">
        <v>100</v>
      </c>
      <c r="C3457" s="19">
        <v>100</v>
      </c>
      <c r="D3457" s="20">
        <v>10</v>
      </c>
      <c r="E3457" s="20">
        <v>10</v>
      </c>
      <c r="F3457" s="20">
        <v>10</v>
      </c>
      <c r="G3457" s="19">
        <f t="shared" si="250"/>
        <v>172</v>
      </c>
      <c r="H3457" s="22">
        <f t="shared" si="253"/>
        <v>3456</v>
      </c>
      <c r="I3457" s="21">
        <f t="shared" ca="1" si="252"/>
        <v>0</v>
      </c>
      <c r="J3457" s="21" t="str">
        <f ca="1">IF(I3457=0,"",COUNTIF($I$2:I3457,"&gt;0"))</f>
        <v/>
      </c>
      <c r="K3457" s="21" t="str">
        <f t="shared" ca="1" si="249"/>
        <v/>
      </c>
    </row>
    <row r="3458" spans="1:11" s="18" customFormat="1" ht="14.25" x14ac:dyDescent="0.2">
      <c r="A3458" s="18" t="str">
        <f t="shared" si="251"/>
        <v>Eintrag 3457</v>
      </c>
      <c r="B3458" s="18">
        <v>100</v>
      </c>
      <c r="C3458" s="19">
        <v>100</v>
      </c>
      <c r="D3458" s="20">
        <v>10</v>
      </c>
      <c r="E3458" s="20">
        <v>10</v>
      </c>
      <c r="F3458" s="20">
        <v>10</v>
      </c>
      <c r="G3458" s="19">
        <f t="shared" si="250"/>
        <v>172</v>
      </c>
      <c r="H3458" s="22">
        <f t="shared" si="253"/>
        <v>3457</v>
      </c>
      <c r="I3458" s="21">
        <f t="shared" ca="1" si="252"/>
        <v>0</v>
      </c>
      <c r="J3458" s="21" t="str">
        <f ca="1">IF(I3458=0,"",COUNTIF($I$2:I3458,"&gt;0"))</f>
        <v/>
      </c>
      <c r="K3458" s="21" t="str">
        <f t="shared" ref="K3458:K3521" ca="1" si="254">IFERROR(INDEX(A:A,MATCH(ROW(I3457),J:J,0)),"")</f>
        <v/>
      </c>
    </row>
    <row r="3459" spans="1:11" s="18" customFormat="1" ht="14.25" x14ac:dyDescent="0.2">
      <c r="A3459" s="18" t="str">
        <f t="shared" si="251"/>
        <v>Eintrag 3458</v>
      </c>
      <c r="B3459" s="18">
        <v>100</v>
      </c>
      <c r="C3459" s="19">
        <v>100</v>
      </c>
      <c r="D3459" s="20">
        <v>10</v>
      </c>
      <c r="E3459" s="20">
        <v>10</v>
      </c>
      <c r="F3459" s="20">
        <v>10</v>
      </c>
      <c r="G3459" s="19">
        <f t="shared" ref="G3459:G3522" si="255">D3459*9+E3459*4.1+F3459*4.1</f>
        <v>172</v>
      </c>
      <c r="H3459" s="22">
        <f t="shared" si="253"/>
        <v>3458</v>
      </c>
      <c r="I3459" s="21">
        <f t="shared" ca="1" si="252"/>
        <v>0</v>
      </c>
      <c r="J3459" s="21" t="str">
        <f ca="1">IF(I3459=0,"",COUNTIF($I$2:I3459,"&gt;0"))</f>
        <v/>
      </c>
      <c r="K3459" s="21" t="str">
        <f t="shared" ca="1" si="254"/>
        <v/>
      </c>
    </row>
    <row r="3460" spans="1:11" s="18" customFormat="1" ht="14.25" x14ac:dyDescent="0.2">
      <c r="A3460" s="18" t="str">
        <f t="shared" si="251"/>
        <v>Eintrag 3459</v>
      </c>
      <c r="B3460" s="18">
        <v>100</v>
      </c>
      <c r="C3460" s="19">
        <v>100</v>
      </c>
      <c r="D3460" s="20">
        <v>10</v>
      </c>
      <c r="E3460" s="20">
        <v>10</v>
      </c>
      <c r="F3460" s="20">
        <v>10</v>
      </c>
      <c r="G3460" s="19">
        <f t="shared" si="255"/>
        <v>172</v>
      </c>
      <c r="H3460" s="22">
        <f t="shared" si="253"/>
        <v>3459</v>
      </c>
      <c r="I3460" s="21">
        <f t="shared" ca="1" si="252"/>
        <v>0</v>
      </c>
      <c r="J3460" s="21" t="str">
        <f ca="1">IF(I3460=0,"",COUNTIF($I$2:I3460,"&gt;0"))</f>
        <v/>
      </c>
      <c r="K3460" s="21" t="str">
        <f t="shared" ca="1" si="254"/>
        <v/>
      </c>
    </row>
    <row r="3461" spans="1:11" s="18" customFormat="1" ht="14.25" x14ac:dyDescent="0.2">
      <c r="A3461" s="18" t="str">
        <f t="shared" si="251"/>
        <v>Eintrag 3460</v>
      </c>
      <c r="B3461" s="18">
        <v>100</v>
      </c>
      <c r="C3461" s="19">
        <v>100</v>
      </c>
      <c r="D3461" s="20">
        <v>10</v>
      </c>
      <c r="E3461" s="20">
        <v>10</v>
      </c>
      <c r="F3461" s="20">
        <v>10</v>
      </c>
      <c r="G3461" s="19">
        <f t="shared" si="255"/>
        <v>172</v>
      </c>
      <c r="H3461" s="22">
        <f t="shared" si="253"/>
        <v>3460</v>
      </c>
      <c r="I3461" s="21">
        <f t="shared" ca="1" si="252"/>
        <v>0</v>
      </c>
      <c r="J3461" s="21" t="str">
        <f ca="1">IF(I3461=0,"",COUNTIF($I$2:I3461,"&gt;0"))</f>
        <v/>
      </c>
      <c r="K3461" s="21" t="str">
        <f t="shared" ca="1" si="254"/>
        <v/>
      </c>
    </row>
    <row r="3462" spans="1:11" s="18" customFormat="1" ht="14.25" x14ac:dyDescent="0.2">
      <c r="A3462" s="18" t="str">
        <f t="shared" si="251"/>
        <v>Eintrag 3461</v>
      </c>
      <c r="B3462" s="18">
        <v>100</v>
      </c>
      <c r="C3462" s="19">
        <v>100</v>
      </c>
      <c r="D3462" s="20">
        <v>10</v>
      </c>
      <c r="E3462" s="20">
        <v>10</v>
      </c>
      <c r="F3462" s="20">
        <v>10</v>
      </c>
      <c r="G3462" s="19">
        <f t="shared" si="255"/>
        <v>172</v>
      </c>
      <c r="H3462" s="22">
        <f t="shared" si="253"/>
        <v>3461</v>
      </c>
      <c r="I3462" s="21">
        <f t="shared" ca="1" si="252"/>
        <v>0</v>
      </c>
      <c r="J3462" s="21" t="str">
        <f ca="1">IF(I3462=0,"",COUNTIF($I$2:I3462,"&gt;0"))</f>
        <v/>
      </c>
      <c r="K3462" s="21" t="str">
        <f t="shared" ca="1" si="254"/>
        <v/>
      </c>
    </row>
    <row r="3463" spans="1:11" s="18" customFormat="1" ht="14.25" x14ac:dyDescent="0.2">
      <c r="A3463" s="18" t="str">
        <f t="shared" si="251"/>
        <v>Eintrag 3462</v>
      </c>
      <c r="B3463" s="18">
        <v>100</v>
      </c>
      <c r="C3463" s="19">
        <v>100</v>
      </c>
      <c r="D3463" s="20">
        <v>10</v>
      </c>
      <c r="E3463" s="20">
        <v>10</v>
      </c>
      <c r="F3463" s="20">
        <v>10</v>
      </c>
      <c r="G3463" s="19">
        <f t="shared" si="255"/>
        <v>172</v>
      </c>
      <c r="H3463" s="22">
        <f t="shared" si="253"/>
        <v>3462</v>
      </c>
      <c r="I3463" s="21">
        <f t="shared" ca="1" si="252"/>
        <v>0</v>
      </c>
      <c r="J3463" s="21" t="str">
        <f ca="1">IF(I3463=0,"",COUNTIF($I$2:I3463,"&gt;0"))</f>
        <v/>
      </c>
      <c r="K3463" s="21" t="str">
        <f t="shared" ca="1" si="254"/>
        <v/>
      </c>
    </row>
    <row r="3464" spans="1:11" s="18" customFormat="1" ht="14.25" x14ac:dyDescent="0.2">
      <c r="A3464" s="18" t="str">
        <f t="shared" si="251"/>
        <v>Eintrag 3463</v>
      </c>
      <c r="B3464" s="18">
        <v>100</v>
      </c>
      <c r="C3464" s="19">
        <v>100</v>
      </c>
      <c r="D3464" s="20">
        <v>10</v>
      </c>
      <c r="E3464" s="20">
        <v>10</v>
      </c>
      <c r="F3464" s="20">
        <v>10</v>
      </c>
      <c r="G3464" s="19">
        <f t="shared" si="255"/>
        <v>172</v>
      </c>
      <c r="H3464" s="22">
        <f t="shared" si="253"/>
        <v>3463</v>
      </c>
      <c r="I3464" s="21">
        <f t="shared" ca="1" si="252"/>
        <v>0</v>
      </c>
      <c r="J3464" s="21" t="str">
        <f ca="1">IF(I3464=0,"",COUNTIF($I$2:I3464,"&gt;0"))</f>
        <v/>
      </c>
      <c r="K3464" s="21" t="str">
        <f t="shared" ca="1" si="254"/>
        <v/>
      </c>
    </row>
    <row r="3465" spans="1:11" s="18" customFormat="1" ht="14.25" x14ac:dyDescent="0.2">
      <c r="A3465" s="18" t="str">
        <f t="shared" si="251"/>
        <v>Eintrag 3464</v>
      </c>
      <c r="B3465" s="18">
        <v>100</v>
      </c>
      <c r="C3465" s="19">
        <v>100</v>
      </c>
      <c r="D3465" s="20">
        <v>10</v>
      </c>
      <c r="E3465" s="20">
        <v>10</v>
      </c>
      <c r="F3465" s="20">
        <v>10</v>
      </c>
      <c r="G3465" s="19">
        <f t="shared" si="255"/>
        <v>172</v>
      </c>
      <c r="H3465" s="22">
        <f t="shared" si="253"/>
        <v>3464</v>
      </c>
      <c r="I3465" s="21">
        <f t="shared" ca="1" si="252"/>
        <v>0</v>
      </c>
      <c r="J3465" s="21" t="str">
        <f ca="1">IF(I3465=0,"",COUNTIF($I$2:I3465,"&gt;0"))</f>
        <v/>
      </c>
      <c r="K3465" s="21" t="str">
        <f t="shared" ca="1" si="254"/>
        <v/>
      </c>
    </row>
    <row r="3466" spans="1:11" s="18" customFormat="1" ht="14.25" x14ac:dyDescent="0.2">
      <c r="A3466" s="18" t="str">
        <f t="shared" si="251"/>
        <v>Eintrag 3465</v>
      </c>
      <c r="B3466" s="18">
        <v>100</v>
      </c>
      <c r="C3466" s="19">
        <v>100</v>
      </c>
      <c r="D3466" s="20">
        <v>10</v>
      </c>
      <c r="E3466" s="20">
        <v>10</v>
      </c>
      <c r="F3466" s="20">
        <v>10</v>
      </c>
      <c r="G3466" s="19">
        <f t="shared" si="255"/>
        <v>172</v>
      </c>
      <c r="H3466" s="22">
        <f t="shared" si="253"/>
        <v>3465</v>
      </c>
      <c r="I3466" s="21">
        <f t="shared" ca="1" si="252"/>
        <v>0</v>
      </c>
      <c r="J3466" s="21" t="str">
        <f ca="1">IF(I3466=0,"",COUNTIF($I$2:I3466,"&gt;0"))</f>
        <v/>
      </c>
      <c r="K3466" s="21" t="str">
        <f t="shared" ca="1" si="254"/>
        <v/>
      </c>
    </row>
    <row r="3467" spans="1:11" s="18" customFormat="1" ht="14.25" x14ac:dyDescent="0.2">
      <c r="A3467" s="18" t="str">
        <f t="shared" si="251"/>
        <v>Eintrag 3466</v>
      </c>
      <c r="B3467" s="18">
        <v>100</v>
      </c>
      <c r="C3467" s="19">
        <v>100</v>
      </c>
      <c r="D3467" s="20">
        <v>10</v>
      </c>
      <c r="E3467" s="20">
        <v>10</v>
      </c>
      <c r="F3467" s="20">
        <v>10</v>
      </c>
      <c r="G3467" s="19">
        <f t="shared" si="255"/>
        <v>172</v>
      </c>
      <c r="H3467" s="22">
        <f t="shared" si="253"/>
        <v>3466</v>
      </c>
      <c r="I3467" s="21">
        <f t="shared" ca="1" si="252"/>
        <v>0</v>
      </c>
      <c r="J3467" s="21" t="str">
        <f ca="1">IF(I3467=0,"",COUNTIF($I$2:I3467,"&gt;0"))</f>
        <v/>
      </c>
      <c r="K3467" s="21" t="str">
        <f t="shared" ca="1" si="254"/>
        <v/>
      </c>
    </row>
    <row r="3468" spans="1:11" s="18" customFormat="1" ht="14.25" x14ac:dyDescent="0.2">
      <c r="A3468" s="18" t="str">
        <f t="shared" si="251"/>
        <v>Eintrag 3467</v>
      </c>
      <c r="B3468" s="18">
        <v>100</v>
      </c>
      <c r="C3468" s="19">
        <v>100</v>
      </c>
      <c r="D3468" s="20">
        <v>10</v>
      </c>
      <c r="E3468" s="20">
        <v>10</v>
      </c>
      <c r="F3468" s="20">
        <v>10</v>
      </c>
      <c r="G3468" s="19">
        <f t="shared" si="255"/>
        <v>172</v>
      </c>
      <c r="H3468" s="22">
        <f t="shared" si="253"/>
        <v>3467</v>
      </c>
      <c r="I3468" s="21">
        <f t="shared" ca="1" si="252"/>
        <v>0</v>
      </c>
      <c r="J3468" s="21" t="str">
        <f ca="1">IF(I3468=0,"",COUNTIF($I$2:I3468,"&gt;0"))</f>
        <v/>
      </c>
      <c r="K3468" s="21" t="str">
        <f t="shared" ca="1" si="254"/>
        <v/>
      </c>
    </row>
    <row r="3469" spans="1:11" s="18" customFormat="1" ht="14.25" x14ac:dyDescent="0.2">
      <c r="A3469" s="18" t="str">
        <f t="shared" ref="A3469:A3532" si="256">CONCATENATE("Eintrag ",H3469)</f>
        <v>Eintrag 3468</v>
      </c>
      <c r="B3469" s="18">
        <v>100</v>
      </c>
      <c r="C3469" s="19">
        <v>100</v>
      </c>
      <c r="D3469" s="20">
        <v>10</v>
      </c>
      <c r="E3469" s="20">
        <v>10</v>
      </c>
      <c r="F3469" s="20">
        <v>10</v>
      </c>
      <c r="G3469" s="19">
        <f t="shared" si="255"/>
        <v>172</v>
      </c>
      <c r="H3469" s="22">
        <f t="shared" si="253"/>
        <v>3468</v>
      </c>
      <c r="I3469" s="21">
        <f t="shared" ca="1" si="252"/>
        <v>0</v>
      </c>
      <c r="J3469" s="21" t="str">
        <f ca="1">IF(I3469=0,"",COUNTIF($I$2:I3469,"&gt;0"))</f>
        <v/>
      </c>
      <c r="K3469" s="21" t="str">
        <f t="shared" ca="1" si="254"/>
        <v/>
      </c>
    </row>
    <row r="3470" spans="1:11" s="18" customFormat="1" ht="14.25" x14ac:dyDescent="0.2">
      <c r="A3470" s="18" t="str">
        <f t="shared" si="256"/>
        <v>Eintrag 3469</v>
      </c>
      <c r="B3470" s="18">
        <v>100</v>
      </c>
      <c r="C3470" s="19">
        <v>100</v>
      </c>
      <c r="D3470" s="20">
        <v>10</v>
      </c>
      <c r="E3470" s="20">
        <v>10</v>
      </c>
      <c r="F3470" s="20">
        <v>10</v>
      </c>
      <c r="G3470" s="19">
        <f t="shared" si="255"/>
        <v>172</v>
      </c>
      <c r="H3470" s="22">
        <f t="shared" si="253"/>
        <v>3469</v>
      </c>
      <c r="I3470" s="21">
        <f t="shared" ca="1" si="252"/>
        <v>0</v>
      </c>
      <c r="J3470" s="21" t="str">
        <f ca="1">IF(I3470=0,"",COUNTIF($I$2:I3470,"&gt;0"))</f>
        <v/>
      </c>
      <c r="K3470" s="21" t="str">
        <f t="shared" ca="1" si="254"/>
        <v/>
      </c>
    </row>
    <row r="3471" spans="1:11" s="18" customFormat="1" ht="14.25" x14ac:dyDescent="0.2">
      <c r="A3471" s="18" t="str">
        <f t="shared" si="256"/>
        <v>Eintrag 3470</v>
      </c>
      <c r="B3471" s="18">
        <v>100</v>
      </c>
      <c r="C3471" s="19">
        <v>100</v>
      </c>
      <c r="D3471" s="20">
        <v>10</v>
      </c>
      <c r="E3471" s="20">
        <v>10</v>
      </c>
      <c r="F3471" s="20">
        <v>10</v>
      </c>
      <c r="G3471" s="19">
        <f t="shared" si="255"/>
        <v>172</v>
      </c>
      <c r="H3471" s="22">
        <f t="shared" si="253"/>
        <v>3470</v>
      </c>
      <c r="I3471" s="21">
        <f t="shared" ca="1" si="252"/>
        <v>0</v>
      </c>
      <c r="J3471" s="21" t="str">
        <f ca="1">IF(I3471=0,"",COUNTIF($I$2:I3471,"&gt;0"))</f>
        <v/>
      </c>
      <c r="K3471" s="21" t="str">
        <f t="shared" ca="1" si="254"/>
        <v/>
      </c>
    </row>
    <row r="3472" spans="1:11" s="18" customFormat="1" ht="14.25" x14ac:dyDescent="0.2">
      <c r="A3472" s="18" t="str">
        <f t="shared" si="256"/>
        <v>Eintrag 3471</v>
      </c>
      <c r="B3472" s="18">
        <v>100</v>
      </c>
      <c r="C3472" s="19">
        <v>100</v>
      </c>
      <c r="D3472" s="20">
        <v>10</v>
      </c>
      <c r="E3472" s="20">
        <v>10</v>
      </c>
      <c r="F3472" s="20">
        <v>10</v>
      </c>
      <c r="G3472" s="19">
        <f t="shared" si="255"/>
        <v>172</v>
      </c>
      <c r="H3472" s="22">
        <f t="shared" si="253"/>
        <v>3471</v>
      </c>
      <c r="I3472" s="21">
        <f t="shared" ca="1" si="252"/>
        <v>0</v>
      </c>
      <c r="J3472" s="21" t="str">
        <f ca="1">IF(I3472=0,"",COUNTIF($I$2:I3472,"&gt;0"))</f>
        <v/>
      </c>
      <c r="K3472" s="21" t="str">
        <f t="shared" ca="1" si="254"/>
        <v/>
      </c>
    </row>
    <row r="3473" spans="1:11" s="18" customFormat="1" ht="14.25" x14ac:dyDescent="0.2">
      <c r="A3473" s="18" t="str">
        <f t="shared" si="256"/>
        <v>Eintrag 3472</v>
      </c>
      <c r="B3473" s="18">
        <v>100</v>
      </c>
      <c r="C3473" s="19">
        <v>100</v>
      </c>
      <c r="D3473" s="20">
        <v>10</v>
      </c>
      <c r="E3473" s="20">
        <v>10</v>
      </c>
      <c r="F3473" s="20">
        <v>10</v>
      </c>
      <c r="G3473" s="19">
        <f t="shared" si="255"/>
        <v>172</v>
      </c>
      <c r="H3473" s="22">
        <f t="shared" si="253"/>
        <v>3472</v>
      </c>
      <c r="I3473" s="21">
        <f t="shared" ca="1" si="252"/>
        <v>0</v>
      </c>
      <c r="J3473" s="21" t="str">
        <f ca="1">IF(I3473=0,"",COUNTIF($I$2:I3473,"&gt;0"))</f>
        <v/>
      </c>
      <c r="K3473" s="21" t="str">
        <f t="shared" ca="1" si="254"/>
        <v/>
      </c>
    </row>
    <row r="3474" spans="1:11" s="18" customFormat="1" ht="14.25" x14ac:dyDescent="0.2">
      <c r="A3474" s="18" t="str">
        <f t="shared" si="256"/>
        <v>Eintrag 3473</v>
      </c>
      <c r="B3474" s="18">
        <v>100</v>
      </c>
      <c r="C3474" s="19">
        <v>100</v>
      </c>
      <c r="D3474" s="20">
        <v>10</v>
      </c>
      <c r="E3474" s="20">
        <v>10</v>
      </c>
      <c r="F3474" s="20">
        <v>10</v>
      </c>
      <c r="G3474" s="19">
        <f t="shared" si="255"/>
        <v>172</v>
      </c>
      <c r="H3474" s="22">
        <f t="shared" si="253"/>
        <v>3473</v>
      </c>
      <c r="I3474" s="21">
        <f t="shared" ca="1" si="252"/>
        <v>0</v>
      </c>
      <c r="J3474" s="21" t="str">
        <f ca="1">IF(I3474=0,"",COUNTIF($I$2:I3474,"&gt;0"))</f>
        <v/>
      </c>
      <c r="K3474" s="21" t="str">
        <f t="shared" ca="1" si="254"/>
        <v/>
      </c>
    </row>
    <row r="3475" spans="1:11" s="18" customFormat="1" ht="14.25" x14ac:dyDescent="0.2">
      <c r="A3475" s="18" t="str">
        <f t="shared" si="256"/>
        <v>Eintrag 3474</v>
      </c>
      <c r="B3475" s="18">
        <v>100</v>
      </c>
      <c r="C3475" s="19">
        <v>100</v>
      </c>
      <c r="D3475" s="20">
        <v>10</v>
      </c>
      <c r="E3475" s="20">
        <v>10</v>
      </c>
      <c r="F3475" s="20">
        <v>10</v>
      </c>
      <c r="G3475" s="19">
        <f t="shared" si="255"/>
        <v>172</v>
      </c>
      <c r="H3475" s="22">
        <f t="shared" si="253"/>
        <v>3474</v>
      </c>
      <c r="I3475" s="21">
        <f t="shared" ca="1" si="252"/>
        <v>0</v>
      </c>
      <c r="J3475" s="21" t="str">
        <f ca="1">IF(I3475=0,"",COUNTIF($I$2:I3475,"&gt;0"))</f>
        <v/>
      </c>
      <c r="K3475" s="21" t="str">
        <f t="shared" ca="1" si="254"/>
        <v/>
      </c>
    </row>
    <row r="3476" spans="1:11" s="18" customFormat="1" ht="14.25" x14ac:dyDescent="0.2">
      <c r="A3476" s="18" t="str">
        <f t="shared" si="256"/>
        <v>Eintrag 3475</v>
      </c>
      <c r="B3476" s="18">
        <v>100</v>
      </c>
      <c r="C3476" s="19">
        <v>100</v>
      </c>
      <c r="D3476" s="20">
        <v>10</v>
      </c>
      <c r="E3476" s="20">
        <v>10</v>
      </c>
      <c r="F3476" s="20">
        <v>10</v>
      </c>
      <c r="G3476" s="19">
        <f t="shared" si="255"/>
        <v>172</v>
      </c>
      <c r="H3476" s="22">
        <f t="shared" si="253"/>
        <v>3475</v>
      </c>
      <c r="I3476" s="21">
        <f t="shared" ca="1" si="252"/>
        <v>0</v>
      </c>
      <c r="J3476" s="21" t="str">
        <f ca="1">IF(I3476=0,"",COUNTIF($I$2:I3476,"&gt;0"))</f>
        <v/>
      </c>
      <c r="K3476" s="21" t="str">
        <f t="shared" ca="1" si="254"/>
        <v/>
      </c>
    </row>
    <row r="3477" spans="1:11" s="18" customFormat="1" ht="14.25" x14ac:dyDescent="0.2">
      <c r="A3477" s="18" t="str">
        <f t="shared" si="256"/>
        <v>Eintrag 3476</v>
      </c>
      <c r="B3477" s="18">
        <v>100</v>
      </c>
      <c r="C3477" s="19">
        <v>100</v>
      </c>
      <c r="D3477" s="20">
        <v>10</v>
      </c>
      <c r="E3477" s="20">
        <v>10</v>
      </c>
      <c r="F3477" s="20">
        <v>10</v>
      </c>
      <c r="G3477" s="19">
        <f t="shared" si="255"/>
        <v>172</v>
      </c>
      <c r="H3477" s="22">
        <f t="shared" si="253"/>
        <v>3476</v>
      </c>
      <c r="I3477" s="21">
        <f t="shared" ca="1" si="252"/>
        <v>0</v>
      </c>
      <c r="J3477" s="21" t="str">
        <f ca="1">IF(I3477=0,"",COUNTIF($I$2:I3477,"&gt;0"))</f>
        <v/>
      </c>
      <c r="K3477" s="21" t="str">
        <f t="shared" ca="1" si="254"/>
        <v/>
      </c>
    </row>
    <row r="3478" spans="1:11" s="18" customFormat="1" ht="14.25" x14ac:dyDescent="0.2">
      <c r="A3478" s="18" t="str">
        <f t="shared" si="256"/>
        <v>Eintrag 3477</v>
      </c>
      <c r="B3478" s="18">
        <v>100</v>
      </c>
      <c r="C3478" s="19">
        <v>100</v>
      </c>
      <c r="D3478" s="20">
        <v>10</v>
      </c>
      <c r="E3478" s="20">
        <v>10</v>
      </c>
      <c r="F3478" s="20">
        <v>10</v>
      </c>
      <c r="G3478" s="19">
        <f t="shared" si="255"/>
        <v>172</v>
      </c>
      <c r="H3478" s="22">
        <f t="shared" si="253"/>
        <v>3477</v>
      </c>
      <c r="I3478" s="21">
        <f t="shared" ca="1" si="252"/>
        <v>0</v>
      </c>
      <c r="J3478" s="21" t="str">
        <f ca="1">IF(I3478=0,"",COUNTIF($I$2:I3478,"&gt;0"))</f>
        <v/>
      </c>
      <c r="K3478" s="21" t="str">
        <f t="shared" ca="1" si="254"/>
        <v/>
      </c>
    </row>
    <row r="3479" spans="1:11" s="18" customFormat="1" ht="14.25" x14ac:dyDescent="0.2">
      <c r="A3479" s="18" t="str">
        <f t="shared" si="256"/>
        <v>Eintrag 3478</v>
      </c>
      <c r="B3479" s="18">
        <v>100</v>
      </c>
      <c r="C3479" s="19">
        <v>100</v>
      </c>
      <c r="D3479" s="20">
        <v>10</v>
      </c>
      <c r="E3479" s="20">
        <v>10</v>
      </c>
      <c r="F3479" s="20">
        <v>10</v>
      </c>
      <c r="G3479" s="19">
        <f t="shared" si="255"/>
        <v>172</v>
      </c>
      <c r="H3479" s="22">
        <f t="shared" si="253"/>
        <v>3478</v>
      </c>
      <c r="I3479" s="21">
        <f t="shared" ca="1" si="252"/>
        <v>0</v>
      </c>
      <c r="J3479" s="21" t="str">
        <f ca="1">IF(I3479=0,"",COUNTIF($I$2:I3479,"&gt;0"))</f>
        <v/>
      </c>
      <c r="K3479" s="21" t="str">
        <f t="shared" ca="1" si="254"/>
        <v/>
      </c>
    </row>
    <row r="3480" spans="1:11" s="18" customFormat="1" ht="14.25" x14ac:dyDescent="0.2">
      <c r="A3480" s="18" t="str">
        <f t="shared" si="256"/>
        <v>Eintrag 3479</v>
      </c>
      <c r="B3480" s="18">
        <v>100</v>
      </c>
      <c r="C3480" s="19">
        <v>100</v>
      </c>
      <c r="D3480" s="20">
        <v>10</v>
      </c>
      <c r="E3480" s="20">
        <v>10</v>
      </c>
      <c r="F3480" s="20">
        <v>10</v>
      </c>
      <c r="G3480" s="19">
        <f t="shared" si="255"/>
        <v>172</v>
      </c>
      <c r="H3480" s="22">
        <f t="shared" si="253"/>
        <v>3479</v>
      </c>
      <c r="I3480" s="21">
        <f t="shared" ca="1" si="252"/>
        <v>0</v>
      </c>
      <c r="J3480" s="21" t="str">
        <f ca="1">IF(I3480=0,"",COUNTIF($I$2:I3480,"&gt;0"))</f>
        <v/>
      </c>
      <c r="K3480" s="21" t="str">
        <f t="shared" ca="1" si="254"/>
        <v/>
      </c>
    </row>
    <row r="3481" spans="1:11" s="18" customFormat="1" ht="14.25" x14ac:dyDescent="0.2">
      <c r="A3481" s="18" t="str">
        <f t="shared" si="256"/>
        <v>Eintrag 3480</v>
      </c>
      <c r="B3481" s="18">
        <v>100</v>
      </c>
      <c r="C3481" s="19">
        <v>100</v>
      </c>
      <c r="D3481" s="20">
        <v>10</v>
      </c>
      <c r="E3481" s="20">
        <v>10</v>
      </c>
      <c r="F3481" s="20">
        <v>10</v>
      </c>
      <c r="G3481" s="19">
        <f t="shared" si="255"/>
        <v>172</v>
      </c>
      <c r="H3481" s="22">
        <f t="shared" si="253"/>
        <v>3480</v>
      </c>
      <c r="I3481" s="21">
        <f t="shared" ca="1" si="252"/>
        <v>0</v>
      </c>
      <c r="J3481" s="21" t="str">
        <f ca="1">IF(I3481=0,"",COUNTIF($I$2:I3481,"&gt;0"))</f>
        <v/>
      </c>
      <c r="K3481" s="21" t="str">
        <f t="shared" ca="1" si="254"/>
        <v/>
      </c>
    </row>
    <row r="3482" spans="1:11" s="18" customFormat="1" ht="14.25" x14ac:dyDescent="0.2">
      <c r="A3482" s="18" t="str">
        <f t="shared" si="256"/>
        <v>Eintrag 3481</v>
      </c>
      <c r="B3482" s="18">
        <v>100</v>
      </c>
      <c r="C3482" s="19">
        <v>100</v>
      </c>
      <c r="D3482" s="20">
        <v>10</v>
      </c>
      <c r="E3482" s="20">
        <v>10</v>
      </c>
      <c r="F3482" s="20">
        <v>10</v>
      </c>
      <c r="G3482" s="19">
        <f t="shared" si="255"/>
        <v>172</v>
      </c>
      <c r="H3482" s="22">
        <f t="shared" si="253"/>
        <v>3481</v>
      </c>
      <c r="I3482" s="21">
        <f t="shared" ca="1" si="252"/>
        <v>0</v>
      </c>
      <c r="J3482" s="21" t="str">
        <f ca="1">IF(I3482=0,"",COUNTIF($I$2:I3482,"&gt;0"))</f>
        <v/>
      </c>
      <c r="K3482" s="21" t="str">
        <f t="shared" ca="1" si="254"/>
        <v/>
      </c>
    </row>
    <row r="3483" spans="1:11" s="18" customFormat="1" ht="14.25" x14ac:dyDescent="0.2">
      <c r="A3483" s="18" t="str">
        <f t="shared" si="256"/>
        <v>Eintrag 3482</v>
      </c>
      <c r="B3483" s="18">
        <v>100</v>
      </c>
      <c r="C3483" s="19">
        <v>100</v>
      </c>
      <c r="D3483" s="20">
        <v>10</v>
      </c>
      <c r="E3483" s="20">
        <v>10</v>
      </c>
      <c r="F3483" s="20">
        <v>10</v>
      </c>
      <c r="G3483" s="19">
        <f t="shared" si="255"/>
        <v>172</v>
      </c>
      <c r="H3483" s="22">
        <f t="shared" si="253"/>
        <v>3482</v>
      </c>
      <c r="I3483" s="21">
        <f t="shared" ca="1" si="252"/>
        <v>0</v>
      </c>
      <c r="J3483" s="21" t="str">
        <f ca="1">IF(I3483=0,"",COUNTIF($I$2:I3483,"&gt;0"))</f>
        <v/>
      </c>
      <c r="K3483" s="21" t="str">
        <f t="shared" ca="1" si="254"/>
        <v/>
      </c>
    </row>
    <row r="3484" spans="1:11" s="18" customFormat="1" ht="14.25" x14ac:dyDescent="0.2">
      <c r="A3484" s="18" t="str">
        <f t="shared" si="256"/>
        <v>Eintrag 3483</v>
      </c>
      <c r="B3484" s="18">
        <v>100</v>
      </c>
      <c r="C3484" s="19">
        <v>100</v>
      </c>
      <c r="D3484" s="20">
        <v>10</v>
      </c>
      <c r="E3484" s="20">
        <v>10</v>
      </c>
      <c r="F3484" s="20">
        <v>10</v>
      </c>
      <c r="G3484" s="19">
        <f t="shared" si="255"/>
        <v>172</v>
      </c>
      <c r="H3484" s="22">
        <f t="shared" si="253"/>
        <v>3483</v>
      </c>
      <c r="I3484" s="21">
        <f t="shared" ca="1" si="252"/>
        <v>0</v>
      </c>
      <c r="J3484" s="21" t="str">
        <f ca="1">IF(I3484=0,"",COUNTIF($I$2:I3484,"&gt;0"))</f>
        <v/>
      </c>
      <c r="K3484" s="21" t="str">
        <f t="shared" ca="1" si="254"/>
        <v/>
      </c>
    </row>
    <row r="3485" spans="1:11" s="18" customFormat="1" ht="14.25" x14ac:dyDescent="0.2">
      <c r="A3485" s="18" t="str">
        <f t="shared" si="256"/>
        <v>Eintrag 3484</v>
      </c>
      <c r="B3485" s="18">
        <v>100</v>
      </c>
      <c r="C3485" s="19">
        <v>100</v>
      </c>
      <c r="D3485" s="20">
        <v>10</v>
      </c>
      <c r="E3485" s="20">
        <v>10</v>
      </c>
      <c r="F3485" s="20">
        <v>10</v>
      </c>
      <c r="G3485" s="19">
        <f t="shared" si="255"/>
        <v>172</v>
      </c>
      <c r="H3485" s="22">
        <f t="shared" si="253"/>
        <v>3484</v>
      </c>
      <c r="I3485" s="21">
        <f t="shared" ca="1" si="252"/>
        <v>0</v>
      </c>
      <c r="J3485" s="21" t="str">
        <f ca="1">IF(I3485=0,"",COUNTIF($I$2:I3485,"&gt;0"))</f>
        <v/>
      </c>
      <c r="K3485" s="21" t="str">
        <f t="shared" ca="1" si="254"/>
        <v/>
      </c>
    </row>
    <row r="3486" spans="1:11" s="18" customFormat="1" ht="14.25" x14ac:dyDescent="0.2">
      <c r="A3486" s="18" t="str">
        <f t="shared" si="256"/>
        <v>Eintrag 3485</v>
      </c>
      <c r="B3486" s="18">
        <v>100</v>
      </c>
      <c r="C3486" s="19">
        <v>100</v>
      </c>
      <c r="D3486" s="20">
        <v>10</v>
      </c>
      <c r="E3486" s="20">
        <v>10</v>
      </c>
      <c r="F3486" s="20">
        <v>10</v>
      </c>
      <c r="G3486" s="19">
        <f t="shared" si="255"/>
        <v>172</v>
      </c>
      <c r="H3486" s="22">
        <f t="shared" si="253"/>
        <v>3485</v>
      </c>
      <c r="I3486" s="21">
        <f t="shared" ref="I3486:I3549" ca="1" si="257">IFERROR(SEARCH(INDIRECT(CELL("address")),A3486),0)</f>
        <v>0</v>
      </c>
      <c r="J3486" s="21" t="str">
        <f ca="1">IF(I3486=0,"",COUNTIF($I$2:I3486,"&gt;0"))</f>
        <v/>
      </c>
      <c r="K3486" s="21" t="str">
        <f t="shared" ca="1" si="254"/>
        <v/>
      </c>
    </row>
    <row r="3487" spans="1:11" s="18" customFormat="1" ht="14.25" x14ac:dyDescent="0.2">
      <c r="A3487" s="18" t="str">
        <f t="shared" si="256"/>
        <v>Eintrag 3486</v>
      </c>
      <c r="B3487" s="18">
        <v>100</v>
      </c>
      <c r="C3487" s="19">
        <v>100</v>
      </c>
      <c r="D3487" s="20">
        <v>10</v>
      </c>
      <c r="E3487" s="20">
        <v>10</v>
      </c>
      <c r="F3487" s="20">
        <v>10</v>
      </c>
      <c r="G3487" s="19">
        <f t="shared" si="255"/>
        <v>172</v>
      </c>
      <c r="H3487" s="22">
        <f t="shared" si="253"/>
        <v>3486</v>
      </c>
      <c r="I3487" s="21">
        <f t="shared" ca="1" si="257"/>
        <v>0</v>
      </c>
      <c r="J3487" s="21" t="str">
        <f ca="1">IF(I3487=0,"",COUNTIF($I$2:I3487,"&gt;0"))</f>
        <v/>
      </c>
      <c r="K3487" s="21" t="str">
        <f t="shared" ca="1" si="254"/>
        <v/>
      </c>
    </row>
    <row r="3488" spans="1:11" s="18" customFormat="1" ht="14.25" x14ac:dyDescent="0.2">
      <c r="A3488" s="18" t="str">
        <f t="shared" si="256"/>
        <v>Eintrag 3487</v>
      </c>
      <c r="B3488" s="18">
        <v>100</v>
      </c>
      <c r="C3488" s="19">
        <v>100</v>
      </c>
      <c r="D3488" s="20">
        <v>10</v>
      </c>
      <c r="E3488" s="20">
        <v>10</v>
      </c>
      <c r="F3488" s="20">
        <v>10</v>
      </c>
      <c r="G3488" s="19">
        <f t="shared" si="255"/>
        <v>172</v>
      </c>
      <c r="H3488" s="22">
        <f t="shared" si="253"/>
        <v>3487</v>
      </c>
      <c r="I3488" s="21">
        <f t="shared" ca="1" si="257"/>
        <v>0</v>
      </c>
      <c r="J3488" s="21" t="str">
        <f ca="1">IF(I3488=0,"",COUNTIF($I$2:I3488,"&gt;0"))</f>
        <v/>
      </c>
      <c r="K3488" s="21" t="str">
        <f t="shared" ca="1" si="254"/>
        <v/>
      </c>
    </row>
    <row r="3489" spans="1:11" s="18" customFormat="1" ht="14.25" x14ac:dyDescent="0.2">
      <c r="A3489" s="18" t="str">
        <f t="shared" si="256"/>
        <v>Eintrag 3488</v>
      </c>
      <c r="B3489" s="18">
        <v>100</v>
      </c>
      <c r="C3489" s="19">
        <v>100</v>
      </c>
      <c r="D3489" s="20">
        <v>10</v>
      </c>
      <c r="E3489" s="20">
        <v>10</v>
      </c>
      <c r="F3489" s="20">
        <v>10</v>
      </c>
      <c r="G3489" s="19">
        <f t="shared" si="255"/>
        <v>172</v>
      </c>
      <c r="H3489" s="22">
        <f t="shared" si="253"/>
        <v>3488</v>
      </c>
      <c r="I3489" s="21">
        <f t="shared" ca="1" si="257"/>
        <v>0</v>
      </c>
      <c r="J3489" s="21" t="str">
        <f ca="1">IF(I3489=0,"",COUNTIF($I$2:I3489,"&gt;0"))</f>
        <v/>
      </c>
      <c r="K3489" s="21" t="str">
        <f t="shared" ca="1" si="254"/>
        <v/>
      </c>
    </row>
    <row r="3490" spans="1:11" s="18" customFormat="1" ht="14.25" x14ac:dyDescent="0.2">
      <c r="A3490" s="18" t="str">
        <f t="shared" si="256"/>
        <v>Eintrag 3489</v>
      </c>
      <c r="B3490" s="18">
        <v>100</v>
      </c>
      <c r="C3490" s="19">
        <v>100</v>
      </c>
      <c r="D3490" s="20">
        <v>10</v>
      </c>
      <c r="E3490" s="20">
        <v>10</v>
      </c>
      <c r="F3490" s="20">
        <v>10</v>
      </c>
      <c r="G3490" s="19">
        <f t="shared" si="255"/>
        <v>172</v>
      </c>
      <c r="H3490" s="22">
        <f t="shared" si="253"/>
        <v>3489</v>
      </c>
      <c r="I3490" s="21">
        <f t="shared" ca="1" si="257"/>
        <v>0</v>
      </c>
      <c r="J3490" s="21" t="str">
        <f ca="1">IF(I3490=0,"",COUNTIF($I$2:I3490,"&gt;0"))</f>
        <v/>
      </c>
      <c r="K3490" s="21" t="str">
        <f t="shared" ca="1" si="254"/>
        <v/>
      </c>
    </row>
    <row r="3491" spans="1:11" s="18" customFormat="1" ht="14.25" x14ac:dyDescent="0.2">
      <c r="A3491" s="18" t="str">
        <f t="shared" si="256"/>
        <v>Eintrag 3490</v>
      </c>
      <c r="B3491" s="18">
        <v>100</v>
      </c>
      <c r="C3491" s="19">
        <v>100</v>
      </c>
      <c r="D3491" s="20">
        <v>10</v>
      </c>
      <c r="E3491" s="20">
        <v>10</v>
      </c>
      <c r="F3491" s="20">
        <v>10</v>
      </c>
      <c r="G3491" s="19">
        <f t="shared" si="255"/>
        <v>172</v>
      </c>
      <c r="H3491" s="22">
        <f t="shared" si="253"/>
        <v>3490</v>
      </c>
      <c r="I3491" s="21">
        <f t="shared" ca="1" si="257"/>
        <v>0</v>
      </c>
      <c r="J3491" s="21" t="str">
        <f ca="1">IF(I3491=0,"",COUNTIF($I$2:I3491,"&gt;0"))</f>
        <v/>
      </c>
      <c r="K3491" s="21" t="str">
        <f t="shared" ca="1" si="254"/>
        <v/>
      </c>
    </row>
    <row r="3492" spans="1:11" s="18" customFormat="1" ht="14.25" x14ac:dyDescent="0.2">
      <c r="A3492" s="18" t="str">
        <f t="shared" si="256"/>
        <v>Eintrag 3491</v>
      </c>
      <c r="B3492" s="18">
        <v>100</v>
      </c>
      <c r="C3492" s="19">
        <v>100</v>
      </c>
      <c r="D3492" s="20">
        <v>10</v>
      </c>
      <c r="E3492" s="20">
        <v>10</v>
      </c>
      <c r="F3492" s="20">
        <v>10</v>
      </c>
      <c r="G3492" s="19">
        <f t="shared" si="255"/>
        <v>172</v>
      </c>
      <c r="H3492" s="22">
        <f t="shared" si="253"/>
        <v>3491</v>
      </c>
      <c r="I3492" s="21">
        <f t="shared" ca="1" si="257"/>
        <v>0</v>
      </c>
      <c r="J3492" s="21" t="str">
        <f ca="1">IF(I3492=0,"",COUNTIF($I$2:I3492,"&gt;0"))</f>
        <v/>
      </c>
      <c r="K3492" s="21" t="str">
        <f t="shared" ca="1" si="254"/>
        <v/>
      </c>
    </row>
    <row r="3493" spans="1:11" s="18" customFormat="1" ht="14.25" x14ac:dyDescent="0.2">
      <c r="A3493" s="18" t="str">
        <f t="shared" si="256"/>
        <v>Eintrag 3492</v>
      </c>
      <c r="B3493" s="18">
        <v>100</v>
      </c>
      <c r="C3493" s="19">
        <v>100</v>
      </c>
      <c r="D3493" s="20">
        <v>10</v>
      </c>
      <c r="E3493" s="20">
        <v>10</v>
      </c>
      <c r="F3493" s="20">
        <v>10</v>
      </c>
      <c r="G3493" s="19">
        <f t="shared" si="255"/>
        <v>172</v>
      </c>
      <c r="H3493" s="22">
        <f t="shared" ref="H3493:H3556" si="258">H3492+1</f>
        <v>3492</v>
      </c>
      <c r="I3493" s="21">
        <f t="shared" ca="1" si="257"/>
        <v>0</v>
      </c>
      <c r="J3493" s="21" t="str">
        <f ca="1">IF(I3493=0,"",COUNTIF($I$2:I3493,"&gt;0"))</f>
        <v/>
      </c>
      <c r="K3493" s="21" t="str">
        <f t="shared" ca="1" si="254"/>
        <v/>
      </c>
    </row>
    <row r="3494" spans="1:11" s="18" customFormat="1" ht="14.25" x14ac:dyDescent="0.2">
      <c r="A3494" s="18" t="str">
        <f t="shared" si="256"/>
        <v>Eintrag 3493</v>
      </c>
      <c r="B3494" s="18">
        <v>100</v>
      </c>
      <c r="C3494" s="19">
        <v>100</v>
      </c>
      <c r="D3494" s="20">
        <v>10</v>
      </c>
      <c r="E3494" s="20">
        <v>10</v>
      </c>
      <c r="F3494" s="20">
        <v>10</v>
      </c>
      <c r="G3494" s="19">
        <f t="shared" si="255"/>
        <v>172</v>
      </c>
      <c r="H3494" s="22">
        <f t="shared" si="258"/>
        <v>3493</v>
      </c>
      <c r="I3494" s="21">
        <f t="shared" ca="1" si="257"/>
        <v>0</v>
      </c>
      <c r="J3494" s="21" t="str">
        <f ca="1">IF(I3494=0,"",COUNTIF($I$2:I3494,"&gt;0"))</f>
        <v/>
      </c>
      <c r="K3494" s="21" t="str">
        <f t="shared" ca="1" si="254"/>
        <v/>
      </c>
    </row>
    <row r="3495" spans="1:11" s="18" customFormat="1" ht="14.25" x14ac:dyDescent="0.2">
      <c r="A3495" s="18" t="str">
        <f t="shared" si="256"/>
        <v>Eintrag 3494</v>
      </c>
      <c r="B3495" s="18">
        <v>100</v>
      </c>
      <c r="C3495" s="19">
        <v>100</v>
      </c>
      <c r="D3495" s="20">
        <v>10</v>
      </c>
      <c r="E3495" s="20">
        <v>10</v>
      </c>
      <c r="F3495" s="20">
        <v>10</v>
      </c>
      <c r="G3495" s="19">
        <f t="shared" si="255"/>
        <v>172</v>
      </c>
      <c r="H3495" s="22">
        <f t="shared" si="258"/>
        <v>3494</v>
      </c>
      <c r="I3495" s="21">
        <f t="shared" ca="1" si="257"/>
        <v>0</v>
      </c>
      <c r="J3495" s="21" t="str">
        <f ca="1">IF(I3495=0,"",COUNTIF($I$2:I3495,"&gt;0"))</f>
        <v/>
      </c>
      <c r="K3495" s="21" t="str">
        <f t="shared" ca="1" si="254"/>
        <v/>
      </c>
    </row>
    <row r="3496" spans="1:11" s="18" customFormat="1" ht="14.25" x14ac:dyDescent="0.2">
      <c r="A3496" s="18" t="str">
        <f t="shared" si="256"/>
        <v>Eintrag 3495</v>
      </c>
      <c r="B3496" s="18">
        <v>100</v>
      </c>
      <c r="C3496" s="19">
        <v>100</v>
      </c>
      <c r="D3496" s="20">
        <v>10</v>
      </c>
      <c r="E3496" s="20">
        <v>10</v>
      </c>
      <c r="F3496" s="20">
        <v>10</v>
      </c>
      <c r="G3496" s="19">
        <f t="shared" si="255"/>
        <v>172</v>
      </c>
      <c r="H3496" s="22">
        <f t="shared" si="258"/>
        <v>3495</v>
      </c>
      <c r="I3496" s="21">
        <f t="shared" ca="1" si="257"/>
        <v>0</v>
      </c>
      <c r="J3496" s="21" t="str">
        <f ca="1">IF(I3496=0,"",COUNTIF($I$2:I3496,"&gt;0"))</f>
        <v/>
      </c>
      <c r="K3496" s="21" t="str">
        <f t="shared" ca="1" si="254"/>
        <v/>
      </c>
    </row>
    <row r="3497" spans="1:11" s="18" customFormat="1" ht="14.25" x14ac:dyDescent="0.2">
      <c r="A3497" s="18" t="str">
        <f t="shared" si="256"/>
        <v>Eintrag 3496</v>
      </c>
      <c r="B3497" s="18">
        <v>100</v>
      </c>
      <c r="C3497" s="19">
        <v>100</v>
      </c>
      <c r="D3497" s="20">
        <v>10</v>
      </c>
      <c r="E3497" s="20">
        <v>10</v>
      </c>
      <c r="F3497" s="20">
        <v>10</v>
      </c>
      <c r="G3497" s="19">
        <f t="shared" si="255"/>
        <v>172</v>
      </c>
      <c r="H3497" s="22">
        <f t="shared" si="258"/>
        <v>3496</v>
      </c>
      <c r="I3497" s="21">
        <f t="shared" ca="1" si="257"/>
        <v>0</v>
      </c>
      <c r="J3497" s="21" t="str">
        <f ca="1">IF(I3497=0,"",COUNTIF($I$2:I3497,"&gt;0"))</f>
        <v/>
      </c>
      <c r="K3497" s="21" t="str">
        <f t="shared" ca="1" si="254"/>
        <v/>
      </c>
    </row>
    <row r="3498" spans="1:11" s="18" customFormat="1" ht="14.25" x14ac:dyDescent="0.2">
      <c r="A3498" s="18" t="str">
        <f t="shared" si="256"/>
        <v>Eintrag 3497</v>
      </c>
      <c r="B3498" s="18">
        <v>100</v>
      </c>
      <c r="C3498" s="19">
        <v>100</v>
      </c>
      <c r="D3498" s="20">
        <v>10</v>
      </c>
      <c r="E3498" s="20">
        <v>10</v>
      </c>
      <c r="F3498" s="20">
        <v>10</v>
      </c>
      <c r="G3498" s="19">
        <f t="shared" si="255"/>
        <v>172</v>
      </c>
      <c r="H3498" s="22">
        <f t="shared" si="258"/>
        <v>3497</v>
      </c>
      <c r="I3498" s="21">
        <f t="shared" ca="1" si="257"/>
        <v>0</v>
      </c>
      <c r="J3498" s="21" t="str">
        <f ca="1">IF(I3498=0,"",COUNTIF($I$2:I3498,"&gt;0"))</f>
        <v/>
      </c>
      <c r="K3498" s="21" t="str">
        <f t="shared" ca="1" si="254"/>
        <v/>
      </c>
    </row>
    <row r="3499" spans="1:11" s="18" customFormat="1" ht="14.25" x14ac:dyDescent="0.2">
      <c r="A3499" s="18" t="str">
        <f t="shared" si="256"/>
        <v>Eintrag 3498</v>
      </c>
      <c r="B3499" s="18">
        <v>100</v>
      </c>
      <c r="C3499" s="19">
        <v>100</v>
      </c>
      <c r="D3499" s="20">
        <v>10</v>
      </c>
      <c r="E3499" s="20">
        <v>10</v>
      </c>
      <c r="F3499" s="20">
        <v>10</v>
      </c>
      <c r="G3499" s="19">
        <f t="shared" si="255"/>
        <v>172</v>
      </c>
      <c r="H3499" s="22">
        <f t="shared" si="258"/>
        <v>3498</v>
      </c>
      <c r="I3499" s="21">
        <f t="shared" ca="1" si="257"/>
        <v>0</v>
      </c>
      <c r="J3499" s="21" t="str">
        <f ca="1">IF(I3499=0,"",COUNTIF($I$2:I3499,"&gt;0"))</f>
        <v/>
      </c>
      <c r="K3499" s="21" t="str">
        <f t="shared" ca="1" si="254"/>
        <v/>
      </c>
    </row>
    <row r="3500" spans="1:11" s="18" customFormat="1" ht="14.25" x14ac:dyDescent="0.2">
      <c r="A3500" s="18" t="str">
        <f t="shared" si="256"/>
        <v>Eintrag 3499</v>
      </c>
      <c r="B3500" s="18">
        <v>100</v>
      </c>
      <c r="C3500" s="19">
        <v>100</v>
      </c>
      <c r="D3500" s="20">
        <v>10</v>
      </c>
      <c r="E3500" s="20">
        <v>10</v>
      </c>
      <c r="F3500" s="20">
        <v>10</v>
      </c>
      <c r="G3500" s="19">
        <f t="shared" si="255"/>
        <v>172</v>
      </c>
      <c r="H3500" s="22">
        <f t="shared" si="258"/>
        <v>3499</v>
      </c>
      <c r="I3500" s="21">
        <f t="shared" ca="1" si="257"/>
        <v>0</v>
      </c>
      <c r="J3500" s="21" t="str">
        <f ca="1">IF(I3500=0,"",COUNTIF($I$2:I3500,"&gt;0"))</f>
        <v/>
      </c>
      <c r="K3500" s="21" t="str">
        <f t="shared" ca="1" si="254"/>
        <v/>
      </c>
    </row>
    <row r="3501" spans="1:11" s="18" customFormat="1" ht="14.25" x14ac:dyDescent="0.2">
      <c r="A3501" s="18" t="str">
        <f t="shared" si="256"/>
        <v>Eintrag 3500</v>
      </c>
      <c r="B3501" s="18">
        <v>100</v>
      </c>
      <c r="C3501" s="19">
        <v>100</v>
      </c>
      <c r="D3501" s="20">
        <v>10</v>
      </c>
      <c r="E3501" s="20">
        <v>10</v>
      </c>
      <c r="F3501" s="20">
        <v>10</v>
      </c>
      <c r="G3501" s="19">
        <f t="shared" si="255"/>
        <v>172</v>
      </c>
      <c r="H3501" s="22">
        <f t="shared" si="258"/>
        <v>3500</v>
      </c>
      <c r="I3501" s="21">
        <f t="shared" ca="1" si="257"/>
        <v>0</v>
      </c>
      <c r="J3501" s="21" t="str">
        <f ca="1">IF(I3501=0,"",COUNTIF($I$2:I3501,"&gt;0"))</f>
        <v/>
      </c>
      <c r="K3501" s="21" t="str">
        <f t="shared" ca="1" si="254"/>
        <v/>
      </c>
    </row>
    <row r="3502" spans="1:11" s="18" customFormat="1" ht="14.25" x14ac:dyDescent="0.2">
      <c r="A3502" s="18" t="str">
        <f t="shared" si="256"/>
        <v>Eintrag 3501</v>
      </c>
      <c r="B3502" s="18">
        <v>100</v>
      </c>
      <c r="C3502" s="19">
        <v>100</v>
      </c>
      <c r="D3502" s="20">
        <v>10</v>
      </c>
      <c r="E3502" s="20">
        <v>10</v>
      </c>
      <c r="F3502" s="20">
        <v>10</v>
      </c>
      <c r="G3502" s="19">
        <f t="shared" si="255"/>
        <v>172</v>
      </c>
      <c r="H3502" s="22">
        <f t="shared" si="258"/>
        <v>3501</v>
      </c>
      <c r="I3502" s="21">
        <f t="shared" ca="1" si="257"/>
        <v>0</v>
      </c>
      <c r="J3502" s="21" t="str">
        <f ca="1">IF(I3502=0,"",COUNTIF($I$2:I3502,"&gt;0"))</f>
        <v/>
      </c>
      <c r="K3502" s="21" t="str">
        <f t="shared" ca="1" si="254"/>
        <v/>
      </c>
    </row>
    <row r="3503" spans="1:11" s="18" customFormat="1" ht="14.25" x14ac:dyDescent="0.2">
      <c r="A3503" s="18" t="str">
        <f t="shared" si="256"/>
        <v>Eintrag 3502</v>
      </c>
      <c r="B3503" s="18">
        <v>100</v>
      </c>
      <c r="C3503" s="19">
        <v>100</v>
      </c>
      <c r="D3503" s="20">
        <v>10</v>
      </c>
      <c r="E3503" s="20">
        <v>10</v>
      </c>
      <c r="F3503" s="20">
        <v>10</v>
      </c>
      <c r="G3503" s="19">
        <f t="shared" si="255"/>
        <v>172</v>
      </c>
      <c r="H3503" s="22">
        <f t="shared" si="258"/>
        <v>3502</v>
      </c>
      <c r="I3503" s="21">
        <f t="shared" ca="1" si="257"/>
        <v>0</v>
      </c>
      <c r="J3503" s="21" t="str">
        <f ca="1">IF(I3503=0,"",COUNTIF($I$2:I3503,"&gt;0"))</f>
        <v/>
      </c>
      <c r="K3503" s="21" t="str">
        <f t="shared" ca="1" si="254"/>
        <v/>
      </c>
    </row>
    <row r="3504" spans="1:11" s="18" customFormat="1" ht="14.25" x14ac:dyDescent="0.2">
      <c r="A3504" s="18" t="str">
        <f t="shared" si="256"/>
        <v>Eintrag 3503</v>
      </c>
      <c r="B3504" s="18">
        <v>100</v>
      </c>
      <c r="C3504" s="19">
        <v>100</v>
      </c>
      <c r="D3504" s="20">
        <v>10</v>
      </c>
      <c r="E3504" s="20">
        <v>10</v>
      </c>
      <c r="F3504" s="20">
        <v>10</v>
      </c>
      <c r="G3504" s="19">
        <f t="shared" si="255"/>
        <v>172</v>
      </c>
      <c r="H3504" s="22">
        <f t="shared" si="258"/>
        <v>3503</v>
      </c>
      <c r="I3504" s="21">
        <f t="shared" ca="1" si="257"/>
        <v>0</v>
      </c>
      <c r="J3504" s="21" t="str">
        <f ca="1">IF(I3504=0,"",COUNTIF($I$2:I3504,"&gt;0"))</f>
        <v/>
      </c>
      <c r="K3504" s="21" t="str">
        <f t="shared" ca="1" si="254"/>
        <v/>
      </c>
    </row>
    <row r="3505" spans="1:11" s="18" customFormat="1" ht="14.25" x14ac:dyDescent="0.2">
      <c r="A3505" s="18" t="str">
        <f t="shared" si="256"/>
        <v>Eintrag 3504</v>
      </c>
      <c r="B3505" s="18">
        <v>100</v>
      </c>
      <c r="C3505" s="19">
        <v>100</v>
      </c>
      <c r="D3505" s="20">
        <v>10</v>
      </c>
      <c r="E3505" s="20">
        <v>10</v>
      </c>
      <c r="F3505" s="20">
        <v>10</v>
      </c>
      <c r="G3505" s="19">
        <f t="shared" si="255"/>
        <v>172</v>
      </c>
      <c r="H3505" s="22">
        <f t="shared" si="258"/>
        <v>3504</v>
      </c>
      <c r="I3505" s="21">
        <f t="shared" ca="1" si="257"/>
        <v>0</v>
      </c>
      <c r="J3505" s="21" t="str">
        <f ca="1">IF(I3505=0,"",COUNTIF($I$2:I3505,"&gt;0"))</f>
        <v/>
      </c>
      <c r="K3505" s="21" t="str">
        <f t="shared" ca="1" si="254"/>
        <v/>
      </c>
    </row>
    <row r="3506" spans="1:11" s="18" customFormat="1" ht="14.25" x14ac:dyDescent="0.2">
      <c r="A3506" s="18" t="str">
        <f t="shared" si="256"/>
        <v>Eintrag 3505</v>
      </c>
      <c r="B3506" s="18">
        <v>100</v>
      </c>
      <c r="C3506" s="19">
        <v>100</v>
      </c>
      <c r="D3506" s="20">
        <v>10</v>
      </c>
      <c r="E3506" s="20">
        <v>10</v>
      </c>
      <c r="F3506" s="20">
        <v>10</v>
      </c>
      <c r="G3506" s="19">
        <f t="shared" si="255"/>
        <v>172</v>
      </c>
      <c r="H3506" s="22">
        <f t="shared" si="258"/>
        <v>3505</v>
      </c>
      <c r="I3506" s="21">
        <f t="shared" ca="1" si="257"/>
        <v>0</v>
      </c>
      <c r="J3506" s="21" t="str">
        <f ca="1">IF(I3506=0,"",COUNTIF($I$2:I3506,"&gt;0"))</f>
        <v/>
      </c>
      <c r="K3506" s="21" t="str">
        <f t="shared" ca="1" si="254"/>
        <v/>
      </c>
    </row>
    <row r="3507" spans="1:11" s="18" customFormat="1" ht="14.25" x14ac:dyDescent="0.2">
      <c r="A3507" s="18" t="str">
        <f t="shared" si="256"/>
        <v>Eintrag 3506</v>
      </c>
      <c r="B3507" s="18">
        <v>100</v>
      </c>
      <c r="C3507" s="19">
        <v>100</v>
      </c>
      <c r="D3507" s="20">
        <v>10</v>
      </c>
      <c r="E3507" s="20">
        <v>10</v>
      </c>
      <c r="F3507" s="20">
        <v>10</v>
      </c>
      <c r="G3507" s="19">
        <f t="shared" si="255"/>
        <v>172</v>
      </c>
      <c r="H3507" s="22">
        <f t="shared" si="258"/>
        <v>3506</v>
      </c>
      <c r="I3507" s="21">
        <f t="shared" ca="1" si="257"/>
        <v>0</v>
      </c>
      <c r="J3507" s="21" t="str">
        <f ca="1">IF(I3507=0,"",COUNTIF($I$2:I3507,"&gt;0"))</f>
        <v/>
      </c>
      <c r="K3507" s="21" t="str">
        <f t="shared" ca="1" si="254"/>
        <v/>
      </c>
    </row>
    <row r="3508" spans="1:11" s="18" customFormat="1" ht="14.25" x14ac:dyDescent="0.2">
      <c r="A3508" s="18" t="str">
        <f t="shared" si="256"/>
        <v>Eintrag 3507</v>
      </c>
      <c r="B3508" s="18">
        <v>100</v>
      </c>
      <c r="C3508" s="19">
        <v>100</v>
      </c>
      <c r="D3508" s="20">
        <v>10</v>
      </c>
      <c r="E3508" s="20">
        <v>10</v>
      </c>
      <c r="F3508" s="20">
        <v>10</v>
      </c>
      <c r="G3508" s="19">
        <f t="shared" si="255"/>
        <v>172</v>
      </c>
      <c r="H3508" s="22">
        <f t="shared" si="258"/>
        <v>3507</v>
      </c>
      <c r="I3508" s="21">
        <f t="shared" ca="1" si="257"/>
        <v>0</v>
      </c>
      <c r="J3508" s="21" t="str">
        <f ca="1">IF(I3508=0,"",COUNTIF($I$2:I3508,"&gt;0"))</f>
        <v/>
      </c>
      <c r="K3508" s="21" t="str">
        <f t="shared" ca="1" si="254"/>
        <v/>
      </c>
    </row>
    <row r="3509" spans="1:11" s="18" customFormat="1" ht="14.25" x14ac:dyDescent="0.2">
      <c r="A3509" s="18" t="str">
        <f t="shared" si="256"/>
        <v>Eintrag 3508</v>
      </c>
      <c r="B3509" s="18">
        <v>100</v>
      </c>
      <c r="C3509" s="19">
        <v>100</v>
      </c>
      <c r="D3509" s="20">
        <v>10</v>
      </c>
      <c r="E3509" s="20">
        <v>10</v>
      </c>
      <c r="F3509" s="20">
        <v>10</v>
      </c>
      <c r="G3509" s="19">
        <f t="shared" si="255"/>
        <v>172</v>
      </c>
      <c r="H3509" s="22">
        <f t="shared" si="258"/>
        <v>3508</v>
      </c>
      <c r="I3509" s="21">
        <f t="shared" ca="1" si="257"/>
        <v>0</v>
      </c>
      <c r="J3509" s="21" t="str">
        <f ca="1">IF(I3509=0,"",COUNTIF($I$2:I3509,"&gt;0"))</f>
        <v/>
      </c>
      <c r="K3509" s="21" t="str">
        <f t="shared" ca="1" si="254"/>
        <v/>
      </c>
    </row>
    <row r="3510" spans="1:11" s="18" customFormat="1" ht="14.25" x14ac:dyDescent="0.2">
      <c r="A3510" s="18" t="str">
        <f t="shared" si="256"/>
        <v>Eintrag 3509</v>
      </c>
      <c r="B3510" s="18">
        <v>100</v>
      </c>
      <c r="C3510" s="19">
        <v>100</v>
      </c>
      <c r="D3510" s="20">
        <v>10</v>
      </c>
      <c r="E3510" s="20">
        <v>10</v>
      </c>
      <c r="F3510" s="20">
        <v>10</v>
      </c>
      <c r="G3510" s="19">
        <f t="shared" si="255"/>
        <v>172</v>
      </c>
      <c r="H3510" s="22">
        <f t="shared" si="258"/>
        <v>3509</v>
      </c>
      <c r="I3510" s="21">
        <f t="shared" ca="1" si="257"/>
        <v>0</v>
      </c>
      <c r="J3510" s="21" t="str">
        <f ca="1">IF(I3510=0,"",COUNTIF($I$2:I3510,"&gt;0"))</f>
        <v/>
      </c>
      <c r="K3510" s="21" t="str">
        <f t="shared" ca="1" si="254"/>
        <v/>
      </c>
    </row>
    <row r="3511" spans="1:11" s="18" customFormat="1" ht="14.25" x14ac:dyDescent="0.2">
      <c r="A3511" s="18" t="str">
        <f t="shared" si="256"/>
        <v>Eintrag 3510</v>
      </c>
      <c r="B3511" s="18">
        <v>100</v>
      </c>
      <c r="C3511" s="19">
        <v>100</v>
      </c>
      <c r="D3511" s="20">
        <v>10</v>
      </c>
      <c r="E3511" s="20">
        <v>10</v>
      </c>
      <c r="F3511" s="20">
        <v>10</v>
      </c>
      <c r="G3511" s="19">
        <f t="shared" si="255"/>
        <v>172</v>
      </c>
      <c r="H3511" s="22">
        <f t="shared" si="258"/>
        <v>3510</v>
      </c>
      <c r="I3511" s="21">
        <f t="shared" ca="1" si="257"/>
        <v>0</v>
      </c>
      <c r="J3511" s="21" t="str">
        <f ca="1">IF(I3511=0,"",COUNTIF($I$2:I3511,"&gt;0"))</f>
        <v/>
      </c>
      <c r="K3511" s="21" t="str">
        <f t="shared" ca="1" si="254"/>
        <v/>
      </c>
    </row>
    <row r="3512" spans="1:11" s="18" customFormat="1" ht="14.25" x14ac:dyDescent="0.2">
      <c r="A3512" s="18" t="str">
        <f t="shared" si="256"/>
        <v>Eintrag 3511</v>
      </c>
      <c r="B3512" s="18">
        <v>100</v>
      </c>
      <c r="C3512" s="19">
        <v>100</v>
      </c>
      <c r="D3512" s="20">
        <v>10</v>
      </c>
      <c r="E3512" s="20">
        <v>10</v>
      </c>
      <c r="F3512" s="20">
        <v>10</v>
      </c>
      <c r="G3512" s="19">
        <f t="shared" si="255"/>
        <v>172</v>
      </c>
      <c r="H3512" s="22">
        <f t="shared" si="258"/>
        <v>3511</v>
      </c>
      <c r="I3512" s="21">
        <f t="shared" ca="1" si="257"/>
        <v>0</v>
      </c>
      <c r="J3512" s="21" t="str">
        <f ca="1">IF(I3512=0,"",COUNTIF($I$2:I3512,"&gt;0"))</f>
        <v/>
      </c>
      <c r="K3512" s="21" t="str">
        <f t="shared" ca="1" si="254"/>
        <v/>
      </c>
    </row>
    <row r="3513" spans="1:11" s="18" customFormat="1" ht="14.25" x14ac:dyDescent="0.2">
      <c r="A3513" s="18" t="str">
        <f t="shared" si="256"/>
        <v>Eintrag 3512</v>
      </c>
      <c r="B3513" s="18">
        <v>100</v>
      </c>
      <c r="C3513" s="19">
        <v>100</v>
      </c>
      <c r="D3513" s="20">
        <v>10</v>
      </c>
      <c r="E3513" s="20">
        <v>10</v>
      </c>
      <c r="F3513" s="20">
        <v>10</v>
      </c>
      <c r="G3513" s="19">
        <f t="shared" si="255"/>
        <v>172</v>
      </c>
      <c r="H3513" s="22">
        <f t="shared" si="258"/>
        <v>3512</v>
      </c>
      <c r="I3513" s="21">
        <f t="shared" ca="1" si="257"/>
        <v>0</v>
      </c>
      <c r="J3513" s="21" t="str">
        <f ca="1">IF(I3513=0,"",COUNTIF($I$2:I3513,"&gt;0"))</f>
        <v/>
      </c>
      <c r="K3513" s="21" t="str">
        <f t="shared" ca="1" si="254"/>
        <v/>
      </c>
    </row>
    <row r="3514" spans="1:11" s="18" customFormat="1" ht="14.25" x14ac:dyDescent="0.2">
      <c r="A3514" s="18" t="str">
        <f t="shared" si="256"/>
        <v>Eintrag 3513</v>
      </c>
      <c r="B3514" s="18">
        <v>100</v>
      </c>
      <c r="C3514" s="19">
        <v>100</v>
      </c>
      <c r="D3514" s="20">
        <v>10</v>
      </c>
      <c r="E3514" s="20">
        <v>10</v>
      </c>
      <c r="F3514" s="20">
        <v>10</v>
      </c>
      <c r="G3514" s="19">
        <f t="shared" si="255"/>
        <v>172</v>
      </c>
      <c r="H3514" s="22">
        <f t="shared" si="258"/>
        <v>3513</v>
      </c>
      <c r="I3514" s="21">
        <f t="shared" ca="1" si="257"/>
        <v>0</v>
      </c>
      <c r="J3514" s="21" t="str">
        <f ca="1">IF(I3514=0,"",COUNTIF($I$2:I3514,"&gt;0"))</f>
        <v/>
      </c>
      <c r="K3514" s="21" t="str">
        <f t="shared" ca="1" si="254"/>
        <v/>
      </c>
    </row>
    <row r="3515" spans="1:11" s="18" customFormat="1" ht="14.25" x14ac:dyDescent="0.2">
      <c r="A3515" s="18" t="str">
        <f t="shared" si="256"/>
        <v>Eintrag 3514</v>
      </c>
      <c r="B3515" s="18">
        <v>100</v>
      </c>
      <c r="C3515" s="19">
        <v>100</v>
      </c>
      <c r="D3515" s="20">
        <v>10</v>
      </c>
      <c r="E3515" s="20">
        <v>10</v>
      </c>
      <c r="F3515" s="20">
        <v>10</v>
      </c>
      <c r="G3515" s="19">
        <f t="shared" si="255"/>
        <v>172</v>
      </c>
      <c r="H3515" s="22">
        <f t="shared" si="258"/>
        <v>3514</v>
      </c>
      <c r="I3515" s="21">
        <f t="shared" ca="1" si="257"/>
        <v>0</v>
      </c>
      <c r="J3515" s="21" t="str">
        <f ca="1">IF(I3515=0,"",COUNTIF($I$2:I3515,"&gt;0"))</f>
        <v/>
      </c>
      <c r="K3515" s="21" t="str">
        <f t="shared" ca="1" si="254"/>
        <v/>
      </c>
    </row>
    <row r="3516" spans="1:11" s="18" customFormat="1" ht="14.25" x14ac:dyDescent="0.2">
      <c r="A3516" s="18" t="str">
        <f t="shared" si="256"/>
        <v>Eintrag 3515</v>
      </c>
      <c r="B3516" s="18">
        <v>100</v>
      </c>
      <c r="C3516" s="19">
        <v>100</v>
      </c>
      <c r="D3516" s="20">
        <v>10</v>
      </c>
      <c r="E3516" s="20">
        <v>10</v>
      </c>
      <c r="F3516" s="20">
        <v>10</v>
      </c>
      <c r="G3516" s="19">
        <f t="shared" si="255"/>
        <v>172</v>
      </c>
      <c r="H3516" s="22">
        <f t="shared" si="258"/>
        <v>3515</v>
      </c>
      <c r="I3516" s="21">
        <f t="shared" ca="1" si="257"/>
        <v>0</v>
      </c>
      <c r="J3516" s="21" t="str">
        <f ca="1">IF(I3516=0,"",COUNTIF($I$2:I3516,"&gt;0"))</f>
        <v/>
      </c>
      <c r="K3516" s="21" t="str">
        <f t="shared" ca="1" si="254"/>
        <v/>
      </c>
    </row>
    <row r="3517" spans="1:11" s="18" customFormat="1" ht="14.25" x14ac:dyDescent="0.2">
      <c r="A3517" s="18" t="str">
        <f t="shared" si="256"/>
        <v>Eintrag 3516</v>
      </c>
      <c r="B3517" s="18">
        <v>100</v>
      </c>
      <c r="C3517" s="19">
        <v>100</v>
      </c>
      <c r="D3517" s="20">
        <v>10</v>
      </c>
      <c r="E3517" s="20">
        <v>10</v>
      </c>
      <c r="F3517" s="20">
        <v>10</v>
      </c>
      <c r="G3517" s="19">
        <f t="shared" si="255"/>
        <v>172</v>
      </c>
      <c r="H3517" s="22">
        <f t="shared" si="258"/>
        <v>3516</v>
      </c>
      <c r="I3517" s="21">
        <f t="shared" ca="1" si="257"/>
        <v>0</v>
      </c>
      <c r="J3517" s="21" t="str">
        <f ca="1">IF(I3517=0,"",COUNTIF($I$2:I3517,"&gt;0"))</f>
        <v/>
      </c>
      <c r="K3517" s="21" t="str">
        <f t="shared" ca="1" si="254"/>
        <v/>
      </c>
    </row>
    <row r="3518" spans="1:11" s="18" customFormat="1" ht="14.25" x14ac:dyDescent="0.2">
      <c r="A3518" s="18" t="str">
        <f t="shared" si="256"/>
        <v>Eintrag 3517</v>
      </c>
      <c r="B3518" s="18">
        <v>100</v>
      </c>
      <c r="C3518" s="19">
        <v>100</v>
      </c>
      <c r="D3518" s="20">
        <v>10</v>
      </c>
      <c r="E3518" s="20">
        <v>10</v>
      </c>
      <c r="F3518" s="20">
        <v>10</v>
      </c>
      <c r="G3518" s="19">
        <f t="shared" si="255"/>
        <v>172</v>
      </c>
      <c r="H3518" s="22">
        <f t="shared" si="258"/>
        <v>3517</v>
      </c>
      <c r="I3518" s="21">
        <f t="shared" ca="1" si="257"/>
        <v>0</v>
      </c>
      <c r="J3518" s="21" t="str">
        <f ca="1">IF(I3518=0,"",COUNTIF($I$2:I3518,"&gt;0"))</f>
        <v/>
      </c>
      <c r="K3518" s="21" t="str">
        <f t="shared" ca="1" si="254"/>
        <v/>
      </c>
    </row>
    <row r="3519" spans="1:11" s="18" customFormat="1" ht="14.25" x14ac:dyDescent="0.2">
      <c r="A3519" s="18" t="str">
        <f t="shared" si="256"/>
        <v>Eintrag 3518</v>
      </c>
      <c r="B3519" s="18">
        <v>100</v>
      </c>
      <c r="C3519" s="19">
        <v>100</v>
      </c>
      <c r="D3519" s="20">
        <v>10</v>
      </c>
      <c r="E3519" s="20">
        <v>10</v>
      </c>
      <c r="F3519" s="20">
        <v>10</v>
      </c>
      <c r="G3519" s="19">
        <f t="shared" si="255"/>
        <v>172</v>
      </c>
      <c r="H3519" s="22">
        <f t="shared" si="258"/>
        <v>3518</v>
      </c>
      <c r="I3519" s="21">
        <f t="shared" ca="1" si="257"/>
        <v>0</v>
      </c>
      <c r="J3519" s="21" t="str">
        <f ca="1">IF(I3519=0,"",COUNTIF($I$2:I3519,"&gt;0"))</f>
        <v/>
      </c>
      <c r="K3519" s="21" t="str">
        <f t="shared" ca="1" si="254"/>
        <v/>
      </c>
    </row>
    <row r="3520" spans="1:11" s="18" customFormat="1" ht="14.25" x14ac:dyDescent="0.2">
      <c r="A3520" s="18" t="str">
        <f t="shared" si="256"/>
        <v>Eintrag 3519</v>
      </c>
      <c r="B3520" s="18">
        <v>100</v>
      </c>
      <c r="C3520" s="19">
        <v>100</v>
      </c>
      <c r="D3520" s="20">
        <v>10</v>
      </c>
      <c r="E3520" s="20">
        <v>10</v>
      </c>
      <c r="F3520" s="20">
        <v>10</v>
      </c>
      <c r="G3520" s="19">
        <f t="shared" si="255"/>
        <v>172</v>
      </c>
      <c r="H3520" s="22">
        <f t="shared" si="258"/>
        <v>3519</v>
      </c>
      <c r="I3520" s="21">
        <f t="shared" ca="1" si="257"/>
        <v>0</v>
      </c>
      <c r="J3520" s="21" t="str">
        <f ca="1">IF(I3520=0,"",COUNTIF($I$2:I3520,"&gt;0"))</f>
        <v/>
      </c>
      <c r="K3520" s="21" t="str">
        <f t="shared" ca="1" si="254"/>
        <v/>
      </c>
    </row>
    <row r="3521" spans="1:11" s="18" customFormat="1" ht="14.25" x14ac:dyDescent="0.2">
      <c r="A3521" s="18" t="str">
        <f t="shared" si="256"/>
        <v>Eintrag 3520</v>
      </c>
      <c r="B3521" s="18">
        <v>100</v>
      </c>
      <c r="C3521" s="19">
        <v>100</v>
      </c>
      <c r="D3521" s="20">
        <v>10</v>
      </c>
      <c r="E3521" s="20">
        <v>10</v>
      </c>
      <c r="F3521" s="20">
        <v>10</v>
      </c>
      <c r="G3521" s="19">
        <f t="shared" si="255"/>
        <v>172</v>
      </c>
      <c r="H3521" s="22">
        <f t="shared" si="258"/>
        <v>3520</v>
      </c>
      <c r="I3521" s="21">
        <f t="shared" ca="1" si="257"/>
        <v>0</v>
      </c>
      <c r="J3521" s="21" t="str">
        <f ca="1">IF(I3521=0,"",COUNTIF($I$2:I3521,"&gt;0"))</f>
        <v/>
      </c>
      <c r="K3521" s="21" t="str">
        <f t="shared" ca="1" si="254"/>
        <v/>
      </c>
    </row>
    <row r="3522" spans="1:11" s="18" customFormat="1" ht="14.25" x14ac:dyDescent="0.2">
      <c r="A3522" s="18" t="str">
        <f t="shared" si="256"/>
        <v>Eintrag 3521</v>
      </c>
      <c r="B3522" s="18">
        <v>100</v>
      </c>
      <c r="C3522" s="19">
        <v>100</v>
      </c>
      <c r="D3522" s="20">
        <v>10</v>
      </c>
      <c r="E3522" s="20">
        <v>10</v>
      </c>
      <c r="F3522" s="20">
        <v>10</v>
      </c>
      <c r="G3522" s="19">
        <f t="shared" si="255"/>
        <v>172</v>
      </c>
      <c r="H3522" s="22">
        <f t="shared" si="258"/>
        <v>3521</v>
      </c>
      <c r="I3522" s="21">
        <f t="shared" ca="1" si="257"/>
        <v>0</v>
      </c>
      <c r="J3522" s="21" t="str">
        <f ca="1">IF(I3522=0,"",COUNTIF($I$2:I3522,"&gt;0"))</f>
        <v/>
      </c>
      <c r="K3522" s="21" t="str">
        <f t="shared" ref="K3522:K3585" ca="1" si="259">IFERROR(INDEX(A:A,MATCH(ROW(I3521),J:J,0)),"")</f>
        <v/>
      </c>
    </row>
    <row r="3523" spans="1:11" s="18" customFormat="1" ht="14.25" x14ac:dyDescent="0.2">
      <c r="A3523" s="18" t="str">
        <f t="shared" si="256"/>
        <v>Eintrag 3522</v>
      </c>
      <c r="B3523" s="18">
        <v>100</v>
      </c>
      <c r="C3523" s="19">
        <v>100</v>
      </c>
      <c r="D3523" s="20">
        <v>10</v>
      </c>
      <c r="E3523" s="20">
        <v>10</v>
      </c>
      <c r="F3523" s="20">
        <v>10</v>
      </c>
      <c r="G3523" s="19">
        <f t="shared" ref="G3523:G3586" si="260">D3523*9+E3523*4.1+F3523*4.1</f>
        <v>172</v>
      </c>
      <c r="H3523" s="22">
        <f t="shared" si="258"/>
        <v>3522</v>
      </c>
      <c r="I3523" s="21">
        <f t="shared" ca="1" si="257"/>
        <v>0</v>
      </c>
      <c r="J3523" s="21" t="str">
        <f ca="1">IF(I3523=0,"",COUNTIF($I$2:I3523,"&gt;0"))</f>
        <v/>
      </c>
      <c r="K3523" s="21" t="str">
        <f t="shared" ca="1" si="259"/>
        <v/>
      </c>
    </row>
    <row r="3524" spans="1:11" s="18" customFormat="1" ht="14.25" x14ac:dyDescent="0.2">
      <c r="A3524" s="18" t="str">
        <f t="shared" si="256"/>
        <v>Eintrag 3523</v>
      </c>
      <c r="B3524" s="18">
        <v>100</v>
      </c>
      <c r="C3524" s="19">
        <v>100</v>
      </c>
      <c r="D3524" s="20">
        <v>10</v>
      </c>
      <c r="E3524" s="20">
        <v>10</v>
      </c>
      <c r="F3524" s="20">
        <v>10</v>
      </c>
      <c r="G3524" s="19">
        <f t="shared" si="260"/>
        <v>172</v>
      </c>
      <c r="H3524" s="22">
        <f t="shared" si="258"/>
        <v>3523</v>
      </c>
      <c r="I3524" s="21">
        <f t="shared" ca="1" si="257"/>
        <v>0</v>
      </c>
      <c r="J3524" s="21" t="str">
        <f ca="1">IF(I3524=0,"",COUNTIF($I$2:I3524,"&gt;0"))</f>
        <v/>
      </c>
      <c r="K3524" s="21" t="str">
        <f t="shared" ca="1" si="259"/>
        <v/>
      </c>
    </row>
    <row r="3525" spans="1:11" s="18" customFormat="1" ht="14.25" x14ac:dyDescent="0.2">
      <c r="A3525" s="18" t="str">
        <f t="shared" si="256"/>
        <v>Eintrag 3524</v>
      </c>
      <c r="B3525" s="18">
        <v>100</v>
      </c>
      <c r="C3525" s="19">
        <v>100</v>
      </c>
      <c r="D3525" s="20">
        <v>10</v>
      </c>
      <c r="E3525" s="20">
        <v>10</v>
      </c>
      <c r="F3525" s="20">
        <v>10</v>
      </c>
      <c r="G3525" s="19">
        <f t="shared" si="260"/>
        <v>172</v>
      </c>
      <c r="H3525" s="22">
        <f t="shared" si="258"/>
        <v>3524</v>
      </c>
      <c r="I3525" s="21">
        <f t="shared" ca="1" si="257"/>
        <v>0</v>
      </c>
      <c r="J3525" s="21" t="str">
        <f ca="1">IF(I3525=0,"",COUNTIF($I$2:I3525,"&gt;0"))</f>
        <v/>
      </c>
      <c r="K3525" s="21" t="str">
        <f t="shared" ca="1" si="259"/>
        <v/>
      </c>
    </row>
    <row r="3526" spans="1:11" s="18" customFormat="1" ht="14.25" x14ac:dyDescent="0.2">
      <c r="A3526" s="18" t="str">
        <f t="shared" si="256"/>
        <v>Eintrag 3525</v>
      </c>
      <c r="B3526" s="18">
        <v>100</v>
      </c>
      <c r="C3526" s="19">
        <v>100</v>
      </c>
      <c r="D3526" s="20">
        <v>10</v>
      </c>
      <c r="E3526" s="20">
        <v>10</v>
      </c>
      <c r="F3526" s="20">
        <v>10</v>
      </c>
      <c r="G3526" s="19">
        <f t="shared" si="260"/>
        <v>172</v>
      </c>
      <c r="H3526" s="22">
        <f t="shared" si="258"/>
        <v>3525</v>
      </c>
      <c r="I3526" s="21">
        <f t="shared" ca="1" si="257"/>
        <v>0</v>
      </c>
      <c r="J3526" s="21" t="str">
        <f ca="1">IF(I3526=0,"",COUNTIF($I$2:I3526,"&gt;0"))</f>
        <v/>
      </c>
      <c r="K3526" s="21" t="str">
        <f t="shared" ca="1" si="259"/>
        <v/>
      </c>
    </row>
    <row r="3527" spans="1:11" s="18" customFormat="1" ht="14.25" x14ac:dyDescent="0.2">
      <c r="A3527" s="18" t="str">
        <f t="shared" si="256"/>
        <v>Eintrag 3526</v>
      </c>
      <c r="B3527" s="18">
        <v>100</v>
      </c>
      <c r="C3527" s="19">
        <v>100</v>
      </c>
      <c r="D3527" s="20">
        <v>10</v>
      </c>
      <c r="E3527" s="20">
        <v>10</v>
      </c>
      <c r="F3527" s="20">
        <v>10</v>
      </c>
      <c r="G3527" s="19">
        <f t="shared" si="260"/>
        <v>172</v>
      </c>
      <c r="H3527" s="22">
        <f t="shared" si="258"/>
        <v>3526</v>
      </c>
      <c r="I3527" s="21">
        <f t="shared" ca="1" si="257"/>
        <v>0</v>
      </c>
      <c r="J3527" s="21" t="str">
        <f ca="1">IF(I3527=0,"",COUNTIF($I$2:I3527,"&gt;0"))</f>
        <v/>
      </c>
      <c r="K3527" s="21" t="str">
        <f t="shared" ca="1" si="259"/>
        <v/>
      </c>
    </row>
    <row r="3528" spans="1:11" s="18" customFormat="1" ht="14.25" x14ac:dyDescent="0.2">
      <c r="A3528" s="18" t="str">
        <f t="shared" si="256"/>
        <v>Eintrag 3527</v>
      </c>
      <c r="B3528" s="18">
        <v>100</v>
      </c>
      <c r="C3528" s="19">
        <v>100</v>
      </c>
      <c r="D3528" s="20">
        <v>10</v>
      </c>
      <c r="E3528" s="20">
        <v>10</v>
      </c>
      <c r="F3528" s="20">
        <v>10</v>
      </c>
      <c r="G3528" s="19">
        <f t="shared" si="260"/>
        <v>172</v>
      </c>
      <c r="H3528" s="22">
        <f t="shared" si="258"/>
        <v>3527</v>
      </c>
      <c r="I3528" s="21">
        <f t="shared" ca="1" si="257"/>
        <v>0</v>
      </c>
      <c r="J3528" s="21" t="str">
        <f ca="1">IF(I3528=0,"",COUNTIF($I$2:I3528,"&gt;0"))</f>
        <v/>
      </c>
      <c r="K3528" s="21" t="str">
        <f t="shared" ca="1" si="259"/>
        <v/>
      </c>
    </row>
    <row r="3529" spans="1:11" s="18" customFormat="1" ht="14.25" x14ac:dyDescent="0.2">
      <c r="A3529" s="18" t="str">
        <f t="shared" si="256"/>
        <v>Eintrag 3528</v>
      </c>
      <c r="B3529" s="18">
        <v>100</v>
      </c>
      <c r="C3529" s="19">
        <v>100</v>
      </c>
      <c r="D3529" s="20">
        <v>10</v>
      </c>
      <c r="E3529" s="20">
        <v>10</v>
      </c>
      <c r="F3529" s="20">
        <v>10</v>
      </c>
      <c r="G3529" s="19">
        <f t="shared" si="260"/>
        <v>172</v>
      </c>
      <c r="H3529" s="22">
        <f t="shared" si="258"/>
        <v>3528</v>
      </c>
      <c r="I3529" s="21">
        <f t="shared" ca="1" si="257"/>
        <v>0</v>
      </c>
      <c r="J3529" s="21" t="str">
        <f ca="1">IF(I3529=0,"",COUNTIF($I$2:I3529,"&gt;0"))</f>
        <v/>
      </c>
      <c r="K3529" s="21" t="str">
        <f t="shared" ca="1" si="259"/>
        <v/>
      </c>
    </row>
    <row r="3530" spans="1:11" s="18" customFormat="1" ht="14.25" x14ac:dyDescent="0.2">
      <c r="A3530" s="18" t="str">
        <f t="shared" si="256"/>
        <v>Eintrag 3529</v>
      </c>
      <c r="B3530" s="18">
        <v>100</v>
      </c>
      <c r="C3530" s="19">
        <v>100</v>
      </c>
      <c r="D3530" s="20">
        <v>10</v>
      </c>
      <c r="E3530" s="20">
        <v>10</v>
      </c>
      <c r="F3530" s="20">
        <v>10</v>
      </c>
      <c r="G3530" s="19">
        <f t="shared" si="260"/>
        <v>172</v>
      </c>
      <c r="H3530" s="22">
        <f t="shared" si="258"/>
        <v>3529</v>
      </c>
      <c r="I3530" s="21">
        <f t="shared" ca="1" si="257"/>
        <v>0</v>
      </c>
      <c r="J3530" s="21" t="str">
        <f ca="1">IF(I3530=0,"",COUNTIF($I$2:I3530,"&gt;0"))</f>
        <v/>
      </c>
      <c r="K3530" s="21" t="str">
        <f t="shared" ca="1" si="259"/>
        <v/>
      </c>
    </row>
    <row r="3531" spans="1:11" s="18" customFormat="1" ht="14.25" x14ac:dyDescent="0.2">
      <c r="A3531" s="18" t="str">
        <f t="shared" si="256"/>
        <v>Eintrag 3530</v>
      </c>
      <c r="B3531" s="18">
        <v>100</v>
      </c>
      <c r="C3531" s="19">
        <v>100</v>
      </c>
      <c r="D3531" s="20">
        <v>10</v>
      </c>
      <c r="E3531" s="20">
        <v>10</v>
      </c>
      <c r="F3531" s="20">
        <v>10</v>
      </c>
      <c r="G3531" s="19">
        <f t="shared" si="260"/>
        <v>172</v>
      </c>
      <c r="H3531" s="22">
        <f t="shared" si="258"/>
        <v>3530</v>
      </c>
      <c r="I3531" s="21">
        <f t="shared" ca="1" si="257"/>
        <v>0</v>
      </c>
      <c r="J3531" s="21" t="str">
        <f ca="1">IF(I3531=0,"",COUNTIF($I$2:I3531,"&gt;0"))</f>
        <v/>
      </c>
      <c r="K3531" s="21" t="str">
        <f t="shared" ca="1" si="259"/>
        <v/>
      </c>
    </row>
    <row r="3532" spans="1:11" s="18" customFormat="1" ht="14.25" x14ac:dyDescent="0.2">
      <c r="A3532" s="18" t="str">
        <f t="shared" si="256"/>
        <v>Eintrag 3531</v>
      </c>
      <c r="B3532" s="18">
        <v>100</v>
      </c>
      <c r="C3532" s="19">
        <v>100</v>
      </c>
      <c r="D3532" s="20">
        <v>10</v>
      </c>
      <c r="E3532" s="20">
        <v>10</v>
      </c>
      <c r="F3532" s="20">
        <v>10</v>
      </c>
      <c r="G3532" s="19">
        <f t="shared" si="260"/>
        <v>172</v>
      </c>
      <c r="H3532" s="22">
        <f t="shared" si="258"/>
        <v>3531</v>
      </c>
      <c r="I3532" s="21">
        <f t="shared" ca="1" si="257"/>
        <v>0</v>
      </c>
      <c r="J3532" s="21" t="str">
        <f ca="1">IF(I3532=0,"",COUNTIF($I$2:I3532,"&gt;0"))</f>
        <v/>
      </c>
      <c r="K3532" s="21" t="str">
        <f t="shared" ca="1" si="259"/>
        <v/>
      </c>
    </row>
    <row r="3533" spans="1:11" s="18" customFormat="1" ht="14.25" x14ac:dyDescent="0.2">
      <c r="A3533" s="18" t="str">
        <f t="shared" ref="A3533:A3596" si="261">CONCATENATE("Eintrag ",H3533)</f>
        <v>Eintrag 3532</v>
      </c>
      <c r="B3533" s="18">
        <v>100</v>
      </c>
      <c r="C3533" s="19">
        <v>100</v>
      </c>
      <c r="D3533" s="20">
        <v>10</v>
      </c>
      <c r="E3533" s="20">
        <v>10</v>
      </c>
      <c r="F3533" s="20">
        <v>10</v>
      </c>
      <c r="G3533" s="19">
        <f t="shared" si="260"/>
        <v>172</v>
      </c>
      <c r="H3533" s="22">
        <f t="shared" si="258"/>
        <v>3532</v>
      </c>
      <c r="I3533" s="21">
        <f t="shared" ca="1" si="257"/>
        <v>0</v>
      </c>
      <c r="J3533" s="21" t="str">
        <f ca="1">IF(I3533=0,"",COUNTIF($I$2:I3533,"&gt;0"))</f>
        <v/>
      </c>
      <c r="K3533" s="21" t="str">
        <f t="shared" ca="1" si="259"/>
        <v/>
      </c>
    </row>
    <row r="3534" spans="1:11" s="18" customFormat="1" ht="14.25" x14ac:dyDescent="0.2">
      <c r="A3534" s="18" t="str">
        <f t="shared" si="261"/>
        <v>Eintrag 3533</v>
      </c>
      <c r="B3534" s="18">
        <v>100</v>
      </c>
      <c r="C3534" s="19">
        <v>100</v>
      </c>
      <c r="D3534" s="20">
        <v>10</v>
      </c>
      <c r="E3534" s="20">
        <v>10</v>
      </c>
      <c r="F3534" s="20">
        <v>10</v>
      </c>
      <c r="G3534" s="19">
        <f t="shared" si="260"/>
        <v>172</v>
      </c>
      <c r="H3534" s="22">
        <f t="shared" si="258"/>
        <v>3533</v>
      </c>
      <c r="I3534" s="21">
        <f t="shared" ca="1" si="257"/>
        <v>0</v>
      </c>
      <c r="J3534" s="21" t="str">
        <f ca="1">IF(I3534=0,"",COUNTIF($I$2:I3534,"&gt;0"))</f>
        <v/>
      </c>
      <c r="K3534" s="21" t="str">
        <f t="shared" ca="1" si="259"/>
        <v/>
      </c>
    </row>
    <row r="3535" spans="1:11" s="18" customFormat="1" ht="14.25" x14ac:dyDescent="0.2">
      <c r="A3535" s="18" t="str">
        <f t="shared" si="261"/>
        <v>Eintrag 3534</v>
      </c>
      <c r="B3535" s="18">
        <v>100</v>
      </c>
      <c r="C3535" s="19">
        <v>100</v>
      </c>
      <c r="D3535" s="20">
        <v>10</v>
      </c>
      <c r="E3535" s="20">
        <v>10</v>
      </c>
      <c r="F3535" s="20">
        <v>10</v>
      </c>
      <c r="G3535" s="19">
        <f t="shared" si="260"/>
        <v>172</v>
      </c>
      <c r="H3535" s="22">
        <f t="shared" si="258"/>
        <v>3534</v>
      </c>
      <c r="I3535" s="21">
        <f t="shared" ca="1" si="257"/>
        <v>0</v>
      </c>
      <c r="J3535" s="21" t="str">
        <f ca="1">IF(I3535=0,"",COUNTIF($I$2:I3535,"&gt;0"))</f>
        <v/>
      </c>
      <c r="K3535" s="21" t="str">
        <f t="shared" ca="1" si="259"/>
        <v/>
      </c>
    </row>
    <row r="3536" spans="1:11" s="18" customFormat="1" ht="14.25" x14ac:dyDescent="0.2">
      <c r="A3536" s="18" t="str">
        <f t="shared" si="261"/>
        <v>Eintrag 3535</v>
      </c>
      <c r="B3536" s="18">
        <v>100</v>
      </c>
      <c r="C3536" s="19">
        <v>100</v>
      </c>
      <c r="D3536" s="20">
        <v>10</v>
      </c>
      <c r="E3536" s="20">
        <v>10</v>
      </c>
      <c r="F3536" s="20">
        <v>10</v>
      </c>
      <c r="G3536" s="19">
        <f t="shared" si="260"/>
        <v>172</v>
      </c>
      <c r="H3536" s="22">
        <f t="shared" si="258"/>
        <v>3535</v>
      </c>
      <c r="I3536" s="21">
        <f t="shared" ca="1" si="257"/>
        <v>0</v>
      </c>
      <c r="J3536" s="21" t="str">
        <f ca="1">IF(I3536=0,"",COUNTIF($I$2:I3536,"&gt;0"))</f>
        <v/>
      </c>
      <c r="K3536" s="21" t="str">
        <f t="shared" ca="1" si="259"/>
        <v/>
      </c>
    </row>
    <row r="3537" spans="1:11" s="18" customFormat="1" ht="14.25" x14ac:dyDescent="0.2">
      <c r="A3537" s="18" t="str">
        <f t="shared" si="261"/>
        <v>Eintrag 3536</v>
      </c>
      <c r="B3537" s="18">
        <v>100</v>
      </c>
      <c r="C3537" s="19">
        <v>100</v>
      </c>
      <c r="D3537" s="20">
        <v>10</v>
      </c>
      <c r="E3537" s="20">
        <v>10</v>
      </c>
      <c r="F3537" s="20">
        <v>10</v>
      </c>
      <c r="G3537" s="19">
        <f t="shared" si="260"/>
        <v>172</v>
      </c>
      <c r="H3537" s="22">
        <f t="shared" si="258"/>
        <v>3536</v>
      </c>
      <c r="I3537" s="21">
        <f t="shared" ca="1" si="257"/>
        <v>0</v>
      </c>
      <c r="J3537" s="21" t="str">
        <f ca="1">IF(I3537=0,"",COUNTIF($I$2:I3537,"&gt;0"))</f>
        <v/>
      </c>
      <c r="K3537" s="21" t="str">
        <f t="shared" ca="1" si="259"/>
        <v/>
      </c>
    </row>
    <row r="3538" spans="1:11" s="18" customFormat="1" ht="14.25" x14ac:dyDescent="0.2">
      <c r="A3538" s="18" t="str">
        <f t="shared" si="261"/>
        <v>Eintrag 3537</v>
      </c>
      <c r="B3538" s="18">
        <v>100</v>
      </c>
      <c r="C3538" s="19">
        <v>100</v>
      </c>
      <c r="D3538" s="20">
        <v>10</v>
      </c>
      <c r="E3538" s="20">
        <v>10</v>
      </c>
      <c r="F3538" s="20">
        <v>10</v>
      </c>
      <c r="G3538" s="19">
        <f t="shared" si="260"/>
        <v>172</v>
      </c>
      <c r="H3538" s="22">
        <f t="shared" si="258"/>
        <v>3537</v>
      </c>
      <c r="I3538" s="21">
        <f t="shared" ca="1" si="257"/>
        <v>0</v>
      </c>
      <c r="J3538" s="21" t="str">
        <f ca="1">IF(I3538=0,"",COUNTIF($I$2:I3538,"&gt;0"))</f>
        <v/>
      </c>
      <c r="K3538" s="21" t="str">
        <f t="shared" ca="1" si="259"/>
        <v/>
      </c>
    </row>
    <row r="3539" spans="1:11" s="18" customFormat="1" ht="14.25" x14ac:dyDescent="0.2">
      <c r="A3539" s="18" t="str">
        <f t="shared" si="261"/>
        <v>Eintrag 3538</v>
      </c>
      <c r="B3539" s="18">
        <v>100</v>
      </c>
      <c r="C3539" s="19">
        <v>100</v>
      </c>
      <c r="D3539" s="20">
        <v>10</v>
      </c>
      <c r="E3539" s="20">
        <v>10</v>
      </c>
      <c r="F3539" s="20">
        <v>10</v>
      </c>
      <c r="G3539" s="19">
        <f t="shared" si="260"/>
        <v>172</v>
      </c>
      <c r="H3539" s="22">
        <f t="shared" si="258"/>
        <v>3538</v>
      </c>
      <c r="I3539" s="21">
        <f t="shared" ca="1" si="257"/>
        <v>0</v>
      </c>
      <c r="J3539" s="21" t="str">
        <f ca="1">IF(I3539=0,"",COUNTIF($I$2:I3539,"&gt;0"))</f>
        <v/>
      </c>
      <c r="K3539" s="21" t="str">
        <f t="shared" ca="1" si="259"/>
        <v/>
      </c>
    </row>
    <row r="3540" spans="1:11" s="18" customFormat="1" ht="14.25" x14ac:dyDescent="0.2">
      <c r="A3540" s="18" t="str">
        <f t="shared" si="261"/>
        <v>Eintrag 3539</v>
      </c>
      <c r="B3540" s="18">
        <v>100</v>
      </c>
      <c r="C3540" s="19">
        <v>100</v>
      </c>
      <c r="D3540" s="20">
        <v>10</v>
      </c>
      <c r="E3540" s="20">
        <v>10</v>
      </c>
      <c r="F3540" s="20">
        <v>10</v>
      </c>
      <c r="G3540" s="19">
        <f t="shared" si="260"/>
        <v>172</v>
      </c>
      <c r="H3540" s="22">
        <f t="shared" si="258"/>
        <v>3539</v>
      </c>
      <c r="I3540" s="21">
        <f t="shared" ca="1" si="257"/>
        <v>0</v>
      </c>
      <c r="J3540" s="21" t="str">
        <f ca="1">IF(I3540=0,"",COUNTIF($I$2:I3540,"&gt;0"))</f>
        <v/>
      </c>
      <c r="K3540" s="21" t="str">
        <f t="shared" ca="1" si="259"/>
        <v/>
      </c>
    </row>
    <row r="3541" spans="1:11" s="18" customFormat="1" ht="14.25" x14ac:dyDescent="0.2">
      <c r="A3541" s="18" t="str">
        <f t="shared" si="261"/>
        <v>Eintrag 3540</v>
      </c>
      <c r="B3541" s="18">
        <v>100</v>
      </c>
      <c r="C3541" s="19">
        <v>100</v>
      </c>
      <c r="D3541" s="20">
        <v>10</v>
      </c>
      <c r="E3541" s="20">
        <v>10</v>
      </c>
      <c r="F3541" s="20">
        <v>10</v>
      </c>
      <c r="G3541" s="19">
        <f t="shared" si="260"/>
        <v>172</v>
      </c>
      <c r="H3541" s="22">
        <f t="shared" si="258"/>
        <v>3540</v>
      </c>
      <c r="I3541" s="21">
        <f t="shared" ca="1" si="257"/>
        <v>0</v>
      </c>
      <c r="J3541" s="21" t="str">
        <f ca="1">IF(I3541=0,"",COUNTIF($I$2:I3541,"&gt;0"))</f>
        <v/>
      </c>
      <c r="K3541" s="21" t="str">
        <f t="shared" ca="1" si="259"/>
        <v/>
      </c>
    </row>
    <row r="3542" spans="1:11" s="18" customFormat="1" ht="14.25" x14ac:dyDescent="0.2">
      <c r="A3542" s="18" t="str">
        <f t="shared" si="261"/>
        <v>Eintrag 3541</v>
      </c>
      <c r="B3542" s="18">
        <v>100</v>
      </c>
      <c r="C3542" s="19">
        <v>100</v>
      </c>
      <c r="D3542" s="20">
        <v>10</v>
      </c>
      <c r="E3542" s="20">
        <v>10</v>
      </c>
      <c r="F3542" s="20">
        <v>10</v>
      </c>
      <c r="G3542" s="19">
        <f t="shared" si="260"/>
        <v>172</v>
      </c>
      <c r="H3542" s="22">
        <f t="shared" si="258"/>
        <v>3541</v>
      </c>
      <c r="I3542" s="21">
        <f t="shared" ca="1" si="257"/>
        <v>0</v>
      </c>
      <c r="J3542" s="21" t="str">
        <f ca="1">IF(I3542=0,"",COUNTIF($I$2:I3542,"&gt;0"))</f>
        <v/>
      </c>
      <c r="K3542" s="21" t="str">
        <f t="shared" ca="1" si="259"/>
        <v/>
      </c>
    </row>
    <row r="3543" spans="1:11" s="18" customFormat="1" ht="14.25" x14ac:dyDescent="0.2">
      <c r="A3543" s="18" t="str">
        <f t="shared" si="261"/>
        <v>Eintrag 3542</v>
      </c>
      <c r="B3543" s="18">
        <v>100</v>
      </c>
      <c r="C3543" s="19">
        <v>100</v>
      </c>
      <c r="D3543" s="20">
        <v>10</v>
      </c>
      <c r="E3543" s="20">
        <v>10</v>
      </c>
      <c r="F3543" s="20">
        <v>10</v>
      </c>
      <c r="G3543" s="19">
        <f t="shared" si="260"/>
        <v>172</v>
      </c>
      <c r="H3543" s="22">
        <f t="shared" si="258"/>
        <v>3542</v>
      </c>
      <c r="I3543" s="21">
        <f t="shared" ca="1" si="257"/>
        <v>0</v>
      </c>
      <c r="J3543" s="21" t="str">
        <f ca="1">IF(I3543=0,"",COUNTIF($I$2:I3543,"&gt;0"))</f>
        <v/>
      </c>
      <c r="K3543" s="21" t="str">
        <f t="shared" ca="1" si="259"/>
        <v/>
      </c>
    </row>
    <row r="3544" spans="1:11" s="18" customFormat="1" ht="14.25" x14ac:dyDescent="0.2">
      <c r="A3544" s="18" t="str">
        <f t="shared" si="261"/>
        <v>Eintrag 3543</v>
      </c>
      <c r="B3544" s="18">
        <v>100</v>
      </c>
      <c r="C3544" s="19">
        <v>100</v>
      </c>
      <c r="D3544" s="20">
        <v>10</v>
      </c>
      <c r="E3544" s="20">
        <v>10</v>
      </c>
      <c r="F3544" s="20">
        <v>10</v>
      </c>
      <c r="G3544" s="19">
        <f t="shared" si="260"/>
        <v>172</v>
      </c>
      <c r="H3544" s="22">
        <f t="shared" si="258"/>
        <v>3543</v>
      </c>
      <c r="I3544" s="21">
        <f t="shared" ca="1" si="257"/>
        <v>0</v>
      </c>
      <c r="J3544" s="21" t="str">
        <f ca="1">IF(I3544=0,"",COUNTIF($I$2:I3544,"&gt;0"))</f>
        <v/>
      </c>
      <c r="K3544" s="21" t="str">
        <f t="shared" ca="1" si="259"/>
        <v/>
      </c>
    </row>
    <row r="3545" spans="1:11" s="18" customFormat="1" ht="14.25" x14ac:dyDescent="0.2">
      <c r="A3545" s="18" t="str">
        <f t="shared" si="261"/>
        <v>Eintrag 3544</v>
      </c>
      <c r="B3545" s="18">
        <v>100</v>
      </c>
      <c r="C3545" s="19">
        <v>100</v>
      </c>
      <c r="D3545" s="20">
        <v>10</v>
      </c>
      <c r="E3545" s="20">
        <v>10</v>
      </c>
      <c r="F3545" s="20">
        <v>10</v>
      </c>
      <c r="G3545" s="19">
        <f t="shared" si="260"/>
        <v>172</v>
      </c>
      <c r="H3545" s="22">
        <f t="shared" si="258"/>
        <v>3544</v>
      </c>
      <c r="I3545" s="21">
        <f t="shared" ca="1" si="257"/>
        <v>0</v>
      </c>
      <c r="J3545" s="21" t="str">
        <f ca="1">IF(I3545=0,"",COUNTIF($I$2:I3545,"&gt;0"))</f>
        <v/>
      </c>
      <c r="K3545" s="21" t="str">
        <f t="shared" ca="1" si="259"/>
        <v/>
      </c>
    </row>
    <row r="3546" spans="1:11" s="18" customFormat="1" ht="14.25" x14ac:dyDescent="0.2">
      <c r="A3546" s="18" t="str">
        <f t="shared" si="261"/>
        <v>Eintrag 3545</v>
      </c>
      <c r="B3546" s="18">
        <v>100</v>
      </c>
      <c r="C3546" s="19">
        <v>100</v>
      </c>
      <c r="D3546" s="20">
        <v>10</v>
      </c>
      <c r="E3546" s="20">
        <v>10</v>
      </c>
      <c r="F3546" s="20">
        <v>10</v>
      </c>
      <c r="G3546" s="19">
        <f t="shared" si="260"/>
        <v>172</v>
      </c>
      <c r="H3546" s="22">
        <f t="shared" si="258"/>
        <v>3545</v>
      </c>
      <c r="I3546" s="21">
        <f t="shared" ca="1" si="257"/>
        <v>0</v>
      </c>
      <c r="J3546" s="21" t="str">
        <f ca="1">IF(I3546=0,"",COUNTIF($I$2:I3546,"&gt;0"))</f>
        <v/>
      </c>
      <c r="K3546" s="21" t="str">
        <f t="shared" ca="1" si="259"/>
        <v/>
      </c>
    </row>
    <row r="3547" spans="1:11" s="18" customFormat="1" ht="14.25" x14ac:dyDescent="0.2">
      <c r="A3547" s="18" t="str">
        <f t="shared" si="261"/>
        <v>Eintrag 3546</v>
      </c>
      <c r="B3547" s="18">
        <v>100</v>
      </c>
      <c r="C3547" s="19">
        <v>100</v>
      </c>
      <c r="D3547" s="20">
        <v>10</v>
      </c>
      <c r="E3547" s="20">
        <v>10</v>
      </c>
      <c r="F3547" s="20">
        <v>10</v>
      </c>
      <c r="G3547" s="19">
        <f t="shared" si="260"/>
        <v>172</v>
      </c>
      <c r="H3547" s="22">
        <f t="shared" si="258"/>
        <v>3546</v>
      </c>
      <c r="I3547" s="21">
        <f t="shared" ca="1" si="257"/>
        <v>0</v>
      </c>
      <c r="J3547" s="21" t="str">
        <f ca="1">IF(I3547=0,"",COUNTIF($I$2:I3547,"&gt;0"))</f>
        <v/>
      </c>
      <c r="K3547" s="21" t="str">
        <f t="shared" ca="1" si="259"/>
        <v/>
      </c>
    </row>
    <row r="3548" spans="1:11" s="18" customFormat="1" ht="14.25" x14ac:dyDescent="0.2">
      <c r="A3548" s="18" t="str">
        <f t="shared" si="261"/>
        <v>Eintrag 3547</v>
      </c>
      <c r="B3548" s="18">
        <v>100</v>
      </c>
      <c r="C3548" s="19">
        <v>100</v>
      </c>
      <c r="D3548" s="20">
        <v>10</v>
      </c>
      <c r="E3548" s="20">
        <v>10</v>
      </c>
      <c r="F3548" s="20">
        <v>10</v>
      </c>
      <c r="G3548" s="19">
        <f t="shared" si="260"/>
        <v>172</v>
      </c>
      <c r="H3548" s="22">
        <f t="shared" si="258"/>
        <v>3547</v>
      </c>
      <c r="I3548" s="21">
        <f t="shared" ca="1" si="257"/>
        <v>0</v>
      </c>
      <c r="J3548" s="21" t="str">
        <f ca="1">IF(I3548=0,"",COUNTIF($I$2:I3548,"&gt;0"))</f>
        <v/>
      </c>
      <c r="K3548" s="21" t="str">
        <f t="shared" ca="1" si="259"/>
        <v/>
      </c>
    </row>
    <row r="3549" spans="1:11" s="18" customFormat="1" ht="14.25" x14ac:dyDescent="0.2">
      <c r="A3549" s="18" t="str">
        <f t="shared" si="261"/>
        <v>Eintrag 3548</v>
      </c>
      <c r="B3549" s="18">
        <v>100</v>
      </c>
      <c r="C3549" s="19">
        <v>100</v>
      </c>
      <c r="D3549" s="20">
        <v>10</v>
      </c>
      <c r="E3549" s="20">
        <v>10</v>
      </c>
      <c r="F3549" s="20">
        <v>10</v>
      </c>
      <c r="G3549" s="19">
        <f t="shared" si="260"/>
        <v>172</v>
      </c>
      <c r="H3549" s="22">
        <f t="shared" si="258"/>
        <v>3548</v>
      </c>
      <c r="I3549" s="21">
        <f t="shared" ca="1" si="257"/>
        <v>0</v>
      </c>
      <c r="J3549" s="21" t="str">
        <f ca="1">IF(I3549=0,"",COUNTIF($I$2:I3549,"&gt;0"))</f>
        <v/>
      </c>
      <c r="K3549" s="21" t="str">
        <f t="shared" ca="1" si="259"/>
        <v/>
      </c>
    </row>
    <row r="3550" spans="1:11" s="18" customFormat="1" ht="14.25" x14ac:dyDescent="0.2">
      <c r="A3550" s="18" t="str">
        <f t="shared" si="261"/>
        <v>Eintrag 3549</v>
      </c>
      <c r="B3550" s="18">
        <v>100</v>
      </c>
      <c r="C3550" s="19">
        <v>100</v>
      </c>
      <c r="D3550" s="20">
        <v>10</v>
      </c>
      <c r="E3550" s="20">
        <v>10</v>
      </c>
      <c r="F3550" s="20">
        <v>10</v>
      </c>
      <c r="G3550" s="19">
        <f t="shared" si="260"/>
        <v>172</v>
      </c>
      <c r="H3550" s="22">
        <f t="shared" si="258"/>
        <v>3549</v>
      </c>
      <c r="I3550" s="21">
        <f t="shared" ref="I3550:I3613" ca="1" si="262">IFERROR(SEARCH(INDIRECT(CELL("address")),A3550),0)</f>
        <v>0</v>
      </c>
      <c r="J3550" s="21" t="str">
        <f ca="1">IF(I3550=0,"",COUNTIF($I$2:I3550,"&gt;0"))</f>
        <v/>
      </c>
      <c r="K3550" s="21" t="str">
        <f t="shared" ca="1" si="259"/>
        <v/>
      </c>
    </row>
    <row r="3551" spans="1:11" s="18" customFormat="1" ht="14.25" x14ac:dyDescent="0.2">
      <c r="A3551" s="18" t="str">
        <f t="shared" si="261"/>
        <v>Eintrag 3550</v>
      </c>
      <c r="B3551" s="18">
        <v>100</v>
      </c>
      <c r="C3551" s="19">
        <v>100</v>
      </c>
      <c r="D3551" s="20">
        <v>10</v>
      </c>
      <c r="E3551" s="20">
        <v>10</v>
      </c>
      <c r="F3551" s="20">
        <v>10</v>
      </c>
      <c r="G3551" s="19">
        <f t="shared" si="260"/>
        <v>172</v>
      </c>
      <c r="H3551" s="22">
        <f t="shared" si="258"/>
        <v>3550</v>
      </c>
      <c r="I3551" s="21">
        <f t="shared" ca="1" si="262"/>
        <v>0</v>
      </c>
      <c r="J3551" s="21" t="str">
        <f ca="1">IF(I3551=0,"",COUNTIF($I$2:I3551,"&gt;0"))</f>
        <v/>
      </c>
      <c r="K3551" s="21" t="str">
        <f t="shared" ca="1" si="259"/>
        <v/>
      </c>
    </row>
    <row r="3552" spans="1:11" s="18" customFormat="1" ht="14.25" x14ac:dyDescent="0.2">
      <c r="A3552" s="18" t="str">
        <f t="shared" si="261"/>
        <v>Eintrag 3551</v>
      </c>
      <c r="B3552" s="18">
        <v>100</v>
      </c>
      <c r="C3552" s="19">
        <v>100</v>
      </c>
      <c r="D3552" s="20">
        <v>10</v>
      </c>
      <c r="E3552" s="20">
        <v>10</v>
      </c>
      <c r="F3552" s="20">
        <v>10</v>
      </c>
      <c r="G3552" s="19">
        <f t="shared" si="260"/>
        <v>172</v>
      </c>
      <c r="H3552" s="22">
        <f t="shared" si="258"/>
        <v>3551</v>
      </c>
      <c r="I3552" s="21">
        <f t="shared" ca="1" si="262"/>
        <v>0</v>
      </c>
      <c r="J3552" s="21" t="str">
        <f ca="1">IF(I3552=0,"",COUNTIF($I$2:I3552,"&gt;0"))</f>
        <v/>
      </c>
      <c r="K3552" s="21" t="str">
        <f t="shared" ca="1" si="259"/>
        <v/>
      </c>
    </row>
    <row r="3553" spans="1:11" s="18" customFormat="1" ht="14.25" x14ac:dyDescent="0.2">
      <c r="A3553" s="18" t="str">
        <f t="shared" si="261"/>
        <v>Eintrag 3552</v>
      </c>
      <c r="B3553" s="18">
        <v>100</v>
      </c>
      <c r="C3553" s="19">
        <v>100</v>
      </c>
      <c r="D3553" s="20">
        <v>10</v>
      </c>
      <c r="E3553" s="20">
        <v>10</v>
      </c>
      <c r="F3553" s="20">
        <v>10</v>
      </c>
      <c r="G3553" s="19">
        <f t="shared" si="260"/>
        <v>172</v>
      </c>
      <c r="H3553" s="22">
        <f t="shared" si="258"/>
        <v>3552</v>
      </c>
      <c r="I3553" s="21">
        <f t="shared" ca="1" si="262"/>
        <v>0</v>
      </c>
      <c r="J3553" s="21" t="str">
        <f ca="1">IF(I3553=0,"",COUNTIF($I$2:I3553,"&gt;0"))</f>
        <v/>
      </c>
      <c r="K3553" s="21" t="str">
        <f t="shared" ca="1" si="259"/>
        <v/>
      </c>
    </row>
    <row r="3554" spans="1:11" s="18" customFormat="1" ht="14.25" x14ac:dyDescent="0.2">
      <c r="A3554" s="18" t="str">
        <f t="shared" si="261"/>
        <v>Eintrag 3553</v>
      </c>
      <c r="B3554" s="18">
        <v>100</v>
      </c>
      <c r="C3554" s="19">
        <v>100</v>
      </c>
      <c r="D3554" s="20">
        <v>10</v>
      </c>
      <c r="E3554" s="20">
        <v>10</v>
      </c>
      <c r="F3554" s="20">
        <v>10</v>
      </c>
      <c r="G3554" s="19">
        <f t="shared" si="260"/>
        <v>172</v>
      </c>
      <c r="H3554" s="22">
        <f t="shared" si="258"/>
        <v>3553</v>
      </c>
      <c r="I3554" s="21">
        <f t="shared" ca="1" si="262"/>
        <v>0</v>
      </c>
      <c r="J3554" s="21" t="str">
        <f ca="1">IF(I3554=0,"",COUNTIF($I$2:I3554,"&gt;0"))</f>
        <v/>
      </c>
      <c r="K3554" s="21" t="str">
        <f t="shared" ca="1" si="259"/>
        <v/>
      </c>
    </row>
    <row r="3555" spans="1:11" s="18" customFormat="1" ht="14.25" x14ac:dyDescent="0.2">
      <c r="A3555" s="18" t="str">
        <f t="shared" si="261"/>
        <v>Eintrag 3554</v>
      </c>
      <c r="B3555" s="18">
        <v>100</v>
      </c>
      <c r="C3555" s="19">
        <v>100</v>
      </c>
      <c r="D3555" s="20">
        <v>10</v>
      </c>
      <c r="E3555" s="20">
        <v>10</v>
      </c>
      <c r="F3555" s="20">
        <v>10</v>
      </c>
      <c r="G3555" s="19">
        <f t="shared" si="260"/>
        <v>172</v>
      </c>
      <c r="H3555" s="22">
        <f t="shared" si="258"/>
        <v>3554</v>
      </c>
      <c r="I3555" s="21">
        <f t="shared" ca="1" si="262"/>
        <v>0</v>
      </c>
      <c r="J3555" s="21" t="str">
        <f ca="1">IF(I3555=0,"",COUNTIF($I$2:I3555,"&gt;0"))</f>
        <v/>
      </c>
      <c r="K3555" s="21" t="str">
        <f t="shared" ca="1" si="259"/>
        <v/>
      </c>
    </row>
    <row r="3556" spans="1:11" s="18" customFormat="1" ht="14.25" x14ac:dyDescent="0.2">
      <c r="A3556" s="18" t="str">
        <f t="shared" si="261"/>
        <v>Eintrag 3555</v>
      </c>
      <c r="B3556" s="18">
        <v>100</v>
      </c>
      <c r="C3556" s="19">
        <v>100</v>
      </c>
      <c r="D3556" s="20">
        <v>10</v>
      </c>
      <c r="E3556" s="20">
        <v>10</v>
      </c>
      <c r="F3556" s="20">
        <v>10</v>
      </c>
      <c r="G3556" s="19">
        <f t="shared" si="260"/>
        <v>172</v>
      </c>
      <c r="H3556" s="22">
        <f t="shared" si="258"/>
        <v>3555</v>
      </c>
      <c r="I3556" s="21">
        <f t="shared" ca="1" si="262"/>
        <v>0</v>
      </c>
      <c r="J3556" s="21" t="str">
        <f ca="1">IF(I3556=0,"",COUNTIF($I$2:I3556,"&gt;0"))</f>
        <v/>
      </c>
      <c r="K3556" s="21" t="str">
        <f t="shared" ca="1" si="259"/>
        <v/>
      </c>
    </row>
    <row r="3557" spans="1:11" s="18" customFormat="1" ht="14.25" x14ac:dyDescent="0.2">
      <c r="A3557" s="18" t="str">
        <f t="shared" si="261"/>
        <v>Eintrag 3556</v>
      </c>
      <c r="B3557" s="18">
        <v>100</v>
      </c>
      <c r="C3557" s="19">
        <v>100</v>
      </c>
      <c r="D3557" s="20">
        <v>10</v>
      </c>
      <c r="E3557" s="20">
        <v>10</v>
      </c>
      <c r="F3557" s="20">
        <v>10</v>
      </c>
      <c r="G3557" s="19">
        <f t="shared" si="260"/>
        <v>172</v>
      </c>
      <c r="H3557" s="22">
        <f t="shared" ref="H3557:H3620" si="263">H3556+1</f>
        <v>3556</v>
      </c>
      <c r="I3557" s="21">
        <f t="shared" ca="1" si="262"/>
        <v>0</v>
      </c>
      <c r="J3557" s="21" t="str">
        <f ca="1">IF(I3557=0,"",COUNTIF($I$2:I3557,"&gt;0"))</f>
        <v/>
      </c>
      <c r="K3557" s="21" t="str">
        <f t="shared" ca="1" si="259"/>
        <v/>
      </c>
    </row>
    <row r="3558" spans="1:11" s="18" customFormat="1" ht="14.25" x14ac:dyDescent="0.2">
      <c r="A3558" s="18" t="str">
        <f t="shared" si="261"/>
        <v>Eintrag 3557</v>
      </c>
      <c r="B3558" s="18">
        <v>100</v>
      </c>
      <c r="C3558" s="19">
        <v>100</v>
      </c>
      <c r="D3558" s="20">
        <v>10</v>
      </c>
      <c r="E3558" s="20">
        <v>10</v>
      </c>
      <c r="F3558" s="20">
        <v>10</v>
      </c>
      <c r="G3558" s="19">
        <f t="shared" si="260"/>
        <v>172</v>
      </c>
      <c r="H3558" s="22">
        <f t="shared" si="263"/>
        <v>3557</v>
      </c>
      <c r="I3558" s="21">
        <f t="shared" ca="1" si="262"/>
        <v>0</v>
      </c>
      <c r="J3558" s="21" t="str">
        <f ca="1">IF(I3558=0,"",COUNTIF($I$2:I3558,"&gt;0"))</f>
        <v/>
      </c>
      <c r="K3558" s="21" t="str">
        <f t="shared" ca="1" si="259"/>
        <v/>
      </c>
    </row>
    <row r="3559" spans="1:11" s="18" customFormat="1" ht="14.25" x14ac:dyDescent="0.2">
      <c r="A3559" s="18" t="str">
        <f t="shared" si="261"/>
        <v>Eintrag 3558</v>
      </c>
      <c r="B3559" s="18">
        <v>100</v>
      </c>
      <c r="C3559" s="19">
        <v>100</v>
      </c>
      <c r="D3559" s="20">
        <v>10</v>
      </c>
      <c r="E3559" s="20">
        <v>10</v>
      </c>
      <c r="F3559" s="20">
        <v>10</v>
      </c>
      <c r="G3559" s="19">
        <f t="shared" si="260"/>
        <v>172</v>
      </c>
      <c r="H3559" s="22">
        <f t="shared" si="263"/>
        <v>3558</v>
      </c>
      <c r="I3559" s="21">
        <f t="shared" ca="1" si="262"/>
        <v>0</v>
      </c>
      <c r="J3559" s="21" t="str">
        <f ca="1">IF(I3559=0,"",COUNTIF($I$2:I3559,"&gt;0"))</f>
        <v/>
      </c>
      <c r="K3559" s="21" t="str">
        <f t="shared" ca="1" si="259"/>
        <v/>
      </c>
    </row>
    <row r="3560" spans="1:11" s="18" customFormat="1" ht="14.25" x14ac:dyDescent="0.2">
      <c r="A3560" s="18" t="str">
        <f t="shared" si="261"/>
        <v>Eintrag 3559</v>
      </c>
      <c r="B3560" s="18">
        <v>100</v>
      </c>
      <c r="C3560" s="19">
        <v>100</v>
      </c>
      <c r="D3560" s="20">
        <v>10</v>
      </c>
      <c r="E3560" s="20">
        <v>10</v>
      </c>
      <c r="F3560" s="20">
        <v>10</v>
      </c>
      <c r="G3560" s="19">
        <f t="shared" si="260"/>
        <v>172</v>
      </c>
      <c r="H3560" s="22">
        <f t="shared" si="263"/>
        <v>3559</v>
      </c>
      <c r="I3560" s="21">
        <f t="shared" ca="1" si="262"/>
        <v>0</v>
      </c>
      <c r="J3560" s="21" t="str">
        <f ca="1">IF(I3560=0,"",COUNTIF($I$2:I3560,"&gt;0"))</f>
        <v/>
      </c>
      <c r="K3560" s="21" t="str">
        <f t="shared" ca="1" si="259"/>
        <v/>
      </c>
    </row>
    <row r="3561" spans="1:11" s="18" customFormat="1" ht="14.25" x14ac:dyDescent="0.2">
      <c r="A3561" s="18" t="str">
        <f t="shared" si="261"/>
        <v>Eintrag 3560</v>
      </c>
      <c r="B3561" s="18">
        <v>100</v>
      </c>
      <c r="C3561" s="19">
        <v>100</v>
      </c>
      <c r="D3561" s="20">
        <v>10</v>
      </c>
      <c r="E3561" s="20">
        <v>10</v>
      </c>
      <c r="F3561" s="20">
        <v>10</v>
      </c>
      <c r="G3561" s="19">
        <f t="shared" si="260"/>
        <v>172</v>
      </c>
      <c r="H3561" s="22">
        <f t="shared" si="263"/>
        <v>3560</v>
      </c>
      <c r="I3561" s="21">
        <f t="shared" ca="1" si="262"/>
        <v>0</v>
      </c>
      <c r="J3561" s="21" t="str">
        <f ca="1">IF(I3561=0,"",COUNTIF($I$2:I3561,"&gt;0"))</f>
        <v/>
      </c>
      <c r="K3561" s="21" t="str">
        <f t="shared" ca="1" si="259"/>
        <v/>
      </c>
    </row>
    <row r="3562" spans="1:11" s="18" customFormat="1" ht="14.25" x14ac:dyDescent="0.2">
      <c r="A3562" s="18" t="str">
        <f t="shared" si="261"/>
        <v>Eintrag 3561</v>
      </c>
      <c r="B3562" s="18">
        <v>100</v>
      </c>
      <c r="C3562" s="19">
        <v>100</v>
      </c>
      <c r="D3562" s="20">
        <v>10</v>
      </c>
      <c r="E3562" s="20">
        <v>10</v>
      </c>
      <c r="F3562" s="20">
        <v>10</v>
      </c>
      <c r="G3562" s="19">
        <f t="shared" si="260"/>
        <v>172</v>
      </c>
      <c r="H3562" s="22">
        <f t="shared" si="263"/>
        <v>3561</v>
      </c>
      <c r="I3562" s="21">
        <f t="shared" ca="1" si="262"/>
        <v>0</v>
      </c>
      <c r="J3562" s="21" t="str">
        <f ca="1">IF(I3562=0,"",COUNTIF($I$2:I3562,"&gt;0"))</f>
        <v/>
      </c>
      <c r="K3562" s="21" t="str">
        <f t="shared" ca="1" si="259"/>
        <v/>
      </c>
    </row>
    <row r="3563" spans="1:11" s="18" customFormat="1" ht="14.25" x14ac:dyDescent="0.2">
      <c r="A3563" s="18" t="str">
        <f t="shared" si="261"/>
        <v>Eintrag 3562</v>
      </c>
      <c r="B3563" s="18">
        <v>100</v>
      </c>
      <c r="C3563" s="19">
        <v>100</v>
      </c>
      <c r="D3563" s="20">
        <v>10</v>
      </c>
      <c r="E3563" s="20">
        <v>10</v>
      </c>
      <c r="F3563" s="20">
        <v>10</v>
      </c>
      <c r="G3563" s="19">
        <f t="shared" si="260"/>
        <v>172</v>
      </c>
      <c r="H3563" s="22">
        <f t="shared" si="263"/>
        <v>3562</v>
      </c>
      <c r="I3563" s="21">
        <f t="shared" ca="1" si="262"/>
        <v>0</v>
      </c>
      <c r="J3563" s="21" t="str">
        <f ca="1">IF(I3563=0,"",COUNTIF($I$2:I3563,"&gt;0"))</f>
        <v/>
      </c>
      <c r="K3563" s="21" t="str">
        <f t="shared" ca="1" si="259"/>
        <v/>
      </c>
    </row>
    <row r="3564" spans="1:11" s="18" customFormat="1" ht="14.25" x14ac:dyDescent="0.2">
      <c r="A3564" s="18" t="str">
        <f t="shared" si="261"/>
        <v>Eintrag 3563</v>
      </c>
      <c r="B3564" s="18">
        <v>100</v>
      </c>
      <c r="C3564" s="19">
        <v>100</v>
      </c>
      <c r="D3564" s="20">
        <v>10</v>
      </c>
      <c r="E3564" s="20">
        <v>10</v>
      </c>
      <c r="F3564" s="20">
        <v>10</v>
      </c>
      <c r="G3564" s="19">
        <f t="shared" si="260"/>
        <v>172</v>
      </c>
      <c r="H3564" s="22">
        <f t="shared" si="263"/>
        <v>3563</v>
      </c>
      <c r="I3564" s="21">
        <f t="shared" ca="1" si="262"/>
        <v>0</v>
      </c>
      <c r="J3564" s="21" t="str">
        <f ca="1">IF(I3564=0,"",COUNTIF($I$2:I3564,"&gt;0"))</f>
        <v/>
      </c>
      <c r="K3564" s="21" t="str">
        <f t="shared" ca="1" si="259"/>
        <v/>
      </c>
    </row>
    <row r="3565" spans="1:11" s="18" customFormat="1" ht="14.25" x14ac:dyDescent="0.2">
      <c r="A3565" s="18" t="str">
        <f t="shared" si="261"/>
        <v>Eintrag 3564</v>
      </c>
      <c r="B3565" s="18">
        <v>100</v>
      </c>
      <c r="C3565" s="19">
        <v>100</v>
      </c>
      <c r="D3565" s="20">
        <v>10</v>
      </c>
      <c r="E3565" s="20">
        <v>10</v>
      </c>
      <c r="F3565" s="20">
        <v>10</v>
      </c>
      <c r="G3565" s="19">
        <f t="shared" si="260"/>
        <v>172</v>
      </c>
      <c r="H3565" s="22">
        <f t="shared" si="263"/>
        <v>3564</v>
      </c>
      <c r="I3565" s="21">
        <f t="shared" ca="1" si="262"/>
        <v>0</v>
      </c>
      <c r="J3565" s="21" t="str">
        <f ca="1">IF(I3565=0,"",COUNTIF($I$2:I3565,"&gt;0"))</f>
        <v/>
      </c>
      <c r="K3565" s="21" t="str">
        <f t="shared" ca="1" si="259"/>
        <v/>
      </c>
    </row>
    <row r="3566" spans="1:11" s="18" customFormat="1" ht="14.25" x14ac:dyDescent="0.2">
      <c r="A3566" s="18" t="str">
        <f t="shared" si="261"/>
        <v>Eintrag 3565</v>
      </c>
      <c r="B3566" s="18">
        <v>100</v>
      </c>
      <c r="C3566" s="19">
        <v>100</v>
      </c>
      <c r="D3566" s="20">
        <v>10</v>
      </c>
      <c r="E3566" s="20">
        <v>10</v>
      </c>
      <c r="F3566" s="20">
        <v>10</v>
      </c>
      <c r="G3566" s="19">
        <f t="shared" si="260"/>
        <v>172</v>
      </c>
      <c r="H3566" s="22">
        <f t="shared" si="263"/>
        <v>3565</v>
      </c>
      <c r="I3566" s="21">
        <f t="shared" ca="1" si="262"/>
        <v>0</v>
      </c>
      <c r="J3566" s="21" t="str">
        <f ca="1">IF(I3566=0,"",COUNTIF($I$2:I3566,"&gt;0"))</f>
        <v/>
      </c>
      <c r="K3566" s="21" t="str">
        <f t="shared" ca="1" si="259"/>
        <v/>
      </c>
    </row>
    <row r="3567" spans="1:11" s="18" customFormat="1" ht="14.25" x14ac:dyDescent="0.2">
      <c r="A3567" s="18" t="str">
        <f t="shared" si="261"/>
        <v>Eintrag 3566</v>
      </c>
      <c r="B3567" s="18">
        <v>100</v>
      </c>
      <c r="C3567" s="19">
        <v>100</v>
      </c>
      <c r="D3567" s="20">
        <v>10</v>
      </c>
      <c r="E3567" s="20">
        <v>10</v>
      </c>
      <c r="F3567" s="20">
        <v>10</v>
      </c>
      <c r="G3567" s="19">
        <f t="shared" si="260"/>
        <v>172</v>
      </c>
      <c r="H3567" s="22">
        <f t="shared" si="263"/>
        <v>3566</v>
      </c>
      <c r="I3567" s="21">
        <f t="shared" ca="1" si="262"/>
        <v>0</v>
      </c>
      <c r="J3567" s="21" t="str">
        <f ca="1">IF(I3567=0,"",COUNTIF($I$2:I3567,"&gt;0"))</f>
        <v/>
      </c>
      <c r="K3567" s="21" t="str">
        <f t="shared" ca="1" si="259"/>
        <v/>
      </c>
    </row>
    <row r="3568" spans="1:11" s="18" customFormat="1" ht="14.25" x14ac:dyDescent="0.2">
      <c r="A3568" s="18" t="str">
        <f t="shared" si="261"/>
        <v>Eintrag 3567</v>
      </c>
      <c r="B3568" s="18">
        <v>100</v>
      </c>
      <c r="C3568" s="19">
        <v>100</v>
      </c>
      <c r="D3568" s="20">
        <v>10</v>
      </c>
      <c r="E3568" s="20">
        <v>10</v>
      </c>
      <c r="F3568" s="20">
        <v>10</v>
      </c>
      <c r="G3568" s="19">
        <f t="shared" si="260"/>
        <v>172</v>
      </c>
      <c r="H3568" s="22">
        <f t="shared" si="263"/>
        <v>3567</v>
      </c>
      <c r="I3568" s="21">
        <f t="shared" ca="1" si="262"/>
        <v>0</v>
      </c>
      <c r="J3568" s="21" t="str">
        <f ca="1">IF(I3568=0,"",COUNTIF($I$2:I3568,"&gt;0"))</f>
        <v/>
      </c>
      <c r="K3568" s="21" t="str">
        <f t="shared" ca="1" si="259"/>
        <v/>
      </c>
    </row>
    <row r="3569" spans="1:11" s="18" customFormat="1" ht="14.25" x14ac:dyDescent="0.2">
      <c r="A3569" s="18" t="str">
        <f t="shared" si="261"/>
        <v>Eintrag 3568</v>
      </c>
      <c r="B3569" s="18">
        <v>100</v>
      </c>
      <c r="C3569" s="19">
        <v>100</v>
      </c>
      <c r="D3569" s="20">
        <v>10</v>
      </c>
      <c r="E3569" s="20">
        <v>10</v>
      </c>
      <c r="F3569" s="20">
        <v>10</v>
      </c>
      <c r="G3569" s="19">
        <f t="shared" si="260"/>
        <v>172</v>
      </c>
      <c r="H3569" s="22">
        <f t="shared" si="263"/>
        <v>3568</v>
      </c>
      <c r="I3569" s="21">
        <f t="shared" ca="1" si="262"/>
        <v>0</v>
      </c>
      <c r="J3569" s="21" t="str">
        <f ca="1">IF(I3569=0,"",COUNTIF($I$2:I3569,"&gt;0"))</f>
        <v/>
      </c>
      <c r="K3569" s="21" t="str">
        <f t="shared" ca="1" si="259"/>
        <v/>
      </c>
    </row>
    <row r="3570" spans="1:11" s="18" customFormat="1" ht="14.25" x14ac:dyDescent="0.2">
      <c r="A3570" s="18" t="str">
        <f t="shared" si="261"/>
        <v>Eintrag 3569</v>
      </c>
      <c r="B3570" s="18">
        <v>100</v>
      </c>
      <c r="C3570" s="19">
        <v>100</v>
      </c>
      <c r="D3570" s="20">
        <v>10</v>
      </c>
      <c r="E3570" s="20">
        <v>10</v>
      </c>
      <c r="F3570" s="20">
        <v>10</v>
      </c>
      <c r="G3570" s="19">
        <f t="shared" si="260"/>
        <v>172</v>
      </c>
      <c r="H3570" s="22">
        <f t="shared" si="263"/>
        <v>3569</v>
      </c>
      <c r="I3570" s="21">
        <f t="shared" ca="1" si="262"/>
        <v>0</v>
      </c>
      <c r="J3570" s="21" t="str">
        <f ca="1">IF(I3570=0,"",COUNTIF($I$2:I3570,"&gt;0"))</f>
        <v/>
      </c>
      <c r="K3570" s="21" t="str">
        <f t="shared" ca="1" si="259"/>
        <v/>
      </c>
    </row>
    <row r="3571" spans="1:11" s="18" customFormat="1" ht="14.25" x14ac:dyDescent="0.2">
      <c r="A3571" s="18" t="str">
        <f t="shared" si="261"/>
        <v>Eintrag 3570</v>
      </c>
      <c r="B3571" s="18">
        <v>100</v>
      </c>
      <c r="C3571" s="19">
        <v>100</v>
      </c>
      <c r="D3571" s="20">
        <v>10</v>
      </c>
      <c r="E3571" s="20">
        <v>10</v>
      </c>
      <c r="F3571" s="20">
        <v>10</v>
      </c>
      <c r="G3571" s="19">
        <f t="shared" si="260"/>
        <v>172</v>
      </c>
      <c r="H3571" s="22">
        <f t="shared" si="263"/>
        <v>3570</v>
      </c>
      <c r="I3571" s="21">
        <f t="shared" ca="1" si="262"/>
        <v>0</v>
      </c>
      <c r="J3571" s="21" t="str">
        <f ca="1">IF(I3571=0,"",COUNTIF($I$2:I3571,"&gt;0"))</f>
        <v/>
      </c>
      <c r="K3571" s="21" t="str">
        <f t="shared" ca="1" si="259"/>
        <v/>
      </c>
    </row>
    <row r="3572" spans="1:11" s="18" customFormat="1" ht="14.25" x14ac:dyDescent="0.2">
      <c r="A3572" s="18" t="str">
        <f t="shared" si="261"/>
        <v>Eintrag 3571</v>
      </c>
      <c r="B3572" s="18">
        <v>100</v>
      </c>
      <c r="C3572" s="19">
        <v>100</v>
      </c>
      <c r="D3572" s="20">
        <v>10</v>
      </c>
      <c r="E3572" s="20">
        <v>10</v>
      </c>
      <c r="F3572" s="20">
        <v>10</v>
      </c>
      <c r="G3572" s="19">
        <f t="shared" si="260"/>
        <v>172</v>
      </c>
      <c r="H3572" s="22">
        <f t="shared" si="263"/>
        <v>3571</v>
      </c>
      <c r="I3572" s="21">
        <f t="shared" ca="1" si="262"/>
        <v>0</v>
      </c>
      <c r="J3572" s="21" t="str">
        <f ca="1">IF(I3572=0,"",COUNTIF($I$2:I3572,"&gt;0"))</f>
        <v/>
      </c>
      <c r="K3572" s="21" t="str">
        <f t="shared" ca="1" si="259"/>
        <v/>
      </c>
    </row>
    <row r="3573" spans="1:11" s="18" customFormat="1" ht="14.25" x14ac:dyDescent="0.2">
      <c r="A3573" s="18" t="str">
        <f t="shared" si="261"/>
        <v>Eintrag 3572</v>
      </c>
      <c r="B3573" s="18">
        <v>100</v>
      </c>
      <c r="C3573" s="19">
        <v>100</v>
      </c>
      <c r="D3573" s="20">
        <v>10</v>
      </c>
      <c r="E3573" s="20">
        <v>10</v>
      </c>
      <c r="F3573" s="20">
        <v>10</v>
      </c>
      <c r="G3573" s="19">
        <f t="shared" si="260"/>
        <v>172</v>
      </c>
      <c r="H3573" s="22">
        <f t="shared" si="263"/>
        <v>3572</v>
      </c>
      <c r="I3573" s="21">
        <f t="shared" ca="1" si="262"/>
        <v>0</v>
      </c>
      <c r="J3573" s="21" t="str">
        <f ca="1">IF(I3573=0,"",COUNTIF($I$2:I3573,"&gt;0"))</f>
        <v/>
      </c>
      <c r="K3573" s="21" t="str">
        <f t="shared" ca="1" si="259"/>
        <v/>
      </c>
    </row>
    <row r="3574" spans="1:11" s="18" customFormat="1" ht="14.25" x14ac:dyDescent="0.2">
      <c r="A3574" s="18" t="str">
        <f t="shared" si="261"/>
        <v>Eintrag 3573</v>
      </c>
      <c r="B3574" s="18">
        <v>100</v>
      </c>
      <c r="C3574" s="19">
        <v>100</v>
      </c>
      <c r="D3574" s="20">
        <v>10</v>
      </c>
      <c r="E3574" s="20">
        <v>10</v>
      </c>
      <c r="F3574" s="20">
        <v>10</v>
      </c>
      <c r="G3574" s="19">
        <f t="shared" si="260"/>
        <v>172</v>
      </c>
      <c r="H3574" s="22">
        <f t="shared" si="263"/>
        <v>3573</v>
      </c>
      <c r="I3574" s="21">
        <f t="shared" ca="1" si="262"/>
        <v>0</v>
      </c>
      <c r="J3574" s="21" t="str">
        <f ca="1">IF(I3574=0,"",COUNTIF($I$2:I3574,"&gt;0"))</f>
        <v/>
      </c>
      <c r="K3574" s="21" t="str">
        <f t="shared" ca="1" si="259"/>
        <v/>
      </c>
    </row>
    <row r="3575" spans="1:11" s="18" customFormat="1" ht="14.25" x14ac:dyDescent="0.2">
      <c r="A3575" s="18" t="str">
        <f t="shared" si="261"/>
        <v>Eintrag 3574</v>
      </c>
      <c r="B3575" s="18">
        <v>100</v>
      </c>
      <c r="C3575" s="19">
        <v>100</v>
      </c>
      <c r="D3575" s="20">
        <v>10</v>
      </c>
      <c r="E3575" s="20">
        <v>10</v>
      </c>
      <c r="F3575" s="20">
        <v>10</v>
      </c>
      <c r="G3575" s="19">
        <f t="shared" si="260"/>
        <v>172</v>
      </c>
      <c r="H3575" s="22">
        <f t="shared" si="263"/>
        <v>3574</v>
      </c>
      <c r="I3575" s="21">
        <f t="shared" ca="1" si="262"/>
        <v>0</v>
      </c>
      <c r="J3575" s="21" t="str">
        <f ca="1">IF(I3575=0,"",COUNTIF($I$2:I3575,"&gt;0"))</f>
        <v/>
      </c>
      <c r="K3575" s="21" t="str">
        <f t="shared" ca="1" si="259"/>
        <v/>
      </c>
    </row>
    <row r="3576" spans="1:11" s="18" customFormat="1" ht="14.25" x14ac:dyDescent="0.2">
      <c r="A3576" s="18" t="str">
        <f t="shared" si="261"/>
        <v>Eintrag 3575</v>
      </c>
      <c r="B3576" s="18">
        <v>100</v>
      </c>
      <c r="C3576" s="19">
        <v>100</v>
      </c>
      <c r="D3576" s="20">
        <v>10</v>
      </c>
      <c r="E3576" s="20">
        <v>10</v>
      </c>
      <c r="F3576" s="20">
        <v>10</v>
      </c>
      <c r="G3576" s="19">
        <f t="shared" si="260"/>
        <v>172</v>
      </c>
      <c r="H3576" s="22">
        <f t="shared" si="263"/>
        <v>3575</v>
      </c>
      <c r="I3576" s="21">
        <f t="shared" ca="1" si="262"/>
        <v>0</v>
      </c>
      <c r="J3576" s="21" t="str">
        <f ca="1">IF(I3576=0,"",COUNTIF($I$2:I3576,"&gt;0"))</f>
        <v/>
      </c>
      <c r="K3576" s="21" t="str">
        <f t="shared" ca="1" si="259"/>
        <v/>
      </c>
    </row>
    <row r="3577" spans="1:11" s="18" customFormat="1" ht="14.25" x14ac:dyDescent="0.2">
      <c r="A3577" s="18" t="str">
        <f t="shared" si="261"/>
        <v>Eintrag 3576</v>
      </c>
      <c r="B3577" s="18">
        <v>100</v>
      </c>
      <c r="C3577" s="19">
        <v>100</v>
      </c>
      <c r="D3577" s="20">
        <v>10</v>
      </c>
      <c r="E3577" s="20">
        <v>10</v>
      </c>
      <c r="F3577" s="20">
        <v>10</v>
      </c>
      <c r="G3577" s="19">
        <f t="shared" si="260"/>
        <v>172</v>
      </c>
      <c r="H3577" s="22">
        <f t="shared" si="263"/>
        <v>3576</v>
      </c>
      <c r="I3577" s="21">
        <f t="shared" ca="1" si="262"/>
        <v>0</v>
      </c>
      <c r="J3577" s="21" t="str">
        <f ca="1">IF(I3577=0,"",COUNTIF($I$2:I3577,"&gt;0"))</f>
        <v/>
      </c>
      <c r="K3577" s="21" t="str">
        <f t="shared" ca="1" si="259"/>
        <v/>
      </c>
    </row>
    <row r="3578" spans="1:11" s="18" customFormat="1" ht="14.25" x14ac:dyDescent="0.2">
      <c r="A3578" s="18" t="str">
        <f t="shared" si="261"/>
        <v>Eintrag 3577</v>
      </c>
      <c r="B3578" s="18">
        <v>100</v>
      </c>
      <c r="C3578" s="19">
        <v>100</v>
      </c>
      <c r="D3578" s="20">
        <v>10</v>
      </c>
      <c r="E3578" s="20">
        <v>10</v>
      </c>
      <c r="F3578" s="20">
        <v>10</v>
      </c>
      <c r="G3578" s="19">
        <f t="shared" si="260"/>
        <v>172</v>
      </c>
      <c r="H3578" s="22">
        <f t="shared" si="263"/>
        <v>3577</v>
      </c>
      <c r="I3578" s="21">
        <f t="shared" ca="1" si="262"/>
        <v>0</v>
      </c>
      <c r="J3578" s="21" t="str">
        <f ca="1">IF(I3578=0,"",COUNTIF($I$2:I3578,"&gt;0"))</f>
        <v/>
      </c>
      <c r="K3578" s="21" t="str">
        <f t="shared" ca="1" si="259"/>
        <v/>
      </c>
    </row>
    <row r="3579" spans="1:11" s="18" customFormat="1" ht="14.25" x14ac:dyDescent="0.2">
      <c r="A3579" s="18" t="str">
        <f t="shared" si="261"/>
        <v>Eintrag 3578</v>
      </c>
      <c r="B3579" s="18">
        <v>100</v>
      </c>
      <c r="C3579" s="19">
        <v>100</v>
      </c>
      <c r="D3579" s="20">
        <v>10</v>
      </c>
      <c r="E3579" s="20">
        <v>10</v>
      </c>
      <c r="F3579" s="20">
        <v>10</v>
      </c>
      <c r="G3579" s="19">
        <f t="shared" si="260"/>
        <v>172</v>
      </c>
      <c r="H3579" s="22">
        <f t="shared" si="263"/>
        <v>3578</v>
      </c>
      <c r="I3579" s="21">
        <f t="shared" ca="1" si="262"/>
        <v>0</v>
      </c>
      <c r="J3579" s="21" t="str">
        <f ca="1">IF(I3579=0,"",COUNTIF($I$2:I3579,"&gt;0"))</f>
        <v/>
      </c>
      <c r="K3579" s="21" t="str">
        <f t="shared" ca="1" si="259"/>
        <v/>
      </c>
    </row>
    <row r="3580" spans="1:11" s="18" customFormat="1" ht="14.25" x14ac:dyDescent="0.2">
      <c r="A3580" s="18" t="str">
        <f t="shared" si="261"/>
        <v>Eintrag 3579</v>
      </c>
      <c r="B3580" s="18">
        <v>100</v>
      </c>
      <c r="C3580" s="19">
        <v>100</v>
      </c>
      <c r="D3580" s="20">
        <v>10</v>
      </c>
      <c r="E3580" s="20">
        <v>10</v>
      </c>
      <c r="F3580" s="20">
        <v>10</v>
      </c>
      <c r="G3580" s="19">
        <f t="shared" si="260"/>
        <v>172</v>
      </c>
      <c r="H3580" s="22">
        <f t="shared" si="263"/>
        <v>3579</v>
      </c>
      <c r="I3580" s="21">
        <f t="shared" ca="1" si="262"/>
        <v>0</v>
      </c>
      <c r="J3580" s="21" t="str">
        <f ca="1">IF(I3580=0,"",COUNTIF($I$2:I3580,"&gt;0"))</f>
        <v/>
      </c>
      <c r="K3580" s="21" t="str">
        <f t="shared" ca="1" si="259"/>
        <v/>
      </c>
    </row>
    <row r="3581" spans="1:11" s="18" customFormat="1" ht="14.25" x14ac:dyDescent="0.2">
      <c r="A3581" s="18" t="str">
        <f t="shared" si="261"/>
        <v>Eintrag 3580</v>
      </c>
      <c r="B3581" s="18">
        <v>100</v>
      </c>
      <c r="C3581" s="19">
        <v>100</v>
      </c>
      <c r="D3581" s="20">
        <v>10</v>
      </c>
      <c r="E3581" s="20">
        <v>10</v>
      </c>
      <c r="F3581" s="20">
        <v>10</v>
      </c>
      <c r="G3581" s="19">
        <f t="shared" si="260"/>
        <v>172</v>
      </c>
      <c r="H3581" s="22">
        <f t="shared" si="263"/>
        <v>3580</v>
      </c>
      <c r="I3581" s="21">
        <f t="shared" ca="1" si="262"/>
        <v>0</v>
      </c>
      <c r="J3581" s="21" t="str">
        <f ca="1">IF(I3581=0,"",COUNTIF($I$2:I3581,"&gt;0"))</f>
        <v/>
      </c>
      <c r="K3581" s="21" t="str">
        <f t="shared" ca="1" si="259"/>
        <v/>
      </c>
    </row>
    <row r="3582" spans="1:11" s="18" customFormat="1" ht="14.25" x14ac:dyDescent="0.2">
      <c r="A3582" s="18" t="str">
        <f t="shared" si="261"/>
        <v>Eintrag 3581</v>
      </c>
      <c r="B3582" s="18">
        <v>100</v>
      </c>
      <c r="C3582" s="19">
        <v>100</v>
      </c>
      <c r="D3582" s="20">
        <v>10</v>
      </c>
      <c r="E3582" s="20">
        <v>10</v>
      </c>
      <c r="F3582" s="20">
        <v>10</v>
      </c>
      <c r="G3582" s="19">
        <f t="shared" si="260"/>
        <v>172</v>
      </c>
      <c r="H3582" s="22">
        <f t="shared" si="263"/>
        <v>3581</v>
      </c>
      <c r="I3582" s="21">
        <f t="shared" ca="1" si="262"/>
        <v>0</v>
      </c>
      <c r="J3582" s="21" t="str">
        <f ca="1">IF(I3582=0,"",COUNTIF($I$2:I3582,"&gt;0"))</f>
        <v/>
      </c>
      <c r="K3582" s="21" t="str">
        <f t="shared" ca="1" si="259"/>
        <v/>
      </c>
    </row>
    <row r="3583" spans="1:11" s="18" customFormat="1" ht="14.25" x14ac:dyDescent="0.2">
      <c r="A3583" s="18" t="str">
        <f t="shared" si="261"/>
        <v>Eintrag 3582</v>
      </c>
      <c r="B3583" s="18">
        <v>100</v>
      </c>
      <c r="C3583" s="19">
        <v>100</v>
      </c>
      <c r="D3583" s="20">
        <v>10</v>
      </c>
      <c r="E3583" s="20">
        <v>10</v>
      </c>
      <c r="F3583" s="20">
        <v>10</v>
      </c>
      <c r="G3583" s="19">
        <f t="shared" si="260"/>
        <v>172</v>
      </c>
      <c r="H3583" s="22">
        <f t="shared" si="263"/>
        <v>3582</v>
      </c>
      <c r="I3583" s="21">
        <f t="shared" ca="1" si="262"/>
        <v>0</v>
      </c>
      <c r="J3583" s="21" t="str">
        <f ca="1">IF(I3583=0,"",COUNTIF($I$2:I3583,"&gt;0"))</f>
        <v/>
      </c>
      <c r="K3583" s="21" t="str">
        <f t="shared" ca="1" si="259"/>
        <v/>
      </c>
    </row>
    <row r="3584" spans="1:11" s="18" customFormat="1" ht="14.25" x14ac:dyDescent="0.2">
      <c r="A3584" s="18" t="str">
        <f t="shared" si="261"/>
        <v>Eintrag 3583</v>
      </c>
      <c r="B3584" s="18">
        <v>100</v>
      </c>
      <c r="C3584" s="19">
        <v>100</v>
      </c>
      <c r="D3584" s="20">
        <v>10</v>
      </c>
      <c r="E3584" s="20">
        <v>10</v>
      </c>
      <c r="F3584" s="20">
        <v>10</v>
      </c>
      <c r="G3584" s="19">
        <f t="shared" si="260"/>
        <v>172</v>
      </c>
      <c r="H3584" s="22">
        <f t="shared" si="263"/>
        <v>3583</v>
      </c>
      <c r="I3584" s="21">
        <f t="shared" ca="1" si="262"/>
        <v>0</v>
      </c>
      <c r="J3584" s="21" t="str">
        <f ca="1">IF(I3584=0,"",COUNTIF($I$2:I3584,"&gt;0"))</f>
        <v/>
      </c>
      <c r="K3584" s="21" t="str">
        <f t="shared" ca="1" si="259"/>
        <v/>
      </c>
    </row>
    <row r="3585" spans="1:11" s="18" customFormat="1" ht="14.25" x14ac:dyDescent="0.2">
      <c r="A3585" s="18" t="str">
        <f t="shared" si="261"/>
        <v>Eintrag 3584</v>
      </c>
      <c r="B3585" s="18">
        <v>100</v>
      </c>
      <c r="C3585" s="19">
        <v>100</v>
      </c>
      <c r="D3585" s="20">
        <v>10</v>
      </c>
      <c r="E3585" s="20">
        <v>10</v>
      </c>
      <c r="F3585" s="20">
        <v>10</v>
      </c>
      <c r="G3585" s="19">
        <f t="shared" si="260"/>
        <v>172</v>
      </c>
      <c r="H3585" s="22">
        <f t="shared" si="263"/>
        <v>3584</v>
      </c>
      <c r="I3585" s="21">
        <f t="shared" ca="1" si="262"/>
        <v>0</v>
      </c>
      <c r="J3585" s="21" t="str">
        <f ca="1">IF(I3585=0,"",COUNTIF($I$2:I3585,"&gt;0"))</f>
        <v/>
      </c>
      <c r="K3585" s="21" t="str">
        <f t="shared" ca="1" si="259"/>
        <v/>
      </c>
    </row>
    <row r="3586" spans="1:11" s="18" customFormat="1" ht="14.25" x14ac:dyDescent="0.2">
      <c r="A3586" s="18" t="str">
        <f t="shared" si="261"/>
        <v>Eintrag 3585</v>
      </c>
      <c r="B3586" s="18">
        <v>100</v>
      </c>
      <c r="C3586" s="19">
        <v>100</v>
      </c>
      <c r="D3586" s="20">
        <v>10</v>
      </c>
      <c r="E3586" s="20">
        <v>10</v>
      </c>
      <c r="F3586" s="20">
        <v>10</v>
      </c>
      <c r="G3586" s="19">
        <f t="shared" si="260"/>
        <v>172</v>
      </c>
      <c r="H3586" s="22">
        <f t="shared" si="263"/>
        <v>3585</v>
      </c>
      <c r="I3586" s="21">
        <f t="shared" ca="1" si="262"/>
        <v>0</v>
      </c>
      <c r="J3586" s="21" t="str">
        <f ca="1">IF(I3586=0,"",COUNTIF($I$2:I3586,"&gt;0"))</f>
        <v/>
      </c>
      <c r="K3586" s="21" t="str">
        <f t="shared" ref="K3586:K3649" ca="1" si="264">IFERROR(INDEX(A:A,MATCH(ROW(I3585),J:J,0)),"")</f>
        <v/>
      </c>
    </row>
    <row r="3587" spans="1:11" s="18" customFormat="1" ht="14.25" x14ac:dyDescent="0.2">
      <c r="A3587" s="18" t="str">
        <f t="shared" si="261"/>
        <v>Eintrag 3586</v>
      </c>
      <c r="B3587" s="18">
        <v>100</v>
      </c>
      <c r="C3587" s="19">
        <v>100</v>
      </c>
      <c r="D3587" s="20">
        <v>10</v>
      </c>
      <c r="E3587" s="20">
        <v>10</v>
      </c>
      <c r="F3587" s="20">
        <v>10</v>
      </c>
      <c r="G3587" s="19">
        <f t="shared" ref="G3587:G3650" si="265">D3587*9+E3587*4.1+F3587*4.1</f>
        <v>172</v>
      </c>
      <c r="H3587" s="22">
        <f t="shared" si="263"/>
        <v>3586</v>
      </c>
      <c r="I3587" s="21">
        <f t="shared" ca="1" si="262"/>
        <v>0</v>
      </c>
      <c r="J3587" s="21" t="str">
        <f ca="1">IF(I3587=0,"",COUNTIF($I$2:I3587,"&gt;0"))</f>
        <v/>
      </c>
      <c r="K3587" s="21" t="str">
        <f t="shared" ca="1" si="264"/>
        <v/>
      </c>
    </row>
    <row r="3588" spans="1:11" s="18" customFormat="1" ht="14.25" x14ac:dyDescent="0.2">
      <c r="A3588" s="18" t="str">
        <f t="shared" si="261"/>
        <v>Eintrag 3587</v>
      </c>
      <c r="B3588" s="18">
        <v>100</v>
      </c>
      <c r="C3588" s="19">
        <v>100</v>
      </c>
      <c r="D3588" s="20">
        <v>10</v>
      </c>
      <c r="E3588" s="20">
        <v>10</v>
      </c>
      <c r="F3588" s="20">
        <v>10</v>
      </c>
      <c r="G3588" s="19">
        <f t="shared" si="265"/>
        <v>172</v>
      </c>
      <c r="H3588" s="22">
        <f t="shared" si="263"/>
        <v>3587</v>
      </c>
      <c r="I3588" s="21">
        <f t="shared" ca="1" si="262"/>
        <v>0</v>
      </c>
      <c r="J3588" s="21" t="str">
        <f ca="1">IF(I3588=0,"",COUNTIF($I$2:I3588,"&gt;0"))</f>
        <v/>
      </c>
      <c r="K3588" s="21" t="str">
        <f t="shared" ca="1" si="264"/>
        <v/>
      </c>
    </row>
    <row r="3589" spans="1:11" s="18" customFormat="1" ht="14.25" x14ac:dyDescent="0.2">
      <c r="A3589" s="18" t="str">
        <f t="shared" si="261"/>
        <v>Eintrag 3588</v>
      </c>
      <c r="B3589" s="18">
        <v>100</v>
      </c>
      <c r="C3589" s="19">
        <v>100</v>
      </c>
      <c r="D3589" s="20">
        <v>10</v>
      </c>
      <c r="E3589" s="20">
        <v>10</v>
      </c>
      <c r="F3589" s="20">
        <v>10</v>
      </c>
      <c r="G3589" s="19">
        <f t="shared" si="265"/>
        <v>172</v>
      </c>
      <c r="H3589" s="22">
        <f t="shared" si="263"/>
        <v>3588</v>
      </c>
      <c r="I3589" s="21">
        <f t="shared" ca="1" si="262"/>
        <v>0</v>
      </c>
      <c r="J3589" s="21" t="str">
        <f ca="1">IF(I3589=0,"",COUNTIF($I$2:I3589,"&gt;0"))</f>
        <v/>
      </c>
      <c r="K3589" s="21" t="str">
        <f t="shared" ca="1" si="264"/>
        <v/>
      </c>
    </row>
    <row r="3590" spans="1:11" s="18" customFormat="1" ht="14.25" x14ac:dyDescent="0.2">
      <c r="A3590" s="18" t="str">
        <f t="shared" si="261"/>
        <v>Eintrag 3589</v>
      </c>
      <c r="B3590" s="18">
        <v>100</v>
      </c>
      <c r="C3590" s="19">
        <v>100</v>
      </c>
      <c r="D3590" s="20">
        <v>10</v>
      </c>
      <c r="E3590" s="20">
        <v>10</v>
      </c>
      <c r="F3590" s="20">
        <v>10</v>
      </c>
      <c r="G3590" s="19">
        <f t="shared" si="265"/>
        <v>172</v>
      </c>
      <c r="H3590" s="22">
        <f t="shared" si="263"/>
        <v>3589</v>
      </c>
      <c r="I3590" s="21">
        <f t="shared" ca="1" si="262"/>
        <v>0</v>
      </c>
      <c r="J3590" s="21" t="str">
        <f ca="1">IF(I3590=0,"",COUNTIF($I$2:I3590,"&gt;0"))</f>
        <v/>
      </c>
      <c r="K3590" s="21" t="str">
        <f t="shared" ca="1" si="264"/>
        <v/>
      </c>
    </row>
    <row r="3591" spans="1:11" s="18" customFormat="1" ht="14.25" x14ac:dyDescent="0.2">
      <c r="A3591" s="18" t="str">
        <f t="shared" si="261"/>
        <v>Eintrag 3590</v>
      </c>
      <c r="B3591" s="18">
        <v>100</v>
      </c>
      <c r="C3591" s="19">
        <v>100</v>
      </c>
      <c r="D3591" s="20">
        <v>10</v>
      </c>
      <c r="E3591" s="20">
        <v>10</v>
      </c>
      <c r="F3591" s="20">
        <v>10</v>
      </c>
      <c r="G3591" s="19">
        <f t="shared" si="265"/>
        <v>172</v>
      </c>
      <c r="H3591" s="22">
        <f t="shared" si="263"/>
        <v>3590</v>
      </c>
      <c r="I3591" s="21">
        <f t="shared" ca="1" si="262"/>
        <v>0</v>
      </c>
      <c r="J3591" s="21" t="str">
        <f ca="1">IF(I3591=0,"",COUNTIF($I$2:I3591,"&gt;0"))</f>
        <v/>
      </c>
      <c r="K3591" s="21" t="str">
        <f t="shared" ca="1" si="264"/>
        <v/>
      </c>
    </row>
    <row r="3592" spans="1:11" s="18" customFormat="1" ht="14.25" x14ac:dyDescent="0.2">
      <c r="A3592" s="18" t="str">
        <f t="shared" si="261"/>
        <v>Eintrag 3591</v>
      </c>
      <c r="B3592" s="18">
        <v>100</v>
      </c>
      <c r="C3592" s="19">
        <v>100</v>
      </c>
      <c r="D3592" s="20">
        <v>10</v>
      </c>
      <c r="E3592" s="20">
        <v>10</v>
      </c>
      <c r="F3592" s="20">
        <v>10</v>
      </c>
      <c r="G3592" s="19">
        <f t="shared" si="265"/>
        <v>172</v>
      </c>
      <c r="H3592" s="22">
        <f t="shared" si="263"/>
        <v>3591</v>
      </c>
      <c r="I3592" s="21">
        <f t="shared" ca="1" si="262"/>
        <v>0</v>
      </c>
      <c r="J3592" s="21" t="str">
        <f ca="1">IF(I3592=0,"",COUNTIF($I$2:I3592,"&gt;0"))</f>
        <v/>
      </c>
      <c r="K3592" s="21" t="str">
        <f t="shared" ca="1" si="264"/>
        <v/>
      </c>
    </row>
    <row r="3593" spans="1:11" s="18" customFormat="1" ht="14.25" x14ac:dyDescent="0.2">
      <c r="A3593" s="18" t="str">
        <f t="shared" si="261"/>
        <v>Eintrag 3592</v>
      </c>
      <c r="B3593" s="18">
        <v>100</v>
      </c>
      <c r="C3593" s="19">
        <v>100</v>
      </c>
      <c r="D3593" s="20">
        <v>10</v>
      </c>
      <c r="E3593" s="20">
        <v>10</v>
      </c>
      <c r="F3593" s="20">
        <v>10</v>
      </c>
      <c r="G3593" s="19">
        <f t="shared" si="265"/>
        <v>172</v>
      </c>
      <c r="H3593" s="22">
        <f t="shared" si="263"/>
        <v>3592</v>
      </c>
      <c r="I3593" s="21">
        <f t="shared" ca="1" si="262"/>
        <v>0</v>
      </c>
      <c r="J3593" s="21" t="str">
        <f ca="1">IF(I3593=0,"",COUNTIF($I$2:I3593,"&gt;0"))</f>
        <v/>
      </c>
      <c r="K3593" s="21" t="str">
        <f t="shared" ca="1" si="264"/>
        <v/>
      </c>
    </row>
    <row r="3594" spans="1:11" s="18" customFormat="1" ht="14.25" x14ac:dyDescent="0.2">
      <c r="A3594" s="18" t="str">
        <f t="shared" si="261"/>
        <v>Eintrag 3593</v>
      </c>
      <c r="B3594" s="18">
        <v>100</v>
      </c>
      <c r="C3594" s="19">
        <v>100</v>
      </c>
      <c r="D3594" s="20">
        <v>10</v>
      </c>
      <c r="E3594" s="20">
        <v>10</v>
      </c>
      <c r="F3594" s="20">
        <v>10</v>
      </c>
      <c r="G3594" s="19">
        <f t="shared" si="265"/>
        <v>172</v>
      </c>
      <c r="H3594" s="22">
        <f t="shared" si="263"/>
        <v>3593</v>
      </c>
      <c r="I3594" s="21">
        <f t="shared" ca="1" si="262"/>
        <v>0</v>
      </c>
      <c r="J3594" s="21" t="str">
        <f ca="1">IF(I3594=0,"",COUNTIF($I$2:I3594,"&gt;0"))</f>
        <v/>
      </c>
      <c r="K3594" s="21" t="str">
        <f t="shared" ca="1" si="264"/>
        <v/>
      </c>
    </row>
    <row r="3595" spans="1:11" s="18" customFormat="1" ht="14.25" x14ac:dyDescent="0.2">
      <c r="A3595" s="18" t="str">
        <f t="shared" si="261"/>
        <v>Eintrag 3594</v>
      </c>
      <c r="B3595" s="18">
        <v>100</v>
      </c>
      <c r="C3595" s="19">
        <v>100</v>
      </c>
      <c r="D3595" s="20">
        <v>10</v>
      </c>
      <c r="E3595" s="20">
        <v>10</v>
      </c>
      <c r="F3595" s="20">
        <v>10</v>
      </c>
      <c r="G3595" s="19">
        <f t="shared" si="265"/>
        <v>172</v>
      </c>
      <c r="H3595" s="22">
        <f t="shared" si="263"/>
        <v>3594</v>
      </c>
      <c r="I3595" s="21">
        <f t="shared" ca="1" si="262"/>
        <v>0</v>
      </c>
      <c r="J3595" s="21" t="str">
        <f ca="1">IF(I3595=0,"",COUNTIF($I$2:I3595,"&gt;0"))</f>
        <v/>
      </c>
      <c r="K3595" s="21" t="str">
        <f t="shared" ca="1" si="264"/>
        <v/>
      </c>
    </row>
    <row r="3596" spans="1:11" s="18" customFormat="1" ht="14.25" x14ac:dyDescent="0.2">
      <c r="A3596" s="18" t="str">
        <f t="shared" si="261"/>
        <v>Eintrag 3595</v>
      </c>
      <c r="B3596" s="18">
        <v>100</v>
      </c>
      <c r="C3596" s="19">
        <v>100</v>
      </c>
      <c r="D3596" s="20">
        <v>10</v>
      </c>
      <c r="E3596" s="20">
        <v>10</v>
      </c>
      <c r="F3596" s="20">
        <v>10</v>
      </c>
      <c r="G3596" s="19">
        <f t="shared" si="265"/>
        <v>172</v>
      </c>
      <c r="H3596" s="22">
        <f t="shared" si="263"/>
        <v>3595</v>
      </c>
      <c r="I3596" s="21">
        <f t="shared" ca="1" si="262"/>
        <v>0</v>
      </c>
      <c r="J3596" s="21" t="str">
        <f ca="1">IF(I3596=0,"",COUNTIF($I$2:I3596,"&gt;0"))</f>
        <v/>
      </c>
      <c r="K3596" s="21" t="str">
        <f t="shared" ca="1" si="264"/>
        <v/>
      </c>
    </row>
    <row r="3597" spans="1:11" s="18" customFormat="1" ht="14.25" x14ac:dyDescent="0.2">
      <c r="A3597" s="18" t="str">
        <f t="shared" ref="A3597:A3660" si="266">CONCATENATE("Eintrag ",H3597)</f>
        <v>Eintrag 3596</v>
      </c>
      <c r="B3597" s="18">
        <v>100</v>
      </c>
      <c r="C3597" s="19">
        <v>100</v>
      </c>
      <c r="D3597" s="20">
        <v>10</v>
      </c>
      <c r="E3597" s="20">
        <v>10</v>
      </c>
      <c r="F3597" s="20">
        <v>10</v>
      </c>
      <c r="G3597" s="19">
        <f t="shared" si="265"/>
        <v>172</v>
      </c>
      <c r="H3597" s="22">
        <f t="shared" si="263"/>
        <v>3596</v>
      </c>
      <c r="I3597" s="21">
        <f t="shared" ca="1" si="262"/>
        <v>0</v>
      </c>
      <c r="J3597" s="21" t="str">
        <f ca="1">IF(I3597=0,"",COUNTIF($I$2:I3597,"&gt;0"))</f>
        <v/>
      </c>
      <c r="K3597" s="21" t="str">
        <f t="shared" ca="1" si="264"/>
        <v/>
      </c>
    </row>
    <row r="3598" spans="1:11" s="18" customFormat="1" ht="14.25" x14ac:dyDescent="0.2">
      <c r="A3598" s="18" t="str">
        <f t="shared" si="266"/>
        <v>Eintrag 3597</v>
      </c>
      <c r="B3598" s="18">
        <v>100</v>
      </c>
      <c r="C3598" s="19">
        <v>100</v>
      </c>
      <c r="D3598" s="20">
        <v>10</v>
      </c>
      <c r="E3598" s="20">
        <v>10</v>
      </c>
      <c r="F3598" s="20">
        <v>10</v>
      </c>
      <c r="G3598" s="19">
        <f t="shared" si="265"/>
        <v>172</v>
      </c>
      <c r="H3598" s="22">
        <f t="shared" si="263"/>
        <v>3597</v>
      </c>
      <c r="I3598" s="21">
        <f t="shared" ca="1" si="262"/>
        <v>0</v>
      </c>
      <c r="J3598" s="21" t="str">
        <f ca="1">IF(I3598=0,"",COUNTIF($I$2:I3598,"&gt;0"))</f>
        <v/>
      </c>
      <c r="K3598" s="21" t="str">
        <f t="shared" ca="1" si="264"/>
        <v/>
      </c>
    </row>
    <row r="3599" spans="1:11" s="18" customFormat="1" ht="14.25" x14ac:dyDescent="0.2">
      <c r="A3599" s="18" t="str">
        <f t="shared" si="266"/>
        <v>Eintrag 3598</v>
      </c>
      <c r="B3599" s="18">
        <v>100</v>
      </c>
      <c r="C3599" s="19">
        <v>100</v>
      </c>
      <c r="D3599" s="20">
        <v>10</v>
      </c>
      <c r="E3599" s="20">
        <v>10</v>
      </c>
      <c r="F3599" s="20">
        <v>10</v>
      </c>
      <c r="G3599" s="19">
        <f t="shared" si="265"/>
        <v>172</v>
      </c>
      <c r="H3599" s="22">
        <f t="shared" si="263"/>
        <v>3598</v>
      </c>
      <c r="I3599" s="21">
        <f t="shared" ca="1" si="262"/>
        <v>0</v>
      </c>
      <c r="J3599" s="21" t="str">
        <f ca="1">IF(I3599=0,"",COUNTIF($I$2:I3599,"&gt;0"))</f>
        <v/>
      </c>
      <c r="K3599" s="21" t="str">
        <f t="shared" ca="1" si="264"/>
        <v/>
      </c>
    </row>
    <row r="3600" spans="1:11" s="18" customFormat="1" ht="14.25" x14ac:dyDescent="0.2">
      <c r="A3600" s="18" t="str">
        <f t="shared" si="266"/>
        <v>Eintrag 3599</v>
      </c>
      <c r="B3600" s="18">
        <v>100</v>
      </c>
      <c r="C3600" s="19">
        <v>100</v>
      </c>
      <c r="D3600" s="20">
        <v>10</v>
      </c>
      <c r="E3600" s="20">
        <v>10</v>
      </c>
      <c r="F3600" s="20">
        <v>10</v>
      </c>
      <c r="G3600" s="19">
        <f t="shared" si="265"/>
        <v>172</v>
      </c>
      <c r="H3600" s="22">
        <f t="shared" si="263"/>
        <v>3599</v>
      </c>
      <c r="I3600" s="21">
        <f t="shared" ca="1" si="262"/>
        <v>0</v>
      </c>
      <c r="J3600" s="21" t="str">
        <f ca="1">IF(I3600=0,"",COUNTIF($I$2:I3600,"&gt;0"))</f>
        <v/>
      </c>
      <c r="K3600" s="21" t="str">
        <f t="shared" ca="1" si="264"/>
        <v/>
      </c>
    </row>
    <row r="3601" spans="1:11" s="18" customFormat="1" ht="14.25" x14ac:dyDescent="0.2">
      <c r="A3601" s="18" t="str">
        <f t="shared" si="266"/>
        <v>Eintrag 3600</v>
      </c>
      <c r="B3601" s="18">
        <v>100</v>
      </c>
      <c r="C3601" s="19">
        <v>100</v>
      </c>
      <c r="D3601" s="20">
        <v>10</v>
      </c>
      <c r="E3601" s="20">
        <v>10</v>
      </c>
      <c r="F3601" s="20">
        <v>10</v>
      </c>
      <c r="G3601" s="19">
        <f t="shared" si="265"/>
        <v>172</v>
      </c>
      <c r="H3601" s="22">
        <f t="shared" si="263"/>
        <v>3600</v>
      </c>
      <c r="I3601" s="21">
        <f t="shared" ca="1" si="262"/>
        <v>0</v>
      </c>
      <c r="J3601" s="21" t="str">
        <f ca="1">IF(I3601=0,"",COUNTIF($I$2:I3601,"&gt;0"))</f>
        <v/>
      </c>
      <c r="K3601" s="21" t="str">
        <f t="shared" ca="1" si="264"/>
        <v/>
      </c>
    </row>
    <row r="3602" spans="1:11" s="18" customFormat="1" ht="14.25" x14ac:dyDescent="0.2">
      <c r="A3602" s="18" t="str">
        <f t="shared" si="266"/>
        <v>Eintrag 3601</v>
      </c>
      <c r="B3602" s="18">
        <v>100</v>
      </c>
      <c r="C3602" s="19">
        <v>100</v>
      </c>
      <c r="D3602" s="20">
        <v>10</v>
      </c>
      <c r="E3602" s="20">
        <v>10</v>
      </c>
      <c r="F3602" s="20">
        <v>10</v>
      </c>
      <c r="G3602" s="19">
        <f t="shared" si="265"/>
        <v>172</v>
      </c>
      <c r="H3602" s="22">
        <f t="shared" si="263"/>
        <v>3601</v>
      </c>
      <c r="I3602" s="21">
        <f t="shared" ca="1" si="262"/>
        <v>0</v>
      </c>
      <c r="J3602" s="21" t="str">
        <f ca="1">IF(I3602=0,"",COUNTIF($I$2:I3602,"&gt;0"))</f>
        <v/>
      </c>
      <c r="K3602" s="21" t="str">
        <f t="shared" ca="1" si="264"/>
        <v/>
      </c>
    </row>
    <row r="3603" spans="1:11" s="18" customFormat="1" ht="14.25" x14ac:dyDescent="0.2">
      <c r="A3603" s="18" t="str">
        <f t="shared" si="266"/>
        <v>Eintrag 3602</v>
      </c>
      <c r="B3603" s="18">
        <v>100</v>
      </c>
      <c r="C3603" s="19">
        <v>100</v>
      </c>
      <c r="D3603" s="20">
        <v>10</v>
      </c>
      <c r="E3603" s="20">
        <v>10</v>
      </c>
      <c r="F3603" s="20">
        <v>10</v>
      </c>
      <c r="G3603" s="19">
        <f t="shared" si="265"/>
        <v>172</v>
      </c>
      <c r="H3603" s="22">
        <f t="shared" si="263"/>
        <v>3602</v>
      </c>
      <c r="I3603" s="21">
        <f t="shared" ca="1" si="262"/>
        <v>0</v>
      </c>
      <c r="J3603" s="21" t="str">
        <f ca="1">IF(I3603=0,"",COUNTIF($I$2:I3603,"&gt;0"))</f>
        <v/>
      </c>
      <c r="K3603" s="21" t="str">
        <f t="shared" ca="1" si="264"/>
        <v/>
      </c>
    </row>
    <row r="3604" spans="1:11" s="18" customFormat="1" ht="14.25" x14ac:dyDescent="0.2">
      <c r="A3604" s="18" t="str">
        <f t="shared" si="266"/>
        <v>Eintrag 3603</v>
      </c>
      <c r="B3604" s="18">
        <v>100</v>
      </c>
      <c r="C3604" s="19">
        <v>100</v>
      </c>
      <c r="D3604" s="20">
        <v>10</v>
      </c>
      <c r="E3604" s="20">
        <v>10</v>
      </c>
      <c r="F3604" s="20">
        <v>10</v>
      </c>
      <c r="G3604" s="19">
        <f t="shared" si="265"/>
        <v>172</v>
      </c>
      <c r="H3604" s="22">
        <f t="shared" si="263"/>
        <v>3603</v>
      </c>
      <c r="I3604" s="21">
        <f t="shared" ca="1" si="262"/>
        <v>0</v>
      </c>
      <c r="J3604" s="21" t="str">
        <f ca="1">IF(I3604=0,"",COUNTIF($I$2:I3604,"&gt;0"))</f>
        <v/>
      </c>
      <c r="K3604" s="21" t="str">
        <f t="shared" ca="1" si="264"/>
        <v/>
      </c>
    </row>
    <row r="3605" spans="1:11" s="18" customFormat="1" ht="14.25" x14ac:dyDescent="0.2">
      <c r="A3605" s="18" t="str">
        <f t="shared" si="266"/>
        <v>Eintrag 3604</v>
      </c>
      <c r="B3605" s="18">
        <v>100</v>
      </c>
      <c r="C3605" s="19">
        <v>100</v>
      </c>
      <c r="D3605" s="20">
        <v>10</v>
      </c>
      <c r="E3605" s="20">
        <v>10</v>
      </c>
      <c r="F3605" s="20">
        <v>10</v>
      </c>
      <c r="G3605" s="19">
        <f t="shared" si="265"/>
        <v>172</v>
      </c>
      <c r="H3605" s="22">
        <f t="shared" si="263"/>
        <v>3604</v>
      </c>
      <c r="I3605" s="21">
        <f t="shared" ca="1" si="262"/>
        <v>0</v>
      </c>
      <c r="J3605" s="21" t="str">
        <f ca="1">IF(I3605=0,"",COUNTIF($I$2:I3605,"&gt;0"))</f>
        <v/>
      </c>
      <c r="K3605" s="21" t="str">
        <f t="shared" ca="1" si="264"/>
        <v/>
      </c>
    </row>
    <row r="3606" spans="1:11" s="18" customFormat="1" ht="14.25" x14ac:dyDescent="0.2">
      <c r="A3606" s="18" t="str">
        <f t="shared" si="266"/>
        <v>Eintrag 3605</v>
      </c>
      <c r="B3606" s="18">
        <v>100</v>
      </c>
      <c r="C3606" s="19">
        <v>100</v>
      </c>
      <c r="D3606" s="20">
        <v>10</v>
      </c>
      <c r="E3606" s="20">
        <v>10</v>
      </c>
      <c r="F3606" s="20">
        <v>10</v>
      </c>
      <c r="G3606" s="19">
        <f t="shared" si="265"/>
        <v>172</v>
      </c>
      <c r="H3606" s="22">
        <f t="shared" si="263"/>
        <v>3605</v>
      </c>
      <c r="I3606" s="21">
        <f t="shared" ca="1" si="262"/>
        <v>0</v>
      </c>
      <c r="J3606" s="21" t="str">
        <f ca="1">IF(I3606=0,"",COUNTIF($I$2:I3606,"&gt;0"))</f>
        <v/>
      </c>
      <c r="K3606" s="21" t="str">
        <f t="shared" ca="1" si="264"/>
        <v/>
      </c>
    </row>
    <row r="3607" spans="1:11" s="18" customFormat="1" ht="14.25" x14ac:dyDescent="0.2">
      <c r="A3607" s="18" t="str">
        <f t="shared" si="266"/>
        <v>Eintrag 3606</v>
      </c>
      <c r="B3607" s="18">
        <v>100</v>
      </c>
      <c r="C3607" s="19">
        <v>100</v>
      </c>
      <c r="D3607" s="20">
        <v>10</v>
      </c>
      <c r="E3607" s="20">
        <v>10</v>
      </c>
      <c r="F3607" s="20">
        <v>10</v>
      </c>
      <c r="G3607" s="19">
        <f t="shared" si="265"/>
        <v>172</v>
      </c>
      <c r="H3607" s="22">
        <f t="shared" si="263"/>
        <v>3606</v>
      </c>
      <c r="I3607" s="21">
        <f t="shared" ca="1" si="262"/>
        <v>0</v>
      </c>
      <c r="J3607" s="21" t="str">
        <f ca="1">IF(I3607=0,"",COUNTIF($I$2:I3607,"&gt;0"))</f>
        <v/>
      </c>
      <c r="K3607" s="21" t="str">
        <f t="shared" ca="1" si="264"/>
        <v/>
      </c>
    </row>
    <row r="3608" spans="1:11" s="18" customFormat="1" ht="14.25" x14ac:dyDescent="0.2">
      <c r="A3608" s="18" t="str">
        <f t="shared" si="266"/>
        <v>Eintrag 3607</v>
      </c>
      <c r="B3608" s="18">
        <v>100</v>
      </c>
      <c r="C3608" s="19">
        <v>100</v>
      </c>
      <c r="D3608" s="20">
        <v>10</v>
      </c>
      <c r="E3608" s="20">
        <v>10</v>
      </c>
      <c r="F3608" s="20">
        <v>10</v>
      </c>
      <c r="G3608" s="19">
        <f t="shared" si="265"/>
        <v>172</v>
      </c>
      <c r="H3608" s="22">
        <f t="shared" si="263"/>
        <v>3607</v>
      </c>
      <c r="I3608" s="21">
        <f t="shared" ca="1" si="262"/>
        <v>0</v>
      </c>
      <c r="J3608" s="21" t="str">
        <f ca="1">IF(I3608=0,"",COUNTIF($I$2:I3608,"&gt;0"))</f>
        <v/>
      </c>
      <c r="K3608" s="21" t="str">
        <f t="shared" ca="1" si="264"/>
        <v/>
      </c>
    </row>
    <row r="3609" spans="1:11" s="18" customFormat="1" ht="14.25" x14ac:dyDescent="0.2">
      <c r="A3609" s="18" t="str">
        <f t="shared" si="266"/>
        <v>Eintrag 3608</v>
      </c>
      <c r="B3609" s="18">
        <v>100</v>
      </c>
      <c r="C3609" s="19">
        <v>100</v>
      </c>
      <c r="D3609" s="20">
        <v>10</v>
      </c>
      <c r="E3609" s="20">
        <v>10</v>
      </c>
      <c r="F3609" s="20">
        <v>10</v>
      </c>
      <c r="G3609" s="19">
        <f t="shared" si="265"/>
        <v>172</v>
      </c>
      <c r="H3609" s="22">
        <f t="shared" si="263"/>
        <v>3608</v>
      </c>
      <c r="I3609" s="21">
        <f t="shared" ca="1" si="262"/>
        <v>0</v>
      </c>
      <c r="J3609" s="21" t="str">
        <f ca="1">IF(I3609=0,"",COUNTIF($I$2:I3609,"&gt;0"))</f>
        <v/>
      </c>
      <c r="K3609" s="21" t="str">
        <f t="shared" ca="1" si="264"/>
        <v/>
      </c>
    </row>
    <row r="3610" spans="1:11" s="18" customFormat="1" ht="14.25" x14ac:dyDescent="0.2">
      <c r="A3610" s="18" t="str">
        <f t="shared" si="266"/>
        <v>Eintrag 3609</v>
      </c>
      <c r="B3610" s="18">
        <v>100</v>
      </c>
      <c r="C3610" s="19">
        <v>100</v>
      </c>
      <c r="D3610" s="20">
        <v>10</v>
      </c>
      <c r="E3610" s="20">
        <v>10</v>
      </c>
      <c r="F3610" s="20">
        <v>10</v>
      </c>
      <c r="G3610" s="19">
        <f t="shared" si="265"/>
        <v>172</v>
      </c>
      <c r="H3610" s="22">
        <f t="shared" si="263"/>
        <v>3609</v>
      </c>
      <c r="I3610" s="21">
        <f t="shared" ca="1" si="262"/>
        <v>0</v>
      </c>
      <c r="J3610" s="21" t="str">
        <f ca="1">IF(I3610=0,"",COUNTIF($I$2:I3610,"&gt;0"))</f>
        <v/>
      </c>
      <c r="K3610" s="21" t="str">
        <f t="shared" ca="1" si="264"/>
        <v/>
      </c>
    </row>
    <row r="3611" spans="1:11" s="18" customFormat="1" ht="14.25" x14ac:dyDescent="0.2">
      <c r="A3611" s="18" t="str">
        <f t="shared" si="266"/>
        <v>Eintrag 3610</v>
      </c>
      <c r="B3611" s="18">
        <v>100</v>
      </c>
      <c r="C3611" s="19">
        <v>100</v>
      </c>
      <c r="D3611" s="20">
        <v>10</v>
      </c>
      <c r="E3611" s="20">
        <v>10</v>
      </c>
      <c r="F3611" s="20">
        <v>10</v>
      </c>
      <c r="G3611" s="19">
        <f t="shared" si="265"/>
        <v>172</v>
      </c>
      <c r="H3611" s="22">
        <f t="shared" si="263"/>
        <v>3610</v>
      </c>
      <c r="I3611" s="21">
        <f t="shared" ca="1" si="262"/>
        <v>0</v>
      </c>
      <c r="J3611" s="21" t="str">
        <f ca="1">IF(I3611=0,"",COUNTIF($I$2:I3611,"&gt;0"))</f>
        <v/>
      </c>
      <c r="K3611" s="21" t="str">
        <f t="shared" ca="1" si="264"/>
        <v/>
      </c>
    </row>
    <row r="3612" spans="1:11" s="18" customFormat="1" ht="14.25" x14ac:dyDescent="0.2">
      <c r="A3612" s="18" t="str">
        <f t="shared" si="266"/>
        <v>Eintrag 3611</v>
      </c>
      <c r="B3612" s="18">
        <v>100</v>
      </c>
      <c r="C3612" s="19">
        <v>100</v>
      </c>
      <c r="D3612" s="20">
        <v>10</v>
      </c>
      <c r="E3612" s="20">
        <v>10</v>
      </c>
      <c r="F3612" s="20">
        <v>10</v>
      </c>
      <c r="G3612" s="19">
        <f t="shared" si="265"/>
        <v>172</v>
      </c>
      <c r="H3612" s="22">
        <f t="shared" si="263"/>
        <v>3611</v>
      </c>
      <c r="I3612" s="21">
        <f t="shared" ca="1" si="262"/>
        <v>0</v>
      </c>
      <c r="J3612" s="21" t="str">
        <f ca="1">IF(I3612=0,"",COUNTIF($I$2:I3612,"&gt;0"))</f>
        <v/>
      </c>
      <c r="K3612" s="21" t="str">
        <f t="shared" ca="1" si="264"/>
        <v/>
      </c>
    </row>
    <row r="3613" spans="1:11" s="18" customFormat="1" ht="14.25" x14ac:dyDescent="0.2">
      <c r="A3613" s="18" t="str">
        <f t="shared" si="266"/>
        <v>Eintrag 3612</v>
      </c>
      <c r="B3613" s="18">
        <v>100</v>
      </c>
      <c r="C3613" s="19">
        <v>100</v>
      </c>
      <c r="D3613" s="20">
        <v>10</v>
      </c>
      <c r="E3613" s="20">
        <v>10</v>
      </c>
      <c r="F3613" s="20">
        <v>10</v>
      </c>
      <c r="G3613" s="19">
        <f t="shared" si="265"/>
        <v>172</v>
      </c>
      <c r="H3613" s="22">
        <f t="shared" si="263"/>
        <v>3612</v>
      </c>
      <c r="I3613" s="21">
        <f t="shared" ca="1" si="262"/>
        <v>0</v>
      </c>
      <c r="J3613" s="21" t="str">
        <f ca="1">IF(I3613=0,"",COUNTIF($I$2:I3613,"&gt;0"))</f>
        <v/>
      </c>
      <c r="K3613" s="21" t="str">
        <f t="shared" ca="1" si="264"/>
        <v/>
      </c>
    </row>
    <row r="3614" spans="1:11" s="18" customFormat="1" ht="14.25" x14ac:dyDescent="0.2">
      <c r="A3614" s="18" t="str">
        <f t="shared" si="266"/>
        <v>Eintrag 3613</v>
      </c>
      <c r="B3614" s="18">
        <v>100</v>
      </c>
      <c r="C3614" s="19">
        <v>100</v>
      </c>
      <c r="D3614" s="20">
        <v>10</v>
      </c>
      <c r="E3614" s="20">
        <v>10</v>
      </c>
      <c r="F3614" s="20">
        <v>10</v>
      </c>
      <c r="G3614" s="19">
        <f t="shared" si="265"/>
        <v>172</v>
      </c>
      <c r="H3614" s="22">
        <f t="shared" si="263"/>
        <v>3613</v>
      </c>
      <c r="I3614" s="21">
        <f t="shared" ref="I3614:I3677" ca="1" si="267">IFERROR(SEARCH(INDIRECT(CELL("address")),A3614),0)</f>
        <v>0</v>
      </c>
      <c r="J3614" s="21" t="str">
        <f ca="1">IF(I3614=0,"",COUNTIF($I$2:I3614,"&gt;0"))</f>
        <v/>
      </c>
      <c r="K3614" s="21" t="str">
        <f t="shared" ca="1" si="264"/>
        <v/>
      </c>
    </row>
    <row r="3615" spans="1:11" s="18" customFormat="1" ht="14.25" x14ac:dyDescent="0.2">
      <c r="A3615" s="18" t="str">
        <f t="shared" si="266"/>
        <v>Eintrag 3614</v>
      </c>
      <c r="B3615" s="18">
        <v>100</v>
      </c>
      <c r="C3615" s="19">
        <v>100</v>
      </c>
      <c r="D3615" s="20">
        <v>10</v>
      </c>
      <c r="E3615" s="20">
        <v>10</v>
      </c>
      <c r="F3615" s="20">
        <v>10</v>
      </c>
      <c r="G3615" s="19">
        <f t="shared" si="265"/>
        <v>172</v>
      </c>
      <c r="H3615" s="22">
        <f t="shared" si="263"/>
        <v>3614</v>
      </c>
      <c r="I3615" s="21">
        <f t="shared" ca="1" si="267"/>
        <v>0</v>
      </c>
      <c r="J3615" s="21" t="str">
        <f ca="1">IF(I3615=0,"",COUNTIF($I$2:I3615,"&gt;0"))</f>
        <v/>
      </c>
      <c r="K3615" s="21" t="str">
        <f t="shared" ca="1" si="264"/>
        <v/>
      </c>
    </row>
    <row r="3616" spans="1:11" s="18" customFormat="1" ht="14.25" x14ac:dyDescent="0.2">
      <c r="A3616" s="18" t="str">
        <f t="shared" si="266"/>
        <v>Eintrag 3615</v>
      </c>
      <c r="B3616" s="18">
        <v>100</v>
      </c>
      <c r="C3616" s="19">
        <v>100</v>
      </c>
      <c r="D3616" s="20">
        <v>10</v>
      </c>
      <c r="E3616" s="20">
        <v>10</v>
      </c>
      <c r="F3616" s="20">
        <v>10</v>
      </c>
      <c r="G3616" s="19">
        <f t="shared" si="265"/>
        <v>172</v>
      </c>
      <c r="H3616" s="22">
        <f t="shared" si="263"/>
        <v>3615</v>
      </c>
      <c r="I3616" s="21">
        <f t="shared" ca="1" si="267"/>
        <v>0</v>
      </c>
      <c r="J3616" s="21" t="str">
        <f ca="1">IF(I3616=0,"",COUNTIF($I$2:I3616,"&gt;0"))</f>
        <v/>
      </c>
      <c r="K3616" s="21" t="str">
        <f t="shared" ca="1" si="264"/>
        <v/>
      </c>
    </row>
    <row r="3617" spans="1:11" s="18" customFormat="1" ht="14.25" x14ac:dyDescent="0.2">
      <c r="A3617" s="18" t="str">
        <f t="shared" si="266"/>
        <v>Eintrag 3616</v>
      </c>
      <c r="B3617" s="18">
        <v>100</v>
      </c>
      <c r="C3617" s="19">
        <v>100</v>
      </c>
      <c r="D3617" s="20">
        <v>10</v>
      </c>
      <c r="E3617" s="20">
        <v>10</v>
      </c>
      <c r="F3617" s="20">
        <v>10</v>
      </c>
      <c r="G3617" s="19">
        <f t="shared" si="265"/>
        <v>172</v>
      </c>
      <c r="H3617" s="22">
        <f t="shared" si="263"/>
        <v>3616</v>
      </c>
      <c r="I3617" s="21">
        <f t="shared" ca="1" si="267"/>
        <v>0</v>
      </c>
      <c r="J3617" s="21" t="str">
        <f ca="1">IF(I3617=0,"",COUNTIF($I$2:I3617,"&gt;0"))</f>
        <v/>
      </c>
      <c r="K3617" s="21" t="str">
        <f t="shared" ca="1" si="264"/>
        <v/>
      </c>
    </row>
    <row r="3618" spans="1:11" s="18" customFormat="1" ht="14.25" x14ac:dyDescent="0.2">
      <c r="A3618" s="18" t="str">
        <f t="shared" si="266"/>
        <v>Eintrag 3617</v>
      </c>
      <c r="B3618" s="18">
        <v>100</v>
      </c>
      <c r="C3618" s="19">
        <v>100</v>
      </c>
      <c r="D3618" s="20">
        <v>10</v>
      </c>
      <c r="E3618" s="20">
        <v>10</v>
      </c>
      <c r="F3618" s="20">
        <v>10</v>
      </c>
      <c r="G3618" s="19">
        <f t="shared" si="265"/>
        <v>172</v>
      </c>
      <c r="H3618" s="22">
        <f t="shared" si="263"/>
        <v>3617</v>
      </c>
      <c r="I3618" s="21">
        <f t="shared" ca="1" si="267"/>
        <v>0</v>
      </c>
      <c r="J3618" s="21" t="str">
        <f ca="1">IF(I3618=0,"",COUNTIF($I$2:I3618,"&gt;0"))</f>
        <v/>
      </c>
      <c r="K3618" s="21" t="str">
        <f t="shared" ca="1" si="264"/>
        <v/>
      </c>
    </row>
    <row r="3619" spans="1:11" s="18" customFormat="1" ht="14.25" x14ac:dyDescent="0.2">
      <c r="A3619" s="18" t="str">
        <f t="shared" si="266"/>
        <v>Eintrag 3618</v>
      </c>
      <c r="B3619" s="18">
        <v>100</v>
      </c>
      <c r="C3619" s="19">
        <v>100</v>
      </c>
      <c r="D3619" s="20">
        <v>10</v>
      </c>
      <c r="E3619" s="20">
        <v>10</v>
      </c>
      <c r="F3619" s="20">
        <v>10</v>
      </c>
      <c r="G3619" s="19">
        <f t="shared" si="265"/>
        <v>172</v>
      </c>
      <c r="H3619" s="22">
        <f t="shared" si="263"/>
        <v>3618</v>
      </c>
      <c r="I3619" s="21">
        <f t="shared" ca="1" si="267"/>
        <v>0</v>
      </c>
      <c r="J3619" s="21" t="str">
        <f ca="1">IF(I3619=0,"",COUNTIF($I$2:I3619,"&gt;0"))</f>
        <v/>
      </c>
      <c r="K3619" s="21" t="str">
        <f t="shared" ca="1" si="264"/>
        <v/>
      </c>
    </row>
    <row r="3620" spans="1:11" s="18" customFormat="1" ht="14.25" x14ac:dyDescent="0.2">
      <c r="A3620" s="18" t="str">
        <f t="shared" si="266"/>
        <v>Eintrag 3619</v>
      </c>
      <c r="B3620" s="18">
        <v>100</v>
      </c>
      <c r="C3620" s="19">
        <v>100</v>
      </c>
      <c r="D3620" s="20">
        <v>10</v>
      </c>
      <c r="E3620" s="20">
        <v>10</v>
      </c>
      <c r="F3620" s="20">
        <v>10</v>
      </c>
      <c r="G3620" s="19">
        <f t="shared" si="265"/>
        <v>172</v>
      </c>
      <c r="H3620" s="22">
        <f t="shared" si="263"/>
        <v>3619</v>
      </c>
      <c r="I3620" s="21">
        <f t="shared" ca="1" si="267"/>
        <v>0</v>
      </c>
      <c r="J3620" s="21" t="str">
        <f ca="1">IF(I3620=0,"",COUNTIF($I$2:I3620,"&gt;0"))</f>
        <v/>
      </c>
      <c r="K3620" s="21" t="str">
        <f t="shared" ca="1" si="264"/>
        <v/>
      </c>
    </row>
    <row r="3621" spans="1:11" s="18" customFormat="1" ht="14.25" x14ac:dyDescent="0.2">
      <c r="A3621" s="18" t="str">
        <f t="shared" si="266"/>
        <v>Eintrag 3620</v>
      </c>
      <c r="B3621" s="18">
        <v>100</v>
      </c>
      <c r="C3621" s="19">
        <v>100</v>
      </c>
      <c r="D3621" s="20">
        <v>10</v>
      </c>
      <c r="E3621" s="20">
        <v>10</v>
      </c>
      <c r="F3621" s="20">
        <v>10</v>
      </c>
      <c r="G3621" s="19">
        <f t="shared" si="265"/>
        <v>172</v>
      </c>
      <c r="H3621" s="22">
        <f t="shared" ref="H3621:H3684" si="268">H3620+1</f>
        <v>3620</v>
      </c>
      <c r="I3621" s="21">
        <f t="shared" ca="1" si="267"/>
        <v>0</v>
      </c>
      <c r="J3621" s="21" t="str">
        <f ca="1">IF(I3621=0,"",COUNTIF($I$2:I3621,"&gt;0"))</f>
        <v/>
      </c>
      <c r="K3621" s="21" t="str">
        <f t="shared" ca="1" si="264"/>
        <v/>
      </c>
    </row>
    <row r="3622" spans="1:11" s="18" customFormat="1" ht="14.25" x14ac:dyDescent="0.2">
      <c r="A3622" s="18" t="str">
        <f t="shared" si="266"/>
        <v>Eintrag 3621</v>
      </c>
      <c r="B3622" s="18">
        <v>100</v>
      </c>
      <c r="C3622" s="19">
        <v>100</v>
      </c>
      <c r="D3622" s="20">
        <v>10</v>
      </c>
      <c r="E3622" s="20">
        <v>10</v>
      </c>
      <c r="F3622" s="20">
        <v>10</v>
      </c>
      <c r="G3622" s="19">
        <f t="shared" si="265"/>
        <v>172</v>
      </c>
      <c r="H3622" s="22">
        <f t="shared" si="268"/>
        <v>3621</v>
      </c>
      <c r="I3622" s="21">
        <f t="shared" ca="1" si="267"/>
        <v>0</v>
      </c>
      <c r="J3622" s="21" t="str">
        <f ca="1">IF(I3622=0,"",COUNTIF($I$2:I3622,"&gt;0"))</f>
        <v/>
      </c>
      <c r="K3622" s="21" t="str">
        <f t="shared" ca="1" si="264"/>
        <v/>
      </c>
    </row>
    <row r="3623" spans="1:11" s="18" customFormat="1" ht="14.25" x14ac:dyDescent="0.2">
      <c r="A3623" s="18" t="str">
        <f t="shared" si="266"/>
        <v>Eintrag 3622</v>
      </c>
      <c r="B3623" s="18">
        <v>100</v>
      </c>
      <c r="C3623" s="19">
        <v>100</v>
      </c>
      <c r="D3623" s="20">
        <v>10</v>
      </c>
      <c r="E3623" s="20">
        <v>10</v>
      </c>
      <c r="F3623" s="20">
        <v>10</v>
      </c>
      <c r="G3623" s="19">
        <f t="shared" si="265"/>
        <v>172</v>
      </c>
      <c r="H3623" s="22">
        <f t="shared" si="268"/>
        <v>3622</v>
      </c>
      <c r="I3623" s="21">
        <f t="shared" ca="1" si="267"/>
        <v>0</v>
      </c>
      <c r="J3623" s="21" t="str">
        <f ca="1">IF(I3623=0,"",COUNTIF($I$2:I3623,"&gt;0"))</f>
        <v/>
      </c>
      <c r="K3623" s="21" t="str">
        <f t="shared" ca="1" si="264"/>
        <v/>
      </c>
    </row>
    <row r="3624" spans="1:11" s="18" customFormat="1" ht="14.25" x14ac:dyDescent="0.2">
      <c r="A3624" s="18" t="str">
        <f t="shared" si="266"/>
        <v>Eintrag 3623</v>
      </c>
      <c r="B3624" s="18">
        <v>100</v>
      </c>
      <c r="C3624" s="19">
        <v>100</v>
      </c>
      <c r="D3624" s="20">
        <v>10</v>
      </c>
      <c r="E3624" s="20">
        <v>10</v>
      </c>
      <c r="F3624" s="20">
        <v>10</v>
      </c>
      <c r="G3624" s="19">
        <f t="shared" si="265"/>
        <v>172</v>
      </c>
      <c r="H3624" s="22">
        <f t="shared" si="268"/>
        <v>3623</v>
      </c>
      <c r="I3624" s="21">
        <f t="shared" ca="1" si="267"/>
        <v>0</v>
      </c>
      <c r="J3624" s="21" t="str">
        <f ca="1">IF(I3624=0,"",COUNTIF($I$2:I3624,"&gt;0"))</f>
        <v/>
      </c>
      <c r="K3624" s="21" t="str">
        <f t="shared" ca="1" si="264"/>
        <v/>
      </c>
    </row>
    <row r="3625" spans="1:11" s="18" customFormat="1" ht="14.25" x14ac:dyDescent="0.2">
      <c r="A3625" s="18" t="str">
        <f t="shared" si="266"/>
        <v>Eintrag 3624</v>
      </c>
      <c r="B3625" s="18">
        <v>100</v>
      </c>
      <c r="C3625" s="19">
        <v>100</v>
      </c>
      <c r="D3625" s="20">
        <v>10</v>
      </c>
      <c r="E3625" s="20">
        <v>10</v>
      </c>
      <c r="F3625" s="20">
        <v>10</v>
      </c>
      <c r="G3625" s="19">
        <f t="shared" si="265"/>
        <v>172</v>
      </c>
      <c r="H3625" s="22">
        <f t="shared" si="268"/>
        <v>3624</v>
      </c>
      <c r="I3625" s="21">
        <f t="shared" ca="1" si="267"/>
        <v>0</v>
      </c>
      <c r="J3625" s="21" t="str">
        <f ca="1">IF(I3625=0,"",COUNTIF($I$2:I3625,"&gt;0"))</f>
        <v/>
      </c>
      <c r="K3625" s="21" t="str">
        <f t="shared" ca="1" si="264"/>
        <v/>
      </c>
    </row>
    <row r="3626" spans="1:11" s="18" customFormat="1" ht="14.25" x14ac:dyDescent="0.2">
      <c r="A3626" s="18" t="str">
        <f t="shared" si="266"/>
        <v>Eintrag 3625</v>
      </c>
      <c r="B3626" s="18">
        <v>100</v>
      </c>
      <c r="C3626" s="19">
        <v>100</v>
      </c>
      <c r="D3626" s="20">
        <v>10</v>
      </c>
      <c r="E3626" s="20">
        <v>10</v>
      </c>
      <c r="F3626" s="20">
        <v>10</v>
      </c>
      <c r="G3626" s="19">
        <f t="shared" si="265"/>
        <v>172</v>
      </c>
      <c r="H3626" s="22">
        <f t="shared" si="268"/>
        <v>3625</v>
      </c>
      <c r="I3626" s="21">
        <f t="shared" ca="1" si="267"/>
        <v>0</v>
      </c>
      <c r="J3626" s="21" t="str">
        <f ca="1">IF(I3626=0,"",COUNTIF($I$2:I3626,"&gt;0"))</f>
        <v/>
      </c>
      <c r="K3626" s="21" t="str">
        <f t="shared" ca="1" si="264"/>
        <v/>
      </c>
    </row>
    <row r="3627" spans="1:11" s="18" customFormat="1" ht="14.25" x14ac:dyDescent="0.2">
      <c r="A3627" s="18" t="str">
        <f t="shared" si="266"/>
        <v>Eintrag 3626</v>
      </c>
      <c r="B3627" s="18">
        <v>100</v>
      </c>
      <c r="C3627" s="19">
        <v>100</v>
      </c>
      <c r="D3627" s="20">
        <v>10</v>
      </c>
      <c r="E3627" s="20">
        <v>10</v>
      </c>
      <c r="F3627" s="20">
        <v>10</v>
      </c>
      <c r="G3627" s="19">
        <f t="shared" si="265"/>
        <v>172</v>
      </c>
      <c r="H3627" s="22">
        <f t="shared" si="268"/>
        <v>3626</v>
      </c>
      <c r="I3627" s="21">
        <f t="shared" ca="1" si="267"/>
        <v>0</v>
      </c>
      <c r="J3627" s="21" t="str">
        <f ca="1">IF(I3627=0,"",COUNTIF($I$2:I3627,"&gt;0"))</f>
        <v/>
      </c>
      <c r="K3627" s="21" t="str">
        <f t="shared" ca="1" si="264"/>
        <v/>
      </c>
    </row>
    <row r="3628" spans="1:11" s="18" customFormat="1" ht="14.25" x14ac:dyDescent="0.2">
      <c r="A3628" s="18" t="str">
        <f t="shared" si="266"/>
        <v>Eintrag 3627</v>
      </c>
      <c r="B3628" s="18">
        <v>100</v>
      </c>
      <c r="C3628" s="19">
        <v>100</v>
      </c>
      <c r="D3628" s="20">
        <v>10</v>
      </c>
      <c r="E3628" s="20">
        <v>10</v>
      </c>
      <c r="F3628" s="20">
        <v>10</v>
      </c>
      <c r="G3628" s="19">
        <f t="shared" si="265"/>
        <v>172</v>
      </c>
      <c r="H3628" s="22">
        <f t="shared" si="268"/>
        <v>3627</v>
      </c>
      <c r="I3628" s="21">
        <f t="shared" ca="1" si="267"/>
        <v>0</v>
      </c>
      <c r="J3628" s="21" t="str">
        <f ca="1">IF(I3628=0,"",COUNTIF($I$2:I3628,"&gt;0"))</f>
        <v/>
      </c>
      <c r="K3628" s="21" t="str">
        <f t="shared" ca="1" si="264"/>
        <v/>
      </c>
    </row>
    <row r="3629" spans="1:11" s="18" customFormat="1" ht="14.25" x14ac:dyDescent="0.2">
      <c r="A3629" s="18" t="str">
        <f t="shared" si="266"/>
        <v>Eintrag 3628</v>
      </c>
      <c r="B3629" s="18">
        <v>100</v>
      </c>
      <c r="C3629" s="19">
        <v>100</v>
      </c>
      <c r="D3629" s="20">
        <v>10</v>
      </c>
      <c r="E3629" s="20">
        <v>10</v>
      </c>
      <c r="F3629" s="20">
        <v>10</v>
      </c>
      <c r="G3629" s="19">
        <f t="shared" si="265"/>
        <v>172</v>
      </c>
      <c r="H3629" s="22">
        <f t="shared" si="268"/>
        <v>3628</v>
      </c>
      <c r="I3629" s="21">
        <f t="shared" ca="1" si="267"/>
        <v>0</v>
      </c>
      <c r="J3629" s="21" t="str">
        <f ca="1">IF(I3629=0,"",COUNTIF($I$2:I3629,"&gt;0"))</f>
        <v/>
      </c>
      <c r="K3629" s="21" t="str">
        <f t="shared" ca="1" si="264"/>
        <v/>
      </c>
    </row>
    <row r="3630" spans="1:11" s="18" customFormat="1" ht="14.25" x14ac:dyDescent="0.2">
      <c r="A3630" s="18" t="str">
        <f t="shared" si="266"/>
        <v>Eintrag 3629</v>
      </c>
      <c r="B3630" s="18">
        <v>100</v>
      </c>
      <c r="C3630" s="19">
        <v>100</v>
      </c>
      <c r="D3630" s="20">
        <v>10</v>
      </c>
      <c r="E3630" s="20">
        <v>10</v>
      </c>
      <c r="F3630" s="20">
        <v>10</v>
      </c>
      <c r="G3630" s="19">
        <f t="shared" si="265"/>
        <v>172</v>
      </c>
      <c r="H3630" s="22">
        <f t="shared" si="268"/>
        <v>3629</v>
      </c>
      <c r="I3630" s="21">
        <f t="shared" ca="1" si="267"/>
        <v>0</v>
      </c>
      <c r="J3630" s="21" t="str">
        <f ca="1">IF(I3630=0,"",COUNTIF($I$2:I3630,"&gt;0"))</f>
        <v/>
      </c>
      <c r="K3630" s="21" t="str">
        <f t="shared" ca="1" si="264"/>
        <v/>
      </c>
    </row>
    <row r="3631" spans="1:11" s="18" customFormat="1" ht="14.25" x14ac:dyDescent="0.2">
      <c r="A3631" s="18" t="str">
        <f t="shared" si="266"/>
        <v>Eintrag 3630</v>
      </c>
      <c r="B3631" s="18">
        <v>100</v>
      </c>
      <c r="C3631" s="19">
        <v>100</v>
      </c>
      <c r="D3631" s="20">
        <v>10</v>
      </c>
      <c r="E3631" s="20">
        <v>10</v>
      </c>
      <c r="F3631" s="20">
        <v>10</v>
      </c>
      <c r="G3631" s="19">
        <f t="shared" si="265"/>
        <v>172</v>
      </c>
      <c r="H3631" s="22">
        <f t="shared" si="268"/>
        <v>3630</v>
      </c>
      <c r="I3631" s="21">
        <f t="shared" ca="1" si="267"/>
        <v>0</v>
      </c>
      <c r="J3631" s="21" t="str">
        <f ca="1">IF(I3631=0,"",COUNTIF($I$2:I3631,"&gt;0"))</f>
        <v/>
      </c>
      <c r="K3631" s="21" t="str">
        <f t="shared" ca="1" si="264"/>
        <v/>
      </c>
    </row>
    <row r="3632" spans="1:11" s="18" customFormat="1" ht="14.25" x14ac:dyDescent="0.2">
      <c r="A3632" s="18" t="str">
        <f t="shared" si="266"/>
        <v>Eintrag 3631</v>
      </c>
      <c r="B3632" s="18">
        <v>100</v>
      </c>
      <c r="C3632" s="19">
        <v>100</v>
      </c>
      <c r="D3632" s="20">
        <v>10</v>
      </c>
      <c r="E3632" s="20">
        <v>10</v>
      </c>
      <c r="F3632" s="20">
        <v>10</v>
      </c>
      <c r="G3632" s="19">
        <f t="shared" si="265"/>
        <v>172</v>
      </c>
      <c r="H3632" s="22">
        <f t="shared" si="268"/>
        <v>3631</v>
      </c>
      <c r="I3632" s="21">
        <f t="shared" ca="1" si="267"/>
        <v>0</v>
      </c>
      <c r="J3632" s="21" t="str">
        <f ca="1">IF(I3632=0,"",COUNTIF($I$2:I3632,"&gt;0"))</f>
        <v/>
      </c>
      <c r="K3632" s="21" t="str">
        <f t="shared" ca="1" si="264"/>
        <v/>
      </c>
    </row>
    <row r="3633" spans="1:11" s="18" customFormat="1" ht="14.25" x14ac:dyDescent="0.2">
      <c r="A3633" s="18" t="str">
        <f t="shared" si="266"/>
        <v>Eintrag 3632</v>
      </c>
      <c r="B3633" s="18">
        <v>100</v>
      </c>
      <c r="C3633" s="19">
        <v>100</v>
      </c>
      <c r="D3633" s="20">
        <v>10</v>
      </c>
      <c r="E3633" s="20">
        <v>10</v>
      </c>
      <c r="F3633" s="20">
        <v>10</v>
      </c>
      <c r="G3633" s="19">
        <f t="shared" si="265"/>
        <v>172</v>
      </c>
      <c r="H3633" s="22">
        <f t="shared" si="268"/>
        <v>3632</v>
      </c>
      <c r="I3633" s="21">
        <f t="shared" ca="1" si="267"/>
        <v>0</v>
      </c>
      <c r="J3633" s="21" t="str">
        <f ca="1">IF(I3633=0,"",COUNTIF($I$2:I3633,"&gt;0"))</f>
        <v/>
      </c>
      <c r="K3633" s="21" t="str">
        <f t="shared" ca="1" si="264"/>
        <v/>
      </c>
    </row>
    <row r="3634" spans="1:11" s="18" customFormat="1" ht="14.25" x14ac:dyDescent="0.2">
      <c r="A3634" s="18" t="str">
        <f t="shared" si="266"/>
        <v>Eintrag 3633</v>
      </c>
      <c r="B3634" s="18">
        <v>100</v>
      </c>
      <c r="C3634" s="19">
        <v>100</v>
      </c>
      <c r="D3634" s="20">
        <v>10</v>
      </c>
      <c r="E3634" s="20">
        <v>10</v>
      </c>
      <c r="F3634" s="20">
        <v>10</v>
      </c>
      <c r="G3634" s="19">
        <f t="shared" si="265"/>
        <v>172</v>
      </c>
      <c r="H3634" s="22">
        <f t="shared" si="268"/>
        <v>3633</v>
      </c>
      <c r="I3634" s="21">
        <f t="shared" ca="1" si="267"/>
        <v>0</v>
      </c>
      <c r="J3634" s="21" t="str">
        <f ca="1">IF(I3634=0,"",COUNTIF($I$2:I3634,"&gt;0"))</f>
        <v/>
      </c>
      <c r="K3634" s="21" t="str">
        <f t="shared" ca="1" si="264"/>
        <v/>
      </c>
    </row>
    <row r="3635" spans="1:11" s="18" customFormat="1" ht="14.25" x14ac:dyDescent="0.2">
      <c r="A3635" s="18" t="str">
        <f t="shared" si="266"/>
        <v>Eintrag 3634</v>
      </c>
      <c r="B3635" s="18">
        <v>100</v>
      </c>
      <c r="C3635" s="19">
        <v>100</v>
      </c>
      <c r="D3635" s="20">
        <v>10</v>
      </c>
      <c r="E3635" s="20">
        <v>10</v>
      </c>
      <c r="F3635" s="20">
        <v>10</v>
      </c>
      <c r="G3635" s="19">
        <f t="shared" si="265"/>
        <v>172</v>
      </c>
      <c r="H3635" s="22">
        <f t="shared" si="268"/>
        <v>3634</v>
      </c>
      <c r="I3635" s="21">
        <f t="shared" ca="1" si="267"/>
        <v>0</v>
      </c>
      <c r="J3635" s="21" t="str">
        <f ca="1">IF(I3635=0,"",COUNTIF($I$2:I3635,"&gt;0"))</f>
        <v/>
      </c>
      <c r="K3635" s="21" t="str">
        <f t="shared" ca="1" si="264"/>
        <v/>
      </c>
    </row>
    <row r="3636" spans="1:11" s="18" customFormat="1" ht="14.25" x14ac:dyDescent="0.2">
      <c r="A3636" s="18" t="str">
        <f t="shared" si="266"/>
        <v>Eintrag 3635</v>
      </c>
      <c r="B3636" s="18">
        <v>100</v>
      </c>
      <c r="C3636" s="19">
        <v>100</v>
      </c>
      <c r="D3636" s="20">
        <v>10</v>
      </c>
      <c r="E3636" s="20">
        <v>10</v>
      </c>
      <c r="F3636" s="20">
        <v>10</v>
      </c>
      <c r="G3636" s="19">
        <f t="shared" si="265"/>
        <v>172</v>
      </c>
      <c r="H3636" s="22">
        <f t="shared" si="268"/>
        <v>3635</v>
      </c>
      <c r="I3636" s="21">
        <f t="shared" ca="1" si="267"/>
        <v>0</v>
      </c>
      <c r="J3636" s="21" t="str">
        <f ca="1">IF(I3636=0,"",COUNTIF($I$2:I3636,"&gt;0"))</f>
        <v/>
      </c>
      <c r="K3636" s="21" t="str">
        <f t="shared" ca="1" si="264"/>
        <v/>
      </c>
    </row>
    <row r="3637" spans="1:11" s="18" customFormat="1" ht="14.25" x14ac:dyDescent="0.2">
      <c r="A3637" s="18" t="str">
        <f t="shared" si="266"/>
        <v>Eintrag 3636</v>
      </c>
      <c r="B3637" s="18">
        <v>100</v>
      </c>
      <c r="C3637" s="19">
        <v>100</v>
      </c>
      <c r="D3637" s="20">
        <v>10</v>
      </c>
      <c r="E3637" s="20">
        <v>10</v>
      </c>
      <c r="F3637" s="20">
        <v>10</v>
      </c>
      <c r="G3637" s="19">
        <f t="shared" si="265"/>
        <v>172</v>
      </c>
      <c r="H3637" s="22">
        <f t="shared" si="268"/>
        <v>3636</v>
      </c>
      <c r="I3637" s="21">
        <f t="shared" ca="1" si="267"/>
        <v>0</v>
      </c>
      <c r="J3637" s="21" t="str">
        <f ca="1">IF(I3637=0,"",COUNTIF($I$2:I3637,"&gt;0"))</f>
        <v/>
      </c>
      <c r="K3637" s="21" t="str">
        <f t="shared" ca="1" si="264"/>
        <v/>
      </c>
    </row>
    <row r="3638" spans="1:11" s="18" customFormat="1" ht="14.25" x14ac:dyDescent="0.2">
      <c r="A3638" s="18" t="str">
        <f t="shared" si="266"/>
        <v>Eintrag 3637</v>
      </c>
      <c r="B3638" s="18">
        <v>100</v>
      </c>
      <c r="C3638" s="19">
        <v>100</v>
      </c>
      <c r="D3638" s="20">
        <v>10</v>
      </c>
      <c r="E3638" s="20">
        <v>10</v>
      </c>
      <c r="F3638" s="20">
        <v>10</v>
      </c>
      <c r="G3638" s="19">
        <f t="shared" si="265"/>
        <v>172</v>
      </c>
      <c r="H3638" s="22">
        <f t="shared" si="268"/>
        <v>3637</v>
      </c>
      <c r="I3638" s="21">
        <f t="shared" ca="1" si="267"/>
        <v>0</v>
      </c>
      <c r="J3638" s="21" t="str">
        <f ca="1">IF(I3638=0,"",COUNTIF($I$2:I3638,"&gt;0"))</f>
        <v/>
      </c>
      <c r="K3638" s="21" t="str">
        <f t="shared" ca="1" si="264"/>
        <v/>
      </c>
    </row>
    <row r="3639" spans="1:11" s="18" customFormat="1" ht="14.25" x14ac:dyDescent="0.2">
      <c r="A3639" s="18" t="str">
        <f t="shared" si="266"/>
        <v>Eintrag 3638</v>
      </c>
      <c r="B3639" s="18">
        <v>100</v>
      </c>
      <c r="C3639" s="19">
        <v>100</v>
      </c>
      <c r="D3639" s="20">
        <v>10</v>
      </c>
      <c r="E3639" s="20">
        <v>10</v>
      </c>
      <c r="F3639" s="20">
        <v>10</v>
      </c>
      <c r="G3639" s="19">
        <f t="shared" si="265"/>
        <v>172</v>
      </c>
      <c r="H3639" s="22">
        <f t="shared" si="268"/>
        <v>3638</v>
      </c>
      <c r="I3639" s="21">
        <f t="shared" ca="1" si="267"/>
        <v>0</v>
      </c>
      <c r="J3639" s="21" t="str">
        <f ca="1">IF(I3639=0,"",COUNTIF($I$2:I3639,"&gt;0"))</f>
        <v/>
      </c>
      <c r="K3639" s="21" t="str">
        <f t="shared" ca="1" si="264"/>
        <v/>
      </c>
    </row>
    <row r="3640" spans="1:11" s="18" customFormat="1" ht="14.25" x14ac:dyDescent="0.2">
      <c r="A3640" s="18" t="str">
        <f t="shared" si="266"/>
        <v>Eintrag 3639</v>
      </c>
      <c r="B3640" s="18">
        <v>100</v>
      </c>
      <c r="C3640" s="19">
        <v>100</v>
      </c>
      <c r="D3640" s="20">
        <v>10</v>
      </c>
      <c r="E3640" s="20">
        <v>10</v>
      </c>
      <c r="F3640" s="20">
        <v>10</v>
      </c>
      <c r="G3640" s="19">
        <f t="shared" si="265"/>
        <v>172</v>
      </c>
      <c r="H3640" s="22">
        <f t="shared" si="268"/>
        <v>3639</v>
      </c>
      <c r="I3640" s="21">
        <f t="shared" ca="1" si="267"/>
        <v>0</v>
      </c>
      <c r="J3640" s="21" t="str">
        <f ca="1">IF(I3640=0,"",COUNTIF($I$2:I3640,"&gt;0"))</f>
        <v/>
      </c>
      <c r="K3640" s="21" t="str">
        <f t="shared" ca="1" si="264"/>
        <v/>
      </c>
    </row>
    <row r="3641" spans="1:11" s="18" customFormat="1" ht="14.25" x14ac:dyDescent="0.2">
      <c r="A3641" s="18" t="str">
        <f t="shared" si="266"/>
        <v>Eintrag 3640</v>
      </c>
      <c r="B3641" s="18">
        <v>100</v>
      </c>
      <c r="C3641" s="19">
        <v>100</v>
      </c>
      <c r="D3641" s="20">
        <v>10</v>
      </c>
      <c r="E3641" s="20">
        <v>10</v>
      </c>
      <c r="F3641" s="20">
        <v>10</v>
      </c>
      <c r="G3641" s="19">
        <f t="shared" si="265"/>
        <v>172</v>
      </c>
      <c r="H3641" s="22">
        <f t="shared" si="268"/>
        <v>3640</v>
      </c>
      <c r="I3641" s="21">
        <f t="shared" ca="1" si="267"/>
        <v>0</v>
      </c>
      <c r="J3641" s="21" t="str">
        <f ca="1">IF(I3641=0,"",COUNTIF($I$2:I3641,"&gt;0"))</f>
        <v/>
      </c>
      <c r="K3641" s="21" t="str">
        <f t="shared" ca="1" si="264"/>
        <v/>
      </c>
    </row>
    <row r="3642" spans="1:11" s="18" customFormat="1" ht="14.25" x14ac:dyDescent="0.2">
      <c r="A3642" s="18" t="str">
        <f t="shared" si="266"/>
        <v>Eintrag 3641</v>
      </c>
      <c r="B3642" s="18">
        <v>100</v>
      </c>
      <c r="C3642" s="19">
        <v>100</v>
      </c>
      <c r="D3642" s="20">
        <v>10</v>
      </c>
      <c r="E3642" s="20">
        <v>10</v>
      </c>
      <c r="F3642" s="20">
        <v>10</v>
      </c>
      <c r="G3642" s="19">
        <f t="shared" si="265"/>
        <v>172</v>
      </c>
      <c r="H3642" s="22">
        <f t="shared" si="268"/>
        <v>3641</v>
      </c>
      <c r="I3642" s="21">
        <f t="shared" ca="1" si="267"/>
        <v>0</v>
      </c>
      <c r="J3642" s="21" t="str">
        <f ca="1">IF(I3642=0,"",COUNTIF($I$2:I3642,"&gt;0"))</f>
        <v/>
      </c>
      <c r="K3642" s="21" t="str">
        <f t="shared" ca="1" si="264"/>
        <v/>
      </c>
    </row>
    <row r="3643" spans="1:11" s="18" customFormat="1" ht="14.25" x14ac:dyDescent="0.2">
      <c r="A3643" s="18" t="str">
        <f t="shared" si="266"/>
        <v>Eintrag 3642</v>
      </c>
      <c r="B3643" s="18">
        <v>100</v>
      </c>
      <c r="C3643" s="19">
        <v>100</v>
      </c>
      <c r="D3643" s="20">
        <v>10</v>
      </c>
      <c r="E3643" s="20">
        <v>10</v>
      </c>
      <c r="F3643" s="20">
        <v>10</v>
      </c>
      <c r="G3643" s="19">
        <f t="shared" si="265"/>
        <v>172</v>
      </c>
      <c r="H3643" s="22">
        <f t="shared" si="268"/>
        <v>3642</v>
      </c>
      <c r="I3643" s="21">
        <f t="shared" ca="1" si="267"/>
        <v>0</v>
      </c>
      <c r="J3643" s="21" t="str">
        <f ca="1">IF(I3643=0,"",COUNTIF($I$2:I3643,"&gt;0"))</f>
        <v/>
      </c>
      <c r="K3643" s="21" t="str">
        <f t="shared" ca="1" si="264"/>
        <v/>
      </c>
    </row>
    <row r="3644" spans="1:11" s="18" customFormat="1" ht="14.25" x14ac:dyDescent="0.2">
      <c r="A3644" s="18" t="str">
        <f t="shared" si="266"/>
        <v>Eintrag 3643</v>
      </c>
      <c r="B3644" s="18">
        <v>100</v>
      </c>
      <c r="C3644" s="19">
        <v>100</v>
      </c>
      <c r="D3644" s="20">
        <v>10</v>
      </c>
      <c r="E3644" s="20">
        <v>10</v>
      </c>
      <c r="F3644" s="20">
        <v>10</v>
      </c>
      <c r="G3644" s="19">
        <f t="shared" si="265"/>
        <v>172</v>
      </c>
      <c r="H3644" s="22">
        <f t="shared" si="268"/>
        <v>3643</v>
      </c>
      <c r="I3644" s="21">
        <f t="shared" ca="1" si="267"/>
        <v>0</v>
      </c>
      <c r="J3644" s="21" t="str">
        <f ca="1">IF(I3644=0,"",COUNTIF($I$2:I3644,"&gt;0"))</f>
        <v/>
      </c>
      <c r="K3644" s="21" t="str">
        <f t="shared" ca="1" si="264"/>
        <v/>
      </c>
    </row>
    <row r="3645" spans="1:11" s="18" customFormat="1" ht="14.25" x14ac:dyDescent="0.2">
      <c r="A3645" s="18" t="str">
        <f t="shared" si="266"/>
        <v>Eintrag 3644</v>
      </c>
      <c r="B3645" s="18">
        <v>100</v>
      </c>
      <c r="C3645" s="19">
        <v>100</v>
      </c>
      <c r="D3645" s="20">
        <v>10</v>
      </c>
      <c r="E3645" s="20">
        <v>10</v>
      </c>
      <c r="F3645" s="20">
        <v>10</v>
      </c>
      <c r="G3645" s="19">
        <f t="shared" si="265"/>
        <v>172</v>
      </c>
      <c r="H3645" s="22">
        <f t="shared" si="268"/>
        <v>3644</v>
      </c>
      <c r="I3645" s="21">
        <f t="shared" ca="1" si="267"/>
        <v>0</v>
      </c>
      <c r="J3645" s="21" t="str">
        <f ca="1">IF(I3645=0,"",COUNTIF($I$2:I3645,"&gt;0"))</f>
        <v/>
      </c>
      <c r="K3645" s="21" t="str">
        <f t="shared" ca="1" si="264"/>
        <v/>
      </c>
    </row>
    <row r="3646" spans="1:11" s="18" customFormat="1" ht="14.25" x14ac:dyDescent="0.2">
      <c r="A3646" s="18" t="str">
        <f t="shared" si="266"/>
        <v>Eintrag 3645</v>
      </c>
      <c r="B3646" s="18">
        <v>100</v>
      </c>
      <c r="C3646" s="19">
        <v>100</v>
      </c>
      <c r="D3646" s="20">
        <v>10</v>
      </c>
      <c r="E3646" s="20">
        <v>10</v>
      </c>
      <c r="F3646" s="20">
        <v>10</v>
      </c>
      <c r="G3646" s="19">
        <f t="shared" si="265"/>
        <v>172</v>
      </c>
      <c r="H3646" s="22">
        <f t="shared" si="268"/>
        <v>3645</v>
      </c>
      <c r="I3646" s="21">
        <f t="shared" ca="1" si="267"/>
        <v>0</v>
      </c>
      <c r="J3646" s="21" t="str">
        <f ca="1">IF(I3646=0,"",COUNTIF($I$2:I3646,"&gt;0"))</f>
        <v/>
      </c>
      <c r="K3646" s="21" t="str">
        <f t="shared" ca="1" si="264"/>
        <v/>
      </c>
    </row>
    <row r="3647" spans="1:11" s="18" customFormat="1" ht="14.25" x14ac:dyDescent="0.2">
      <c r="A3647" s="18" t="str">
        <f t="shared" si="266"/>
        <v>Eintrag 3646</v>
      </c>
      <c r="B3647" s="18">
        <v>100</v>
      </c>
      <c r="C3647" s="19">
        <v>100</v>
      </c>
      <c r="D3647" s="20">
        <v>10</v>
      </c>
      <c r="E3647" s="20">
        <v>10</v>
      </c>
      <c r="F3647" s="20">
        <v>10</v>
      </c>
      <c r="G3647" s="19">
        <f t="shared" si="265"/>
        <v>172</v>
      </c>
      <c r="H3647" s="22">
        <f t="shared" si="268"/>
        <v>3646</v>
      </c>
      <c r="I3647" s="21">
        <f t="shared" ca="1" si="267"/>
        <v>0</v>
      </c>
      <c r="J3647" s="21" t="str">
        <f ca="1">IF(I3647=0,"",COUNTIF($I$2:I3647,"&gt;0"))</f>
        <v/>
      </c>
      <c r="K3647" s="21" t="str">
        <f t="shared" ca="1" si="264"/>
        <v/>
      </c>
    </row>
    <row r="3648" spans="1:11" s="18" customFormat="1" ht="14.25" x14ac:dyDescent="0.2">
      <c r="A3648" s="18" t="str">
        <f t="shared" si="266"/>
        <v>Eintrag 3647</v>
      </c>
      <c r="B3648" s="18">
        <v>100</v>
      </c>
      <c r="C3648" s="19">
        <v>100</v>
      </c>
      <c r="D3648" s="20">
        <v>10</v>
      </c>
      <c r="E3648" s="20">
        <v>10</v>
      </c>
      <c r="F3648" s="20">
        <v>10</v>
      </c>
      <c r="G3648" s="19">
        <f t="shared" si="265"/>
        <v>172</v>
      </c>
      <c r="H3648" s="22">
        <f t="shared" si="268"/>
        <v>3647</v>
      </c>
      <c r="I3648" s="21">
        <f t="shared" ca="1" si="267"/>
        <v>0</v>
      </c>
      <c r="J3648" s="21" t="str">
        <f ca="1">IF(I3648=0,"",COUNTIF($I$2:I3648,"&gt;0"))</f>
        <v/>
      </c>
      <c r="K3648" s="21" t="str">
        <f t="shared" ca="1" si="264"/>
        <v/>
      </c>
    </row>
    <row r="3649" spans="1:11" s="18" customFormat="1" ht="14.25" x14ac:dyDescent="0.2">
      <c r="A3649" s="18" t="str">
        <f t="shared" si="266"/>
        <v>Eintrag 3648</v>
      </c>
      <c r="B3649" s="18">
        <v>100</v>
      </c>
      <c r="C3649" s="19">
        <v>100</v>
      </c>
      <c r="D3649" s="20">
        <v>10</v>
      </c>
      <c r="E3649" s="20">
        <v>10</v>
      </c>
      <c r="F3649" s="20">
        <v>10</v>
      </c>
      <c r="G3649" s="19">
        <f t="shared" si="265"/>
        <v>172</v>
      </c>
      <c r="H3649" s="22">
        <f t="shared" si="268"/>
        <v>3648</v>
      </c>
      <c r="I3649" s="21">
        <f t="shared" ca="1" si="267"/>
        <v>0</v>
      </c>
      <c r="J3649" s="21" t="str">
        <f ca="1">IF(I3649=0,"",COUNTIF($I$2:I3649,"&gt;0"))</f>
        <v/>
      </c>
      <c r="K3649" s="21" t="str">
        <f t="shared" ca="1" si="264"/>
        <v/>
      </c>
    </row>
    <row r="3650" spans="1:11" s="18" customFormat="1" ht="14.25" x14ac:dyDescent="0.2">
      <c r="A3650" s="18" t="str">
        <f t="shared" si="266"/>
        <v>Eintrag 3649</v>
      </c>
      <c r="B3650" s="18">
        <v>100</v>
      </c>
      <c r="C3650" s="19">
        <v>100</v>
      </c>
      <c r="D3650" s="20">
        <v>10</v>
      </c>
      <c r="E3650" s="20">
        <v>10</v>
      </c>
      <c r="F3650" s="20">
        <v>10</v>
      </c>
      <c r="G3650" s="19">
        <f t="shared" si="265"/>
        <v>172</v>
      </c>
      <c r="H3650" s="22">
        <f t="shared" si="268"/>
        <v>3649</v>
      </c>
      <c r="I3650" s="21">
        <f t="shared" ca="1" si="267"/>
        <v>0</v>
      </c>
      <c r="J3650" s="21" t="str">
        <f ca="1">IF(I3650=0,"",COUNTIF($I$2:I3650,"&gt;0"))</f>
        <v/>
      </c>
      <c r="K3650" s="21" t="str">
        <f t="shared" ref="K3650:K3713" ca="1" si="269">IFERROR(INDEX(A:A,MATCH(ROW(I3649),J:J,0)),"")</f>
        <v/>
      </c>
    </row>
    <row r="3651" spans="1:11" s="18" customFormat="1" ht="14.25" x14ac:dyDescent="0.2">
      <c r="A3651" s="18" t="str">
        <f t="shared" si="266"/>
        <v>Eintrag 3650</v>
      </c>
      <c r="B3651" s="18">
        <v>100</v>
      </c>
      <c r="C3651" s="19">
        <v>100</v>
      </c>
      <c r="D3651" s="20">
        <v>10</v>
      </c>
      <c r="E3651" s="20">
        <v>10</v>
      </c>
      <c r="F3651" s="20">
        <v>10</v>
      </c>
      <c r="G3651" s="19">
        <f t="shared" ref="G3651:G3714" si="270">D3651*9+E3651*4.1+F3651*4.1</f>
        <v>172</v>
      </c>
      <c r="H3651" s="22">
        <f t="shared" si="268"/>
        <v>3650</v>
      </c>
      <c r="I3651" s="21">
        <f t="shared" ca="1" si="267"/>
        <v>0</v>
      </c>
      <c r="J3651" s="21" t="str">
        <f ca="1">IF(I3651=0,"",COUNTIF($I$2:I3651,"&gt;0"))</f>
        <v/>
      </c>
      <c r="K3651" s="21" t="str">
        <f t="shared" ca="1" si="269"/>
        <v/>
      </c>
    </row>
    <row r="3652" spans="1:11" s="18" customFormat="1" ht="14.25" x14ac:dyDescent="0.2">
      <c r="A3652" s="18" t="str">
        <f t="shared" si="266"/>
        <v>Eintrag 3651</v>
      </c>
      <c r="B3652" s="18">
        <v>100</v>
      </c>
      <c r="C3652" s="19">
        <v>100</v>
      </c>
      <c r="D3652" s="20">
        <v>10</v>
      </c>
      <c r="E3652" s="20">
        <v>10</v>
      </c>
      <c r="F3652" s="20">
        <v>10</v>
      </c>
      <c r="G3652" s="19">
        <f t="shared" si="270"/>
        <v>172</v>
      </c>
      <c r="H3652" s="22">
        <f t="shared" si="268"/>
        <v>3651</v>
      </c>
      <c r="I3652" s="21">
        <f t="shared" ca="1" si="267"/>
        <v>0</v>
      </c>
      <c r="J3652" s="21" t="str">
        <f ca="1">IF(I3652=0,"",COUNTIF($I$2:I3652,"&gt;0"))</f>
        <v/>
      </c>
      <c r="K3652" s="21" t="str">
        <f t="shared" ca="1" si="269"/>
        <v/>
      </c>
    </row>
    <row r="3653" spans="1:11" s="18" customFormat="1" ht="14.25" x14ac:dyDescent="0.2">
      <c r="A3653" s="18" t="str">
        <f t="shared" si="266"/>
        <v>Eintrag 3652</v>
      </c>
      <c r="B3653" s="18">
        <v>100</v>
      </c>
      <c r="C3653" s="19">
        <v>100</v>
      </c>
      <c r="D3653" s="20">
        <v>10</v>
      </c>
      <c r="E3653" s="20">
        <v>10</v>
      </c>
      <c r="F3653" s="20">
        <v>10</v>
      </c>
      <c r="G3653" s="19">
        <f t="shared" si="270"/>
        <v>172</v>
      </c>
      <c r="H3653" s="22">
        <f t="shared" si="268"/>
        <v>3652</v>
      </c>
      <c r="I3653" s="21">
        <f t="shared" ca="1" si="267"/>
        <v>0</v>
      </c>
      <c r="J3653" s="21" t="str">
        <f ca="1">IF(I3653=0,"",COUNTIF($I$2:I3653,"&gt;0"))</f>
        <v/>
      </c>
      <c r="K3653" s="21" t="str">
        <f t="shared" ca="1" si="269"/>
        <v/>
      </c>
    </row>
    <row r="3654" spans="1:11" s="18" customFormat="1" ht="14.25" x14ac:dyDescent="0.2">
      <c r="A3654" s="18" t="str">
        <f t="shared" si="266"/>
        <v>Eintrag 3653</v>
      </c>
      <c r="B3654" s="18">
        <v>100</v>
      </c>
      <c r="C3654" s="19">
        <v>100</v>
      </c>
      <c r="D3654" s="20">
        <v>10</v>
      </c>
      <c r="E3654" s="20">
        <v>10</v>
      </c>
      <c r="F3654" s="20">
        <v>10</v>
      </c>
      <c r="G3654" s="19">
        <f t="shared" si="270"/>
        <v>172</v>
      </c>
      <c r="H3654" s="22">
        <f t="shared" si="268"/>
        <v>3653</v>
      </c>
      <c r="I3654" s="21">
        <f t="shared" ca="1" si="267"/>
        <v>0</v>
      </c>
      <c r="J3654" s="21" t="str">
        <f ca="1">IF(I3654=0,"",COUNTIF($I$2:I3654,"&gt;0"))</f>
        <v/>
      </c>
      <c r="K3654" s="21" t="str">
        <f t="shared" ca="1" si="269"/>
        <v/>
      </c>
    </row>
    <row r="3655" spans="1:11" s="18" customFormat="1" ht="14.25" x14ac:dyDescent="0.2">
      <c r="A3655" s="18" t="str">
        <f t="shared" si="266"/>
        <v>Eintrag 3654</v>
      </c>
      <c r="B3655" s="18">
        <v>100</v>
      </c>
      <c r="C3655" s="19">
        <v>100</v>
      </c>
      <c r="D3655" s="20">
        <v>10</v>
      </c>
      <c r="E3655" s="20">
        <v>10</v>
      </c>
      <c r="F3655" s="20">
        <v>10</v>
      </c>
      <c r="G3655" s="19">
        <f t="shared" si="270"/>
        <v>172</v>
      </c>
      <c r="H3655" s="22">
        <f t="shared" si="268"/>
        <v>3654</v>
      </c>
      <c r="I3655" s="21">
        <f t="shared" ca="1" si="267"/>
        <v>0</v>
      </c>
      <c r="J3655" s="21" t="str">
        <f ca="1">IF(I3655=0,"",COUNTIF($I$2:I3655,"&gt;0"))</f>
        <v/>
      </c>
      <c r="K3655" s="21" t="str">
        <f t="shared" ca="1" si="269"/>
        <v/>
      </c>
    </row>
    <row r="3656" spans="1:11" s="18" customFormat="1" ht="14.25" x14ac:dyDescent="0.2">
      <c r="A3656" s="18" t="str">
        <f t="shared" si="266"/>
        <v>Eintrag 3655</v>
      </c>
      <c r="B3656" s="18">
        <v>100</v>
      </c>
      <c r="C3656" s="19">
        <v>100</v>
      </c>
      <c r="D3656" s="20">
        <v>10</v>
      </c>
      <c r="E3656" s="20">
        <v>10</v>
      </c>
      <c r="F3656" s="20">
        <v>10</v>
      </c>
      <c r="G3656" s="19">
        <f t="shared" si="270"/>
        <v>172</v>
      </c>
      <c r="H3656" s="22">
        <f t="shared" si="268"/>
        <v>3655</v>
      </c>
      <c r="I3656" s="21">
        <f t="shared" ca="1" si="267"/>
        <v>0</v>
      </c>
      <c r="J3656" s="21" t="str">
        <f ca="1">IF(I3656=0,"",COUNTIF($I$2:I3656,"&gt;0"))</f>
        <v/>
      </c>
      <c r="K3656" s="21" t="str">
        <f t="shared" ca="1" si="269"/>
        <v/>
      </c>
    </row>
    <row r="3657" spans="1:11" s="18" customFormat="1" ht="14.25" x14ac:dyDescent="0.2">
      <c r="A3657" s="18" t="str">
        <f t="shared" si="266"/>
        <v>Eintrag 3656</v>
      </c>
      <c r="B3657" s="18">
        <v>100</v>
      </c>
      <c r="C3657" s="19">
        <v>100</v>
      </c>
      <c r="D3657" s="20">
        <v>10</v>
      </c>
      <c r="E3657" s="20">
        <v>10</v>
      </c>
      <c r="F3657" s="20">
        <v>10</v>
      </c>
      <c r="G3657" s="19">
        <f t="shared" si="270"/>
        <v>172</v>
      </c>
      <c r="H3657" s="22">
        <f t="shared" si="268"/>
        <v>3656</v>
      </c>
      <c r="I3657" s="21">
        <f t="shared" ca="1" si="267"/>
        <v>0</v>
      </c>
      <c r="J3657" s="21" t="str">
        <f ca="1">IF(I3657=0,"",COUNTIF($I$2:I3657,"&gt;0"))</f>
        <v/>
      </c>
      <c r="K3657" s="21" t="str">
        <f t="shared" ca="1" si="269"/>
        <v/>
      </c>
    </row>
    <row r="3658" spans="1:11" s="18" customFormat="1" ht="14.25" x14ac:dyDescent="0.2">
      <c r="A3658" s="18" t="str">
        <f t="shared" si="266"/>
        <v>Eintrag 3657</v>
      </c>
      <c r="B3658" s="18">
        <v>100</v>
      </c>
      <c r="C3658" s="19">
        <v>100</v>
      </c>
      <c r="D3658" s="20">
        <v>10</v>
      </c>
      <c r="E3658" s="20">
        <v>10</v>
      </c>
      <c r="F3658" s="20">
        <v>10</v>
      </c>
      <c r="G3658" s="19">
        <f t="shared" si="270"/>
        <v>172</v>
      </c>
      <c r="H3658" s="22">
        <f t="shared" si="268"/>
        <v>3657</v>
      </c>
      <c r="I3658" s="21">
        <f t="shared" ca="1" si="267"/>
        <v>0</v>
      </c>
      <c r="J3658" s="21" t="str">
        <f ca="1">IF(I3658=0,"",COUNTIF($I$2:I3658,"&gt;0"))</f>
        <v/>
      </c>
      <c r="K3658" s="21" t="str">
        <f t="shared" ca="1" si="269"/>
        <v/>
      </c>
    </row>
    <row r="3659" spans="1:11" s="18" customFormat="1" ht="14.25" x14ac:dyDescent="0.2">
      <c r="A3659" s="18" t="str">
        <f t="shared" si="266"/>
        <v>Eintrag 3658</v>
      </c>
      <c r="B3659" s="18">
        <v>100</v>
      </c>
      <c r="C3659" s="19">
        <v>100</v>
      </c>
      <c r="D3659" s="20">
        <v>10</v>
      </c>
      <c r="E3659" s="20">
        <v>10</v>
      </c>
      <c r="F3659" s="20">
        <v>10</v>
      </c>
      <c r="G3659" s="19">
        <f t="shared" si="270"/>
        <v>172</v>
      </c>
      <c r="H3659" s="22">
        <f t="shared" si="268"/>
        <v>3658</v>
      </c>
      <c r="I3659" s="21">
        <f t="shared" ca="1" si="267"/>
        <v>0</v>
      </c>
      <c r="J3659" s="21" t="str">
        <f ca="1">IF(I3659=0,"",COUNTIF($I$2:I3659,"&gt;0"))</f>
        <v/>
      </c>
      <c r="K3659" s="21" t="str">
        <f t="shared" ca="1" si="269"/>
        <v/>
      </c>
    </row>
    <row r="3660" spans="1:11" s="18" customFormat="1" ht="14.25" x14ac:dyDescent="0.2">
      <c r="A3660" s="18" t="str">
        <f t="shared" si="266"/>
        <v>Eintrag 3659</v>
      </c>
      <c r="B3660" s="18">
        <v>100</v>
      </c>
      <c r="C3660" s="19">
        <v>100</v>
      </c>
      <c r="D3660" s="20">
        <v>10</v>
      </c>
      <c r="E3660" s="20">
        <v>10</v>
      </c>
      <c r="F3660" s="20">
        <v>10</v>
      </c>
      <c r="G3660" s="19">
        <f t="shared" si="270"/>
        <v>172</v>
      </c>
      <c r="H3660" s="22">
        <f t="shared" si="268"/>
        <v>3659</v>
      </c>
      <c r="I3660" s="21">
        <f t="shared" ca="1" si="267"/>
        <v>0</v>
      </c>
      <c r="J3660" s="21" t="str">
        <f ca="1">IF(I3660=0,"",COUNTIF($I$2:I3660,"&gt;0"))</f>
        <v/>
      </c>
      <c r="K3660" s="21" t="str">
        <f t="shared" ca="1" si="269"/>
        <v/>
      </c>
    </row>
    <row r="3661" spans="1:11" s="18" customFormat="1" ht="14.25" x14ac:dyDescent="0.2">
      <c r="A3661" s="18" t="str">
        <f t="shared" ref="A3661:A3724" si="271">CONCATENATE("Eintrag ",H3661)</f>
        <v>Eintrag 3660</v>
      </c>
      <c r="B3661" s="18">
        <v>100</v>
      </c>
      <c r="C3661" s="19">
        <v>100</v>
      </c>
      <c r="D3661" s="20">
        <v>10</v>
      </c>
      <c r="E3661" s="20">
        <v>10</v>
      </c>
      <c r="F3661" s="20">
        <v>10</v>
      </c>
      <c r="G3661" s="19">
        <f t="shared" si="270"/>
        <v>172</v>
      </c>
      <c r="H3661" s="22">
        <f t="shared" si="268"/>
        <v>3660</v>
      </c>
      <c r="I3661" s="21">
        <f t="shared" ca="1" si="267"/>
        <v>0</v>
      </c>
      <c r="J3661" s="21" t="str">
        <f ca="1">IF(I3661=0,"",COUNTIF($I$2:I3661,"&gt;0"))</f>
        <v/>
      </c>
      <c r="K3661" s="21" t="str">
        <f t="shared" ca="1" si="269"/>
        <v/>
      </c>
    </row>
    <row r="3662" spans="1:11" s="18" customFormat="1" ht="14.25" x14ac:dyDescent="0.2">
      <c r="A3662" s="18" t="str">
        <f t="shared" si="271"/>
        <v>Eintrag 3661</v>
      </c>
      <c r="B3662" s="18">
        <v>100</v>
      </c>
      <c r="C3662" s="19">
        <v>100</v>
      </c>
      <c r="D3662" s="20">
        <v>10</v>
      </c>
      <c r="E3662" s="20">
        <v>10</v>
      </c>
      <c r="F3662" s="20">
        <v>10</v>
      </c>
      <c r="G3662" s="19">
        <f t="shared" si="270"/>
        <v>172</v>
      </c>
      <c r="H3662" s="22">
        <f t="shared" si="268"/>
        <v>3661</v>
      </c>
      <c r="I3662" s="21">
        <f t="shared" ca="1" si="267"/>
        <v>0</v>
      </c>
      <c r="J3662" s="21" t="str">
        <f ca="1">IF(I3662=0,"",COUNTIF($I$2:I3662,"&gt;0"))</f>
        <v/>
      </c>
      <c r="K3662" s="21" t="str">
        <f t="shared" ca="1" si="269"/>
        <v/>
      </c>
    </row>
    <row r="3663" spans="1:11" s="18" customFormat="1" ht="14.25" x14ac:dyDescent="0.2">
      <c r="A3663" s="18" t="str">
        <f t="shared" si="271"/>
        <v>Eintrag 3662</v>
      </c>
      <c r="B3663" s="18">
        <v>100</v>
      </c>
      <c r="C3663" s="19">
        <v>100</v>
      </c>
      <c r="D3663" s="20">
        <v>10</v>
      </c>
      <c r="E3663" s="20">
        <v>10</v>
      </c>
      <c r="F3663" s="20">
        <v>10</v>
      </c>
      <c r="G3663" s="19">
        <f t="shared" si="270"/>
        <v>172</v>
      </c>
      <c r="H3663" s="22">
        <f t="shared" si="268"/>
        <v>3662</v>
      </c>
      <c r="I3663" s="21">
        <f t="shared" ca="1" si="267"/>
        <v>0</v>
      </c>
      <c r="J3663" s="21" t="str">
        <f ca="1">IF(I3663=0,"",COUNTIF($I$2:I3663,"&gt;0"))</f>
        <v/>
      </c>
      <c r="K3663" s="21" t="str">
        <f t="shared" ca="1" si="269"/>
        <v/>
      </c>
    </row>
    <row r="3664" spans="1:11" s="18" customFormat="1" ht="14.25" x14ac:dyDescent="0.2">
      <c r="A3664" s="18" t="str">
        <f t="shared" si="271"/>
        <v>Eintrag 3663</v>
      </c>
      <c r="B3664" s="18">
        <v>100</v>
      </c>
      <c r="C3664" s="19">
        <v>100</v>
      </c>
      <c r="D3664" s="20">
        <v>10</v>
      </c>
      <c r="E3664" s="20">
        <v>10</v>
      </c>
      <c r="F3664" s="20">
        <v>10</v>
      </c>
      <c r="G3664" s="19">
        <f t="shared" si="270"/>
        <v>172</v>
      </c>
      <c r="H3664" s="22">
        <f t="shared" si="268"/>
        <v>3663</v>
      </c>
      <c r="I3664" s="21">
        <f t="shared" ca="1" si="267"/>
        <v>0</v>
      </c>
      <c r="J3664" s="21" t="str">
        <f ca="1">IF(I3664=0,"",COUNTIF($I$2:I3664,"&gt;0"))</f>
        <v/>
      </c>
      <c r="K3664" s="21" t="str">
        <f t="shared" ca="1" si="269"/>
        <v/>
      </c>
    </row>
    <row r="3665" spans="1:11" s="18" customFormat="1" ht="14.25" x14ac:dyDescent="0.2">
      <c r="A3665" s="18" t="str">
        <f t="shared" si="271"/>
        <v>Eintrag 3664</v>
      </c>
      <c r="B3665" s="18">
        <v>100</v>
      </c>
      <c r="C3665" s="19">
        <v>100</v>
      </c>
      <c r="D3665" s="20">
        <v>10</v>
      </c>
      <c r="E3665" s="20">
        <v>10</v>
      </c>
      <c r="F3665" s="20">
        <v>10</v>
      </c>
      <c r="G3665" s="19">
        <f t="shared" si="270"/>
        <v>172</v>
      </c>
      <c r="H3665" s="22">
        <f t="shared" si="268"/>
        <v>3664</v>
      </c>
      <c r="I3665" s="21">
        <f t="shared" ca="1" si="267"/>
        <v>0</v>
      </c>
      <c r="J3665" s="21" t="str">
        <f ca="1">IF(I3665=0,"",COUNTIF($I$2:I3665,"&gt;0"))</f>
        <v/>
      </c>
      <c r="K3665" s="21" t="str">
        <f t="shared" ca="1" si="269"/>
        <v/>
      </c>
    </row>
    <row r="3666" spans="1:11" s="18" customFormat="1" ht="14.25" x14ac:dyDescent="0.2">
      <c r="A3666" s="18" t="str">
        <f t="shared" si="271"/>
        <v>Eintrag 3665</v>
      </c>
      <c r="B3666" s="18">
        <v>100</v>
      </c>
      <c r="C3666" s="19">
        <v>100</v>
      </c>
      <c r="D3666" s="20">
        <v>10</v>
      </c>
      <c r="E3666" s="20">
        <v>10</v>
      </c>
      <c r="F3666" s="20">
        <v>10</v>
      </c>
      <c r="G3666" s="19">
        <f t="shared" si="270"/>
        <v>172</v>
      </c>
      <c r="H3666" s="22">
        <f t="shared" si="268"/>
        <v>3665</v>
      </c>
      <c r="I3666" s="21">
        <f t="shared" ca="1" si="267"/>
        <v>0</v>
      </c>
      <c r="J3666" s="21" t="str">
        <f ca="1">IF(I3666=0,"",COUNTIF($I$2:I3666,"&gt;0"))</f>
        <v/>
      </c>
      <c r="K3666" s="21" t="str">
        <f t="shared" ca="1" si="269"/>
        <v/>
      </c>
    </row>
    <row r="3667" spans="1:11" s="18" customFormat="1" ht="14.25" x14ac:dyDescent="0.2">
      <c r="A3667" s="18" t="str">
        <f t="shared" si="271"/>
        <v>Eintrag 3666</v>
      </c>
      <c r="B3667" s="18">
        <v>100</v>
      </c>
      <c r="C3667" s="19">
        <v>100</v>
      </c>
      <c r="D3667" s="20">
        <v>10</v>
      </c>
      <c r="E3667" s="20">
        <v>10</v>
      </c>
      <c r="F3667" s="20">
        <v>10</v>
      </c>
      <c r="G3667" s="19">
        <f t="shared" si="270"/>
        <v>172</v>
      </c>
      <c r="H3667" s="22">
        <f t="shared" si="268"/>
        <v>3666</v>
      </c>
      <c r="I3667" s="21">
        <f t="shared" ca="1" si="267"/>
        <v>0</v>
      </c>
      <c r="J3667" s="21" t="str">
        <f ca="1">IF(I3667=0,"",COUNTIF($I$2:I3667,"&gt;0"))</f>
        <v/>
      </c>
      <c r="K3667" s="21" t="str">
        <f t="shared" ca="1" si="269"/>
        <v/>
      </c>
    </row>
    <row r="3668" spans="1:11" s="18" customFormat="1" ht="14.25" x14ac:dyDescent="0.2">
      <c r="A3668" s="18" t="str">
        <f t="shared" si="271"/>
        <v>Eintrag 3667</v>
      </c>
      <c r="B3668" s="18">
        <v>100</v>
      </c>
      <c r="C3668" s="19">
        <v>100</v>
      </c>
      <c r="D3668" s="20">
        <v>10</v>
      </c>
      <c r="E3668" s="20">
        <v>10</v>
      </c>
      <c r="F3668" s="20">
        <v>10</v>
      </c>
      <c r="G3668" s="19">
        <f t="shared" si="270"/>
        <v>172</v>
      </c>
      <c r="H3668" s="22">
        <f t="shared" si="268"/>
        <v>3667</v>
      </c>
      <c r="I3668" s="21">
        <f t="shared" ca="1" si="267"/>
        <v>0</v>
      </c>
      <c r="J3668" s="21" t="str">
        <f ca="1">IF(I3668=0,"",COUNTIF($I$2:I3668,"&gt;0"))</f>
        <v/>
      </c>
      <c r="K3668" s="21" t="str">
        <f t="shared" ca="1" si="269"/>
        <v/>
      </c>
    </row>
    <row r="3669" spans="1:11" s="18" customFormat="1" ht="14.25" x14ac:dyDescent="0.2">
      <c r="A3669" s="18" t="str">
        <f t="shared" si="271"/>
        <v>Eintrag 3668</v>
      </c>
      <c r="B3669" s="18">
        <v>100</v>
      </c>
      <c r="C3669" s="19">
        <v>100</v>
      </c>
      <c r="D3669" s="20">
        <v>10</v>
      </c>
      <c r="E3669" s="20">
        <v>10</v>
      </c>
      <c r="F3669" s="20">
        <v>10</v>
      </c>
      <c r="G3669" s="19">
        <f t="shared" si="270"/>
        <v>172</v>
      </c>
      <c r="H3669" s="22">
        <f t="shared" si="268"/>
        <v>3668</v>
      </c>
      <c r="I3669" s="21">
        <f t="shared" ca="1" si="267"/>
        <v>0</v>
      </c>
      <c r="J3669" s="21" t="str">
        <f ca="1">IF(I3669=0,"",COUNTIF($I$2:I3669,"&gt;0"))</f>
        <v/>
      </c>
      <c r="K3669" s="21" t="str">
        <f t="shared" ca="1" si="269"/>
        <v/>
      </c>
    </row>
    <row r="3670" spans="1:11" s="18" customFormat="1" ht="14.25" x14ac:dyDescent="0.2">
      <c r="A3670" s="18" t="str">
        <f t="shared" si="271"/>
        <v>Eintrag 3669</v>
      </c>
      <c r="B3670" s="18">
        <v>100</v>
      </c>
      <c r="C3670" s="19">
        <v>100</v>
      </c>
      <c r="D3670" s="20">
        <v>10</v>
      </c>
      <c r="E3670" s="20">
        <v>10</v>
      </c>
      <c r="F3670" s="20">
        <v>10</v>
      </c>
      <c r="G3670" s="19">
        <f t="shared" si="270"/>
        <v>172</v>
      </c>
      <c r="H3670" s="22">
        <f t="shared" si="268"/>
        <v>3669</v>
      </c>
      <c r="I3670" s="21">
        <f t="shared" ca="1" si="267"/>
        <v>0</v>
      </c>
      <c r="J3670" s="21" t="str">
        <f ca="1">IF(I3670=0,"",COUNTIF($I$2:I3670,"&gt;0"))</f>
        <v/>
      </c>
      <c r="K3670" s="21" t="str">
        <f t="shared" ca="1" si="269"/>
        <v/>
      </c>
    </row>
    <row r="3671" spans="1:11" s="18" customFormat="1" ht="14.25" x14ac:dyDescent="0.2">
      <c r="A3671" s="18" t="str">
        <f t="shared" si="271"/>
        <v>Eintrag 3670</v>
      </c>
      <c r="B3671" s="18">
        <v>100</v>
      </c>
      <c r="C3671" s="19">
        <v>100</v>
      </c>
      <c r="D3671" s="20">
        <v>10</v>
      </c>
      <c r="E3671" s="20">
        <v>10</v>
      </c>
      <c r="F3671" s="20">
        <v>10</v>
      </c>
      <c r="G3671" s="19">
        <f t="shared" si="270"/>
        <v>172</v>
      </c>
      <c r="H3671" s="22">
        <f t="shared" si="268"/>
        <v>3670</v>
      </c>
      <c r="I3671" s="21">
        <f t="shared" ca="1" si="267"/>
        <v>0</v>
      </c>
      <c r="J3671" s="21" t="str">
        <f ca="1">IF(I3671=0,"",COUNTIF($I$2:I3671,"&gt;0"))</f>
        <v/>
      </c>
      <c r="K3671" s="21" t="str">
        <f t="shared" ca="1" si="269"/>
        <v/>
      </c>
    </row>
    <row r="3672" spans="1:11" s="18" customFormat="1" ht="14.25" x14ac:dyDescent="0.2">
      <c r="A3672" s="18" t="str">
        <f t="shared" si="271"/>
        <v>Eintrag 3671</v>
      </c>
      <c r="B3672" s="18">
        <v>100</v>
      </c>
      <c r="C3672" s="19">
        <v>100</v>
      </c>
      <c r="D3672" s="20">
        <v>10</v>
      </c>
      <c r="E3672" s="20">
        <v>10</v>
      </c>
      <c r="F3672" s="20">
        <v>10</v>
      </c>
      <c r="G3672" s="19">
        <f t="shared" si="270"/>
        <v>172</v>
      </c>
      <c r="H3672" s="22">
        <f t="shared" si="268"/>
        <v>3671</v>
      </c>
      <c r="I3672" s="21">
        <f t="shared" ca="1" si="267"/>
        <v>0</v>
      </c>
      <c r="J3672" s="21" t="str">
        <f ca="1">IF(I3672=0,"",COUNTIF($I$2:I3672,"&gt;0"))</f>
        <v/>
      </c>
      <c r="K3672" s="21" t="str">
        <f t="shared" ca="1" si="269"/>
        <v/>
      </c>
    </row>
    <row r="3673" spans="1:11" s="18" customFormat="1" ht="14.25" x14ac:dyDescent="0.2">
      <c r="A3673" s="18" t="str">
        <f t="shared" si="271"/>
        <v>Eintrag 3672</v>
      </c>
      <c r="B3673" s="18">
        <v>100</v>
      </c>
      <c r="C3673" s="19">
        <v>100</v>
      </c>
      <c r="D3673" s="20">
        <v>10</v>
      </c>
      <c r="E3673" s="20">
        <v>10</v>
      </c>
      <c r="F3673" s="20">
        <v>10</v>
      </c>
      <c r="G3673" s="19">
        <f t="shared" si="270"/>
        <v>172</v>
      </c>
      <c r="H3673" s="22">
        <f t="shared" si="268"/>
        <v>3672</v>
      </c>
      <c r="I3673" s="21">
        <f t="shared" ca="1" si="267"/>
        <v>0</v>
      </c>
      <c r="J3673" s="21" t="str">
        <f ca="1">IF(I3673=0,"",COUNTIF($I$2:I3673,"&gt;0"))</f>
        <v/>
      </c>
      <c r="K3673" s="21" t="str">
        <f t="shared" ca="1" si="269"/>
        <v/>
      </c>
    </row>
    <row r="3674" spans="1:11" s="18" customFormat="1" ht="14.25" x14ac:dyDescent="0.2">
      <c r="A3674" s="18" t="str">
        <f t="shared" si="271"/>
        <v>Eintrag 3673</v>
      </c>
      <c r="B3674" s="18">
        <v>100</v>
      </c>
      <c r="C3674" s="19">
        <v>100</v>
      </c>
      <c r="D3674" s="20">
        <v>10</v>
      </c>
      <c r="E3674" s="20">
        <v>10</v>
      </c>
      <c r="F3674" s="20">
        <v>10</v>
      </c>
      <c r="G3674" s="19">
        <f t="shared" si="270"/>
        <v>172</v>
      </c>
      <c r="H3674" s="22">
        <f t="shared" si="268"/>
        <v>3673</v>
      </c>
      <c r="I3674" s="21">
        <f t="shared" ca="1" si="267"/>
        <v>0</v>
      </c>
      <c r="J3674" s="21" t="str">
        <f ca="1">IF(I3674=0,"",COUNTIF($I$2:I3674,"&gt;0"))</f>
        <v/>
      </c>
      <c r="K3674" s="21" t="str">
        <f t="shared" ca="1" si="269"/>
        <v/>
      </c>
    </row>
    <row r="3675" spans="1:11" s="18" customFormat="1" ht="14.25" x14ac:dyDescent="0.2">
      <c r="A3675" s="18" t="str">
        <f t="shared" si="271"/>
        <v>Eintrag 3674</v>
      </c>
      <c r="B3675" s="18">
        <v>100</v>
      </c>
      <c r="C3675" s="19">
        <v>100</v>
      </c>
      <c r="D3675" s="20">
        <v>10</v>
      </c>
      <c r="E3675" s="20">
        <v>10</v>
      </c>
      <c r="F3675" s="20">
        <v>10</v>
      </c>
      <c r="G3675" s="19">
        <f t="shared" si="270"/>
        <v>172</v>
      </c>
      <c r="H3675" s="22">
        <f t="shared" si="268"/>
        <v>3674</v>
      </c>
      <c r="I3675" s="21">
        <f t="shared" ca="1" si="267"/>
        <v>0</v>
      </c>
      <c r="J3675" s="21" t="str">
        <f ca="1">IF(I3675=0,"",COUNTIF($I$2:I3675,"&gt;0"))</f>
        <v/>
      </c>
      <c r="K3675" s="21" t="str">
        <f t="shared" ca="1" si="269"/>
        <v/>
      </c>
    </row>
    <row r="3676" spans="1:11" s="18" customFormat="1" ht="14.25" x14ac:dyDescent="0.2">
      <c r="A3676" s="18" t="str">
        <f t="shared" si="271"/>
        <v>Eintrag 3675</v>
      </c>
      <c r="B3676" s="18">
        <v>100</v>
      </c>
      <c r="C3676" s="19">
        <v>100</v>
      </c>
      <c r="D3676" s="20">
        <v>10</v>
      </c>
      <c r="E3676" s="20">
        <v>10</v>
      </c>
      <c r="F3676" s="20">
        <v>10</v>
      </c>
      <c r="G3676" s="19">
        <f t="shared" si="270"/>
        <v>172</v>
      </c>
      <c r="H3676" s="22">
        <f t="shared" si="268"/>
        <v>3675</v>
      </c>
      <c r="I3676" s="21">
        <f t="shared" ca="1" si="267"/>
        <v>0</v>
      </c>
      <c r="J3676" s="21" t="str">
        <f ca="1">IF(I3676=0,"",COUNTIF($I$2:I3676,"&gt;0"))</f>
        <v/>
      </c>
      <c r="K3676" s="21" t="str">
        <f t="shared" ca="1" si="269"/>
        <v/>
      </c>
    </row>
    <row r="3677" spans="1:11" s="18" customFormat="1" ht="14.25" x14ac:dyDescent="0.2">
      <c r="A3677" s="18" t="str">
        <f t="shared" si="271"/>
        <v>Eintrag 3676</v>
      </c>
      <c r="B3677" s="18">
        <v>100</v>
      </c>
      <c r="C3677" s="19">
        <v>100</v>
      </c>
      <c r="D3677" s="20">
        <v>10</v>
      </c>
      <c r="E3677" s="20">
        <v>10</v>
      </c>
      <c r="F3677" s="20">
        <v>10</v>
      </c>
      <c r="G3677" s="19">
        <f t="shared" si="270"/>
        <v>172</v>
      </c>
      <c r="H3677" s="22">
        <f t="shared" si="268"/>
        <v>3676</v>
      </c>
      <c r="I3677" s="21">
        <f t="shared" ca="1" si="267"/>
        <v>0</v>
      </c>
      <c r="J3677" s="21" t="str">
        <f ca="1">IF(I3677=0,"",COUNTIF($I$2:I3677,"&gt;0"))</f>
        <v/>
      </c>
      <c r="K3677" s="21" t="str">
        <f t="shared" ca="1" si="269"/>
        <v/>
      </c>
    </row>
    <row r="3678" spans="1:11" s="18" customFormat="1" ht="14.25" x14ac:dyDescent="0.2">
      <c r="A3678" s="18" t="str">
        <f t="shared" si="271"/>
        <v>Eintrag 3677</v>
      </c>
      <c r="B3678" s="18">
        <v>100</v>
      </c>
      <c r="C3678" s="19">
        <v>100</v>
      </c>
      <c r="D3678" s="20">
        <v>10</v>
      </c>
      <c r="E3678" s="20">
        <v>10</v>
      </c>
      <c r="F3678" s="20">
        <v>10</v>
      </c>
      <c r="G3678" s="19">
        <f t="shared" si="270"/>
        <v>172</v>
      </c>
      <c r="H3678" s="22">
        <f t="shared" si="268"/>
        <v>3677</v>
      </c>
      <c r="I3678" s="21">
        <f t="shared" ref="I3678:I3741" ca="1" si="272">IFERROR(SEARCH(INDIRECT(CELL("address")),A3678),0)</f>
        <v>0</v>
      </c>
      <c r="J3678" s="21" t="str">
        <f ca="1">IF(I3678=0,"",COUNTIF($I$2:I3678,"&gt;0"))</f>
        <v/>
      </c>
      <c r="K3678" s="21" t="str">
        <f t="shared" ca="1" si="269"/>
        <v/>
      </c>
    </row>
    <row r="3679" spans="1:11" s="18" customFormat="1" ht="14.25" x14ac:dyDescent="0.2">
      <c r="A3679" s="18" t="str">
        <f t="shared" si="271"/>
        <v>Eintrag 3678</v>
      </c>
      <c r="B3679" s="18">
        <v>100</v>
      </c>
      <c r="C3679" s="19">
        <v>100</v>
      </c>
      <c r="D3679" s="20">
        <v>10</v>
      </c>
      <c r="E3679" s="20">
        <v>10</v>
      </c>
      <c r="F3679" s="20">
        <v>10</v>
      </c>
      <c r="G3679" s="19">
        <f t="shared" si="270"/>
        <v>172</v>
      </c>
      <c r="H3679" s="22">
        <f t="shared" si="268"/>
        <v>3678</v>
      </c>
      <c r="I3679" s="21">
        <f t="shared" ca="1" si="272"/>
        <v>0</v>
      </c>
      <c r="J3679" s="21" t="str">
        <f ca="1">IF(I3679=0,"",COUNTIF($I$2:I3679,"&gt;0"))</f>
        <v/>
      </c>
      <c r="K3679" s="21" t="str">
        <f t="shared" ca="1" si="269"/>
        <v/>
      </c>
    </row>
    <row r="3680" spans="1:11" s="18" customFormat="1" ht="14.25" x14ac:dyDescent="0.2">
      <c r="A3680" s="18" t="str">
        <f t="shared" si="271"/>
        <v>Eintrag 3679</v>
      </c>
      <c r="B3680" s="18">
        <v>100</v>
      </c>
      <c r="C3680" s="19">
        <v>100</v>
      </c>
      <c r="D3680" s="20">
        <v>10</v>
      </c>
      <c r="E3680" s="20">
        <v>10</v>
      </c>
      <c r="F3680" s="20">
        <v>10</v>
      </c>
      <c r="G3680" s="19">
        <f t="shared" si="270"/>
        <v>172</v>
      </c>
      <c r="H3680" s="22">
        <f t="shared" si="268"/>
        <v>3679</v>
      </c>
      <c r="I3680" s="21">
        <f t="shared" ca="1" si="272"/>
        <v>0</v>
      </c>
      <c r="J3680" s="21" t="str">
        <f ca="1">IF(I3680=0,"",COUNTIF($I$2:I3680,"&gt;0"))</f>
        <v/>
      </c>
      <c r="K3680" s="21" t="str">
        <f t="shared" ca="1" si="269"/>
        <v/>
      </c>
    </row>
    <row r="3681" spans="1:11" s="18" customFormat="1" ht="14.25" x14ac:dyDescent="0.2">
      <c r="A3681" s="18" t="str">
        <f t="shared" si="271"/>
        <v>Eintrag 3680</v>
      </c>
      <c r="B3681" s="18">
        <v>100</v>
      </c>
      <c r="C3681" s="19">
        <v>100</v>
      </c>
      <c r="D3681" s="20">
        <v>10</v>
      </c>
      <c r="E3681" s="20">
        <v>10</v>
      </c>
      <c r="F3681" s="20">
        <v>10</v>
      </c>
      <c r="G3681" s="19">
        <f t="shared" si="270"/>
        <v>172</v>
      </c>
      <c r="H3681" s="22">
        <f t="shared" si="268"/>
        <v>3680</v>
      </c>
      <c r="I3681" s="21">
        <f t="shared" ca="1" si="272"/>
        <v>0</v>
      </c>
      <c r="J3681" s="21" t="str">
        <f ca="1">IF(I3681=0,"",COUNTIF($I$2:I3681,"&gt;0"))</f>
        <v/>
      </c>
      <c r="K3681" s="21" t="str">
        <f t="shared" ca="1" si="269"/>
        <v/>
      </c>
    </row>
    <row r="3682" spans="1:11" s="18" customFormat="1" ht="14.25" x14ac:dyDescent="0.2">
      <c r="A3682" s="18" t="str">
        <f t="shared" si="271"/>
        <v>Eintrag 3681</v>
      </c>
      <c r="B3682" s="18">
        <v>100</v>
      </c>
      <c r="C3682" s="19">
        <v>100</v>
      </c>
      <c r="D3682" s="20">
        <v>10</v>
      </c>
      <c r="E3682" s="20">
        <v>10</v>
      </c>
      <c r="F3682" s="20">
        <v>10</v>
      </c>
      <c r="G3682" s="19">
        <f t="shared" si="270"/>
        <v>172</v>
      </c>
      <c r="H3682" s="22">
        <f t="shared" si="268"/>
        <v>3681</v>
      </c>
      <c r="I3682" s="21">
        <f t="shared" ca="1" si="272"/>
        <v>0</v>
      </c>
      <c r="J3682" s="21" t="str">
        <f ca="1">IF(I3682=0,"",COUNTIF($I$2:I3682,"&gt;0"))</f>
        <v/>
      </c>
      <c r="K3682" s="21" t="str">
        <f t="shared" ca="1" si="269"/>
        <v/>
      </c>
    </row>
    <row r="3683" spans="1:11" s="18" customFormat="1" ht="14.25" x14ac:dyDescent="0.2">
      <c r="A3683" s="18" t="str">
        <f t="shared" si="271"/>
        <v>Eintrag 3682</v>
      </c>
      <c r="B3683" s="18">
        <v>100</v>
      </c>
      <c r="C3683" s="19">
        <v>100</v>
      </c>
      <c r="D3683" s="20">
        <v>10</v>
      </c>
      <c r="E3683" s="20">
        <v>10</v>
      </c>
      <c r="F3683" s="20">
        <v>10</v>
      </c>
      <c r="G3683" s="19">
        <f t="shared" si="270"/>
        <v>172</v>
      </c>
      <c r="H3683" s="22">
        <f t="shared" si="268"/>
        <v>3682</v>
      </c>
      <c r="I3683" s="21">
        <f t="shared" ca="1" si="272"/>
        <v>0</v>
      </c>
      <c r="J3683" s="21" t="str">
        <f ca="1">IF(I3683=0,"",COUNTIF($I$2:I3683,"&gt;0"))</f>
        <v/>
      </c>
      <c r="K3683" s="21" t="str">
        <f t="shared" ca="1" si="269"/>
        <v/>
      </c>
    </row>
    <row r="3684" spans="1:11" s="18" customFormat="1" ht="14.25" x14ac:dyDescent="0.2">
      <c r="A3684" s="18" t="str">
        <f t="shared" si="271"/>
        <v>Eintrag 3683</v>
      </c>
      <c r="B3684" s="18">
        <v>100</v>
      </c>
      <c r="C3684" s="19">
        <v>100</v>
      </c>
      <c r="D3684" s="20">
        <v>10</v>
      </c>
      <c r="E3684" s="20">
        <v>10</v>
      </c>
      <c r="F3684" s="20">
        <v>10</v>
      </c>
      <c r="G3684" s="19">
        <f t="shared" si="270"/>
        <v>172</v>
      </c>
      <c r="H3684" s="22">
        <f t="shared" si="268"/>
        <v>3683</v>
      </c>
      <c r="I3684" s="21">
        <f t="shared" ca="1" si="272"/>
        <v>0</v>
      </c>
      <c r="J3684" s="21" t="str">
        <f ca="1">IF(I3684=0,"",COUNTIF($I$2:I3684,"&gt;0"))</f>
        <v/>
      </c>
      <c r="K3684" s="21" t="str">
        <f t="shared" ca="1" si="269"/>
        <v/>
      </c>
    </row>
    <row r="3685" spans="1:11" s="18" customFormat="1" ht="14.25" x14ac:dyDescent="0.2">
      <c r="A3685" s="18" t="str">
        <f t="shared" si="271"/>
        <v>Eintrag 3684</v>
      </c>
      <c r="B3685" s="18">
        <v>100</v>
      </c>
      <c r="C3685" s="19">
        <v>100</v>
      </c>
      <c r="D3685" s="20">
        <v>10</v>
      </c>
      <c r="E3685" s="20">
        <v>10</v>
      </c>
      <c r="F3685" s="20">
        <v>10</v>
      </c>
      <c r="G3685" s="19">
        <f t="shared" si="270"/>
        <v>172</v>
      </c>
      <c r="H3685" s="22">
        <f t="shared" ref="H3685:H3748" si="273">H3684+1</f>
        <v>3684</v>
      </c>
      <c r="I3685" s="21">
        <f t="shared" ca="1" si="272"/>
        <v>0</v>
      </c>
      <c r="J3685" s="21" t="str">
        <f ca="1">IF(I3685=0,"",COUNTIF($I$2:I3685,"&gt;0"))</f>
        <v/>
      </c>
      <c r="K3685" s="21" t="str">
        <f t="shared" ca="1" si="269"/>
        <v/>
      </c>
    </row>
    <row r="3686" spans="1:11" s="18" customFormat="1" ht="14.25" x14ac:dyDescent="0.2">
      <c r="A3686" s="18" t="str">
        <f t="shared" si="271"/>
        <v>Eintrag 3685</v>
      </c>
      <c r="B3686" s="18">
        <v>100</v>
      </c>
      <c r="C3686" s="19">
        <v>100</v>
      </c>
      <c r="D3686" s="20">
        <v>10</v>
      </c>
      <c r="E3686" s="20">
        <v>10</v>
      </c>
      <c r="F3686" s="20">
        <v>10</v>
      </c>
      <c r="G3686" s="19">
        <f t="shared" si="270"/>
        <v>172</v>
      </c>
      <c r="H3686" s="22">
        <f t="shared" si="273"/>
        <v>3685</v>
      </c>
      <c r="I3686" s="21">
        <f t="shared" ca="1" si="272"/>
        <v>0</v>
      </c>
      <c r="J3686" s="21" t="str">
        <f ca="1">IF(I3686=0,"",COUNTIF($I$2:I3686,"&gt;0"))</f>
        <v/>
      </c>
      <c r="K3686" s="21" t="str">
        <f t="shared" ca="1" si="269"/>
        <v/>
      </c>
    </row>
    <row r="3687" spans="1:11" s="18" customFormat="1" ht="14.25" x14ac:dyDescent="0.2">
      <c r="A3687" s="18" t="str">
        <f t="shared" si="271"/>
        <v>Eintrag 3686</v>
      </c>
      <c r="B3687" s="18">
        <v>100</v>
      </c>
      <c r="C3687" s="19">
        <v>100</v>
      </c>
      <c r="D3687" s="20">
        <v>10</v>
      </c>
      <c r="E3687" s="20">
        <v>10</v>
      </c>
      <c r="F3687" s="20">
        <v>10</v>
      </c>
      <c r="G3687" s="19">
        <f t="shared" si="270"/>
        <v>172</v>
      </c>
      <c r="H3687" s="22">
        <f t="shared" si="273"/>
        <v>3686</v>
      </c>
      <c r="I3687" s="21">
        <f t="shared" ca="1" si="272"/>
        <v>0</v>
      </c>
      <c r="J3687" s="21" t="str">
        <f ca="1">IF(I3687=0,"",COUNTIF($I$2:I3687,"&gt;0"))</f>
        <v/>
      </c>
      <c r="K3687" s="21" t="str">
        <f t="shared" ca="1" si="269"/>
        <v/>
      </c>
    </row>
    <row r="3688" spans="1:11" s="18" customFormat="1" ht="14.25" x14ac:dyDescent="0.2">
      <c r="A3688" s="18" t="str">
        <f t="shared" si="271"/>
        <v>Eintrag 3687</v>
      </c>
      <c r="B3688" s="18">
        <v>100</v>
      </c>
      <c r="C3688" s="19">
        <v>100</v>
      </c>
      <c r="D3688" s="20">
        <v>10</v>
      </c>
      <c r="E3688" s="20">
        <v>10</v>
      </c>
      <c r="F3688" s="20">
        <v>10</v>
      </c>
      <c r="G3688" s="19">
        <f t="shared" si="270"/>
        <v>172</v>
      </c>
      <c r="H3688" s="22">
        <f t="shared" si="273"/>
        <v>3687</v>
      </c>
      <c r="I3688" s="21">
        <f t="shared" ca="1" si="272"/>
        <v>0</v>
      </c>
      <c r="J3688" s="21" t="str">
        <f ca="1">IF(I3688=0,"",COUNTIF($I$2:I3688,"&gt;0"))</f>
        <v/>
      </c>
      <c r="K3688" s="21" t="str">
        <f t="shared" ca="1" si="269"/>
        <v/>
      </c>
    </row>
    <row r="3689" spans="1:11" s="18" customFormat="1" ht="14.25" x14ac:dyDescent="0.2">
      <c r="A3689" s="18" t="str">
        <f t="shared" si="271"/>
        <v>Eintrag 3688</v>
      </c>
      <c r="B3689" s="18">
        <v>100</v>
      </c>
      <c r="C3689" s="19">
        <v>100</v>
      </c>
      <c r="D3689" s="20">
        <v>10</v>
      </c>
      <c r="E3689" s="20">
        <v>10</v>
      </c>
      <c r="F3689" s="20">
        <v>10</v>
      </c>
      <c r="G3689" s="19">
        <f t="shared" si="270"/>
        <v>172</v>
      </c>
      <c r="H3689" s="22">
        <f t="shared" si="273"/>
        <v>3688</v>
      </c>
      <c r="I3689" s="21">
        <f t="shared" ca="1" si="272"/>
        <v>0</v>
      </c>
      <c r="J3689" s="21" t="str">
        <f ca="1">IF(I3689=0,"",COUNTIF($I$2:I3689,"&gt;0"))</f>
        <v/>
      </c>
      <c r="K3689" s="21" t="str">
        <f t="shared" ca="1" si="269"/>
        <v/>
      </c>
    </row>
    <row r="3690" spans="1:11" s="18" customFormat="1" ht="14.25" x14ac:dyDescent="0.2">
      <c r="A3690" s="18" t="str">
        <f t="shared" si="271"/>
        <v>Eintrag 3689</v>
      </c>
      <c r="B3690" s="18">
        <v>100</v>
      </c>
      <c r="C3690" s="19">
        <v>100</v>
      </c>
      <c r="D3690" s="20">
        <v>10</v>
      </c>
      <c r="E3690" s="20">
        <v>10</v>
      </c>
      <c r="F3690" s="20">
        <v>10</v>
      </c>
      <c r="G3690" s="19">
        <f t="shared" si="270"/>
        <v>172</v>
      </c>
      <c r="H3690" s="22">
        <f t="shared" si="273"/>
        <v>3689</v>
      </c>
      <c r="I3690" s="21">
        <f t="shared" ca="1" si="272"/>
        <v>0</v>
      </c>
      <c r="J3690" s="21" t="str">
        <f ca="1">IF(I3690=0,"",COUNTIF($I$2:I3690,"&gt;0"))</f>
        <v/>
      </c>
      <c r="K3690" s="21" t="str">
        <f t="shared" ca="1" si="269"/>
        <v/>
      </c>
    </row>
    <row r="3691" spans="1:11" s="18" customFormat="1" ht="14.25" x14ac:dyDescent="0.2">
      <c r="A3691" s="18" t="str">
        <f t="shared" si="271"/>
        <v>Eintrag 3690</v>
      </c>
      <c r="B3691" s="18">
        <v>100</v>
      </c>
      <c r="C3691" s="19">
        <v>100</v>
      </c>
      <c r="D3691" s="20">
        <v>10</v>
      </c>
      <c r="E3691" s="20">
        <v>10</v>
      </c>
      <c r="F3691" s="20">
        <v>10</v>
      </c>
      <c r="G3691" s="19">
        <f t="shared" si="270"/>
        <v>172</v>
      </c>
      <c r="H3691" s="22">
        <f t="shared" si="273"/>
        <v>3690</v>
      </c>
      <c r="I3691" s="21">
        <f t="shared" ca="1" si="272"/>
        <v>0</v>
      </c>
      <c r="J3691" s="21" t="str">
        <f ca="1">IF(I3691=0,"",COUNTIF($I$2:I3691,"&gt;0"))</f>
        <v/>
      </c>
      <c r="K3691" s="21" t="str">
        <f t="shared" ca="1" si="269"/>
        <v/>
      </c>
    </row>
    <row r="3692" spans="1:11" s="18" customFormat="1" ht="14.25" x14ac:dyDescent="0.2">
      <c r="A3692" s="18" t="str">
        <f t="shared" si="271"/>
        <v>Eintrag 3691</v>
      </c>
      <c r="B3692" s="18">
        <v>100</v>
      </c>
      <c r="C3692" s="19">
        <v>100</v>
      </c>
      <c r="D3692" s="20">
        <v>10</v>
      </c>
      <c r="E3692" s="20">
        <v>10</v>
      </c>
      <c r="F3692" s="20">
        <v>10</v>
      </c>
      <c r="G3692" s="19">
        <f t="shared" si="270"/>
        <v>172</v>
      </c>
      <c r="H3692" s="22">
        <f t="shared" si="273"/>
        <v>3691</v>
      </c>
      <c r="I3692" s="21">
        <f t="shared" ca="1" si="272"/>
        <v>0</v>
      </c>
      <c r="J3692" s="21" t="str">
        <f ca="1">IF(I3692=0,"",COUNTIF($I$2:I3692,"&gt;0"))</f>
        <v/>
      </c>
      <c r="K3692" s="21" t="str">
        <f t="shared" ca="1" si="269"/>
        <v/>
      </c>
    </row>
    <row r="3693" spans="1:11" s="18" customFormat="1" ht="14.25" x14ac:dyDescent="0.2">
      <c r="A3693" s="18" t="str">
        <f t="shared" si="271"/>
        <v>Eintrag 3692</v>
      </c>
      <c r="B3693" s="18">
        <v>100</v>
      </c>
      <c r="C3693" s="19">
        <v>100</v>
      </c>
      <c r="D3693" s="20">
        <v>10</v>
      </c>
      <c r="E3693" s="20">
        <v>10</v>
      </c>
      <c r="F3693" s="20">
        <v>10</v>
      </c>
      <c r="G3693" s="19">
        <f t="shared" si="270"/>
        <v>172</v>
      </c>
      <c r="H3693" s="22">
        <f t="shared" si="273"/>
        <v>3692</v>
      </c>
      <c r="I3693" s="21">
        <f t="shared" ca="1" si="272"/>
        <v>0</v>
      </c>
      <c r="J3693" s="21" t="str">
        <f ca="1">IF(I3693=0,"",COUNTIF($I$2:I3693,"&gt;0"))</f>
        <v/>
      </c>
      <c r="K3693" s="21" t="str">
        <f t="shared" ca="1" si="269"/>
        <v/>
      </c>
    </row>
    <row r="3694" spans="1:11" s="18" customFormat="1" ht="14.25" x14ac:dyDescent="0.2">
      <c r="A3694" s="18" t="str">
        <f t="shared" si="271"/>
        <v>Eintrag 3693</v>
      </c>
      <c r="B3694" s="18">
        <v>100</v>
      </c>
      <c r="C3694" s="19">
        <v>100</v>
      </c>
      <c r="D3694" s="20">
        <v>10</v>
      </c>
      <c r="E3694" s="20">
        <v>10</v>
      </c>
      <c r="F3694" s="20">
        <v>10</v>
      </c>
      <c r="G3694" s="19">
        <f t="shared" si="270"/>
        <v>172</v>
      </c>
      <c r="H3694" s="22">
        <f t="shared" si="273"/>
        <v>3693</v>
      </c>
      <c r="I3694" s="21">
        <f t="shared" ca="1" si="272"/>
        <v>0</v>
      </c>
      <c r="J3694" s="21" t="str">
        <f ca="1">IF(I3694=0,"",COUNTIF($I$2:I3694,"&gt;0"))</f>
        <v/>
      </c>
      <c r="K3694" s="21" t="str">
        <f t="shared" ca="1" si="269"/>
        <v/>
      </c>
    </row>
    <row r="3695" spans="1:11" s="18" customFormat="1" ht="14.25" x14ac:dyDescent="0.2">
      <c r="A3695" s="18" t="str">
        <f t="shared" si="271"/>
        <v>Eintrag 3694</v>
      </c>
      <c r="B3695" s="18">
        <v>100</v>
      </c>
      <c r="C3695" s="19">
        <v>100</v>
      </c>
      <c r="D3695" s="20">
        <v>10</v>
      </c>
      <c r="E3695" s="20">
        <v>10</v>
      </c>
      <c r="F3695" s="20">
        <v>10</v>
      </c>
      <c r="G3695" s="19">
        <f t="shared" si="270"/>
        <v>172</v>
      </c>
      <c r="H3695" s="22">
        <f t="shared" si="273"/>
        <v>3694</v>
      </c>
      <c r="I3695" s="21">
        <f t="shared" ca="1" si="272"/>
        <v>0</v>
      </c>
      <c r="J3695" s="21" t="str">
        <f ca="1">IF(I3695=0,"",COUNTIF($I$2:I3695,"&gt;0"))</f>
        <v/>
      </c>
      <c r="K3695" s="21" t="str">
        <f t="shared" ca="1" si="269"/>
        <v/>
      </c>
    </row>
    <row r="3696" spans="1:11" s="18" customFormat="1" ht="14.25" x14ac:dyDescent="0.2">
      <c r="A3696" s="18" t="str">
        <f t="shared" si="271"/>
        <v>Eintrag 3695</v>
      </c>
      <c r="B3696" s="18">
        <v>100</v>
      </c>
      <c r="C3696" s="19">
        <v>100</v>
      </c>
      <c r="D3696" s="20">
        <v>10</v>
      </c>
      <c r="E3696" s="20">
        <v>10</v>
      </c>
      <c r="F3696" s="20">
        <v>10</v>
      </c>
      <c r="G3696" s="19">
        <f t="shared" si="270"/>
        <v>172</v>
      </c>
      <c r="H3696" s="22">
        <f t="shared" si="273"/>
        <v>3695</v>
      </c>
      <c r="I3696" s="21">
        <f t="shared" ca="1" si="272"/>
        <v>0</v>
      </c>
      <c r="J3696" s="21" t="str">
        <f ca="1">IF(I3696=0,"",COUNTIF($I$2:I3696,"&gt;0"))</f>
        <v/>
      </c>
      <c r="K3696" s="21" t="str">
        <f t="shared" ca="1" si="269"/>
        <v/>
      </c>
    </row>
    <row r="3697" spans="1:11" s="18" customFormat="1" ht="14.25" x14ac:dyDescent="0.2">
      <c r="A3697" s="18" t="str">
        <f t="shared" si="271"/>
        <v>Eintrag 3696</v>
      </c>
      <c r="B3697" s="18">
        <v>100</v>
      </c>
      <c r="C3697" s="19">
        <v>100</v>
      </c>
      <c r="D3697" s="20">
        <v>10</v>
      </c>
      <c r="E3697" s="20">
        <v>10</v>
      </c>
      <c r="F3697" s="20">
        <v>10</v>
      </c>
      <c r="G3697" s="19">
        <f t="shared" si="270"/>
        <v>172</v>
      </c>
      <c r="H3697" s="22">
        <f t="shared" si="273"/>
        <v>3696</v>
      </c>
      <c r="I3697" s="21">
        <f t="shared" ca="1" si="272"/>
        <v>0</v>
      </c>
      <c r="J3697" s="21" t="str">
        <f ca="1">IF(I3697=0,"",COUNTIF($I$2:I3697,"&gt;0"))</f>
        <v/>
      </c>
      <c r="K3697" s="21" t="str">
        <f t="shared" ca="1" si="269"/>
        <v/>
      </c>
    </row>
    <row r="3698" spans="1:11" s="18" customFormat="1" ht="14.25" x14ac:dyDescent="0.2">
      <c r="A3698" s="18" t="str">
        <f t="shared" si="271"/>
        <v>Eintrag 3697</v>
      </c>
      <c r="B3698" s="18">
        <v>100</v>
      </c>
      <c r="C3698" s="19">
        <v>100</v>
      </c>
      <c r="D3698" s="20">
        <v>10</v>
      </c>
      <c r="E3698" s="20">
        <v>10</v>
      </c>
      <c r="F3698" s="20">
        <v>10</v>
      </c>
      <c r="G3698" s="19">
        <f t="shared" si="270"/>
        <v>172</v>
      </c>
      <c r="H3698" s="22">
        <f t="shared" si="273"/>
        <v>3697</v>
      </c>
      <c r="I3698" s="21">
        <f t="shared" ca="1" si="272"/>
        <v>0</v>
      </c>
      <c r="J3698" s="21" t="str">
        <f ca="1">IF(I3698=0,"",COUNTIF($I$2:I3698,"&gt;0"))</f>
        <v/>
      </c>
      <c r="K3698" s="21" t="str">
        <f t="shared" ca="1" si="269"/>
        <v/>
      </c>
    </row>
    <row r="3699" spans="1:11" s="18" customFormat="1" ht="14.25" x14ac:dyDescent="0.2">
      <c r="A3699" s="18" t="str">
        <f t="shared" si="271"/>
        <v>Eintrag 3698</v>
      </c>
      <c r="B3699" s="18">
        <v>100</v>
      </c>
      <c r="C3699" s="19">
        <v>100</v>
      </c>
      <c r="D3699" s="20">
        <v>10</v>
      </c>
      <c r="E3699" s="20">
        <v>10</v>
      </c>
      <c r="F3699" s="20">
        <v>10</v>
      </c>
      <c r="G3699" s="19">
        <f t="shared" si="270"/>
        <v>172</v>
      </c>
      <c r="H3699" s="22">
        <f t="shared" si="273"/>
        <v>3698</v>
      </c>
      <c r="I3699" s="21">
        <f t="shared" ca="1" si="272"/>
        <v>0</v>
      </c>
      <c r="J3699" s="21" t="str">
        <f ca="1">IF(I3699=0,"",COUNTIF($I$2:I3699,"&gt;0"))</f>
        <v/>
      </c>
      <c r="K3699" s="21" t="str">
        <f t="shared" ca="1" si="269"/>
        <v/>
      </c>
    </row>
    <row r="3700" spans="1:11" s="18" customFormat="1" ht="14.25" x14ac:dyDescent="0.2">
      <c r="A3700" s="18" t="str">
        <f t="shared" si="271"/>
        <v>Eintrag 3699</v>
      </c>
      <c r="B3700" s="18">
        <v>100</v>
      </c>
      <c r="C3700" s="19">
        <v>100</v>
      </c>
      <c r="D3700" s="20">
        <v>10</v>
      </c>
      <c r="E3700" s="20">
        <v>10</v>
      </c>
      <c r="F3700" s="20">
        <v>10</v>
      </c>
      <c r="G3700" s="19">
        <f t="shared" si="270"/>
        <v>172</v>
      </c>
      <c r="H3700" s="22">
        <f t="shared" si="273"/>
        <v>3699</v>
      </c>
      <c r="I3700" s="21">
        <f t="shared" ca="1" si="272"/>
        <v>0</v>
      </c>
      <c r="J3700" s="21" t="str">
        <f ca="1">IF(I3700=0,"",COUNTIF($I$2:I3700,"&gt;0"))</f>
        <v/>
      </c>
      <c r="K3700" s="21" t="str">
        <f t="shared" ca="1" si="269"/>
        <v/>
      </c>
    </row>
    <row r="3701" spans="1:11" s="18" customFormat="1" ht="14.25" x14ac:dyDescent="0.2">
      <c r="A3701" s="18" t="str">
        <f t="shared" si="271"/>
        <v>Eintrag 3700</v>
      </c>
      <c r="B3701" s="18">
        <v>100</v>
      </c>
      <c r="C3701" s="19">
        <v>100</v>
      </c>
      <c r="D3701" s="20">
        <v>10</v>
      </c>
      <c r="E3701" s="20">
        <v>10</v>
      </c>
      <c r="F3701" s="20">
        <v>10</v>
      </c>
      <c r="G3701" s="19">
        <f t="shared" si="270"/>
        <v>172</v>
      </c>
      <c r="H3701" s="22">
        <f t="shared" si="273"/>
        <v>3700</v>
      </c>
      <c r="I3701" s="21">
        <f t="shared" ca="1" si="272"/>
        <v>0</v>
      </c>
      <c r="J3701" s="21" t="str">
        <f ca="1">IF(I3701=0,"",COUNTIF($I$2:I3701,"&gt;0"))</f>
        <v/>
      </c>
      <c r="K3701" s="21" t="str">
        <f t="shared" ca="1" si="269"/>
        <v/>
      </c>
    </row>
    <row r="3702" spans="1:11" s="18" customFormat="1" ht="14.25" x14ac:dyDescent="0.2">
      <c r="A3702" s="18" t="str">
        <f t="shared" si="271"/>
        <v>Eintrag 3701</v>
      </c>
      <c r="B3702" s="18">
        <v>100</v>
      </c>
      <c r="C3702" s="19">
        <v>100</v>
      </c>
      <c r="D3702" s="20">
        <v>10</v>
      </c>
      <c r="E3702" s="20">
        <v>10</v>
      </c>
      <c r="F3702" s="20">
        <v>10</v>
      </c>
      <c r="G3702" s="19">
        <f t="shared" si="270"/>
        <v>172</v>
      </c>
      <c r="H3702" s="22">
        <f t="shared" si="273"/>
        <v>3701</v>
      </c>
      <c r="I3702" s="21">
        <f t="shared" ca="1" si="272"/>
        <v>0</v>
      </c>
      <c r="J3702" s="21" t="str">
        <f ca="1">IF(I3702=0,"",COUNTIF($I$2:I3702,"&gt;0"))</f>
        <v/>
      </c>
      <c r="K3702" s="21" t="str">
        <f t="shared" ca="1" si="269"/>
        <v/>
      </c>
    </row>
    <row r="3703" spans="1:11" s="18" customFormat="1" ht="14.25" x14ac:dyDescent="0.2">
      <c r="A3703" s="18" t="str">
        <f t="shared" si="271"/>
        <v>Eintrag 3702</v>
      </c>
      <c r="B3703" s="18">
        <v>100</v>
      </c>
      <c r="C3703" s="19">
        <v>100</v>
      </c>
      <c r="D3703" s="20">
        <v>10</v>
      </c>
      <c r="E3703" s="20">
        <v>10</v>
      </c>
      <c r="F3703" s="20">
        <v>10</v>
      </c>
      <c r="G3703" s="19">
        <f t="shared" si="270"/>
        <v>172</v>
      </c>
      <c r="H3703" s="22">
        <f t="shared" si="273"/>
        <v>3702</v>
      </c>
      <c r="I3703" s="21">
        <f t="shared" ca="1" si="272"/>
        <v>0</v>
      </c>
      <c r="J3703" s="21" t="str">
        <f ca="1">IF(I3703=0,"",COUNTIF($I$2:I3703,"&gt;0"))</f>
        <v/>
      </c>
      <c r="K3703" s="21" t="str">
        <f t="shared" ca="1" si="269"/>
        <v/>
      </c>
    </row>
    <row r="3704" spans="1:11" s="18" customFormat="1" ht="14.25" x14ac:dyDescent="0.2">
      <c r="A3704" s="18" t="str">
        <f t="shared" si="271"/>
        <v>Eintrag 3703</v>
      </c>
      <c r="B3704" s="18">
        <v>100</v>
      </c>
      <c r="C3704" s="19">
        <v>100</v>
      </c>
      <c r="D3704" s="20">
        <v>10</v>
      </c>
      <c r="E3704" s="20">
        <v>10</v>
      </c>
      <c r="F3704" s="20">
        <v>10</v>
      </c>
      <c r="G3704" s="19">
        <f t="shared" si="270"/>
        <v>172</v>
      </c>
      <c r="H3704" s="22">
        <f t="shared" si="273"/>
        <v>3703</v>
      </c>
      <c r="I3704" s="21">
        <f t="shared" ca="1" si="272"/>
        <v>0</v>
      </c>
      <c r="J3704" s="21" t="str">
        <f ca="1">IF(I3704=0,"",COUNTIF($I$2:I3704,"&gt;0"))</f>
        <v/>
      </c>
      <c r="K3704" s="21" t="str">
        <f t="shared" ca="1" si="269"/>
        <v/>
      </c>
    </row>
    <row r="3705" spans="1:11" s="18" customFormat="1" ht="14.25" x14ac:dyDescent="0.2">
      <c r="A3705" s="18" t="str">
        <f t="shared" si="271"/>
        <v>Eintrag 3704</v>
      </c>
      <c r="B3705" s="18">
        <v>100</v>
      </c>
      <c r="C3705" s="19">
        <v>100</v>
      </c>
      <c r="D3705" s="20">
        <v>10</v>
      </c>
      <c r="E3705" s="20">
        <v>10</v>
      </c>
      <c r="F3705" s="20">
        <v>10</v>
      </c>
      <c r="G3705" s="19">
        <f t="shared" si="270"/>
        <v>172</v>
      </c>
      <c r="H3705" s="22">
        <f t="shared" si="273"/>
        <v>3704</v>
      </c>
      <c r="I3705" s="21">
        <f t="shared" ca="1" si="272"/>
        <v>0</v>
      </c>
      <c r="J3705" s="21" t="str">
        <f ca="1">IF(I3705=0,"",COUNTIF($I$2:I3705,"&gt;0"))</f>
        <v/>
      </c>
      <c r="K3705" s="21" t="str">
        <f t="shared" ca="1" si="269"/>
        <v/>
      </c>
    </row>
    <row r="3706" spans="1:11" s="18" customFormat="1" ht="14.25" x14ac:dyDescent="0.2">
      <c r="A3706" s="18" t="str">
        <f t="shared" si="271"/>
        <v>Eintrag 3705</v>
      </c>
      <c r="B3706" s="18">
        <v>100</v>
      </c>
      <c r="C3706" s="19">
        <v>100</v>
      </c>
      <c r="D3706" s="20">
        <v>10</v>
      </c>
      <c r="E3706" s="20">
        <v>10</v>
      </c>
      <c r="F3706" s="20">
        <v>10</v>
      </c>
      <c r="G3706" s="19">
        <f t="shared" si="270"/>
        <v>172</v>
      </c>
      <c r="H3706" s="22">
        <f t="shared" si="273"/>
        <v>3705</v>
      </c>
      <c r="I3706" s="21">
        <f t="shared" ca="1" si="272"/>
        <v>0</v>
      </c>
      <c r="J3706" s="21" t="str">
        <f ca="1">IF(I3706=0,"",COUNTIF($I$2:I3706,"&gt;0"))</f>
        <v/>
      </c>
      <c r="K3706" s="21" t="str">
        <f t="shared" ca="1" si="269"/>
        <v/>
      </c>
    </row>
    <row r="3707" spans="1:11" s="18" customFormat="1" ht="14.25" x14ac:dyDescent="0.2">
      <c r="A3707" s="18" t="str">
        <f t="shared" si="271"/>
        <v>Eintrag 3706</v>
      </c>
      <c r="B3707" s="18">
        <v>100</v>
      </c>
      <c r="C3707" s="19">
        <v>100</v>
      </c>
      <c r="D3707" s="20">
        <v>10</v>
      </c>
      <c r="E3707" s="20">
        <v>10</v>
      </c>
      <c r="F3707" s="20">
        <v>10</v>
      </c>
      <c r="G3707" s="19">
        <f t="shared" si="270"/>
        <v>172</v>
      </c>
      <c r="H3707" s="22">
        <f t="shared" si="273"/>
        <v>3706</v>
      </c>
      <c r="I3707" s="21">
        <f t="shared" ca="1" si="272"/>
        <v>0</v>
      </c>
      <c r="J3707" s="21" t="str">
        <f ca="1">IF(I3707=0,"",COUNTIF($I$2:I3707,"&gt;0"))</f>
        <v/>
      </c>
      <c r="K3707" s="21" t="str">
        <f t="shared" ca="1" si="269"/>
        <v/>
      </c>
    </row>
    <row r="3708" spans="1:11" s="18" customFormat="1" ht="14.25" x14ac:dyDescent="0.2">
      <c r="A3708" s="18" t="str">
        <f t="shared" si="271"/>
        <v>Eintrag 3707</v>
      </c>
      <c r="B3708" s="18">
        <v>100</v>
      </c>
      <c r="C3708" s="19">
        <v>100</v>
      </c>
      <c r="D3708" s="20">
        <v>10</v>
      </c>
      <c r="E3708" s="20">
        <v>10</v>
      </c>
      <c r="F3708" s="20">
        <v>10</v>
      </c>
      <c r="G3708" s="19">
        <f t="shared" si="270"/>
        <v>172</v>
      </c>
      <c r="H3708" s="22">
        <f t="shared" si="273"/>
        <v>3707</v>
      </c>
      <c r="I3708" s="21">
        <f t="shared" ca="1" si="272"/>
        <v>0</v>
      </c>
      <c r="J3708" s="21" t="str">
        <f ca="1">IF(I3708=0,"",COUNTIF($I$2:I3708,"&gt;0"))</f>
        <v/>
      </c>
      <c r="K3708" s="21" t="str">
        <f t="shared" ca="1" si="269"/>
        <v/>
      </c>
    </row>
    <row r="3709" spans="1:11" s="18" customFormat="1" ht="14.25" x14ac:dyDescent="0.2">
      <c r="A3709" s="18" t="str">
        <f t="shared" si="271"/>
        <v>Eintrag 3708</v>
      </c>
      <c r="B3709" s="18">
        <v>100</v>
      </c>
      <c r="C3709" s="19">
        <v>100</v>
      </c>
      <c r="D3709" s="20">
        <v>10</v>
      </c>
      <c r="E3709" s="20">
        <v>10</v>
      </c>
      <c r="F3709" s="20">
        <v>10</v>
      </c>
      <c r="G3709" s="19">
        <f t="shared" si="270"/>
        <v>172</v>
      </c>
      <c r="H3709" s="22">
        <f t="shared" si="273"/>
        <v>3708</v>
      </c>
      <c r="I3709" s="21">
        <f t="shared" ca="1" si="272"/>
        <v>0</v>
      </c>
      <c r="J3709" s="21" t="str">
        <f ca="1">IF(I3709=0,"",COUNTIF($I$2:I3709,"&gt;0"))</f>
        <v/>
      </c>
      <c r="K3709" s="21" t="str">
        <f t="shared" ca="1" si="269"/>
        <v/>
      </c>
    </row>
    <row r="3710" spans="1:11" s="18" customFormat="1" ht="14.25" x14ac:dyDescent="0.2">
      <c r="A3710" s="18" t="str">
        <f t="shared" si="271"/>
        <v>Eintrag 3709</v>
      </c>
      <c r="B3710" s="18">
        <v>100</v>
      </c>
      <c r="C3710" s="19">
        <v>100</v>
      </c>
      <c r="D3710" s="20">
        <v>10</v>
      </c>
      <c r="E3710" s="20">
        <v>10</v>
      </c>
      <c r="F3710" s="20">
        <v>10</v>
      </c>
      <c r="G3710" s="19">
        <f t="shared" si="270"/>
        <v>172</v>
      </c>
      <c r="H3710" s="22">
        <f t="shared" si="273"/>
        <v>3709</v>
      </c>
      <c r="I3710" s="21">
        <f t="shared" ca="1" si="272"/>
        <v>0</v>
      </c>
      <c r="J3710" s="21" t="str">
        <f ca="1">IF(I3710=0,"",COUNTIF($I$2:I3710,"&gt;0"))</f>
        <v/>
      </c>
      <c r="K3710" s="21" t="str">
        <f t="shared" ca="1" si="269"/>
        <v/>
      </c>
    </row>
    <row r="3711" spans="1:11" s="18" customFormat="1" ht="14.25" x14ac:dyDescent="0.2">
      <c r="A3711" s="18" t="str">
        <f t="shared" si="271"/>
        <v>Eintrag 3710</v>
      </c>
      <c r="B3711" s="18">
        <v>100</v>
      </c>
      <c r="C3711" s="19">
        <v>100</v>
      </c>
      <c r="D3711" s="20">
        <v>10</v>
      </c>
      <c r="E3711" s="20">
        <v>10</v>
      </c>
      <c r="F3711" s="20">
        <v>10</v>
      </c>
      <c r="G3711" s="19">
        <f t="shared" si="270"/>
        <v>172</v>
      </c>
      <c r="H3711" s="22">
        <f t="shared" si="273"/>
        <v>3710</v>
      </c>
      <c r="I3711" s="21">
        <f t="shared" ca="1" si="272"/>
        <v>0</v>
      </c>
      <c r="J3711" s="21" t="str">
        <f ca="1">IF(I3711=0,"",COUNTIF($I$2:I3711,"&gt;0"))</f>
        <v/>
      </c>
      <c r="K3711" s="21" t="str">
        <f t="shared" ca="1" si="269"/>
        <v/>
      </c>
    </row>
    <row r="3712" spans="1:11" s="18" customFormat="1" ht="14.25" x14ac:dyDescent="0.2">
      <c r="A3712" s="18" t="str">
        <f t="shared" si="271"/>
        <v>Eintrag 3711</v>
      </c>
      <c r="B3712" s="18">
        <v>100</v>
      </c>
      <c r="C3712" s="19">
        <v>100</v>
      </c>
      <c r="D3712" s="20">
        <v>10</v>
      </c>
      <c r="E3712" s="20">
        <v>10</v>
      </c>
      <c r="F3712" s="20">
        <v>10</v>
      </c>
      <c r="G3712" s="19">
        <f t="shared" si="270"/>
        <v>172</v>
      </c>
      <c r="H3712" s="22">
        <f t="shared" si="273"/>
        <v>3711</v>
      </c>
      <c r="I3712" s="21">
        <f t="shared" ca="1" si="272"/>
        <v>0</v>
      </c>
      <c r="J3712" s="21" t="str">
        <f ca="1">IF(I3712=0,"",COUNTIF($I$2:I3712,"&gt;0"))</f>
        <v/>
      </c>
      <c r="K3712" s="21" t="str">
        <f t="shared" ca="1" si="269"/>
        <v/>
      </c>
    </row>
    <row r="3713" spans="1:11" s="18" customFormat="1" ht="14.25" x14ac:dyDescent="0.2">
      <c r="A3713" s="18" t="str">
        <f t="shared" si="271"/>
        <v>Eintrag 3712</v>
      </c>
      <c r="B3713" s="18">
        <v>100</v>
      </c>
      <c r="C3713" s="19">
        <v>100</v>
      </c>
      <c r="D3713" s="20">
        <v>10</v>
      </c>
      <c r="E3713" s="20">
        <v>10</v>
      </c>
      <c r="F3713" s="20">
        <v>10</v>
      </c>
      <c r="G3713" s="19">
        <f t="shared" si="270"/>
        <v>172</v>
      </c>
      <c r="H3713" s="22">
        <f t="shared" si="273"/>
        <v>3712</v>
      </c>
      <c r="I3713" s="21">
        <f t="shared" ca="1" si="272"/>
        <v>0</v>
      </c>
      <c r="J3713" s="21" t="str">
        <f ca="1">IF(I3713=0,"",COUNTIF($I$2:I3713,"&gt;0"))</f>
        <v/>
      </c>
      <c r="K3713" s="21" t="str">
        <f t="shared" ca="1" si="269"/>
        <v/>
      </c>
    </row>
    <row r="3714" spans="1:11" s="18" customFormat="1" ht="14.25" x14ac:dyDescent="0.2">
      <c r="A3714" s="18" t="str">
        <f t="shared" si="271"/>
        <v>Eintrag 3713</v>
      </c>
      <c r="B3714" s="18">
        <v>100</v>
      </c>
      <c r="C3714" s="19">
        <v>100</v>
      </c>
      <c r="D3714" s="20">
        <v>10</v>
      </c>
      <c r="E3714" s="20">
        <v>10</v>
      </c>
      <c r="F3714" s="20">
        <v>10</v>
      </c>
      <c r="G3714" s="19">
        <f t="shared" si="270"/>
        <v>172</v>
      </c>
      <c r="H3714" s="22">
        <f t="shared" si="273"/>
        <v>3713</v>
      </c>
      <c r="I3714" s="21">
        <f t="shared" ca="1" si="272"/>
        <v>0</v>
      </c>
      <c r="J3714" s="21" t="str">
        <f ca="1">IF(I3714=0,"",COUNTIF($I$2:I3714,"&gt;0"))</f>
        <v/>
      </c>
      <c r="K3714" s="21" t="str">
        <f t="shared" ref="K3714:K3777" ca="1" si="274">IFERROR(INDEX(A:A,MATCH(ROW(I3713),J:J,0)),"")</f>
        <v/>
      </c>
    </row>
    <row r="3715" spans="1:11" s="18" customFormat="1" ht="14.25" x14ac:dyDescent="0.2">
      <c r="A3715" s="18" t="str">
        <f t="shared" si="271"/>
        <v>Eintrag 3714</v>
      </c>
      <c r="B3715" s="18">
        <v>100</v>
      </c>
      <c r="C3715" s="19">
        <v>100</v>
      </c>
      <c r="D3715" s="20">
        <v>10</v>
      </c>
      <c r="E3715" s="20">
        <v>10</v>
      </c>
      <c r="F3715" s="20">
        <v>10</v>
      </c>
      <c r="G3715" s="19">
        <f t="shared" ref="G3715:G3778" si="275">D3715*9+E3715*4.1+F3715*4.1</f>
        <v>172</v>
      </c>
      <c r="H3715" s="22">
        <f t="shared" si="273"/>
        <v>3714</v>
      </c>
      <c r="I3715" s="21">
        <f t="shared" ca="1" si="272"/>
        <v>0</v>
      </c>
      <c r="J3715" s="21" t="str">
        <f ca="1">IF(I3715=0,"",COUNTIF($I$2:I3715,"&gt;0"))</f>
        <v/>
      </c>
      <c r="K3715" s="21" t="str">
        <f t="shared" ca="1" si="274"/>
        <v/>
      </c>
    </row>
    <row r="3716" spans="1:11" s="18" customFormat="1" ht="14.25" x14ac:dyDescent="0.2">
      <c r="A3716" s="18" t="str">
        <f t="shared" si="271"/>
        <v>Eintrag 3715</v>
      </c>
      <c r="B3716" s="18">
        <v>100</v>
      </c>
      <c r="C3716" s="19">
        <v>100</v>
      </c>
      <c r="D3716" s="20">
        <v>10</v>
      </c>
      <c r="E3716" s="20">
        <v>10</v>
      </c>
      <c r="F3716" s="20">
        <v>10</v>
      </c>
      <c r="G3716" s="19">
        <f t="shared" si="275"/>
        <v>172</v>
      </c>
      <c r="H3716" s="22">
        <f t="shared" si="273"/>
        <v>3715</v>
      </c>
      <c r="I3716" s="21">
        <f t="shared" ca="1" si="272"/>
        <v>0</v>
      </c>
      <c r="J3716" s="21" t="str">
        <f ca="1">IF(I3716=0,"",COUNTIF($I$2:I3716,"&gt;0"))</f>
        <v/>
      </c>
      <c r="K3716" s="21" t="str">
        <f t="shared" ca="1" si="274"/>
        <v/>
      </c>
    </row>
    <row r="3717" spans="1:11" s="18" customFormat="1" ht="14.25" x14ac:dyDescent="0.2">
      <c r="A3717" s="18" t="str">
        <f t="shared" si="271"/>
        <v>Eintrag 3716</v>
      </c>
      <c r="B3717" s="18">
        <v>100</v>
      </c>
      <c r="C3717" s="19">
        <v>100</v>
      </c>
      <c r="D3717" s="20">
        <v>10</v>
      </c>
      <c r="E3717" s="20">
        <v>10</v>
      </c>
      <c r="F3717" s="20">
        <v>10</v>
      </c>
      <c r="G3717" s="19">
        <f t="shared" si="275"/>
        <v>172</v>
      </c>
      <c r="H3717" s="22">
        <f t="shared" si="273"/>
        <v>3716</v>
      </c>
      <c r="I3717" s="21">
        <f t="shared" ca="1" si="272"/>
        <v>0</v>
      </c>
      <c r="J3717" s="21" t="str">
        <f ca="1">IF(I3717=0,"",COUNTIF($I$2:I3717,"&gt;0"))</f>
        <v/>
      </c>
      <c r="K3717" s="21" t="str">
        <f t="shared" ca="1" si="274"/>
        <v/>
      </c>
    </row>
    <row r="3718" spans="1:11" s="18" customFormat="1" ht="14.25" x14ac:dyDescent="0.2">
      <c r="A3718" s="18" t="str">
        <f t="shared" si="271"/>
        <v>Eintrag 3717</v>
      </c>
      <c r="B3718" s="18">
        <v>100</v>
      </c>
      <c r="C3718" s="19">
        <v>100</v>
      </c>
      <c r="D3718" s="20">
        <v>10</v>
      </c>
      <c r="E3718" s="20">
        <v>10</v>
      </c>
      <c r="F3718" s="20">
        <v>10</v>
      </c>
      <c r="G3718" s="19">
        <f t="shared" si="275"/>
        <v>172</v>
      </c>
      <c r="H3718" s="22">
        <f t="shared" si="273"/>
        <v>3717</v>
      </c>
      <c r="I3718" s="21">
        <f t="shared" ca="1" si="272"/>
        <v>0</v>
      </c>
      <c r="J3718" s="21" t="str">
        <f ca="1">IF(I3718=0,"",COUNTIF($I$2:I3718,"&gt;0"))</f>
        <v/>
      </c>
      <c r="K3718" s="21" t="str">
        <f t="shared" ca="1" si="274"/>
        <v/>
      </c>
    </row>
    <row r="3719" spans="1:11" s="18" customFormat="1" ht="14.25" x14ac:dyDescent="0.2">
      <c r="A3719" s="18" t="str">
        <f t="shared" si="271"/>
        <v>Eintrag 3718</v>
      </c>
      <c r="B3719" s="18">
        <v>100</v>
      </c>
      <c r="C3719" s="19">
        <v>100</v>
      </c>
      <c r="D3719" s="20">
        <v>10</v>
      </c>
      <c r="E3719" s="20">
        <v>10</v>
      </c>
      <c r="F3719" s="20">
        <v>10</v>
      </c>
      <c r="G3719" s="19">
        <f t="shared" si="275"/>
        <v>172</v>
      </c>
      <c r="H3719" s="22">
        <f t="shared" si="273"/>
        <v>3718</v>
      </c>
      <c r="I3719" s="21">
        <f t="shared" ca="1" si="272"/>
        <v>0</v>
      </c>
      <c r="J3719" s="21" t="str">
        <f ca="1">IF(I3719=0,"",COUNTIF($I$2:I3719,"&gt;0"))</f>
        <v/>
      </c>
      <c r="K3719" s="21" t="str">
        <f t="shared" ca="1" si="274"/>
        <v/>
      </c>
    </row>
    <row r="3720" spans="1:11" s="18" customFormat="1" ht="14.25" x14ac:dyDescent="0.2">
      <c r="A3720" s="18" t="str">
        <f t="shared" si="271"/>
        <v>Eintrag 3719</v>
      </c>
      <c r="B3720" s="18">
        <v>100</v>
      </c>
      <c r="C3720" s="19">
        <v>100</v>
      </c>
      <c r="D3720" s="20">
        <v>10</v>
      </c>
      <c r="E3720" s="20">
        <v>10</v>
      </c>
      <c r="F3720" s="20">
        <v>10</v>
      </c>
      <c r="G3720" s="19">
        <f t="shared" si="275"/>
        <v>172</v>
      </c>
      <c r="H3720" s="22">
        <f t="shared" si="273"/>
        <v>3719</v>
      </c>
      <c r="I3720" s="21">
        <f t="shared" ca="1" si="272"/>
        <v>0</v>
      </c>
      <c r="J3720" s="21" t="str">
        <f ca="1">IF(I3720=0,"",COUNTIF($I$2:I3720,"&gt;0"))</f>
        <v/>
      </c>
      <c r="K3720" s="21" t="str">
        <f t="shared" ca="1" si="274"/>
        <v/>
      </c>
    </row>
    <row r="3721" spans="1:11" s="18" customFormat="1" ht="14.25" x14ac:dyDescent="0.2">
      <c r="A3721" s="18" t="str">
        <f t="shared" si="271"/>
        <v>Eintrag 3720</v>
      </c>
      <c r="B3721" s="18">
        <v>100</v>
      </c>
      <c r="C3721" s="19">
        <v>100</v>
      </c>
      <c r="D3721" s="20">
        <v>10</v>
      </c>
      <c r="E3721" s="20">
        <v>10</v>
      </c>
      <c r="F3721" s="20">
        <v>10</v>
      </c>
      <c r="G3721" s="19">
        <f t="shared" si="275"/>
        <v>172</v>
      </c>
      <c r="H3721" s="22">
        <f t="shared" si="273"/>
        <v>3720</v>
      </c>
      <c r="I3721" s="21">
        <f t="shared" ca="1" si="272"/>
        <v>0</v>
      </c>
      <c r="J3721" s="21" t="str">
        <f ca="1">IF(I3721=0,"",COUNTIF($I$2:I3721,"&gt;0"))</f>
        <v/>
      </c>
      <c r="K3721" s="21" t="str">
        <f t="shared" ca="1" si="274"/>
        <v/>
      </c>
    </row>
    <row r="3722" spans="1:11" s="18" customFormat="1" ht="14.25" x14ac:dyDescent="0.2">
      <c r="A3722" s="18" t="str">
        <f t="shared" si="271"/>
        <v>Eintrag 3721</v>
      </c>
      <c r="B3722" s="18">
        <v>100</v>
      </c>
      <c r="C3722" s="19">
        <v>100</v>
      </c>
      <c r="D3722" s="20">
        <v>10</v>
      </c>
      <c r="E3722" s="20">
        <v>10</v>
      </c>
      <c r="F3722" s="20">
        <v>10</v>
      </c>
      <c r="G3722" s="19">
        <f t="shared" si="275"/>
        <v>172</v>
      </c>
      <c r="H3722" s="22">
        <f t="shared" si="273"/>
        <v>3721</v>
      </c>
      <c r="I3722" s="21">
        <f t="shared" ca="1" si="272"/>
        <v>0</v>
      </c>
      <c r="J3722" s="21" t="str">
        <f ca="1">IF(I3722=0,"",COUNTIF($I$2:I3722,"&gt;0"))</f>
        <v/>
      </c>
      <c r="K3722" s="21" t="str">
        <f t="shared" ca="1" si="274"/>
        <v/>
      </c>
    </row>
    <row r="3723" spans="1:11" s="18" customFormat="1" ht="14.25" x14ac:dyDescent="0.2">
      <c r="A3723" s="18" t="str">
        <f t="shared" si="271"/>
        <v>Eintrag 3722</v>
      </c>
      <c r="B3723" s="18">
        <v>100</v>
      </c>
      <c r="C3723" s="19">
        <v>100</v>
      </c>
      <c r="D3723" s="20">
        <v>10</v>
      </c>
      <c r="E3723" s="20">
        <v>10</v>
      </c>
      <c r="F3723" s="20">
        <v>10</v>
      </c>
      <c r="G3723" s="19">
        <f t="shared" si="275"/>
        <v>172</v>
      </c>
      <c r="H3723" s="22">
        <f t="shared" si="273"/>
        <v>3722</v>
      </c>
      <c r="I3723" s="21">
        <f t="shared" ca="1" si="272"/>
        <v>0</v>
      </c>
      <c r="J3723" s="21" t="str">
        <f ca="1">IF(I3723=0,"",COUNTIF($I$2:I3723,"&gt;0"))</f>
        <v/>
      </c>
      <c r="K3723" s="21" t="str">
        <f t="shared" ca="1" si="274"/>
        <v/>
      </c>
    </row>
    <row r="3724" spans="1:11" s="18" customFormat="1" ht="14.25" x14ac:dyDescent="0.2">
      <c r="A3724" s="18" t="str">
        <f t="shared" si="271"/>
        <v>Eintrag 3723</v>
      </c>
      <c r="B3724" s="18">
        <v>100</v>
      </c>
      <c r="C3724" s="19">
        <v>100</v>
      </c>
      <c r="D3724" s="20">
        <v>10</v>
      </c>
      <c r="E3724" s="20">
        <v>10</v>
      </c>
      <c r="F3724" s="20">
        <v>10</v>
      </c>
      <c r="G3724" s="19">
        <f t="shared" si="275"/>
        <v>172</v>
      </c>
      <c r="H3724" s="22">
        <f t="shared" si="273"/>
        <v>3723</v>
      </c>
      <c r="I3724" s="21">
        <f t="shared" ca="1" si="272"/>
        <v>0</v>
      </c>
      <c r="J3724" s="21" t="str">
        <f ca="1">IF(I3724=0,"",COUNTIF($I$2:I3724,"&gt;0"))</f>
        <v/>
      </c>
      <c r="K3724" s="21" t="str">
        <f t="shared" ca="1" si="274"/>
        <v/>
      </c>
    </row>
    <row r="3725" spans="1:11" s="18" customFormat="1" ht="14.25" x14ac:dyDescent="0.2">
      <c r="A3725" s="18" t="str">
        <f t="shared" ref="A3725:A3788" si="276">CONCATENATE("Eintrag ",H3725)</f>
        <v>Eintrag 3724</v>
      </c>
      <c r="B3725" s="18">
        <v>100</v>
      </c>
      <c r="C3725" s="19">
        <v>100</v>
      </c>
      <c r="D3725" s="20">
        <v>10</v>
      </c>
      <c r="E3725" s="20">
        <v>10</v>
      </c>
      <c r="F3725" s="20">
        <v>10</v>
      </c>
      <c r="G3725" s="19">
        <f t="shared" si="275"/>
        <v>172</v>
      </c>
      <c r="H3725" s="22">
        <f t="shared" si="273"/>
        <v>3724</v>
      </c>
      <c r="I3725" s="21">
        <f t="shared" ca="1" si="272"/>
        <v>0</v>
      </c>
      <c r="J3725" s="21" t="str">
        <f ca="1">IF(I3725=0,"",COUNTIF($I$2:I3725,"&gt;0"))</f>
        <v/>
      </c>
      <c r="K3725" s="21" t="str">
        <f t="shared" ca="1" si="274"/>
        <v/>
      </c>
    </row>
    <row r="3726" spans="1:11" s="18" customFormat="1" ht="14.25" x14ac:dyDescent="0.2">
      <c r="A3726" s="18" t="str">
        <f t="shared" si="276"/>
        <v>Eintrag 3725</v>
      </c>
      <c r="B3726" s="18">
        <v>100</v>
      </c>
      <c r="C3726" s="19">
        <v>100</v>
      </c>
      <c r="D3726" s="20">
        <v>10</v>
      </c>
      <c r="E3726" s="20">
        <v>10</v>
      </c>
      <c r="F3726" s="20">
        <v>10</v>
      </c>
      <c r="G3726" s="19">
        <f t="shared" si="275"/>
        <v>172</v>
      </c>
      <c r="H3726" s="22">
        <f t="shared" si="273"/>
        <v>3725</v>
      </c>
      <c r="I3726" s="21">
        <f t="shared" ca="1" si="272"/>
        <v>0</v>
      </c>
      <c r="J3726" s="21" t="str">
        <f ca="1">IF(I3726=0,"",COUNTIF($I$2:I3726,"&gt;0"))</f>
        <v/>
      </c>
      <c r="K3726" s="21" t="str">
        <f t="shared" ca="1" si="274"/>
        <v/>
      </c>
    </row>
    <row r="3727" spans="1:11" s="18" customFormat="1" ht="14.25" x14ac:dyDescent="0.2">
      <c r="A3727" s="18" t="str">
        <f t="shared" si="276"/>
        <v>Eintrag 3726</v>
      </c>
      <c r="B3727" s="18">
        <v>100</v>
      </c>
      <c r="C3727" s="19">
        <v>100</v>
      </c>
      <c r="D3727" s="20">
        <v>10</v>
      </c>
      <c r="E3727" s="20">
        <v>10</v>
      </c>
      <c r="F3727" s="20">
        <v>10</v>
      </c>
      <c r="G3727" s="19">
        <f t="shared" si="275"/>
        <v>172</v>
      </c>
      <c r="H3727" s="22">
        <f t="shared" si="273"/>
        <v>3726</v>
      </c>
      <c r="I3727" s="21">
        <f t="shared" ca="1" si="272"/>
        <v>0</v>
      </c>
      <c r="J3727" s="21" t="str">
        <f ca="1">IF(I3727=0,"",COUNTIF($I$2:I3727,"&gt;0"))</f>
        <v/>
      </c>
      <c r="K3727" s="21" t="str">
        <f t="shared" ca="1" si="274"/>
        <v/>
      </c>
    </row>
    <row r="3728" spans="1:11" s="18" customFormat="1" ht="14.25" x14ac:dyDescent="0.2">
      <c r="A3728" s="18" t="str">
        <f t="shared" si="276"/>
        <v>Eintrag 3727</v>
      </c>
      <c r="B3728" s="18">
        <v>100</v>
      </c>
      <c r="C3728" s="19">
        <v>100</v>
      </c>
      <c r="D3728" s="20">
        <v>10</v>
      </c>
      <c r="E3728" s="20">
        <v>10</v>
      </c>
      <c r="F3728" s="20">
        <v>10</v>
      </c>
      <c r="G3728" s="19">
        <f t="shared" si="275"/>
        <v>172</v>
      </c>
      <c r="H3728" s="22">
        <f t="shared" si="273"/>
        <v>3727</v>
      </c>
      <c r="I3728" s="21">
        <f t="shared" ca="1" si="272"/>
        <v>0</v>
      </c>
      <c r="J3728" s="21" t="str">
        <f ca="1">IF(I3728=0,"",COUNTIF($I$2:I3728,"&gt;0"))</f>
        <v/>
      </c>
      <c r="K3728" s="21" t="str">
        <f t="shared" ca="1" si="274"/>
        <v/>
      </c>
    </row>
    <row r="3729" spans="1:11" s="18" customFormat="1" ht="14.25" x14ac:dyDescent="0.2">
      <c r="A3729" s="18" t="str">
        <f t="shared" si="276"/>
        <v>Eintrag 3728</v>
      </c>
      <c r="B3729" s="18">
        <v>100</v>
      </c>
      <c r="C3729" s="19">
        <v>100</v>
      </c>
      <c r="D3729" s="20">
        <v>10</v>
      </c>
      <c r="E3729" s="20">
        <v>10</v>
      </c>
      <c r="F3729" s="20">
        <v>10</v>
      </c>
      <c r="G3729" s="19">
        <f t="shared" si="275"/>
        <v>172</v>
      </c>
      <c r="H3729" s="22">
        <f t="shared" si="273"/>
        <v>3728</v>
      </c>
      <c r="I3729" s="21">
        <f t="shared" ca="1" si="272"/>
        <v>0</v>
      </c>
      <c r="J3729" s="21" t="str">
        <f ca="1">IF(I3729=0,"",COUNTIF($I$2:I3729,"&gt;0"))</f>
        <v/>
      </c>
      <c r="K3729" s="21" t="str">
        <f t="shared" ca="1" si="274"/>
        <v/>
      </c>
    </row>
    <row r="3730" spans="1:11" s="18" customFormat="1" ht="14.25" x14ac:dyDescent="0.2">
      <c r="A3730" s="18" t="str">
        <f t="shared" si="276"/>
        <v>Eintrag 3729</v>
      </c>
      <c r="B3730" s="18">
        <v>100</v>
      </c>
      <c r="C3730" s="19">
        <v>100</v>
      </c>
      <c r="D3730" s="20">
        <v>10</v>
      </c>
      <c r="E3730" s="20">
        <v>10</v>
      </c>
      <c r="F3730" s="20">
        <v>10</v>
      </c>
      <c r="G3730" s="19">
        <f t="shared" si="275"/>
        <v>172</v>
      </c>
      <c r="H3730" s="22">
        <f t="shared" si="273"/>
        <v>3729</v>
      </c>
      <c r="I3730" s="21">
        <f t="shared" ca="1" si="272"/>
        <v>0</v>
      </c>
      <c r="J3730" s="21" t="str">
        <f ca="1">IF(I3730=0,"",COUNTIF($I$2:I3730,"&gt;0"))</f>
        <v/>
      </c>
      <c r="K3730" s="21" t="str">
        <f t="shared" ca="1" si="274"/>
        <v/>
      </c>
    </row>
    <row r="3731" spans="1:11" s="18" customFormat="1" ht="14.25" x14ac:dyDescent="0.2">
      <c r="A3731" s="18" t="str">
        <f t="shared" si="276"/>
        <v>Eintrag 3730</v>
      </c>
      <c r="B3731" s="18">
        <v>100</v>
      </c>
      <c r="C3731" s="19">
        <v>100</v>
      </c>
      <c r="D3731" s="20">
        <v>10</v>
      </c>
      <c r="E3731" s="20">
        <v>10</v>
      </c>
      <c r="F3731" s="20">
        <v>10</v>
      </c>
      <c r="G3731" s="19">
        <f t="shared" si="275"/>
        <v>172</v>
      </c>
      <c r="H3731" s="22">
        <f t="shared" si="273"/>
        <v>3730</v>
      </c>
      <c r="I3731" s="21">
        <f t="shared" ca="1" si="272"/>
        <v>0</v>
      </c>
      <c r="J3731" s="21" t="str">
        <f ca="1">IF(I3731=0,"",COUNTIF($I$2:I3731,"&gt;0"))</f>
        <v/>
      </c>
      <c r="K3731" s="21" t="str">
        <f t="shared" ca="1" si="274"/>
        <v/>
      </c>
    </row>
    <row r="3732" spans="1:11" s="18" customFormat="1" ht="14.25" x14ac:dyDescent="0.2">
      <c r="A3732" s="18" t="str">
        <f t="shared" si="276"/>
        <v>Eintrag 3731</v>
      </c>
      <c r="B3732" s="18">
        <v>100</v>
      </c>
      <c r="C3732" s="19">
        <v>100</v>
      </c>
      <c r="D3732" s="20">
        <v>10</v>
      </c>
      <c r="E3732" s="20">
        <v>10</v>
      </c>
      <c r="F3732" s="20">
        <v>10</v>
      </c>
      <c r="G3732" s="19">
        <f t="shared" si="275"/>
        <v>172</v>
      </c>
      <c r="H3732" s="22">
        <f t="shared" si="273"/>
        <v>3731</v>
      </c>
      <c r="I3732" s="21">
        <f t="shared" ca="1" si="272"/>
        <v>0</v>
      </c>
      <c r="J3732" s="21" t="str">
        <f ca="1">IF(I3732=0,"",COUNTIF($I$2:I3732,"&gt;0"))</f>
        <v/>
      </c>
      <c r="K3732" s="21" t="str">
        <f t="shared" ca="1" si="274"/>
        <v/>
      </c>
    </row>
    <row r="3733" spans="1:11" s="18" customFormat="1" ht="14.25" x14ac:dyDescent="0.2">
      <c r="A3733" s="18" t="str">
        <f t="shared" si="276"/>
        <v>Eintrag 3732</v>
      </c>
      <c r="B3733" s="18">
        <v>100</v>
      </c>
      <c r="C3733" s="19">
        <v>100</v>
      </c>
      <c r="D3733" s="20">
        <v>10</v>
      </c>
      <c r="E3733" s="20">
        <v>10</v>
      </c>
      <c r="F3733" s="20">
        <v>10</v>
      </c>
      <c r="G3733" s="19">
        <f t="shared" si="275"/>
        <v>172</v>
      </c>
      <c r="H3733" s="22">
        <f t="shared" si="273"/>
        <v>3732</v>
      </c>
      <c r="I3733" s="21">
        <f t="shared" ca="1" si="272"/>
        <v>0</v>
      </c>
      <c r="J3733" s="21" t="str">
        <f ca="1">IF(I3733=0,"",COUNTIF($I$2:I3733,"&gt;0"))</f>
        <v/>
      </c>
      <c r="K3733" s="21" t="str">
        <f t="shared" ca="1" si="274"/>
        <v/>
      </c>
    </row>
    <row r="3734" spans="1:11" s="18" customFormat="1" ht="14.25" x14ac:dyDescent="0.2">
      <c r="A3734" s="18" t="str">
        <f t="shared" si="276"/>
        <v>Eintrag 3733</v>
      </c>
      <c r="B3734" s="18">
        <v>100</v>
      </c>
      <c r="C3734" s="19">
        <v>100</v>
      </c>
      <c r="D3734" s="20">
        <v>10</v>
      </c>
      <c r="E3734" s="20">
        <v>10</v>
      </c>
      <c r="F3734" s="20">
        <v>10</v>
      </c>
      <c r="G3734" s="19">
        <f t="shared" si="275"/>
        <v>172</v>
      </c>
      <c r="H3734" s="22">
        <f t="shared" si="273"/>
        <v>3733</v>
      </c>
      <c r="I3734" s="21">
        <f t="shared" ca="1" si="272"/>
        <v>0</v>
      </c>
      <c r="J3734" s="21" t="str">
        <f ca="1">IF(I3734=0,"",COUNTIF($I$2:I3734,"&gt;0"))</f>
        <v/>
      </c>
      <c r="K3734" s="21" t="str">
        <f t="shared" ca="1" si="274"/>
        <v/>
      </c>
    </row>
    <row r="3735" spans="1:11" s="18" customFormat="1" ht="14.25" x14ac:dyDescent="0.2">
      <c r="A3735" s="18" t="str">
        <f t="shared" si="276"/>
        <v>Eintrag 3734</v>
      </c>
      <c r="B3735" s="18">
        <v>100</v>
      </c>
      <c r="C3735" s="19">
        <v>100</v>
      </c>
      <c r="D3735" s="20">
        <v>10</v>
      </c>
      <c r="E3735" s="20">
        <v>10</v>
      </c>
      <c r="F3735" s="20">
        <v>10</v>
      </c>
      <c r="G3735" s="19">
        <f t="shared" si="275"/>
        <v>172</v>
      </c>
      <c r="H3735" s="22">
        <f t="shared" si="273"/>
        <v>3734</v>
      </c>
      <c r="I3735" s="21">
        <f t="shared" ca="1" si="272"/>
        <v>0</v>
      </c>
      <c r="J3735" s="21" t="str">
        <f ca="1">IF(I3735=0,"",COUNTIF($I$2:I3735,"&gt;0"))</f>
        <v/>
      </c>
      <c r="K3735" s="21" t="str">
        <f t="shared" ca="1" si="274"/>
        <v/>
      </c>
    </row>
    <row r="3736" spans="1:11" s="18" customFormat="1" ht="14.25" x14ac:dyDescent="0.2">
      <c r="A3736" s="18" t="str">
        <f t="shared" si="276"/>
        <v>Eintrag 3735</v>
      </c>
      <c r="B3736" s="18">
        <v>100</v>
      </c>
      <c r="C3736" s="19">
        <v>100</v>
      </c>
      <c r="D3736" s="20">
        <v>10</v>
      </c>
      <c r="E3736" s="20">
        <v>10</v>
      </c>
      <c r="F3736" s="20">
        <v>10</v>
      </c>
      <c r="G3736" s="19">
        <f t="shared" si="275"/>
        <v>172</v>
      </c>
      <c r="H3736" s="22">
        <f t="shared" si="273"/>
        <v>3735</v>
      </c>
      <c r="I3736" s="21">
        <f t="shared" ca="1" si="272"/>
        <v>0</v>
      </c>
      <c r="J3736" s="21" t="str">
        <f ca="1">IF(I3736=0,"",COUNTIF($I$2:I3736,"&gt;0"))</f>
        <v/>
      </c>
      <c r="K3736" s="21" t="str">
        <f t="shared" ca="1" si="274"/>
        <v/>
      </c>
    </row>
    <row r="3737" spans="1:11" s="18" customFormat="1" ht="14.25" x14ac:dyDescent="0.2">
      <c r="A3737" s="18" t="str">
        <f t="shared" si="276"/>
        <v>Eintrag 3736</v>
      </c>
      <c r="B3737" s="18">
        <v>100</v>
      </c>
      <c r="C3737" s="19">
        <v>100</v>
      </c>
      <c r="D3737" s="20">
        <v>10</v>
      </c>
      <c r="E3737" s="20">
        <v>10</v>
      </c>
      <c r="F3737" s="20">
        <v>10</v>
      </c>
      <c r="G3737" s="19">
        <f t="shared" si="275"/>
        <v>172</v>
      </c>
      <c r="H3737" s="22">
        <f t="shared" si="273"/>
        <v>3736</v>
      </c>
      <c r="I3737" s="21">
        <f t="shared" ca="1" si="272"/>
        <v>0</v>
      </c>
      <c r="J3737" s="21" t="str">
        <f ca="1">IF(I3737=0,"",COUNTIF($I$2:I3737,"&gt;0"))</f>
        <v/>
      </c>
      <c r="K3737" s="21" t="str">
        <f t="shared" ca="1" si="274"/>
        <v/>
      </c>
    </row>
    <row r="3738" spans="1:11" s="18" customFormat="1" ht="14.25" x14ac:dyDescent="0.2">
      <c r="A3738" s="18" t="str">
        <f t="shared" si="276"/>
        <v>Eintrag 3737</v>
      </c>
      <c r="B3738" s="18">
        <v>100</v>
      </c>
      <c r="C3738" s="19">
        <v>100</v>
      </c>
      <c r="D3738" s="20">
        <v>10</v>
      </c>
      <c r="E3738" s="20">
        <v>10</v>
      </c>
      <c r="F3738" s="20">
        <v>10</v>
      </c>
      <c r="G3738" s="19">
        <f t="shared" si="275"/>
        <v>172</v>
      </c>
      <c r="H3738" s="22">
        <f t="shared" si="273"/>
        <v>3737</v>
      </c>
      <c r="I3738" s="21">
        <f t="shared" ca="1" si="272"/>
        <v>0</v>
      </c>
      <c r="J3738" s="21" t="str">
        <f ca="1">IF(I3738=0,"",COUNTIF($I$2:I3738,"&gt;0"))</f>
        <v/>
      </c>
      <c r="K3738" s="21" t="str">
        <f t="shared" ca="1" si="274"/>
        <v/>
      </c>
    </row>
    <row r="3739" spans="1:11" s="18" customFormat="1" ht="14.25" x14ac:dyDescent="0.2">
      <c r="A3739" s="18" t="str">
        <f t="shared" si="276"/>
        <v>Eintrag 3738</v>
      </c>
      <c r="B3739" s="18">
        <v>100</v>
      </c>
      <c r="C3739" s="19">
        <v>100</v>
      </c>
      <c r="D3739" s="20">
        <v>10</v>
      </c>
      <c r="E3739" s="20">
        <v>10</v>
      </c>
      <c r="F3739" s="20">
        <v>10</v>
      </c>
      <c r="G3739" s="19">
        <f t="shared" si="275"/>
        <v>172</v>
      </c>
      <c r="H3739" s="22">
        <f t="shared" si="273"/>
        <v>3738</v>
      </c>
      <c r="I3739" s="21">
        <f t="shared" ca="1" si="272"/>
        <v>0</v>
      </c>
      <c r="J3739" s="21" t="str">
        <f ca="1">IF(I3739=0,"",COUNTIF($I$2:I3739,"&gt;0"))</f>
        <v/>
      </c>
      <c r="K3739" s="21" t="str">
        <f t="shared" ca="1" si="274"/>
        <v/>
      </c>
    </row>
    <row r="3740" spans="1:11" s="18" customFormat="1" ht="14.25" x14ac:dyDescent="0.2">
      <c r="A3740" s="18" t="str">
        <f t="shared" si="276"/>
        <v>Eintrag 3739</v>
      </c>
      <c r="B3740" s="18">
        <v>100</v>
      </c>
      <c r="C3740" s="19">
        <v>100</v>
      </c>
      <c r="D3740" s="20">
        <v>10</v>
      </c>
      <c r="E3740" s="20">
        <v>10</v>
      </c>
      <c r="F3740" s="20">
        <v>10</v>
      </c>
      <c r="G3740" s="19">
        <f t="shared" si="275"/>
        <v>172</v>
      </c>
      <c r="H3740" s="22">
        <f t="shared" si="273"/>
        <v>3739</v>
      </c>
      <c r="I3740" s="21">
        <f t="shared" ca="1" si="272"/>
        <v>0</v>
      </c>
      <c r="J3740" s="21" t="str">
        <f ca="1">IF(I3740=0,"",COUNTIF($I$2:I3740,"&gt;0"))</f>
        <v/>
      </c>
      <c r="K3740" s="21" t="str">
        <f t="shared" ca="1" si="274"/>
        <v/>
      </c>
    </row>
    <row r="3741" spans="1:11" s="18" customFormat="1" ht="14.25" x14ac:dyDescent="0.2">
      <c r="A3741" s="18" t="str">
        <f t="shared" si="276"/>
        <v>Eintrag 3740</v>
      </c>
      <c r="B3741" s="18">
        <v>100</v>
      </c>
      <c r="C3741" s="19">
        <v>100</v>
      </c>
      <c r="D3741" s="20">
        <v>10</v>
      </c>
      <c r="E3741" s="20">
        <v>10</v>
      </c>
      <c r="F3741" s="20">
        <v>10</v>
      </c>
      <c r="G3741" s="19">
        <f t="shared" si="275"/>
        <v>172</v>
      </c>
      <c r="H3741" s="22">
        <f t="shared" si="273"/>
        <v>3740</v>
      </c>
      <c r="I3741" s="21">
        <f t="shared" ca="1" si="272"/>
        <v>0</v>
      </c>
      <c r="J3741" s="21" t="str">
        <f ca="1">IF(I3741=0,"",COUNTIF($I$2:I3741,"&gt;0"))</f>
        <v/>
      </c>
      <c r="K3741" s="21" t="str">
        <f t="shared" ca="1" si="274"/>
        <v/>
      </c>
    </row>
    <row r="3742" spans="1:11" s="18" customFormat="1" ht="14.25" x14ac:dyDescent="0.2">
      <c r="A3742" s="18" t="str">
        <f t="shared" si="276"/>
        <v>Eintrag 3741</v>
      </c>
      <c r="B3742" s="18">
        <v>100</v>
      </c>
      <c r="C3742" s="19">
        <v>100</v>
      </c>
      <c r="D3742" s="20">
        <v>10</v>
      </c>
      <c r="E3742" s="20">
        <v>10</v>
      </c>
      <c r="F3742" s="20">
        <v>10</v>
      </c>
      <c r="G3742" s="19">
        <f t="shared" si="275"/>
        <v>172</v>
      </c>
      <c r="H3742" s="22">
        <f t="shared" si="273"/>
        <v>3741</v>
      </c>
      <c r="I3742" s="21">
        <f t="shared" ref="I3742:I3805" ca="1" si="277">IFERROR(SEARCH(INDIRECT(CELL("address")),A3742),0)</f>
        <v>0</v>
      </c>
      <c r="J3742" s="21" t="str">
        <f ca="1">IF(I3742=0,"",COUNTIF($I$2:I3742,"&gt;0"))</f>
        <v/>
      </c>
      <c r="K3742" s="21" t="str">
        <f t="shared" ca="1" si="274"/>
        <v/>
      </c>
    </row>
    <row r="3743" spans="1:11" s="18" customFormat="1" ht="14.25" x14ac:dyDescent="0.2">
      <c r="A3743" s="18" t="str">
        <f t="shared" si="276"/>
        <v>Eintrag 3742</v>
      </c>
      <c r="B3743" s="18">
        <v>100</v>
      </c>
      <c r="C3743" s="19">
        <v>100</v>
      </c>
      <c r="D3743" s="20">
        <v>10</v>
      </c>
      <c r="E3743" s="20">
        <v>10</v>
      </c>
      <c r="F3743" s="20">
        <v>10</v>
      </c>
      <c r="G3743" s="19">
        <f t="shared" si="275"/>
        <v>172</v>
      </c>
      <c r="H3743" s="22">
        <f t="shared" si="273"/>
        <v>3742</v>
      </c>
      <c r="I3743" s="21">
        <f t="shared" ca="1" si="277"/>
        <v>0</v>
      </c>
      <c r="J3743" s="21" t="str">
        <f ca="1">IF(I3743=0,"",COUNTIF($I$2:I3743,"&gt;0"))</f>
        <v/>
      </c>
      <c r="K3743" s="21" t="str">
        <f t="shared" ca="1" si="274"/>
        <v/>
      </c>
    </row>
    <row r="3744" spans="1:11" s="18" customFormat="1" ht="14.25" x14ac:dyDescent="0.2">
      <c r="A3744" s="18" t="str">
        <f t="shared" si="276"/>
        <v>Eintrag 3743</v>
      </c>
      <c r="B3744" s="18">
        <v>100</v>
      </c>
      <c r="C3744" s="19">
        <v>100</v>
      </c>
      <c r="D3744" s="20">
        <v>10</v>
      </c>
      <c r="E3744" s="20">
        <v>10</v>
      </c>
      <c r="F3744" s="20">
        <v>10</v>
      </c>
      <c r="G3744" s="19">
        <f t="shared" si="275"/>
        <v>172</v>
      </c>
      <c r="H3744" s="22">
        <f t="shared" si="273"/>
        <v>3743</v>
      </c>
      <c r="I3744" s="21">
        <f t="shared" ca="1" si="277"/>
        <v>0</v>
      </c>
      <c r="J3744" s="21" t="str">
        <f ca="1">IF(I3744=0,"",COUNTIF($I$2:I3744,"&gt;0"))</f>
        <v/>
      </c>
      <c r="K3744" s="21" t="str">
        <f t="shared" ca="1" si="274"/>
        <v/>
      </c>
    </row>
    <row r="3745" spans="1:11" s="18" customFormat="1" ht="14.25" x14ac:dyDescent="0.2">
      <c r="A3745" s="18" t="str">
        <f t="shared" si="276"/>
        <v>Eintrag 3744</v>
      </c>
      <c r="B3745" s="18">
        <v>100</v>
      </c>
      <c r="C3745" s="19">
        <v>100</v>
      </c>
      <c r="D3745" s="20">
        <v>10</v>
      </c>
      <c r="E3745" s="20">
        <v>10</v>
      </c>
      <c r="F3745" s="20">
        <v>10</v>
      </c>
      <c r="G3745" s="19">
        <f t="shared" si="275"/>
        <v>172</v>
      </c>
      <c r="H3745" s="22">
        <f t="shared" si="273"/>
        <v>3744</v>
      </c>
      <c r="I3745" s="21">
        <f t="shared" ca="1" si="277"/>
        <v>0</v>
      </c>
      <c r="J3745" s="21" t="str">
        <f ca="1">IF(I3745=0,"",COUNTIF($I$2:I3745,"&gt;0"))</f>
        <v/>
      </c>
      <c r="K3745" s="21" t="str">
        <f t="shared" ca="1" si="274"/>
        <v/>
      </c>
    </row>
    <row r="3746" spans="1:11" s="18" customFormat="1" ht="14.25" x14ac:dyDescent="0.2">
      <c r="A3746" s="18" t="str">
        <f t="shared" si="276"/>
        <v>Eintrag 3745</v>
      </c>
      <c r="B3746" s="18">
        <v>100</v>
      </c>
      <c r="C3746" s="19">
        <v>100</v>
      </c>
      <c r="D3746" s="20">
        <v>10</v>
      </c>
      <c r="E3746" s="20">
        <v>10</v>
      </c>
      <c r="F3746" s="20">
        <v>10</v>
      </c>
      <c r="G3746" s="19">
        <f t="shared" si="275"/>
        <v>172</v>
      </c>
      <c r="H3746" s="22">
        <f t="shared" si="273"/>
        <v>3745</v>
      </c>
      <c r="I3746" s="21">
        <f t="shared" ca="1" si="277"/>
        <v>0</v>
      </c>
      <c r="J3746" s="21" t="str">
        <f ca="1">IF(I3746=0,"",COUNTIF($I$2:I3746,"&gt;0"))</f>
        <v/>
      </c>
      <c r="K3746" s="21" t="str">
        <f t="shared" ca="1" si="274"/>
        <v/>
      </c>
    </row>
    <row r="3747" spans="1:11" s="18" customFormat="1" ht="14.25" x14ac:dyDescent="0.2">
      <c r="A3747" s="18" t="str">
        <f t="shared" si="276"/>
        <v>Eintrag 3746</v>
      </c>
      <c r="B3747" s="18">
        <v>100</v>
      </c>
      <c r="C3747" s="19">
        <v>100</v>
      </c>
      <c r="D3747" s="20">
        <v>10</v>
      </c>
      <c r="E3747" s="20">
        <v>10</v>
      </c>
      <c r="F3747" s="20">
        <v>10</v>
      </c>
      <c r="G3747" s="19">
        <f t="shared" si="275"/>
        <v>172</v>
      </c>
      <c r="H3747" s="22">
        <f t="shared" si="273"/>
        <v>3746</v>
      </c>
      <c r="I3747" s="21">
        <f t="shared" ca="1" si="277"/>
        <v>0</v>
      </c>
      <c r="J3747" s="21" t="str">
        <f ca="1">IF(I3747=0,"",COUNTIF($I$2:I3747,"&gt;0"))</f>
        <v/>
      </c>
      <c r="K3747" s="21" t="str">
        <f t="shared" ca="1" si="274"/>
        <v/>
      </c>
    </row>
    <row r="3748" spans="1:11" s="18" customFormat="1" ht="14.25" x14ac:dyDescent="0.2">
      <c r="A3748" s="18" t="str">
        <f t="shared" si="276"/>
        <v>Eintrag 3747</v>
      </c>
      <c r="B3748" s="18">
        <v>100</v>
      </c>
      <c r="C3748" s="19">
        <v>100</v>
      </c>
      <c r="D3748" s="20">
        <v>10</v>
      </c>
      <c r="E3748" s="20">
        <v>10</v>
      </c>
      <c r="F3748" s="20">
        <v>10</v>
      </c>
      <c r="G3748" s="19">
        <f t="shared" si="275"/>
        <v>172</v>
      </c>
      <c r="H3748" s="22">
        <f t="shared" si="273"/>
        <v>3747</v>
      </c>
      <c r="I3748" s="21">
        <f t="shared" ca="1" si="277"/>
        <v>0</v>
      </c>
      <c r="J3748" s="21" t="str">
        <f ca="1">IF(I3748=0,"",COUNTIF($I$2:I3748,"&gt;0"))</f>
        <v/>
      </c>
      <c r="K3748" s="21" t="str">
        <f t="shared" ca="1" si="274"/>
        <v/>
      </c>
    </row>
    <row r="3749" spans="1:11" s="18" customFormat="1" ht="14.25" x14ac:dyDescent="0.2">
      <c r="A3749" s="18" t="str">
        <f t="shared" si="276"/>
        <v>Eintrag 3748</v>
      </c>
      <c r="B3749" s="18">
        <v>100</v>
      </c>
      <c r="C3749" s="19">
        <v>100</v>
      </c>
      <c r="D3749" s="20">
        <v>10</v>
      </c>
      <c r="E3749" s="20">
        <v>10</v>
      </c>
      <c r="F3749" s="20">
        <v>10</v>
      </c>
      <c r="G3749" s="19">
        <f t="shared" si="275"/>
        <v>172</v>
      </c>
      <c r="H3749" s="22">
        <f t="shared" ref="H3749:H3812" si="278">H3748+1</f>
        <v>3748</v>
      </c>
      <c r="I3749" s="21">
        <f t="shared" ca="1" si="277"/>
        <v>0</v>
      </c>
      <c r="J3749" s="21" t="str">
        <f ca="1">IF(I3749=0,"",COUNTIF($I$2:I3749,"&gt;0"))</f>
        <v/>
      </c>
      <c r="K3749" s="21" t="str">
        <f t="shared" ca="1" si="274"/>
        <v/>
      </c>
    </row>
    <row r="3750" spans="1:11" s="18" customFormat="1" ht="14.25" x14ac:dyDescent="0.2">
      <c r="A3750" s="18" t="str">
        <f t="shared" si="276"/>
        <v>Eintrag 3749</v>
      </c>
      <c r="B3750" s="18">
        <v>100</v>
      </c>
      <c r="C3750" s="19">
        <v>100</v>
      </c>
      <c r="D3750" s="20">
        <v>10</v>
      </c>
      <c r="E3750" s="20">
        <v>10</v>
      </c>
      <c r="F3750" s="20">
        <v>10</v>
      </c>
      <c r="G3750" s="19">
        <f t="shared" si="275"/>
        <v>172</v>
      </c>
      <c r="H3750" s="22">
        <f t="shared" si="278"/>
        <v>3749</v>
      </c>
      <c r="I3750" s="21">
        <f t="shared" ca="1" si="277"/>
        <v>0</v>
      </c>
      <c r="J3750" s="21" t="str">
        <f ca="1">IF(I3750=0,"",COUNTIF($I$2:I3750,"&gt;0"))</f>
        <v/>
      </c>
      <c r="K3750" s="21" t="str">
        <f t="shared" ca="1" si="274"/>
        <v/>
      </c>
    </row>
    <row r="3751" spans="1:11" s="18" customFormat="1" ht="14.25" x14ac:dyDescent="0.2">
      <c r="A3751" s="18" t="str">
        <f t="shared" si="276"/>
        <v>Eintrag 3750</v>
      </c>
      <c r="B3751" s="18">
        <v>100</v>
      </c>
      <c r="C3751" s="19">
        <v>100</v>
      </c>
      <c r="D3751" s="20">
        <v>10</v>
      </c>
      <c r="E3751" s="20">
        <v>10</v>
      </c>
      <c r="F3751" s="20">
        <v>10</v>
      </c>
      <c r="G3751" s="19">
        <f t="shared" si="275"/>
        <v>172</v>
      </c>
      <c r="H3751" s="22">
        <f t="shared" si="278"/>
        <v>3750</v>
      </c>
      <c r="I3751" s="21">
        <f t="shared" ca="1" si="277"/>
        <v>0</v>
      </c>
      <c r="J3751" s="21" t="str">
        <f ca="1">IF(I3751=0,"",COUNTIF($I$2:I3751,"&gt;0"))</f>
        <v/>
      </c>
      <c r="K3751" s="21" t="str">
        <f t="shared" ca="1" si="274"/>
        <v/>
      </c>
    </row>
    <row r="3752" spans="1:11" s="18" customFormat="1" ht="14.25" x14ac:dyDescent="0.2">
      <c r="A3752" s="18" t="str">
        <f t="shared" si="276"/>
        <v>Eintrag 3751</v>
      </c>
      <c r="B3752" s="18">
        <v>100</v>
      </c>
      <c r="C3752" s="19">
        <v>100</v>
      </c>
      <c r="D3752" s="20">
        <v>10</v>
      </c>
      <c r="E3752" s="20">
        <v>10</v>
      </c>
      <c r="F3752" s="20">
        <v>10</v>
      </c>
      <c r="G3752" s="19">
        <f t="shared" si="275"/>
        <v>172</v>
      </c>
      <c r="H3752" s="22">
        <f t="shared" si="278"/>
        <v>3751</v>
      </c>
      <c r="I3752" s="21">
        <f t="shared" ca="1" si="277"/>
        <v>0</v>
      </c>
      <c r="J3752" s="21" t="str">
        <f ca="1">IF(I3752=0,"",COUNTIF($I$2:I3752,"&gt;0"))</f>
        <v/>
      </c>
      <c r="K3752" s="21" t="str">
        <f t="shared" ca="1" si="274"/>
        <v/>
      </c>
    </row>
    <row r="3753" spans="1:11" s="18" customFormat="1" ht="14.25" x14ac:dyDescent="0.2">
      <c r="A3753" s="18" t="str">
        <f t="shared" si="276"/>
        <v>Eintrag 3752</v>
      </c>
      <c r="B3753" s="18">
        <v>100</v>
      </c>
      <c r="C3753" s="19">
        <v>100</v>
      </c>
      <c r="D3753" s="20">
        <v>10</v>
      </c>
      <c r="E3753" s="20">
        <v>10</v>
      </c>
      <c r="F3753" s="20">
        <v>10</v>
      </c>
      <c r="G3753" s="19">
        <f t="shared" si="275"/>
        <v>172</v>
      </c>
      <c r="H3753" s="22">
        <f t="shared" si="278"/>
        <v>3752</v>
      </c>
      <c r="I3753" s="21">
        <f t="shared" ca="1" si="277"/>
        <v>0</v>
      </c>
      <c r="J3753" s="21" t="str">
        <f ca="1">IF(I3753=0,"",COUNTIF($I$2:I3753,"&gt;0"))</f>
        <v/>
      </c>
      <c r="K3753" s="21" t="str">
        <f t="shared" ca="1" si="274"/>
        <v/>
      </c>
    </row>
    <row r="3754" spans="1:11" s="18" customFormat="1" ht="14.25" x14ac:dyDescent="0.2">
      <c r="A3754" s="18" t="str">
        <f t="shared" si="276"/>
        <v>Eintrag 3753</v>
      </c>
      <c r="B3754" s="18">
        <v>100</v>
      </c>
      <c r="C3754" s="19">
        <v>100</v>
      </c>
      <c r="D3754" s="20">
        <v>10</v>
      </c>
      <c r="E3754" s="20">
        <v>10</v>
      </c>
      <c r="F3754" s="20">
        <v>10</v>
      </c>
      <c r="G3754" s="19">
        <f t="shared" si="275"/>
        <v>172</v>
      </c>
      <c r="H3754" s="22">
        <f t="shared" si="278"/>
        <v>3753</v>
      </c>
      <c r="I3754" s="21">
        <f t="shared" ca="1" si="277"/>
        <v>0</v>
      </c>
      <c r="J3754" s="21" t="str">
        <f ca="1">IF(I3754=0,"",COUNTIF($I$2:I3754,"&gt;0"))</f>
        <v/>
      </c>
      <c r="K3754" s="21" t="str">
        <f t="shared" ca="1" si="274"/>
        <v/>
      </c>
    </row>
    <row r="3755" spans="1:11" s="18" customFormat="1" ht="14.25" x14ac:dyDescent="0.2">
      <c r="A3755" s="18" t="str">
        <f t="shared" si="276"/>
        <v>Eintrag 3754</v>
      </c>
      <c r="B3755" s="18">
        <v>100</v>
      </c>
      <c r="C3755" s="19">
        <v>100</v>
      </c>
      <c r="D3755" s="20">
        <v>10</v>
      </c>
      <c r="E3755" s="20">
        <v>10</v>
      </c>
      <c r="F3755" s="20">
        <v>10</v>
      </c>
      <c r="G3755" s="19">
        <f t="shared" si="275"/>
        <v>172</v>
      </c>
      <c r="H3755" s="22">
        <f t="shared" si="278"/>
        <v>3754</v>
      </c>
      <c r="I3755" s="21">
        <f t="shared" ca="1" si="277"/>
        <v>0</v>
      </c>
      <c r="J3755" s="21" t="str">
        <f ca="1">IF(I3755=0,"",COUNTIF($I$2:I3755,"&gt;0"))</f>
        <v/>
      </c>
      <c r="K3755" s="21" t="str">
        <f t="shared" ca="1" si="274"/>
        <v/>
      </c>
    </row>
    <row r="3756" spans="1:11" s="18" customFormat="1" ht="14.25" x14ac:dyDescent="0.2">
      <c r="A3756" s="18" t="str">
        <f t="shared" si="276"/>
        <v>Eintrag 3755</v>
      </c>
      <c r="B3756" s="18">
        <v>100</v>
      </c>
      <c r="C3756" s="19">
        <v>100</v>
      </c>
      <c r="D3756" s="20">
        <v>10</v>
      </c>
      <c r="E3756" s="20">
        <v>10</v>
      </c>
      <c r="F3756" s="20">
        <v>10</v>
      </c>
      <c r="G3756" s="19">
        <f t="shared" si="275"/>
        <v>172</v>
      </c>
      <c r="H3756" s="22">
        <f t="shared" si="278"/>
        <v>3755</v>
      </c>
      <c r="I3756" s="21">
        <f t="shared" ca="1" si="277"/>
        <v>0</v>
      </c>
      <c r="J3756" s="21" t="str">
        <f ca="1">IF(I3756=0,"",COUNTIF($I$2:I3756,"&gt;0"))</f>
        <v/>
      </c>
      <c r="K3756" s="21" t="str">
        <f t="shared" ca="1" si="274"/>
        <v/>
      </c>
    </row>
    <row r="3757" spans="1:11" s="18" customFormat="1" ht="14.25" x14ac:dyDescent="0.2">
      <c r="A3757" s="18" t="str">
        <f t="shared" si="276"/>
        <v>Eintrag 3756</v>
      </c>
      <c r="B3757" s="18">
        <v>100</v>
      </c>
      <c r="C3757" s="19">
        <v>100</v>
      </c>
      <c r="D3757" s="20">
        <v>10</v>
      </c>
      <c r="E3757" s="20">
        <v>10</v>
      </c>
      <c r="F3757" s="20">
        <v>10</v>
      </c>
      <c r="G3757" s="19">
        <f t="shared" si="275"/>
        <v>172</v>
      </c>
      <c r="H3757" s="22">
        <f t="shared" si="278"/>
        <v>3756</v>
      </c>
      <c r="I3757" s="21">
        <f t="shared" ca="1" si="277"/>
        <v>0</v>
      </c>
      <c r="J3757" s="21" t="str">
        <f ca="1">IF(I3757=0,"",COUNTIF($I$2:I3757,"&gt;0"))</f>
        <v/>
      </c>
      <c r="K3757" s="21" t="str">
        <f t="shared" ca="1" si="274"/>
        <v/>
      </c>
    </row>
    <row r="3758" spans="1:11" s="18" customFormat="1" ht="14.25" x14ac:dyDescent="0.2">
      <c r="A3758" s="18" t="str">
        <f t="shared" si="276"/>
        <v>Eintrag 3757</v>
      </c>
      <c r="B3758" s="18">
        <v>100</v>
      </c>
      <c r="C3758" s="19">
        <v>100</v>
      </c>
      <c r="D3758" s="20">
        <v>10</v>
      </c>
      <c r="E3758" s="20">
        <v>10</v>
      </c>
      <c r="F3758" s="20">
        <v>10</v>
      </c>
      <c r="G3758" s="19">
        <f t="shared" si="275"/>
        <v>172</v>
      </c>
      <c r="H3758" s="22">
        <f t="shared" si="278"/>
        <v>3757</v>
      </c>
      <c r="I3758" s="21">
        <f t="shared" ca="1" si="277"/>
        <v>0</v>
      </c>
      <c r="J3758" s="21" t="str">
        <f ca="1">IF(I3758=0,"",COUNTIF($I$2:I3758,"&gt;0"))</f>
        <v/>
      </c>
      <c r="K3758" s="21" t="str">
        <f t="shared" ca="1" si="274"/>
        <v/>
      </c>
    </row>
    <row r="3759" spans="1:11" s="18" customFormat="1" ht="14.25" x14ac:dyDescent="0.2">
      <c r="A3759" s="18" t="str">
        <f t="shared" si="276"/>
        <v>Eintrag 3758</v>
      </c>
      <c r="B3759" s="18">
        <v>100</v>
      </c>
      <c r="C3759" s="19">
        <v>100</v>
      </c>
      <c r="D3759" s="20">
        <v>10</v>
      </c>
      <c r="E3759" s="20">
        <v>10</v>
      </c>
      <c r="F3759" s="20">
        <v>10</v>
      </c>
      <c r="G3759" s="19">
        <f t="shared" si="275"/>
        <v>172</v>
      </c>
      <c r="H3759" s="22">
        <f t="shared" si="278"/>
        <v>3758</v>
      </c>
      <c r="I3759" s="21">
        <f t="shared" ca="1" si="277"/>
        <v>0</v>
      </c>
      <c r="J3759" s="21" t="str">
        <f ca="1">IF(I3759=0,"",COUNTIF($I$2:I3759,"&gt;0"))</f>
        <v/>
      </c>
      <c r="K3759" s="21" t="str">
        <f t="shared" ca="1" si="274"/>
        <v/>
      </c>
    </row>
    <row r="3760" spans="1:11" s="18" customFormat="1" ht="14.25" x14ac:dyDescent="0.2">
      <c r="A3760" s="18" t="str">
        <f t="shared" si="276"/>
        <v>Eintrag 3759</v>
      </c>
      <c r="B3760" s="18">
        <v>100</v>
      </c>
      <c r="C3760" s="19">
        <v>100</v>
      </c>
      <c r="D3760" s="20">
        <v>10</v>
      </c>
      <c r="E3760" s="20">
        <v>10</v>
      </c>
      <c r="F3760" s="20">
        <v>10</v>
      </c>
      <c r="G3760" s="19">
        <f t="shared" si="275"/>
        <v>172</v>
      </c>
      <c r="H3760" s="22">
        <f t="shared" si="278"/>
        <v>3759</v>
      </c>
      <c r="I3760" s="21">
        <f t="shared" ca="1" si="277"/>
        <v>0</v>
      </c>
      <c r="J3760" s="21" t="str">
        <f ca="1">IF(I3760=0,"",COUNTIF($I$2:I3760,"&gt;0"))</f>
        <v/>
      </c>
      <c r="K3760" s="21" t="str">
        <f t="shared" ca="1" si="274"/>
        <v/>
      </c>
    </row>
    <row r="3761" spans="1:11" s="18" customFormat="1" ht="14.25" x14ac:dyDescent="0.2">
      <c r="A3761" s="18" t="str">
        <f t="shared" si="276"/>
        <v>Eintrag 3760</v>
      </c>
      <c r="B3761" s="18">
        <v>100</v>
      </c>
      <c r="C3761" s="19">
        <v>100</v>
      </c>
      <c r="D3761" s="20">
        <v>10</v>
      </c>
      <c r="E3761" s="20">
        <v>10</v>
      </c>
      <c r="F3761" s="20">
        <v>10</v>
      </c>
      <c r="G3761" s="19">
        <f t="shared" si="275"/>
        <v>172</v>
      </c>
      <c r="H3761" s="22">
        <f t="shared" si="278"/>
        <v>3760</v>
      </c>
      <c r="I3761" s="21">
        <f t="shared" ca="1" si="277"/>
        <v>0</v>
      </c>
      <c r="J3761" s="21" t="str">
        <f ca="1">IF(I3761=0,"",COUNTIF($I$2:I3761,"&gt;0"))</f>
        <v/>
      </c>
      <c r="K3761" s="21" t="str">
        <f t="shared" ca="1" si="274"/>
        <v/>
      </c>
    </row>
    <row r="3762" spans="1:11" s="18" customFormat="1" ht="14.25" x14ac:dyDescent="0.2">
      <c r="A3762" s="18" t="str">
        <f t="shared" si="276"/>
        <v>Eintrag 3761</v>
      </c>
      <c r="B3762" s="18">
        <v>100</v>
      </c>
      <c r="C3762" s="19">
        <v>100</v>
      </c>
      <c r="D3762" s="20">
        <v>10</v>
      </c>
      <c r="E3762" s="20">
        <v>10</v>
      </c>
      <c r="F3762" s="20">
        <v>10</v>
      </c>
      <c r="G3762" s="19">
        <f t="shared" si="275"/>
        <v>172</v>
      </c>
      <c r="H3762" s="22">
        <f t="shared" si="278"/>
        <v>3761</v>
      </c>
      <c r="I3762" s="21">
        <f t="shared" ca="1" si="277"/>
        <v>0</v>
      </c>
      <c r="J3762" s="21" t="str">
        <f ca="1">IF(I3762=0,"",COUNTIF($I$2:I3762,"&gt;0"))</f>
        <v/>
      </c>
      <c r="K3762" s="21" t="str">
        <f t="shared" ca="1" si="274"/>
        <v/>
      </c>
    </row>
    <row r="3763" spans="1:11" s="18" customFormat="1" ht="14.25" x14ac:dyDescent="0.2">
      <c r="A3763" s="18" t="str">
        <f t="shared" si="276"/>
        <v>Eintrag 3762</v>
      </c>
      <c r="B3763" s="18">
        <v>100</v>
      </c>
      <c r="C3763" s="19">
        <v>100</v>
      </c>
      <c r="D3763" s="20">
        <v>10</v>
      </c>
      <c r="E3763" s="20">
        <v>10</v>
      </c>
      <c r="F3763" s="20">
        <v>10</v>
      </c>
      <c r="G3763" s="19">
        <f t="shared" si="275"/>
        <v>172</v>
      </c>
      <c r="H3763" s="22">
        <f t="shared" si="278"/>
        <v>3762</v>
      </c>
      <c r="I3763" s="21">
        <f t="shared" ca="1" si="277"/>
        <v>0</v>
      </c>
      <c r="J3763" s="21" t="str">
        <f ca="1">IF(I3763=0,"",COUNTIF($I$2:I3763,"&gt;0"))</f>
        <v/>
      </c>
      <c r="K3763" s="21" t="str">
        <f t="shared" ca="1" si="274"/>
        <v/>
      </c>
    </row>
    <row r="3764" spans="1:11" s="18" customFormat="1" ht="14.25" x14ac:dyDescent="0.2">
      <c r="A3764" s="18" t="str">
        <f t="shared" si="276"/>
        <v>Eintrag 3763</v>
      </c>
      <c r="B3764" s="18">
        <v>100</v>
      </c>
      <c r="C3764" s="19">
        <v>100</v>
      </c>
      <c r="D3764" s="20">
        <v>10</v>
      </c>
      <c r="E3764" s="20">
        <v>10</v>
      </c>
      <c r="F3764" s="20">
        <v>10</v>
      </c>
      <c r="G3764" s="19">
        <f t="shared" si="275"/>
        <v>172</v>
      </c>
      <c r="H3764" s="22">
        <f t="shared" si="278"/>
        <v>3763</v>
      </c>
      <c r="I3764" s="21">
        <f t="shared" ca="1" si="277"/>
        <v>0</v>
      </c>
      <c r="J3764" s="21" t="str">
        <f ca="1">IF(I3764=0,"",COUNTIF($I$2:I3764,"&gt;0"))</f>
        <v/>
      </c>
      <c r="K3764" s="21" t="str">
        <f t="shared" ca="1" si="274"/>
        <v/>
      </c>
    </row>
    <row r="3765" spans="1:11" s="18" customFormat="1" ht="14.25" x14ac:dyDescent="0.2">
      <c r="A3765" s="18" t="str">
        <f t="shared" si="276"/>
        <v>Eintrag 3764</v>
      </c>
      <c r="B3765" s="18">
        <v>100</v>
      </c>
      <c r="C3765" s="19">
        <v>100</v>
      </c>
      <c r="D3765" s="20">
        <v>10</v>
      </c>
      <c r="E3765" s="20">
        <v>10</v>
      </c>
      <c r="F3765" s="20">
        <v>10</v>
      </c>
      <c r="G3765" s="19">
        <f t="shared" si="275"/>
        <v>172</v>
      </c>
      <c r="H3765" s="22">
        <f t="shared" si="278"/>
        <v>3764</v>
      </c>
      <c r="I3765" s="21">
        <f t="shared" ca="1" si="277"/>
        <v>0</v>
      </c>
      <c r="J3765" s="21" t="str">
        <f ca="1">IF(I3765=0,"",COUNTIF($I$2:I3765,"&gt;0"))</f>
        <v/>
      </c>
      <c r="K3765" s="21" t="str">
        <f t="shared" ca="1" si="274"/>
        <v/>
      </c>
    </row>
    <row r="3766" spans="1:11" s="18" customFormat="1" ht="14.25" x14ac:dyDescent="0.2">
      <c r="A3766" s="18" t="str">
        <f t="shared" si="276"/>
        <v>Eintrag 3765</v>
      </c>
      <c r="B3766" s="18">
        <v>100</v>
      </c>
      <c r="C3766" s="19">
        <v>100</v>
      </c>
      <c r="D3766" s="20">
        <v>10</v>
      </c>
      <c r="E3766" s="20">
        <v>10</v>
      </c>
      <c r="F3766" s="20">
        <v>10</v>
      </c>
      <c r="G3766" s="19">
        <f t="shared" si="275"/>
        <v>172</v>
      </c>
      <c r="H3766" s="22">
        <f t="shared" si="278"/>
        <v>3765</v>
      </c>
      <c r="I3766" s="21">
        <f t="shared" ca="1" si="277"/>
        <v>0</v>
      </c>
      <c r="J3766" s="21" t="str">
        <f ca="1">IF(I3766=0,"",COUNTIF($I$2:I3766,"&gt;0"))</f>
        <v/>
      </c>
      <c r="K3766" s="21" t="str">
        <f t="shared" ca="1" si="274"/>
        <v/>
      </c>
    </row>
    <row r="3767" spans="1:11" s="18" customFormat="1" ht="14.25" x14ac:dyDescent="0.2">
      <c r="A3767" s="18" t="str">
        <f t="shared" si="276"/>
        <v>Eintrag 3766</v>
      </c>
      <c r="B3767" s="18">
        <v>100</v>
      </c>
      <c r="C3767" s="19">
        <v>100</v>
      </c>
      <c r="D3767" s="20">
        <v>10</v>
      </c>
      <c r="E3767" s="20">
        <v>10</v>
      </c>
      <c r="F3767" s="20">
        <v>10</v>
      </c>
      <c r="G3767" s="19">
        <f t="shared" si="275"/>
        <v>172</v>
      </c>
      <c r="H3767" s="22">
        <f t="shared" si="278"/>
        <v>3766</v>
      </c>
      <c r="I3767" s="21">
        <f t="shared" ca="1" si="277"/>
        <v>0</v>
      </c>
      <c r="J3767" s="21" t="str">
        <f ca="1">IF(I3767=0,"",COUNTIF($I$2:I3767,"&gt;0"))</f>
        <v/>
      </c>
      <c r="K3767" s="21" t="str">
        <f t="shared" ca="1" si="274"/>
        <v/>
      </c>
    </row>
    <row r="3768" spans="1:11" s="18" customFormat="1" ht="14.25" x14ac:dyDescent="0.2">
      <c r="A3768" s="18" t="str">
        <f t="shared" si="276"/>
        <v>Eintrag 3767</v>
      </c>
      <c r="B3768" s="18">
        <v>100</v>
      </c>
      <c r="C3768" s="19">
        <v>100</v>
      </c>
      <c r="D3768" s="20">
        <v>10</v>
      </c>
      <c r="E3768" s="20">
        <v>10</v>
      </c>
      <c r="F3768" s="20">
        <v>10</v>
      </c>
      <c r="G3768" s="19">
        <f t="shared" si="275"/>
        <v>172</v>
      </c>
      <c r="H3768" s="22">
        <f t="shared" si="278"/>
        <v>3767</v>
      </c>
      <c r="I3768" s="21">
        <f t="shared" ca="1" si="277"/>
        <v>0</v>
      </c>
      <c r="J3768" s="21" t="str">
        <f ca="1">IF(I3768=0,"",COUNTIF($I$2:I3768,"&gt;0"))</f>
        <v/>
      </c>
      <c r="K3768" s="21" t="str">
        <f t="shared" ca="1" si="274"/>
        <v/>
      </c>
    </row>
    <row r="3769" spans="1:11" s="18" customFormat="1" ht="14.25" x14ac:dyDescent="0.2">
      <c r="A3769" s="18" t="str">
        <f t="shared" si="276"/>
        <v>Eintrag 3768</v>
      </c>
      <c r="B3769" s="18">
        <v>100</v>
      </c>
      <c r="C3769" s="19">
        <v>100</v>
      </c>
      <c r="D3769" s="20">
        <v>10</v>
      </c>
      <c r="E3769" s="20">
        <v>10</v>
      </c>
      <c r="F3769" s="20">
        <v>10</v>
      </c>
      <c r="G3769" s="19">
        <f t="shared" si="275"/>
        <v>172</v>
      </c>
      <c r="H3769" s="22">
        <f t="shared" si="278"/>
        <v>3768</v>
      </c>
      <c r="I3769" s="21">
        <f t="shared" ca="1" si="277"/>
        <v>0</v>
      </c>
      <c r="J3769" s="21" t="str">
        <f ca="1">IF(I3769=0,"",COUNTIF($I$2:I3769,"&gt;0"))</f>
        <v/>
      </c>
      <c r="K3769" s="21" t="str">
        <f t="shared" ca="1" si="274"/>
        <v/>
      </c>
    </row>
    <row r="3770" spans="1:11" s="18" customFormat="1" ht="14.25" x14ac:dyDescent="0.2">
      <c r="A3770" s="18" t="str">
        <f t="shared" si="276"/>
        <v>Eintrag 3769</v>
      </c>
      <c r="B3770" s="18">
        <v>100</v>
      </c>
      <c r="C3770" s="19">
        <v>100</v>
      </c>
      <c r="D3770" s="20">
        <v>10</v>
      </c>
      <c r="E3770" s="20">
        <v>10</v>
      </c>
      <c r="F3770" s="20">
        <v>10</v>
      </c>
      <c r="G3770" s="19">
        <f t="shared" si="275"/>
        <v>172</v>
      </c>
      <c r="H3770" s="22">
        <f t="shared" si="278"/>
        <v>3769</v>
      </c>
      <c r="I3770" s="21">
        <f t="shared" ca="1" si="277"/>
        <v>0</v>
      </c>
      <c r="J3770" s="21" t="str">
        <f ca="1">IF(I3770=0,"",COUNTIF($I$2:I3770,"&gt;0"))</f>
        <v/>
      </c>
      <c r="K3770" s="21" t="str">
        <f t="shared" ca="1" si="274"/>
        <v/>
      </c>
    </row>
    <row r="3771" spans="1:11" s="18" customFormat="1" ht="14.25" x14ac:dyDescent="0.2">
      <c r="A3771" s="18" t="str">
        <f t="shared" si="276"/>
        <v>Eintrag 3770</v>
      </c>
      <c r="B3771" s="18">
        <v>100</v>
      </c>
      <c r="C3771" s="19">
        <v>100</v>
      </c>
      <c r="D3771" s="20">
        <v>10</v>
      </c>
      <c r="E3771" s="20">
        <v>10</v>
      </c>
      <c r="F3771" s="20">
        <v>10</v>
      </c>
      <c r="G3771" s="19">
        <f t="shared" si="275"/>
        <v>172</v>
      </c>
      <c r="H3771" s="22">
        <f t="shared" si="278"/>
        <v>3770</v>
      </c>
      <c r="I3771" s="21">
        <f t="shared" ca="1" si="277"/>
        <v>0</v>
      </c>
      <c r="J3771" s="21" t="str">
        <f ca="1">IF(I3771=0,"",COUNTIF($I$2:I3771,"&gt;0"))</f>
        <v/>
      </c>
      <c r="K3771" s="21" t="str">
        <f t="shared" ca="1" si="274"/>
        <v/>
      </c>
    </row>
    <row r="3772" spans="1:11" s="18" customFormat="1" ht="14.25" x14ac:dyDescent="0.2">
      <c r="A3772" s="18" t="str">
        <f t="shared" si="276"/>
        <v>Eintrag 3771</v>
      </c>
      <c r="B3772" s="18">
        <v>100</v>
      </c>
      <c r="C3772" s="19">
        <v>100</v>
      </c>
      <c r="D3772" s="20">
        <v>10</v>
      </c>
      <c r="E3772" s="20">
        <v>10</v>
      </c>
      <c r="F3772" s="20">
        <v>10</v>
      </c>
      <c r="G3772" s="19">
        <f t="shared" si="275"/>
        <v>172</v>
      </c>
      <c r="H3772" s="22">
        <f t="shared" si="278"/>
        <v>3771</v>
      </c>
      <c r="I3772" s="21">
        <f t="shared" ca="1" si="277"/>
        <v>0</v>
      </c>
      <c r="J3772" s="21" t="str">
        <f ca="1">IF(I3772=0,"",COUNTIF($I$2:I3772,"&gt;0"))</f>
        <v/>
      </c>
      <c r="K3772" s="21" t="str">
        <f t="shared" ca="1" si="274"/>
        <v/>
      </c>
    </row>
    <row r="3773" spans="1:11" s="18" customFormat="1" ht="14.25" x14ac:dyDescent="0.2">
      <c r="A3773" s="18" t="str">
        <f t="shared" si="276"/>
        <v>Eintrag 3772</v>
      </c>
      <c r="B3773" s="18">
        <v>100</v>
      </c>
      <c r="C3773" s="19">
        <v>100</v>
      </c>
      <c r="D3773" s="20">
        <v>10</v>
      </c>
      <c r="E3773" s="20">
        <v>10</v>
      </c>
      <c r="F3773" s="20">
        <v>10</v>
      </c>
      <c r="G3773" s="19">
        <f t="shared" si="275"/>
        <v>172</v>
      </c>
      <c r="H3773" s="22">
        <f t="shared" si="278"/>
        <v>3772</v>
      </c>
      <c r="I3773" s="21">
        <f t="shared" ca="1" si="277"/>
        <v>0</v>
      </c>
      <c r="J3773" s="21" t="str">
        <f ca="1">IF(I3773=0,"",COUNTIF($I$2:I3773,"&gt;0"))</f>
        <v/>
      </c>
      <c r="K3773" s="21" t="str">
        <f t="shared" ca="1" si="274"/>
        <v/>
      </c>
    </row>
    <row r="3774" spans="1:11" s="18" customFormat="1" ht="14.25" x14ac:dyDescent="0.2">
      <c r="A3774" s="18" t="str">
        <f t="shared" si="276"/>
        <v>Eintrag 3773</v>
      </c>
      <c r="B3774" s="18">
        <v>100</v>
      </c>
      <c r="C3774" s="19">
        <v>100</v>
      </c>
      <c r="D3774" s="20">
        <v>10</v>
      </c>
      <c r="E3774" s="20">
        <v>10</v>
      </c>
      <c r="F3774" s="20">
        <v>10</v>
      </c>
      <c r="G3774" s="19">
        <f t="shared" si="275"/>
        <v>172</v>
      </c>
      <c r="H3774" s="22">
        <f t="shared" si="278"/>
        <v>3773</v>
      </c>
      <c r="I3774" s="21">
        <f t="shared" ca="1" si="277"/>
        <v>0</v>
      </c>
      <c r="J3774" s="21" t="str">
        <f ca="1">IF(I3774=0,"",COUNTIF($I$2:I3774,"&gt;0"))</f>
        <v/>
      </c>
      <c r="K3774" s="21" t="str">
        <f t="shared" ca="1" si="274"/>
        <v/>
      </c>
    </row>
    <row r="3775" spans="1:11" s="18" customFormat="1" ht="14.25" x14ac:dyDescent="0.2">
      <c r="A3775" s="18" t="str">
        <f t="shared" si="276"/>
        <v>Eintrag 3774</v>
      </c>
      <c r="B3775" s="18">
        <v>100</v>
      </c>
      <c r="C3775" s="19">
        <v>100</v>
      </c>
      <c r="D3775" s="20">
        <v>10</v>
      </c>
      <c r="E3775" s="20">
        <v>10</v>
      </c>
      <c r="F3775" s="20">
        <v>10</v>
      </c>
      <c r="G3775" s="19">
        <f t="shared" si="275"/>
        <v>172</v>
      </c>
      <c r="H3775" s="22">
        <f t="shared" si="278"/>
        <v>3774</v>
      </c>
      <c r="I3775" s="21">
        <f t="shared" ca="1" si="277"/>
        <v>0</v>
      </c>
      <c r="J3775" s="21" t="str">
        <f ca="1">IF(I3775=0,"",COUNTIF($I$2:I3775,"&gt;0"))</f>
        <v/>
      </c>
      <c r="K3775" s="21" t="str">
        <f t="shared" ca="1" si="274"/>
        <v/>
      </c>
    </row>
    <row r="3776" spans="1:11" s="18" customFormat="1" ht="14.25" x14ac:dyDescent="0.2">
      <c r="A3776" s="18" t="str">
        <f t="shared" si="276"/>
        <v>Eintrag 3775</v>
      </c>
      <c r="B3776" s="18">
        <v>100</v>
      </c>
      <c r="C3776" s="19">
        <v>100</v>
      </c>
      <c r="D3776" s="20">
        <v>10</v>
      </c>
      <c r="E3776" s="20">
        <v>10</v>
      </c>
      <c r="F3776" s="20">
        <v>10</v>
      </c>
      <c r="G3776" s="19">
        <f t="shared" si="275"/>
        <v>172</v>
      </c>
      <c r="H3776" s="22">
        <f t="shared" si="278"/>
        <v>3775</v>
      </c>
      <c r="I3776" s="21">
        <f t="shared" ca="1" si="277"/>
        <v>0</v>
      </c>
      <c r="J3776" s="21" t="str">
        <f ca="1">IF(I3776=0,"",COUNTIF($I$2:I3776,"&gt;0"))</f>
        <v/>
      </c>
      <c r="K3776" s="21" t="str">
        <f t="shared" ca="1" si="274"/>
        <v/>
      </c>
    </row>
    <row r="3777" spans="1:11" s="18" customFormat="1" ht="14.25" x14ac:dyDescent="0.2">
      <c r="A3777" s="18" t="str">
        <f t="shared" si="276"/>
        <v>Eintrag 3776</v>
      </c>
      <c r="B3777" s="18">
        <v>100</v>
      </c>
      <c r="C3777" s="19">
        <v>100</v>
      </c>
      <c r="D3777" s="20">
        <v>10</v>
      </c>
      <c r="E3777" s="20">
        <v>10</v>
      </c>
      <c r="F3777" s="20">
        <v>10</v>
      </c>
      <c r="G3777" s="19">
        <f t="shared" si="275"/>
        <v>172</v>
      </c>
      <c r="H3777" s="22">
        <f t="shared" si="278"/>
        <v>3776</v>
      </c>
      <c r="I3777" s="21">
        <f t="shared" ca="1" si="277"/>
        <v>0</v>
      </c>
      <c r="J3777" s="21" t="str">
        <f ca="1">IF(I3777=0,"",COUNTIF($I$2:I3777,"&gt;0"))</f>
        <v/>
      </c>
      <c r="K3777" s="21" t="str">
        <f t="shared" ca="1" si="274"/>
        <v/>
      </c>
    </row>
    <row r="3778" spans="1:11" s="18" customFormat="1" ht="14.25" x14ac:dyDescent="0.2">
      <c r="A3778" s="18" t="str">
        <f t="shared" si="276"/>
        <v>Eintrag 3777</v>
      </c>
      <c r="B3778" s="18">
        <v>100</v>
      </c>
      <c r="C3778" s="19">
        <v>100</v>
      </c>
      <c r="D3778" s="20">
        <v>10</v>
      </c>
      <c r="E3778" s="20">
        <v>10</v>
      </c>
      <c r="F3778" s="20">
        <v>10</v>
      </c>
      <c r="G3778" s="19">
        <f t="shared" si="275"/>
        <v>172</v>
      </c>
      <c r="H3778" s="22">
        <f t="shared" si="278"/>
        <v>3777</v>
      </c>
      <c r="I3778" s="21">
        <f t="shared" ca="1" si="277"/>
        <v>0</v>
      </c>
      <c r="J3778" s="21" t="str">
        <f ca="1">IF(I3778=0,"",COUNTIF($I$2:I3778,"&gt;0"))</f>
        <v/>
      </c>
      <c r="K3778" s="21" t="str">
        <f t="shared" ref="K3778:K3841" ca="1" si="279">IFERROR(INDEX(A:A,MATCH(ROW(I3777),J:J,0)),"")</f>
        <v/>
      </c>
    </row>
    <row r="3779" spans="1:11" s="18" customFormat="1" ht="14.25" x14ac:dyDescent="0.2">
      <c r="A3779" s="18" t="str">
        <f t="shared" si="276"/>
        <v>Eintrag 3778</v>
      </c>
      <c r="B3779" s="18">
        <v>100</v>
      </c>
      <c r="C3779" s="19">
        <v>100</v>
      </c>
      <c r="D3779" s="20">
        <v>10</v>
      </c>
      <c r="E3779" s="20">
        <v>10</v>
      </c>
      <c r="F3779" s="20">
        <v>10</v>
      </c>
      <c r="G3779" s="19">
        <f t="shared" ref="G3779:G3842" si="280">D3779*9+E3779*4.1+F3779*4.1</f>
        <v>172</v>
      </c>
      <c r="H3779" s="22">
        <f t="shared" si="278"/>
        <v>3778</v>
      </c>
      <c r="I3779" s="21">
        <f t="shared" ca="1" si="277"/>
        <v>0</v>
      </c>
      <c r="J3779" s="21" t="str">
        <f ca="1">IF(I3779=0,"",COUNTIF($I$2:I3779,"&gt;0"))</f>
        <v/>
      </c>
      <c r="K3779" s="21" t="str">
        <f t="shared" ca="1" si="279"/>
        <v/>
      </c>
    </row>
    <row r="3780" spans="1:11" s="18" customFormat="1" ht="14.25" x14ac:dyDescent="0.2">
      <c r="A3780" s="18" t="str">
        <f t="shared" si="276"/>
        <v>Eintrag 3779</v>
      </c>
      <c r="B3780" s="18">
        <v>100</v>
      </c>
      <c r="C3780" s="19">
        <v>100</v>
      </c>
      <c r="D3780" s="20">
        <v>10</v>
      </c>
      <c r="E3780" s="20">
        <v>10</v>
      </c>
      <c r="F3780" s="20">
        <v>10</v>
      </c>
      <c r="G3780" s="19">
        <f t="shared" si="280"/>
        <v>172</v>
      </c>
      <c r="H3780" s="22">
        <f t="shared" si="278"/>
        <v>3779</v>
      </c>
      <c r="I3780" s="21">
        <f t="shared" ca="1" si="277"/>
        <v>0</v>
      </c>
      <c r="J3780" s="21" t="str">
        <f ca="1">IF(I3780=0,"",COUNTIF($I$2:I3780,"&gt;0"))</f>
        <v/>
      </c>
      <c r="K3780" s="21" t="str">
        <f t="shared" ca="1" si="279"/>
        <v/>
      </c>
    </row>
    <row r="3781" spans="1:11" s="18" customFormat="1" ht="14.25" x14ac:dyDescent="0.2">
      <c r="A3781" s="18" t="str">
        <f t="shared" si="276"/>
        <v>Eintrag 3780</v>
      </c>
      <c r="B3781" s="18">
        <v>100</v>
      </c>
      <c r="C3781" s="19">
        <v>100</v>
      </c>
      <c r="D3781" s="20">
        <v>10</v>
      </c>
      <c r="E3781" s="20">
        <v>10</v>
      </c>
      <c r="F3781" s="20">
        <v>10</v>
      </c>
      <c r="G3781" s="19">
        <f t="shared" si="280"/>
        <v>172</v>
      </c>
      <c r="H3781" s="22">
        <f t="shared" si="278"/>
        <v>3780</v>
      </c>
      <c r="I3781" s="21">
        <f t="shared" ca="1" si="277"/>
        <v>0</v>
      </c>
      <c r="J3781" s="21" t="str">
        <f ca="1">IF(I3781=0,"",COUNTIF($I$2:I3781,"&gt;0"))</f>
        <v/>
      </c>
      <c r="K3781" s="21" t="str">
        <f t="shared" ca="1" si="279"/>
        <v/>
      </c>
    </row>
    <row r="3782" spans="1:11" s="18" customFormat="1" ht="14.25" x14ac:dyDescent="0.2">
      <c r="A3782" s="18" t="str">
        <f t="shared" si="276"/>
        <v>Eintrag 3781</v>
      </c>
      <c r="B3782" s="18">
        <v>100</v>
      </c>
      <c r="C3782" s="19">
        <v>100</v>
      </c>
      <c r="D3782" s="20">
        <v>10</v>
      </c>
      <c r="E3782" s="20">
        <v>10</v>
      </c>
      <c r="F3782" s="20">
        <v>10</v>
      </c>
      <c r="G3782" s="19">
        <f t="shared" si="280"/>
        <v>172</v>
      </c>
      <c r="H3782" s="22">
        <f t="shared" si="278"/>
        <v>3781</v>
      </c>
      <c r="I3782" s="21">
        <f t="shared" ca="1" si="277"/>
        <v>0</v>
      </c>
      <c r="J3782" s="21" t="str">
        <f ca="1">IF(I3782=0,"",COUNTIF($I$2:I3782,"&gt;0"))</f>
        <v/>
      </c>
      <c r="K3782" s="21" t="str">
        <f t="shared" ca="1" si="279"/>
        <v/>
      </c>
    </row>
    <row r="3783" spans="1:11" s="18" customFormat="1" ht="14.25" x14ac:dyDescent="0.2">
      <c r="A3783" s="18" t="str">
        <f t="shared" si="276"/>
        <v>Eintrag 3782</v>
      </c>
      <c r="B3783" s="18">
        <v>100</v>
      </c>
      <c r="C3783" s="19">
        <v>100</v>
      </c>
      <c r="D3783" s="20">
        <v>10</v>
      </c>
      <c r="E3783" s="20">
        <v>10</v>
      </c>
      <c r="F3783" s="20">
        <v>10</v>
      </c>
      <c r="G3783" s="19">
        <f t="shared" si="280"/>
        <v>172</v>
      </c>
      <c r="H3783" s="22">
        <f t="shared" si="278"/>
        <v>3782</v>
      </c>
      <c r="I3783" s="21">
        <f t="shared" ca="1" si="277"/>
        <v>0</v>
      </c>
      <c r="J3783" s="21" t="str">
        <f ca="1">IF(I3783=0,"",COUNTIF($I$2:I3783,"&gt;0"))</f>
        <v/>
      </c>
      <c r="K3783" s="21" t="str">
        <f t="shared" ca="1" si="279"/>
        <v/>
      </c>
    </row>
    <row r="3784" spans="1:11" s="18" customFormat="1" ht="14.25" x14ac:dyDescent="0.2">
      <c r="A3784" s="18" t="str">
        <f t="shared" si="276"/>
        <v>Eintrag 3783</v>
      </c>
      <c r="B3784" s="18">
        <v>100</v>
      </c>
      <c r="C3784" s="19">
        <v>100</v>
      </c>
      <c r="D3784" s="20">
        <v>10</v>
      </c>
      <c r="E3784" s="20">
        <v>10</v>
      </c>
      <c r="F3784" s="20">
        <v>10</v>
      </c>
      <c r="G3784" s="19">
        <f t="shared" si="280"/>
        <v>172</v>
      </c>
      <c r="H3784" s="22">
        <f t="shared" si="278"/>
        <v>3783</v>
      </c>
      <c r="I3784" s="21">
        <f t="shared" ca="1" si="277"/>
        <v>0</v>
      </c>
      <c r="J3784" s="21" t="str">
        <f ca="1">IF(I3784=0,"",COUNTIF($I$2:I3784,"&gt;0"))</f>
        <v/>
      </c>
      <c r="K3784" s="21" t="str">
        <f t="shared" ca="1" si="279"/>
        <v/>
      </c>
    </row>
    <row r="3785" spans="1:11" s="18" customFormat="1" ht="14.25" x14ac:dyDescent="0.2">
      <c r="A3785" s="18" t="str">
        <f t="shared" si="276"/>
        <v>Eintrag 3784</v>
      </c>
      <c r="B3785" s="18">
        <v>100</v>
      </c>
      <c r="C3785" s="19">
        <v>100</v>
      </c>
      <c r="D3785" s="20">
        <v>10</v>
      </c>
      <c r="E3785" s="20">
        <v>10</v>
      </c>
      <c r="F3785" s="20">
        <v>10</v>
      </c>
      <c r="G3785" s="19">
        <f t="shared" si="280"/>
        <v>172</v>
      </c>
      <c r="H3785" s="22">
        <f t="shared" si="278"/>
        <v>3784</v>
      </c>
      <c r="I3785" s="21">
        <f t="shared" ca="1" si="277"/>
        <v>0</v>
      </c>
      <c r="J3785" s="21" t="str">
        <f ca="1">IF(I3785=0,"",COUNTIF($I$2:I3785,"&gt;0"))</f>
        <v/>
      </c>
      <c r="K3785" s="21" t="str">
        <f t="shared" ca="1" si="279"/>
        <v/>
      </c>
    </row>
    <row r="3786" spans="1:11" s="18" customFormat="1" ht="14.25" x14ac:dyDescent="0.2">
      <c r="A3786" s="18" t="str">
        <f t="shared" si="276"/>
        <v>Eintrag 3785</v>
      </c>
      <c r="B3786" s="18">
        <v>100</v>
      </c>
      <c r="C3786" s="19">
        <v>100</v>
      </c>
      <c r="D3786" s="20">
        <v>10</v>
      </c>
      <c r="E3786" s="20">
        <v>10</v>
      </c>
      <c r="F3786" s="20">
        <v>10</v>
      </c>
      <c r="G3786" s="19">
        <f t="shared" si="280"/>
        <v>172</v>
      </c>
      <c r="H3786" s="22">
        <f t="shared" si="278"/>
        <v>3785</v>
      </c>
      <c r="I3786" s="21">
        <f t="shared" ca="1" si="277"/>
        <v>0</v>
      </c>
      <c r="J3786" s="21" t="str">
        <f ca="1">IF(I3786=0,"",COUNTIF($I$2:I3786,"&gt;0"))</f>
        <v/>
      </c>
      <c r="K3786" s="21" t="str">
        <f t="shared" ca="1" si="279"/>
        <v/>
      </c>
    </row>
    <row r="3787" spans="1:11" s="18" customFormat="1" ht="14.25" x14ac:dyDescent="0.2">
      <c r="A3787" s="18" t="str">
        <f t="shared" si="276"/>
        <v>Eintrag 3786</v>
      </c>
      <c r="B3787" s="18">
        <v>100</v>
      </c>
      <c r="C3787" s="19">
        <v>100</v>
      </c>
      <c r="D3787" s="20">
        <v>10</v>
      </c>
      <c r="E3787" s="20">
        <v>10</v>
      </c>
      <c r="F3787" s="20">
        <v>10</v>
      </c>
      <c r="G3787" s="19">
        <f t="shared" si="280"/>
        <v>172</v>
      </c>
      <c r="H3787" s="22">
        <f t="shared" si="278"/>
        <v>3786</v>
      </c>
      <c r="I3787" s="21">
        <f t="shared" ca="1" si="277"/>
        <v>0</v>
      </c>
      <c r="J3787" s="21" t="str">
        <f ca="1">IF(I3787=0,"",COUNTIF($I$2:I3787,"&gt;0"))</f>
        <v/>
      </c>
      <c r="K3787" s="21" t="str">
        <f t="shared" ca="1" si="279"/>
        <v/>
      </c>
    </row>
    <row r="3788" spans="1:11" s="18" customFormat="1" ht="14.25" x14ac:dyDescent="0.2">
      <c r="A3788" s="18" t="str">
        <f t="shared" si="276"/>
        <v>Eintrag 3787</v>
      </c>
      <c r="B3788" s="18">
        <v>100</v>
      </c>
      <c r="C3788" s="19">
        <v>100</v>
      </c>
      <c r="D3788" s="20">
        <v>10</v>
      </c>
      <c r="E3788" s="20">
        <v>10</v>
      </c>
      <c r="F3788" s="20">
        <v>10</v>
      </c>
      <c r="G3788" s="19">
        <f t="shared" si="280"/>
        <v>172</v>
      </c>
      <c r="H3788" s="22">
        <f t="shared" si="278"/>
        <v>3787</v>
      </c>
      <c r="I3788" s="21">
        <f t="shared" ca="1" si="277"/>
        <v>0</v>
      </c>
      <c r="J3788" s="21" t="str">
        <f ca="1">IF(I3788=0,"",COUNTIF($I$2:I3788,"&gt;0"))</f>
        <v/>
      </c>
      <c r="K3788" s="21" t="str">
        <f t="shared" ca="1" si="279"/>
        <v/>
      </c>
    </row>
    <row r="3789" spans="1:11" s="18" customFormat="1" ht="14.25" x14ac:dyDescent="0.2">
      <c r="A3789" s="18" t="str">
        <f t="shared" ref="A3789:A3952" si="281">CONCATENATE("Eintrag ",H3789)</f>
        <v>Eintrag 3788</v>
      </c>
      <c r="B3789" s="18">
        <v>100</v>
      </c>
      <c r="C3789" s="19">
        <v>100</v>
      </c>
      <c r="D3789" s="20">
        <v>10</v>
      </c>
      <c r="E3789" s="20">
        <v>10</v>
      </c>
      <c r="F3789" s="20">
        <v>10</v>
      </c>
      <c r="G3789" s="19">
        <f t="shared" si="280"/>
        <v>172</v>
      </c>
      <c r="H3789" s="22">
        <f t="shared" si="278"/>
        <v>3788</v>
      </c>
      <c r="I3789" s="21">
        <f t="shared" ca="1" si="277"/>
        <v>0</v>
      </c>
      <c r="J3789" s="21" t="str">
        <f ca="1">IF(I3789=0,"",COUNTIF($I$2:I3789,"&gt;0"))</f>
        <v/>
      </c>
      <c r="K3789" s="21" t="str">
        <f t="shared" ca="1" si="279"/>
        <v/>
      </c>
    </row>
    <row r="3790" spans="1:11" s="18" customFormat="1" ht="14.25" x14ac:dyDescent="0.2">
      <c r="A3790" s="18" t="str">
        <f t="shared" si="281"/>
        <v>Eintrag 3789</v>
      </c>
      <c r="B3790" s="18">
        <v>100</v>
      </c>
      <c r="C3790" s="19">
        <v>100</v>
      </c>
      <c r="D3790" s="20">
        <v>10</v>
      </c>
      <c r="E3790" s="20">
        <v>10</v>
      </c>
      <c r="F3790" s="20">
        <v>10</v>
      </c>
      <c r="G3790" s="19">
        <f t="shared" si="280"/>
        <v>172</v>
      </c>
      <c r="H3790" s="22">
        <f t="shared" si="278"/>
        <v>3789</v>
      </c>
      <c r="I3790" s="21">
        <f t="shared" ca="1" si="277"/>
        <v>0</v>
      </c>
      <c r="J3790" s="21" t="str">
        <f ca="1">IF(I3790=0,"",COUNTIF($I$2:I3790,"&gt;0"))</f>
        <v/>
      </c>
      <c r="K3790" s="21" t="str">
        <f t="shared" ca="1" si="279"/>
        <v/>
      </c>
    </row>
    <row r="3791" spans="1:11" s="18" customFormat="1" ht="14.25" x14ac:dyDescent="0.2">
      <c r="A3791" s="18" t="str">
        <f t="shared" si="281"/>
        <v>Eintrag 3790</v>
      </c>
      <c r="B3791" s="18">
        <v>100</v>
      </c>
      <c r="C3791" s="19">
        <v>100</v>
      </c>
      <c r="D3791" s="20">
        <v>10</v>
      </c>
      <c r="E3791" s="20">
        <v>10</v>
      </c>
      <c r="F3791" s="20">
        <v>10</v>
      </c>
      <c r="G3791" s="19">
        <f t="shared" si="280"/>
        <v>172</v>
      </c>
      <c r="H3791" s="22">
        <f t="shared" si="278"/>
        <v>3790</v>
      </c>
      <c r="I3791" s="21">
        <f t="shared" ca="1" si="277"/>
        <v>0</v>
      </c>
      <c r="J3791" s="21" t="str">
        <f ca="1">IF(I3791=0,"",COUNTIF($I$2:I3791,"&gt;0"))</f>
        <v/>
      </c>
      <c r="K3791" s="21" t="str">
        <f t="shared" ca="1" si="279"/>
        <v/>
      </c>
    </row>
    <row r="3792" spans="1:11" s="18" customFormat="1" ht="14.25" x14ac:dyDescent="0.2">
      <c r="A3792" s="18" t="str">
        <f t="shared" si="281"/>
        <v>Eintrag 3791</v>
      </c>
      <c r="B3792" s="18">
        <v>100</v>
      </c>
      <c r="C3792" s="19">
        <v>100</v>
      </c>
      <c r="D3792" s="20">
        <v>10</v>
      </c>
      <c r="E3792" s="20">
        <v>10</v>
      </c>
      <c r="F3792" s="20">
        <v>10</v>
      </c>
      <c r="G3792" s="19">
        <f t="shared" si="280"/>
        <v>172</v>
      </c>
      <c r="H3792" s="22">
        <f t="shared" si="278"/>
        <v>3791</v>
      </c>
      <c r="I3792" s="21">
        <f t="shared" ca="1" si="277"/>
        <v>0</v>
      </c>
      <c r="J3792" s="21" t="str">
        <f ca="1">IF(I3792=0,"",COUNTIF($I$2:I3792,"&gt;0"))</f>
        <v/>
      </c>
      <c r="K3792" s="21" t="str">
        <f t="shared" ca="1" si="279"/>
        <v/>
      </c>
    </row>
    <row r="3793" spans="1:11" s="18" customFormat="1" ht="14.25" x14ac:dyDescent="0.2">
      <c r="A3793" s="18" t="str">
        <f t="shared" si="281"/>
        <v>Eintrag 3792</v>
      </c>
      <c r="B3793" s="18">
        <v>100</v>
      </c>
      <c r="C3793" s="19">
        <v>100</v>
      </c>
      <c r="D3793" s="20">
        <v>10</v>
      </c>
      <c r="E3793" s="20">
        <v>10</v>
      </c>
      <c r="F3793" s="20">
        <v>10</v>
      </c>
      <c r="G3793" s="19">
        <f t="shared" si="280"/>
        <v>172</v>
      </c>
      <c r="H3793" s="22">
        <f t="shared" si="278"/>
        <v>3792</v>
      </c>
      <c r="I3793" s="21">
        <f t="shared" ca="1" si="277"/>
        <v>0</v>
      </c>
      <c r="J3793" s="21" t="str">
        <f ca="1">IF(I3793=0,"",COUNTIF($I$2:I3793,"&gt;0"))</f>
        <v/>
      </c>
      <c r="K3793" s="21" t="str">
        <f t="shared" ca="1" si="279"/>
        <v/>
      </c>
    </row>
    <row r="3794" spans="1:11" s="18" customFormat="1" ht="14.25" x14ac:dyDescent="0.2">
      <c r="A3794" s="18" t="str">
        <f t="shared" si="281"/>
        <v>Eintrag 3793</v>
      </c>
      <c r="B3794" s="18">
        <v>100</v>
      </c>
      <c r="C3794" s="19">
        <v>100</v>
      </c>
      <c r="D3794" s="20">
        <v>10</v>
      </c>
      <c r="E3794" s="20">
        <v>10</v>
      </c>
      <c r="F3794" s="20">
        <v>10</v>
      </c>
      <c r="G3794" s="19">
        <f t="shared" si="280"/>
        <v>172</v>
      </c>
      <c r="H3794" s="22">
        <f t="shared" si="278"/>
        <v>3793</v>
      </c>
      <c r="I3794" s="21">
        <f t="shared" ca="1" si="277"/>
        <v>0</v>
      </c>
      <c r="J3794" s="21" t="str">
        <f ca="1">IF(I3794=0,"",COUNTIF($I$2:I3794,"&gt;0"))</f>
        <v/>
      </c>
      <c r="K3794" s="21" t="str">
        <f t="shared" ca="1" si="279"/>
        <v/>
      </c>
    </row>
    <row r="3795" spans="1:11" s="18" customFormat="1" ht="14.25" x14ac:dyDescent="0.2">
      <c r="A3795" s="18" t="str">
        <f t="shared" si="281"/>
        <v>Eintrag 3794</v>
      </c>
      <c r="B3795" s="18">
        <v>100</v>
      </c>
      <c r="C3795" s="19">
        <v>100</v>
      </c>
      <c r="D3795" s="20">
        <v>10</v>
      </c>
      <c r="E3795" s="20">
        <v>10</v>
      </c>
      <c r="F3795" s="20">
        <v>10</v>
      </c>
      <c r="G3795" s="19">
        <f t="shared" si="280"/>
        <v>172</v>
      </c>
      <c r="H3795" s="22">
        <f t="shared" si="278"/>
        <v>3794</v>
      </c>
      <c r="I3795" s="21">
        <f t="shared" ca="1" si="277"/>
        <v>0</v>
      </c>
      <c r="J3795" s="21" t="str">
        <f ca="1">IF(I3795=0,"",COUNTIF($I$2:I3795,"&gt;0"))</f>
        <v/>
      </c>
      <c r="K3795" s="21" t="str">
        <f t="shared" ca="1" si="279"/>
        <v/>
      </c>
    </row>
    <row r="3796" spans="1:11" s="18" customFormat="1" ht="14.25" x14ac:dyDescent="0.2">
      <c r="A3796" s="18" t="str">
        <f t="shared" si="281"/>
        <v>Eintrag 3795</v>
      </c>
      <c r="B3796" s="18">
        <v>100</v>
      </c>
      <c r="C3796" s="19">
        <v>100</v>
      </c>
      <c r="D3796" s="20">
        <v>10</v>
      </c>
      <c r="E3796" s="20">
        <v>10</v>
      </c>
      <c r="F3796" s="20">
        <v>10</v>
      </c>
      <c r="G3796" s="19">
        <f t="shared" si="280"/>
        <v>172</v>
      </c>
      <c r="H3796" s="22">
        <f t="shared" si="278"/>
        <v>3795</v>
      </c>
      <c r="I3796" s="21">
        <f t="shared" ca="1" si="277"/>
        <v>0</v>
      </c>
      <c r="J3796" s="21" t="str">
        <f ca="1">IF(I3796=0,"",COUNTIF($I$2:I3796,"&gt;0"))</f>
        <v/>
      </c>
      <c r="K3796" s="21" t="str">
        <f t="shared" ca="1" si="279"/>
        <v/>
      </c>
    </row>
    <row r="3797" spans="1:11" s="18" customFormat="1" ht="14.25" x14ac:dyDescent="0.2">
      <c r="A3797" s="18" t="str">
        <f t="shared" si="281"/>
        <v>Eintrag 3796</v>
      </c>
      <c r="B3797" s="18">
        <v>100</v>
      </c>
      <c r="C3797" s="19">
        <v>100</v>
      </c>
      <c r="D3797" s="20">
        <v>10</v>
      </c>
      <c r="E3797" s="20">
        <v>10</v>
      </c>
      <c r="F3797" s="20">
        <v>10</v>
      </c>
      <c r="G3797" s="19">
        <f t="shared" si="280"/>
        <v>172</v>
      </c>
      <c r="H3797" s="22">
        <f t="shared" si="278"/>
        <v>3796</v>
      </c>
      <c r="I3797" s="21">
        <f t="shared" ca="1" si="277"/>
        <v>0</v>
      </c>
      <c r="J3797" s="21" t="str">
        <f ca="1">IF(I3797=0,"",COUNTIF($I$2:I3797,"&gt;0"))</f>
        <v/>
      </c>
      <c r="K3797" s="21" t="str">
        <f t="shared" ca="1" si="279"/>
        <v/>
      </c>
    </row>
    <row r="3798" spans="1:11" s="18" customFormat="1" ht="14.25" x14ac:dyDescent="0.2">
      <c r="A3798" s="18" t="str">
        <f t="shared" si="281"/>
        <v>Eintrag 3797</v>
      </c>
      <c r="B3798" s="18">
        <v>100</v>
      </c>
      <c r="C3798" s="19">
        <v>100</v>
      </c>
      <c r="D3798" s="20">
        <v>10</v>
      </c>
      <c r="E3798" s="20">
        <v>10</v>
      </c>
      <c r="F3798" s="20">
        <v>10</v>
      </c>
      <c r="G3798" s="19">
        <f t="shared" si="280"/>
        <v>172</v>
      </c>
      <c r="H3798" s="22">
        <f t="shared" si="278"/>
        <v>3797</v>
      </c>
      <c r="I3798" s="21">
        <f t="shared" ca="1" si="277"/>
        <v>0</v>
      </c>
      <c r="J3798" s="21" t="str">
        <f ca="1">IF(I3798=0,"",COUNTIF($I$2:I3798,"&gt;0"))</f>
        <v/>
      </c>
      <c r="K3798" s="21" t="str">
        <f t="shared" ca="1" si="279"/>
        <v/>
      </c>
    </row>
    <row r="3799" spans="1:11" s="18" customFormat="1" ht="14.25" x14ac:dyDescent="0.2">
      <c r="A3799" s="18" t="str">
        <f t="shared" si="281"/>
        <v>Eintrag 3798</v>
      </c>
      <c r="B3799" s="18">
        <v>100</v>
      </c>
      <c r="C3799" s="19">
        <v>100</v>
      </c>
      <c r="D3799" s="20">
        <v>10</v>
      </c>
      <c r="E3799" s="20">
        <v>10</v>
      </c>
      <c r="F3799" s="20">
        <v>10</v>
      </c>
      <c r="G3799" s="19">
        <f t="shared" si="280"/>
        <v>172</v>
      </c>
      <c r="H3799" s="22">
        <f t="shared" si="278"/>
        <v>3798</v>
      </c>
      <c r="I3799" s="21">
        <f t="shared" ca="1" si="277"/>
        <v>0</v>
      </c>
      <c r="J3799" s="21" t="str">
        <f ca="1">IF(I3799=0,"",COUNTIF($I$2:I3799,"&gt;0"))</f>
        <v/>
      </c>
      <c r="K3799" s="21" t="str">
        <f t="shared" ca="1" si="279"/>
        <v/>
      </c>
    </row>
    <row r="3800" spans="1:11" s="18" customFormat="1" ht="14.25" x14ac:dyDescent="0.2">
      <c r="A3800" s="18" t="str">
        <f t="shared" si="281"/>
        <v>Eintrag 3799</v>
      </c>
      <c r="B3800" s="18">
        <v>100</v>
      </c>
      <c r="C3800" s="19">
        <v>100</v>
      </c>
      <c r="D3800" s="20">
        <v>10</v>
      </c>
      <c r="E3800" s="20">
        <v>10</v>
      </c>
      <c r="F3800" s="20">
        <v>10</v>
      </c>
      <c r="G3800" s="19">
        <f t="shared" si="280"/>
        <v>172</v>
      </c>
      <c r="H3800" s="22">
        <f t="shared" si="278"/>
        <v>3799</v>
      </c>
      <c r="I3800" s="21">
        <f t="shared" ca="1" si="277"/>
        <v>0</v>
      </c>
      <c r="J3800" s="21" t="str">
        <f ca="1">IF(I3800=0,"",COUNTIF($I$2:I3800,"&gt;0"))</f>
        <v/>
      </c>
      <c r="K3800" s="21" t="str">
        <f t="shared" ca="1" si="279"/>
        <v/>
      </c>
    </row>
    <row r="3801" spans="1:11" s="18" customFormat="1" ht="14.25" x14ac:dyDescent="0.2">
      <c r="A3801" s="18" t="str">
        <f t="shared" si="281"/>
        <v>Eintrag 3800</v>
      </c>
      <c r="B3801" s="18">
        <v>100</v>
      </c>
      <c r="C3801" s="19">
        <v>100</v>
      </c>
      <c r="D3801" s="20">
        <v>10</v>
      </c>
      <c r="E3801" s="20">
        <v>10</v>
      </c>
      <c r="F3801" s="20">
        <v>10</v>
      </c>
      <c r="G3801" s="19">
        <f t="shared" si="280"/>
        <v>172</v>
      </c>
      <c r="H3801" s="22">
        <f t="shared" si="278"/>
        <v>3800</v>
      </c>
      <c r="I3801" s="21">
        <f t="shared" ca="1" si="277"/>
        <v>0</v>
      </c>
      <c r="J3801" s="21" t="str">
        <f ca="1">IF(I3801=0,"",COUNTIF($I$2:I3801,"&gt;0"))</f>
        <v/>
      </c>
      <c r="K3801" s="21" t="str">
        <f t="shared" ca="1" si="279"/>
        <v/>
      </c>
    </row>
    <row r="3802" spans="1:11" s="18" customFormat="1" ht="14.25" x14ac:dyDescent="0.2">
      <c r="A3802" s="18" t="str">
        <f t="shared" si="281"/>
        <v>Eintrag 3801</v>
      </c>
      <c r="B3802" s="18">
        <v>100</v>
      </c>
      <c r="C3802" s="19">
        <v>100</v>
      </c>
      <c r="D3802" s="20">
        <v>10</v>
      </c>
      <c r="E3802" s="20">
        <v>10</v>
      </c>
      <c r="F3802" s="20">
        <v>10</v>
      </c>
      <c r="G3802" s="19">
        <f t="shared" si="280"/>
        <v>172</v>
      </c>
      <c r="H3802" s="22">
        <f t="shared" si="278"/>
        <v>3801</v>
      </c>
      <c r="I3802" s="21">
        <f t="shared" ca="1" si="277"/>
        <v>0</v>
      </c>
      <c r="J3802" s="21" t="str">
        <f ca="1">IF(I3802=0,"",COUNTIF($I$2:I3802,"&gt;0"))</f>
        <v/>
      </c>
      <c r="K3802" s="21" t="str">
        <f t="shared" ca="1" si="279"/>
        <v/>
      </c>
    </row>
    <row r="3803" spans="1:11" s="18" customFormat="1" ht="14.25" x14ac:dyDescent="0.2">
      <c r="A3803" s="18" t="str">
        <f t="shared" si="281"/>
        <v>Eintrag 3802</v>
      </c>
      <c r="B3803" s="18">
        <v>100</v>
      </c>
      <c r="C3803" s="19">
        <v>100</v>
      </c>
      <c r="D3803" s="20">
        <v>10</v>
      </c>
      <c r="E3803" s="20">
        <v>10</v>
      </c>
      <c r="F3803" s="20">
        <v>10</v>
      </c>
      <c r="G3803" s="19">
        <f t="shared" si="280"/>
        <v>172</v>
      </c>
      <c r="H3803" s="22">
        <f t="shared" si="278"/>
        <v>3802</v>
      </c>
      <c r="I3803" s="21">
        <f t="shared" ca="1" si="277"/>
        <v>0</v>
      </c>
      <c r="J3803" s="21" t="str">
        <f ca="1">IF(I3803=0,"",COUNTIF($I$2:I3803,"&gt;0"))</f>
        <v/>
      </c>
      <c r="K3803" s="21" t="str">
        <f t="shared" ca="1" si="279"/>
        <v/>
      </c>
    </row>
    <row r="3804" spans="1:11" s="18" customFormat="1" ht="14.25" x14ac:dyDescent="0.2">
      <c r="A3804" s="18" t="str">
        <f t="shared" si="281"/>
        <v>Eintrag 3803</v>
      </c>
      <c r="B3804" s="18">
        <v>100</v>
      </c>
      <c r="C3804" s="19">
        <v>100</v>
      </c>
      <c r="D3804" s="20">
        <v>10</v>
      </c>
      <c r="E3804" s="20">
        <v>10</v>
      </c>
      <c r="F3804" s="20">
        <v>10</v>
      </c>
      <c r="G3804" s="19">
        <f t="shared" si="280"/>
        <v>172</v>
      </c>
      <c r="H3804" s="22">
        <f t="shared" si="278"/>
        <v>3803</v>
      </c>
      <c r="I3804" s="21">
        <f t="shared" ca="1" si="277"/>
        <v>0</v>
      </c>
      <c r="J3804" s="21" t="str">
        <f ca="1">IF(I3804=0,"",COUNTIF($I$2:I3804,"&gt;0"))</f>
        <v/>
      </c>
      <c r="K3804" s="21" t="str">
        <f t="shared" ca="1" si="279"/>
        <v/>
      </c>
    </row>
    <row r="3805" spans="1:11" s="18" customFormat="1" ht="14.25" x14ac:dyDescent="0.2">
      <c r="A3805" s="18" t="str">
        <f t="shared" si="281"/>
        <v>Eintrag 3804</v>
      </c>
      <c r="B3805" s="18">
        <v>100</v>
      </c>
      <c r="C3805" s="19">
        <v>100</v>
      </c>
      <c r="D3805" s="20">
        <v>10</v>
      </c>
      <c r="E3805" s="20">
        <v>10</v>
      </c>
      <c r="F3805" s="20">
        <v>10</v>
      </c>
      <c r="G3805" s="19">
        <f t="shared" si="280"/>
        <v>172</v>
      </c>
      <c r="H3805" s="22">
        <f t="shared" si="278"/>
        <v>3804</v>
      </c>
      <c r="I3805" s="21">
        <f t="shared" ca="1" si="277"/>
        <v>0</v>
      </c>
      <c r="J3805" s="21" t="str">
        <f ca="1">IF(I3805=0,"",COUNTIF($I$2:I3805,"&gt;0"))</f>
        <v/>
      </c>
      <c r="K3805" s="21" t="str">
        <f t="shared" ca="1" si="279"/>
        <v/>
      </c>
    </row>
    <row r="3806" spans="1:11" s="18" customFormat="1" ht="14.25" x14ac:dyDescent="0.2">
      <c r="A3806" s="18" t="str">
        <f t="shared" si="281"/>
        <v>Eintrag 3805</v>
      </c>
      <c r="B3806" s="18">
        <v>100</v>
      </c>
      <c r="C3806" s="19">
        <v>100</v>
      </c>
      <c r="D3806" s="20">
        <v>10</v>
      </c>
      <c r="E3806" s="20">
        <v>10</v>
      </c>
      <c r="F3806" s="20">
        <v>10</v>
      </c>
      <c r="G3806" s="19">
        <f t="shared" si="280"/>
        <v>172</v>
      </c>
      <c r="H3806" s="22">
        <f t="shared" si="278"/>
        <v>3805</v>
      </c>
      <c r="I3806" s="21">
        <f t="shared" ref="I3806:I3869" ca="1" si="282">IFERROR(SEARCH(INDIRECT(CELL("address")),A3806),0)</f>
        <v>0</v>
      </c>
      <c r="J3806" s="21" t="str">
        <f ca="1">IF(I3806=0,"",COUNTIF($I$2:I3806,"&gt;0"))</f>
        <v/>
      </c>
      <c r="K3806" s="21" t="str">
        <f t="shared" ca="1" si="279"/>
        <v/>
      </c>
    </row>
    <row r="3807" spans="1:11" s="18" customFormat="1" ht="14.25" x14ac:dyDescent="0.2">
      <c r="A3807" s="18" t="str">
        <f t="shared" si="281"/>
        <v>Eintrag 3806</v>
      </c>
      <c r="B3807" s="18">
        <v>100</v>
      </c>
      <c r="C3807" s="19">
        <v>100</v>
      </c>
      <c r="D3807" s="20">
        <v>10</v>
      </c>
      <c r="E3807" s="20">
        <v>10</v>
      </c>
      <c r="F3807" s="20">
        <v>10</v>
      </c>
      <c r="G3807" s="19">
        <f t="shared" si="280"/>
        <v>172</v>
      </c>
      <c r="H3807" s="22">
        <f t="shared" si="278"/>
        <v>3806</v>
      </c>
      <c r="I3807" s="21">
        <f t="shared" ca="1" si="282"/>
        <v>0</v>
      </c>
      <c r="J3807" s="21" t="str">
        <f ca="1">IF(I3807=0,"",COUNTIF($I$2:I3807,"&gt;0"))</f>
        <v/>
      </c>
      <c r="K3807" s="21" t="str">
        <f t="shared" ca="1" si="279"/>
        <v/>
      </c>
    </row>
    <row r="3808" spans="1:11" s="18" customFormat="1" ht="14.25" x14ac:dyDescent="0.2">
      <c r="A3808" s="18" t="str">
        <f t="shared" si="281"/>
        <v>Eintrag 3807</v>
      </c>
      <c r="B3808" s="18">
        <v>100</v>
      </c>
      <c r="C3808" s="19">
        <v>100</v>
      </c>
      <c r="D3808" s="20">
        <v>10</v>
      </c>
      <c r="E3808" s="20">
        <v>10</v>
      </c>
      <c r="F3808" s="20">
        <v>10</v>
      </c>
      <c r="G3808" s="19">
        <f t="shared" si="280"/>
        <v>172</v>
      </c>
      <c r="H3808" s="22">
        <f t="shared" si="278"/>
        <v>3807</v>
      </c>
      <c r="I3808" s="21">
        <f t="shared" ca="1" si="282"/>
        <v>0</v>
      </c>
      <c r="J3808" s="21" t="str">
        <f ca="1">IF(I3808=0,"",COUNTIF($I$2:I3808,"&gt;0"))</f>
        <v/>
      </c>
      <c r="K3808" s="21" t="str">
        <f t="shared" ca="1" si="279"/>
        <v/>
      </c>
    </row>
    <row r="3809" spans="1:11" s="18" customFormat="1" ht="14.25" x14ac:dyDescent="0.2">
      <c r="A3809" s="18" t="str">
        <f t="shared" si="281"/>
        <v>Eintrag 3808</v>
      </c>
      <c r="B3809" s="18">
        <v>100</v>
      </c>
      <c r="C3809" s="19">
        <v>100</v>
      </c>
      <c r="D3809" s="20">
        <v>10</v>
      </c>
      <c r="E3809" s="20">
        <v>10</v>
      </c>
      <c r="F3809" s="20">
        <v>10</v>
      </c>
      <c r="G3809" s="19">
        <f t="shared" si="280"/>
        <v>172</v>
      </c>
      <c r="H3809" s="22">
        <f t="shared" si="278"/>
        <v>3808</v>
      </c>
      <c r="I3809" s="21">
        <f t="shared" ca="1" si="282"/>
        <v>0</v>
      </c>
      <c r="J3809" s="21" t="str">
        <f ca="1">IF(I3809=0,"",COUNTIF($I$2:I3809,"&gt;0"))</f>
        <v/>
      </c>
      <c r="K3809" s="21" t="str">
        <f t="shared" ca="1" si="279"/>
        <v/>
      </c>
    </row>
    <row r="3810" spans="1:11" s="18" customFormat="1" ht="14.25" x14ac:dyDescent="0.2">
      <c r="A3810" s="18" t="str">
        <f t="shared" si="281"/>
        <v>Eintrag 3809</v>
      </c>
      <c r="B3810" s="18">
        <v>100</v>
      </c>
      <c r="C3810" s="19">
        <v>100</v>
      </c>
      <c r="D3810" s="20">
        <v>10</v>
      </c>
      <c r="E3810" s="20">
        <v>10</v>
      </c>
      <c r="F3810" s="20">
        <v>10</v>
      </c>
      <c r="G3810" s="19">
        <f t="shared" si="280"/>
        <v>172</v>
      </c>
      <c r="H3810" s="22">
        <f t="shared" si="278"/>
        <v>3809</v>
      </c>
      <c r="I3810" s="21">
        <f t="shared" ca="1" si="282"/>
        <v>0</v>
      </c>
      <c r="J3810" s="21" t="str">
        <f ca="1">IF(I3810=0,"",COUNTIF($I$2:I3810,"&gt;0"))</f>
        <v/>
      </c>
      <c r="K3810" s="21" t="str">
        <f t="shared" ca="1" si="279"/>
        <v/>
      </c>
    </row>
    <row r="3811" spans="1:11" s="18" customFormat="1" ht="14.25" x14ac:dyDescent="0.2">
      <c r="A3811" s="18" t="str">
        <f t="shared" si="281"/>
        <v>Eintrag 3810</v>
      </c>
      <c r="B3811" s="18">
        <v>100</v>
      </c>
      <c r="C3811" s="19">
        <v>100</v>
      </c>
      <c r="D3811" s="20">
        <v>10</v>
      </c>
      <c r="E3811" s="20">
        <v>10</v>
      </c>
      <c r="F3811" s="20">
        <v>10</v>
      </c>
      <c r="G3811" s="19">
        <f t="shared" si="280"/>
        <v>172</v>
      </c>
      <c r="H3811" s="22">
        <f t="shared" si="278"/>
        <v>3810</v>
      </c>
      <c r="I3811" s="21">
        <f t="shared" ca="1" si="282"/>
        <v>0</v>
      </c>
      <c r="J3811" s="21" t="str">
        <f ca="1">IF(I3811=0,"",COUNTIF($I$2:I3811,"&gt;0"))</f>
        <v/>
      </c>
      <c r="K3811" s="21" t="str">
        <f t="shared" ca="1" si="279"/>
        <v/>
      </c>
    </row>
    <row r="3812" spans="1:11" s="18" customFormat="1" ht="14.25" x14ac:dyDescent="0.2">
      <c r="A3812" s="18" t="str">
        <f t="shared" si="281"/>
        <v>Eintrag 3811</v>
      </c>
      <c r="B3812" s="18">
        <v>100</v>
      </c>
      <c r="C3812" s="19">
        <v>100</v>
      </c>
      <c r="D3812" s="20">
        <v>10</v>
      </c>
      <c r="E3812" s="20">
        <v>10</v>
      </c>
      <c r="F3812" s="20">
        <v>10</v>
      </c>
      <c r="G3812" s="19">
        <f t="shared" si="280"/>
        <v>172</v>
      </c>
      <c r="H3812" s="22">
        <f t="shared" si="278"/>
        <v>3811</v>
      </c>
      <c r="I3812" s="21">
        <f t="shared" ca="1" si="282"/>
        <v>0</v>
      </c>
      <c r="J3812" s="21" t="str">
        <f ca="1">IF(I3812=0,"",COUNTIF($I$2:I3812,"&gt;0"))</f>
        <v/>
      </c>
      <c r="K3812" s="21" t="str">
        <f t="shared" ca="1" si="279"/>
        <v/>
      </c>
    </row>
    <row r="3813" spans="1:11" s="18" customFormat="1" ht="14.25" x14ac:dyDescent="0.2">
      <c r="A3813" s="18" t="str">
        <f t="shared" si="281"/>
        <v>Eintrag 3812</v>
      </c>
      <c r="B3813" s="18">
        <v>100</v>
      </c>
      <c r="C3813" s="19">
        <v>100</v>
      </c>
      <c r="D3813" s="20">
        <v>10</v>
      </c>
      <c r="E3813" s="20">
        <v>10</v>
      </c>
      <c r="F3813" s="20">
        <v>10</v>
      </c>
      <c r="G3813" s="19">
        <f t="shared" si="280"/>
        <v>172</v>
      </c>
      <c r="H3813" s="22">
        <f t="shared" ref="H3813:H3876" si="283">H3812+1</f>
        <v>3812</v>
      </c>
      <c r="I3813" s="21">
        <f t="shared" ca="1" si="282"/>
        <v>0</v>
      </c>
      <c r="J3813" s="21" t="str">
        <f ca="1">IF(I3813=0,"",COUNTIF($I$2:I3813,"&gt;0"))</f>
        <v/>
      </c>
      <c r="K3813" s="21" t="str">
        <f t="shared" ca="1" si="279"/>
        <v/>
      </c>
    </row>
    <row r="3814" spans="1:11" s="18" customFormat="1" ht="14.25" x14ac:dyDescent="0.2">
      <c r="A3814" s="18" t="str">
        <f t="shared" si="281"/>
        <v>Eintrag 3813</v>
      </c>
      <c r="B3814" s="18">
        <v>100</v>
      </c>
      <c r="C3814" s="19">
        <v>100</v>
      </c>
      <c r="D3814" s="20">
        <v>10</v>
      </c>
      <c r="E3814" s="20">
        <v>10</v>
      </c>
      <c r="F3814" s="20">
        <v>10</v>
      </c>
      <c r="G3814" s="19">
        <f t="shared" si="280"/>
        <v>172</v>
      </c>
      <c r="H3814" s="22">
        <f t="shared" si="283"/>
        <v>3813</v>
      </c>
      <c r="I3814" s="21">
        <f t="shared" ca="1" si="282"/>
        <v>0</v>
      </c>
      <c r="J3814" s="21" t="str">
        <f ca="1">IF(I3814=0,"",COUNTIF($I$2:I3814,"&gt;0"))</f>
        <v/>
      </c>
      <c r="K3814" s="21" t="str">
        <f t="shared" ca="1" si="279"/>
        <v/>
      </c>
    </row>
    <row r="3815" spans="1:11" s="18" customFormat="1" ht="14.25" x14ac:dyDescent="0.2">
      <c r="A3815" s="18" t="str">
        <f t="shared" si="281"/>
        <v>Eintrag 3814</v>
      </c>
      <c r="B3815" s="18">
        <v>100</v>
      </c>
      <c r="C3815" s="19">
        <v>100</v>
      </c>
      <c r="D3815" s="20">
        <v>10</v>
      </c>
      <c r="E3815" s="20">
        <v>10</v>
      </c>
      <c r="F3815" s="20">
        <v>10</v>
      </c>
      <c r="G3815" s="19">
        <f t="shared" si="280"/>
        <v>172</v>
      </c>
      <c r="H3815" s="22">
        <f t="shared" si="283"/>
        <v>3814</v>
      </c>
      <c r="I3815" s="21">
        <f t="shared" ca="1" si="282"/>
        <v>0</v>
      </c>
      <c r="J3815" s="21" t="str">
        <f ca="1">IF(I3815=0,"",COUNTIF($I$2:I3815,"&gt;0"))</f>
        <v/>
      </c>
      <c r="K3815" s="21" t="str">
        <f t="shared" ca="1" si="279"/>
        <v/>
      </c>
    </row>
    <row r="3816" spans="1:11" s="18" customFormat="1" ht="14.25" x14ac:dyDescent="0.2">
      <c r="A3816" s="18" t="str">
        <f t="shared" si="281"/>
        <v>Eintrag 3815</v>
      </c>
      <c r="B3816" s="18">
        <v>100</v>
      </c>
      <c r="C3816" s="19">
        <v>100</v>
      </c>
      <c r="D3816" s="20">
        <v>10</v>
      </c>
      <c r="E3816" s="20">
        <v>10</v>
      </c>
      <c r="F3816" s="20">
        <v>10</v>
      </c>
      <c r="G3816" s="19">
        <f t="shared" si="280"/>
        <v>172</v>
      </c>
      <c r="H3816" s="22">
        <f t="shared" si="283"/>
        <v>3815</v>
      </c>
      <c r="I3816" s="21">
        <f t="shared" ca="1" si="282"/>
        <v>0</v>
      </c>
      <c r="J3816" s="21" t="str">
        <f ca="1">IF(I3816=0,"",COUNTIF($I$2:I3816,"&gt;0"))</f>
        <v/>
      </c>
      <c r="K3816" s="21" t="str">
        <f t="shared" ca="1" si="279"/>
        <v/>
      </c>
    </row>
    <row r="3817" spans="1:11" s="18" customFormat="1" ht="14.25" x14ac:dyDescent="0.2">
      <c r="A3817" s="18" t="str">
        <f t="shared" si="281"/>
        <v>Eintrag 3816</v>
      </c>
      <c r="B3817" s="18">
        <v>100</v>
      </c>
      <c r="C3817" s="19">
        <v>100</v>
      </c>
      <c r="D3817" s="20">
        <v>10</v>
      </c>
      <c r="E3817" s="20">
        <v>10</v>
      </c>
      <c r="F3817" s="20">
        <v>10</v>
      </c>
      <c r="G3817" s="19">
        <f t="shared" si="280"/>
        <v>172</v>
      </c>
      <c r="H3817" s="22">
        <f t="shared" si="283"/>
        <v>3816</v>
      </c>
      <c r="I3817" s="21">
        <f t="shared" ca="1" si="282"/>
        <v>0</v>
      </c>
      <c r="J3817" s="21" t="str">
        <f ca="1">IF(I3817=0,"",COUNTIF($I$2:I3817,"&gt;0"))</f>
        <v/>
      </c>
      <c r="K3817" s="21" t="str">
        <f t="shared" ca="1" si="279"/>
        <v/>
      </c>
    </row>
    <row r="3818" spans="1:11" s="18" customFormat="1" ht="14.25" x14ac:dyDescent="0.2">
      <c r="A3818" s="18" t="str">
        <f t="shared" si="281"/>
        <v>Eintrag 3817</v>
      </c>
      <c r="B3818" s="18">
        <v>100</v>
      </c>
      <c r="C3818" s="19">
        <v>100</v>
      </c>
      <c r="D3818" s="20">
        <v>10</v>
      </c>
      <c r="E3818" s="20">
        <v>10</v>
      </c>
      <c r="F3818" s="20">
        <v>10</v>
      </c>
      <c r="G3818" s="19">
        <f t="shared" si="280"/>
        <v>172</v>
      </c>
      <c r="H3818" s="22">
        <f t="shared" si="283"/>
        <v>3817</v>
      </c>
      <c r="I3818" s="21">
        <f t="shared" ca="1" si="282"/>
        <v>0</v>
      </c>
      <c r="J3818" s="21" t="str">
        <f ca="1">IF(I3818=0,"",COUNTIF($I$2:I3818,"&gt;0"))</f>
        <v/>
      </c>
      <c r="K3818" s="21" t="str">
        <f t="shared" ca="1" si="279"/>
        <v/>
      </c>
    </row>
    <row r="3819" spans="1:11" s="18" customFormat="1" ht="14.25" x14ac:dyDescent="0.2">
      <c r="A3819" s="18" t="str">
        <f t="shared" si="281"/>
        <v>Eintrag 3818</v>
      </c>
      <c r="B3819" s="18">
        <v>100</v>
      </c>
      <c r="C3819" s="19">
        <v>100</v>
      </c>
      <c r="D3819" s="20">
        <v>10</v>
      </c>
      <c r="E3819" s="20">
        <v>10</v>
      </c>
      <c r="F3819" s="20">
        <v>10</v>
      </c>
      <c r="G3819" s="19">
        <f t="shared" si="280"/>
        <v>172</v>
      </c>
      <c r="H3819" s="22">
        <f t="shared" si="283"/>
        <v>3818</v>
      </c>
      <c r="I3819" s="21">
        <f t="shared" ca="1" si="282"/>
        <v>0</v>
      </c>
      <c r="J3819" s="21" t="str">
        <f ca="1">IF(I3819=0,"",COUNTIF($I$2:I3819,"&gt;0"))</f>
        <v/>
      </c>
      <c r="K3819" s="21" t="str">
        <f t="shared" ca="1" si="279"/>
        <v/>
      </c>
    </row>
    <row r="3820" spans="1:11" s="18" customFormat="1" ht="14.25" x14ac:dyDescent="0.2">
      <c r="A3820" s="18" t="str">
        <f t="shared" si="281"/>
        <v>Eintrag 3819</v>
      </c>
      <c r="B3820" s="18">
        <v>100</v>
      </c>
      <c r="C3820" s="19">
        <v>100</v>
      </c>
      <c r="D3820" s="20">
        <v>10</v>
      </c>
      <c r="E3820" s="20">
        <v>10</v>
      </c>
      <c r="F3820" s="20">
        <v>10</v>
      </c>
      <c r="G3820" s="19">
        <f t="shared" si="280"/>
        <v>172</v>
      </c>
      <c r="H3820" s="22">
        <f t="shared" si="283"/>
        <v>3819</v>
      </c>
      <c r="I3820" s="21">
        <f t="shared" ca="1" si="282"/>
        <v>0</v>
      </c>
      <c r="J3820" s="21" t="str">
        <f ca="1">IF(I3820=0,"",COUNTIF($I$2:I3820,"&gt;0"))</f>
        <v/>
      </c>
      <c r="K3820" s="21" t="str">
        <f t="shared" ca="1" si="279"/>
        <v/>
      </c>
    </row>
    <row r="3821" spans="1:11" s="18" customFormat="1" ht="14.25" x14ac:dyDescent="0.2">
      <c r="A3821" s="18" t="str">
        <f t="shared" si="281"/>
        <v>Eintrag 3820</v>
      </c>
      <c r="B3821" s="18">
        <v>100</v>
      </c>
      <c r="C3821" s="19">
        <v>100</v>
      </c>
      <c r="D3821" s="20">
        <v>10</v>
      </c>
      <c r="E3821" s="20">
        <v>10</v>
      </c>
      <c r="F3821" s="20">
        <v>10</v>
      </c>
      <c r="G3821" s="19">
        <f t="shared" si="280"/>
        <v>172</v>
      </c>
      <c r="H3821" s="22">
        <f t="shared" si="283"/>
        <v>3820</v>
      </c>
      <c r="I3821" s="21">
        <f t="shared" ca="1" si="282"/>
        <v>0</v>
      </c>
      <c r="J3821" s="21" t="str">
        <f ca="1">IF(I3821=0,"",COUNTIF($I$2:I3821,"&gt;0"))</f>
        <v/>
      </c>
      <c r="K3821" s="21" t="str">
        <f t="shared" ca="1" si="279"/>
        <v/>
      </c>
    </row>
    <row r="3822" spans="1:11" s="18" customFormat="1" ht="14.25" x14ac:dyDescent="0.2">
      <c r="A3822" s="18" t="str">
        <f t="shared" si="281"/>
        <v>Eintrag 3821</v>
      </c>
      <c r="B3822" s="18">
        <v>100</v>
      </c>
      <c r="C3822" s="19">
        <v>100</v>
      </c>
      <c r="D3822" s="20">
        <v>10</v>
      </c>
      <c r="E3822" s="20">
        <v>10</v>
      </c>
      <c r="F3822" s="20">
        <v>10</v>
      </c>
      <c r="G3822" s="19">
        <f t="shared" si="280"/>
        <v>172</v>
      </c>
      <c r="H3822" s="22">
        <f t="shared" si="283"/>
        <v>3821</v>
      </c>
      <c r="I3822" s="21">
        <f t="shared" ca="1" si="282"/>
        <v>0</v>
      </c>
      <c r="J3822" s="21" t="str">
        <f ca="1">IF(I3822=0,"",COUNTIF($I$2:I3822,"&gt;0"))</f>
        <v/>
      </c>
      <c r="K3822" s="21" t="str">
        <f t="shared" ca="1" si="279"/>
        <v/>
      </c>
    </row>
    <row r="3823" spans="1:11" s="18" customFormat="1" ht="14.25" x14ac:dyDescent="0.2">
      <c r="A3823" s="18" t="str">
        <f t="shared" si="281"/>
        <v>Eintrag 3822</v>
      </c>
      <c r="B3823" s="18">
        <v>100</v>
      </c>
      <c r="C3823" s="19">
        <v>100</v>
      </c>
      <c r="D3823" s="20">
        <v>10</v>
      </c>
      <c r="E3823" s="20">
        <v>10</v>
      </c>
      <c r="F3823" s="20">
        <v>10</v>
      </c>
      <c r="G3823" s="19">
        <f t="shared" si="280"/>
        <v>172</v>
      </c>
      <c r="H3823" s="22">
        <f t="shared" si="283"/>
        <v>3822</v>
      </c>
      <c r="I3823" s="21">
        <f t="shared" ca="1" si="282"/>
        <v>0</v>
      </c>
      <c r="J3823" s="21" t="str">
        <f ca="1">IF(I3823=0,"",COUNTIF($I$2:I3823,"&gt;0"))</f>
        <v/>
      </c>
      <c r="K3823" s="21" t="str">
        <f t="shared" ca="1" si="279"/>
        <v/>
      </c>
    </row>
    <row r="3824" spans="1:11" s="18" customFormat="1" ht="14.25" x14ac:dyDescent="0.2">
      <c r="A3824" s="18" t="str">
        <f t="shared" si="281"/>
        <v>Eintrag 3823</v>
      </c>
      <c r="B3824" s="18">
        <v>100</v>
      </c>
      <c r="C3824" s="19">
        <v>100</v>
      </c>
      <c r="D3824" s="20">
        <v>10</v>
      </c>
      <c r="E3824" s="20">
        <v>10</v>
      </c>
      <c r="F3824" s="20">
        <v>10</v>
      </c>
      <c r="G3824" s="19">
        <f t="shared" si="280"/>
        <v>172</v>
      </c>
      <c r="H3824" s="22">
        <f t="shared" si="283"/>
        <v>3823</v>
      </c>
      <c r="I3824" s="21">
        <f t="shared" ca="1" si="282"/>
        <v>0</v>
      </c>
      <c r="J3824" s="21" t="str">
        <f ca="1">IF(I3824=0,"",COUNTIF($I$2:I3824,"&gt;0"))</f>
        <v/>
      </c>
      <c r="K3824" s="21" t="str">
        <f t="shared" ca="1" si="279"/>
        <v/>
      </c>
    </row>
    <row r="3825" spans="1:11" s="18" customFormat="1" ht="14.25" x14ac:dyDescent="0.2">
      <c r="A3825" s="18" t="str">
        <f t="shared" si="281"/>
        <v>Eintrag 3824</v>
      </c>
      <c r="B3825" s="18">
        <v>100</v>
      </c>
      <c r="C3825" s="19">
        <v>100</v>
      </c>
      <c r="D3825" s="20">
        <v>10</v>
      </c>
      <c r="E3825" s="20">
        <v>10</v>
      </c>
      <c r="F3825" s="20">
        <v>10</v>
      </c>
      <c r="G3825" s="19">
        <f t="shared" si="280"/>
        <v>172</v>
      </c>
      <c r="H3825" s="22">
        <f t="shared" si="283"/>
        <v>3824</v>
      </c>
      <c r="I3825" s="21">
        <f t="shared" ca="1" si="282"/>
        <v>0</v>
      </c>
      <c r="J3825" s="21" t="str">
        <f ca="1">IF(I3825=0,"",COUNTIF($I$2:I3825,"&gt;0"))</f>
        <v/>
      </c>
      <c r="K3825" s="21" t="str">
        <f t="shared" ca="1" si="279"/>
        <v/>
      </c>
    </row>
    <row r="3826" spans="1:11" s="18" customFormat="1" ht="14.25" x14ac:dyDescent="0.2">
      <c r="A3826" s="18" t="str">
        <f t="shared" si="281"/>
        <v>Eintrag 3825</v>
      </c>
      <c r="B3826" s="18">
        <v>100</v>
      </c>
      <c r="C3826" s="19">
        <v>100</v>
      </c>
      <c r="D3826" s="20">
        <v>10</v>
      </c>
      <c r="E3826" s="20">
        <v>10</v>
      </c>
      <c r="F3826" s="20">
        <v>10</v>
      </c>
      <c r="G3826" s="19">
        <f t="shared" si="280"/>
        <v>172</v>
      </c>
      <c r="H3826" s="22">
        <f t="shared" si="283"/>
        <v>3825</v>
      </c>
      <c r="I3826" s="21">
        <f t="shared" ca="1" si="282"/>
        <v>0</v>
      </c>
      <c r="J3826" s="21" t="str">
        <f ca="1">IF(I3826=0,"",COUNTIF($I$2:I3826,"&gt;0"))</f>
        <v/>
      </c>
      <c r="K3826" s="21" t="str">
        <f t="shared" ca="1" si="279"/>
        <v/>
      </c>
    </row>
    <row r="3827" spans="1:11" s="18" customFormat="1" ht="14.25" x14ac:dyDescent="0.2">
      <c r="A3827" s="18" t="str">
        <f t="shared" si="281"/>
        <v>Eintrag 3826</v>
      </c>
      <c r="B3827" s="18">
        <v>100</v>
      </c>
      <c r="C3827" s="19">
        <v>100</v>
      </c>
      <c r="D3827" s="20">
        <v>10</v>
      </c>
      <c r="E3827" s="20">
        <v>10</v>
      </c>
      <c r="F3827" s="20">
        <v>10</v>
      </c>
      <c r="G3827" s="19">
        <f t="shared" si="280"/>
        <v>172</v>
      </c>
      <c r="H3827" s="22">
        <f t="shared" si="283"/>
        <v>3826</v>
      </c>
      <c r="I3827" s="21">
        <f t="shared" ca="1" si="282"/>
        <v>0</v>
      </c>
      <c r="J3827" s="21" t="str">
        <f ca="1">IF(I3827=0,"",COUNTIF($I$2:I3827,"&gt;0"))</f>
        <v/>
      </c>
      <c r="K3827" s="21" t="str">
        <f t="shared" ca="1" si="279"/>
        <v/>
      </c>
    </row>
    <row r="3828" spans="1:11" s="18" customFormat="1" ht="14.25" x14ac:dyDescent="0.2">
      <c r="A3828" s="18" t="str">
        <f t="shared" si="281"/>
        <v>Eintrag 3827</v>
      </c>
      <c r="B3828" s="18">
        <v>100</v>
      </c>
      <c r="C3828" s="19">
        <v>100</v>
      </c>
      <c r="D3828" s="20">
        <v>10</v>
      </c>
      <c r="E3828" s="20">
        <v>10</v>
      </c>
      <c r="F3828" s="20">
        <v>10</v>
      </c>
      <c r="G3828" s="19">
        <f t="shared" si="280"/>
        <v>172</v>
      </c>
      <c r="H3828" s="22">
        <f t="shared" si="283"/>
        <v>3827</v>
      </c>
      <c r="I3828" s="21">
        <f t="shared" ca="1" si="282"/>
        <v>0</v>
      </c>
      <c r="J3828" s="21" t="str">
        <f ca="1">IF(I3828=0,"",COUNTIF($I$2:I3828,"&gt;0"))</f>
        <v/>
      </c>
      <c r="K3828" s="21" t="str">
        <f t="shared" ca="1" si="279"/>
        <v/>
      </c>
    </row>
    <row r="3829" spans="1:11" s="18" customFormat="1" ht="14.25" x14ac:dyDescent="0.2">
      <c r="A3829" s="18" t="str">
        <f t="shared" si="281"/>
        <v>Eintrag 3828</v>
      </c>
      <c r="B3829" s="18">
        <v>100</v>
      </c>
      <c r="C3829" s="19">
        <v>100</v>
      </c>
      <c r="D3829" s="20">
        <v>10</v>
      </c>
      <c r="E3829" s="20">
        <v>10</v>
      </c>
      <c r="F3829" s="20">
        <v>10</v>
      </c>
      <c r="G3829" s="19">
        <f t="shared" si="280"/>
        <v>172</v>
      </c>
      <c r="H3829" s="22">
        <f t="shared" si="283"/>
        <v>3828</v>
      </c>
      <c r="I3829" s="21">
        <f t="shared" ca="1" si="282"/>
        <v>0</v>
      </c>
      <c r="J3829" s="21" t="str">
        <f ca="1">IF(I3829=0,"",COUNTIF($I$2:I3829,"&gt;0"))</f>
        <v/>
      </c>
      <c r="K3829" s="21" t="str">
        <f t="shared" ca="1" si="279"/>
        <v/>
      </c>
    </row>
    <row r="3830" spans="1:11" s="18" customFormat="1" ht="14.25" x14ac:dyDescent="0.2">
      <c r="A3830" s="18" t="str">
        <f t="shared" si="281"/>
        <v>Eintrag 3829</v>
      </c>
      <c r="B3830" s="18">
        <v>100</v>
      </c>
      <c r="C3830" s="19">
        <v>100</v>
      </c>
      <c r="D3830" s="20">
        <v>10</v>
      </c>
      <c r="E3830" s="20">
        <v>10</v>
      </c>
      <c r="F3830" s="20">
        <v>10</v>
      </c>
      <c r="G3830" s="19">
        <f t="shared" si="280"/>
        <v>172</v>
      </c>
      <c r="H3830" s="22">
        <f t="shared" si="283"/>
        <v>3829</v>
      </c>
      <c r="I3830" s="21">
        <f t="shared" ca="1" si="282"/>
        <v>0</v>
      </c>
      <c r="J3830" s="21" t="str">
        <f ca="1">IF(I3830=0,"",COUNTIF($I$2:I3830,"&gt;0"))</f>
        <v/>
      </c>
      <c r="K3830" s="21" t="str">
        <f t="shared" ca="1" si="279"/>
        <v/>
      </c>
    </row>
    <row r="3831" spans="1:11" s="18" customFormat="1" ht="14.25" x14ac:dyDescent="0.2">
      <c r="A3831" s="18" t="str">
        <f t="shared" si="281"/>
        <v>Eintrag 3830</v>
      </c>
      <c r="B3831" s="18">
        <v>100</v>
      </c>
      <c r="C3831" s="19">
        <v>100</v>
      </c>
      <c r="D3831" s="20">
        <v>10</v>
      </c>
      <c r="E3831" s="20">
        <v>10</v>
      </c>
      <c r="F3831" s="20">
        <v>10</v>
      </c>
      <c r="G3831" s="19">
        <f t="shared" si="280"/>
        <v>172</v>
      </c>
      <c r="H3831" s="22">
        <f t="shared" si="283"/>
        <v>3830</v>
      </c>
      <c r="I3831" s="21">
        <f t="shared" ca="1" si="282"/>
        <v>0</v>
      </c>
      <c r="J3831" s="21" t="str">
        <f ca="1">IF(I3831=0,"",COUNTIF($I$2:I3831,"&gt;0"))</f>
        <v/>
      </c>
      <c r="K3831" s="21" t="str">
        <f t="shared" ca="1" si="279"/>
        <v/>
      </c>
    </row>
    <row r="3832" spans="1:11" s="18" customFormat="1" ht="14.25" x14ac:dyDescent="0.2">
      <c r="A3832" s="18" t="str">
        <f t="shared" si="281"/>
        <v>Eintrag 3831</v>
      </c>
      <c r="B3832" s="18">
        <v>100</v>
      </c>
      <c r="C3832" s="19">
        <v>100</v>
      </c>
      <c r="D3832" s="20">
        <v>10</v>
      </c>
      <c r="E3832" s="20">
        <v>10</v>
      </c>
      <c r="F3832" s="20">
        <v>10</v>
      </c>
      <c r="G3832" s="19">
        <f t="shared" si="280"/>
        <v>172</v>
      </c>
      <c r="H3832" s="22">
        <f t="shared" si="283"/>
        <v>3831</v>
      </c>
      <c r="I3832" s="21">
        <f t="shared" ca="1" si="282"/>
        <v>0</v>
      </c>
      <c r="J3832" s="21" t="str">
        <f ca="1">IF(I3832=0,"",COUNTIF($I$2:I3832,"&gt;0"))</f>
        <v/>
      </c>
      <c r="K3832" s="21" t="str">
        <f t="shared" ca="1" si="279"/>
        <v/>
      </c>
    </row>
    <row r="3833" spans="1:11" s="18" customFormat="1" ht="14.25" x14ac:dyDescent="0.2">
      <c r="A3833" s="18" t="str">
        <f t="shared" si="281"/>
        <v>Eintrag 3832</v>
      </c>
      <c r="B3833" s="18">
        <v>100</v>
      </c>
      <c r="C3833" s="19">
        <v>100</v>
      </c>
      <c r="D3833" s="20">
        <v>10</v>
      </c>
      <c r="E3833" s="20">
        <v>10</v>
      </c>
      <c r="F3833" s="20">
        <v>10</v>
      </c>
      <c r="G3833" s="19">
        <f t="shared" si="280"/>
        <v>172</v>
      </c>
      <c r="H3833" s="22">
        <f t="shared" si="283"/>
        <v>3832</v>
      </c>
      <c r="I3833" s="21">
        <f t="shared" ca="1" si="282"/>
        <v>0</v>
      </c>
      <c r="J3833" s="21" t="str">
        <f ca="1">IF(I3833=0,"",COUNTIF($I$2:I3833,"&gt;0"))</f>
        <v/>
      </c>
      <c r="K3833" s="21" t="str">
        <f t="shared" ca="1" si="279"/>
        <v/>
      </c>
    </row>
    <row r="3834" spans="1:11" s="18" customFormat="1" ht="14.25" x14ac:dyDescent="0.2">
      <c r="A3834" s="18" t="str">
        <f t="shared" si="281"/>
        <v>Eintrag 3833</v>
      </c>
      <c r="B3834" s="18">
        <v>100</v>
      </c>
      <c r="C3834" s="19">
        <v>100</v>
      </c>
      <c r="D3834" s="20">
        <v>10</v>
      </c>
      <c r="E3834" s="20">
        <v>10</v>
      </c>
      <c r="F3834" s="20">
        <v>10</v>
      </c>
      <c r="G3834" s="19">
        <f t="shared" si="280"/>
        <v>172</v>
      </c>
      <c r="H3834" s="22">
        <f t="shared" si="283"/>
        <v>3833</v>
      </c>
      <c r="I3834" s="21">
        <f t="shared" ca="1" si="282"/>
        <v>0</v>
      </c>
      <c r="J3834" s="21" t="str">
        <f ca="1">IF(I3834=0,"",COUNTIF($I$2:I3834,"&gt;0"))</f>
        <v/>
      </c>
      <c r="K3834" s="21" t="str">
        <f t="shared" ca="1" si="279"/>
        <v/>
      </c>
    </row>
    <row r="3835" spans="1:11" s="18" customFormat="1" ht="14.25" x14ac:dyDescent="0.2">
      <c r="A3835" s="18" t="str">
        <f t="shared" si="281"/>
        <v>Eintrag 3834</v>
      </c>
      <c r="B3835" s="18">
        <v>100</v>
      </c>
      <c r="C3835" s="19">
        <v>100</v>
      </c>
      <c r="D3835" s="20">
        <v>10</v>
      </c>
      <c r="E3835" s="20">
        <v>10</v>
      </c>
      <c r="F3835" s="20">
        <v>10</v>
      </c>
      <c r="G3835" s="19">
        <f t="shared" si="280"/>
        <v>172</v>
      </c>
      <c r="H3835" s="22">
        <f t="shared" si="283"/>
        <v>3834</v>
      </c>
      <c r="I3835" s="21">
        <f t="shared" ca="1" si="282"/>
        <v>0</v>
      </c>
      <c r="J3835" s="21" t="str">
        <f ca="1">IF(I3835=0,"",COUNTIF($I$2:I3835,"&gt;0"))</f>
        <v/>
      </c>
      <c r="K3835" s="21" t="str">
        <f t="shared" ca="1" si="279"/>
        <v/>
      </c>
    </row>
    <row r="3836" spans="1:11" s="18" customFormat="1" ht="14.25" x14ac:dyDescent="0.2">
      <c r="A3836" s="18" t="str">
        <f t="shared" si="281"/>
        <v>Eintrag 3835</v>
      </c>
      <c r="B3836" s="18">
        <v>100</v>
      </c>
      <c r="C3836" s="19">
        <v>100</v>
      </c>
      <c r="D3836" s="20">
        <v>10</v>
      </c>
      <c r="E3836" s="20">
        <v>10</v>
      </c>
      <c r="F3836" s="20">
        <v>10</v>
      </c>
      <c r="G3836" s="19">
        <f t="shared" si="280"/>
        <v>172</v>
      </c>
      <c r="H3836" s="22">
        <f t="shared" si="283"/>
        <v>3835</v>
      </c>
      <c r="I3836" s="21">
        <f t="shared" ca="1" si="282"/>
        <v>0</v>
      </c>
      <c r="J3836" s="21" t="str">
        <f ca="1">IF(I3836=0,"",COUNTIF($I$2:I3836,"&gt;0"))</f>
        <v/>
      </c>
      <c r="K3836" s="21" t="str">
        <f t="shared" ca="1" si="279"/>
        <v/>
      </c>
    </row>
    <row r="3837" spans="1:11" s="18" customFormat="1" ht="14.25" x14ac:dyDescent="0.2">
      <c r="A3837" s="18" t="str">
        <f t="shared" si="281"/>
        <v>Eintrag 3836</v>
      </c>
      <c r="B3837" s="18">
        <v>100</v>
      </c>
      <c r="C3837" s="19">
        <v>100</v>
      </c>
      <c r="D3837" s="20">
        <v>10</v>
      </c>
      <c r="E3837" s="20">
        <v>10</v>
      </c>
      <c r="F3837" s="20">
        <v>10</v>
      </c>
      <c r="G3837" s="19">
        <f t="shared" si="280"/>
        <v>172</v>
      </c>
      <c r="H3837" s="22">
        <f t="shared" si="283"/>
        <v>3836</v>
      </c>
      <c r="I3837" s="21">
        <f t="shared" ca="1" si="282"/>
        <v>0</v>
      </c>
      <c r="J3837" s="21" t="str">
        <f ca="1">IF(I3837=0,"",COUNTIF($I$2:I3837,"&gt;0"))</f>
        <v/>
      </c>
      <c r="K3837" s="21" t="str">
        <f t="shared" ca="1" si="279"/>
        <v/>
      </c>
    </row>
    <row r="3838" spans="1:11" s="18" customFormat="1" ht="14.25" x14ac:dyDescent="0.2">
      <c r="A3838" s="18" t="str">
        <f t="shared" si="281"/>
        <v>Eintrag 3837</v>
      </c>
      <c r="B3838" s="18">
        <v>100</v>
      </c>
      <c r="C3838" s="19">
        <v>100</v>
      </c>
      <c r="D3838" s="20">
        <v>10</v>
      </c>
      <c r="E3838" s="20">
        <v>10</v>
      </c>
      <c r="F3838" s="20">
        <v>10</v>
      </c>
      <c r="G3838" s="19">
        <f t="shared" si="280"/>
        <v>172</v>
      </c>
      <c r="H3838" s="22">
        <f t="shared" si="283"/>
        <v>3837</v>
      </c>
      <c r="I3838" s="21">
        <f t="shared" ca="1" si="282"/>
        <v>0</v>
      </c>
      <c r="J3838" s="21" t="str">
        <f ca="1">IF(I3838=0,"",COUNTIF($I$2:I3838,"&gt;0"))</f>
        <v/>
      </c>
      <c r="K3838" s="21" t="str">
        <f t="shared" ca="1" si="279"/>
        <v/>
      </c>
    </row>
    <row r="3839" spans="1:11" s="18" customFormat="1" ht="14.25" x14ac:dyDescent="0.2">
      <c r="A3839" s="18" t="str">
        <f t="shared" si="281"/>
        <v>Eintrag 3838</v>
      </c>
      <c r="B3839" s="18">
        <v>100</v>
      </c>
      <c r="C3839" s="19">
        <v>100</v>
      </c>
      <c r="D3839" s="20">
        <v>10</v>
      </c>
      <c r="E3839" s="20">
        <v>10</v>
      </c>
      <c r="F3839" s="20">
        <v>10</v>
      </c>
      <c r="G3839" s="19">
        <f t="shared" si="280"/>
        <v>172</v>
      </c>
      <c r="H3839" s="22">
        <f t="shared" si="283"/>
        <v>3838</v>
      </c>
      <c r="I3839" s="21">
        <f t="shared" ca="1" si="282"/>
        <v>0</v>
      </c>
      <c r="J3839" s="21" t="str">
        <f ca="1">IF(I3839=0,"",COUNTIF($I$2:I3839,"&gt;0"))</f>
        <v/>
      </c>
      <c r="K3839" s="21" t="str">
        <f t="shared" ca="1" si="279"/>
        <v/>
      </c>
    </row>
    <row r="3840" spans="1:11" s="18" customFormat="1" ht="14.25" x14ac:dyDescent="0.2">
      <c r="A3840" s="18" t="str">
        <f t="shared" si="281"/>
        <v>Eintrag 3839</v>
      </c>
      <c r="B3840" s="18">
        <v>100</v>
      </c>
      <c r="C3840" s="19">
        <v>100</v>
      </c>
      <c r="D3840" s="20">
        <v>10</v>
      </c>
      <c r="E3840" s="20">
        <v>10</v>
      </c>
      <c r="F3840" s="20">
        <v>10</v>
      </c>
      <c r="G3840" s="19">
        <f t="shared" si="280"/>
        <v>172</v>
      </c>
      <c r="H3840" s="22">
        <f t="shared" si="283"/>
        <v>3839</v>
      </c>
      <c r="I3840" s="21">
        <f t="shared" ca="1" si="282"/>
        <v>0</v>
      </c>
      <c r="J3840" s="21" t="str">
        <f ca="1">IF(I3840=0,"",COUNTIF($I$2:I3840,"&gt;0"))</f>
        <v/>
      </c>
      <c r="K3840" s="21" t="str">
        <f t="shared" ca="1" si="279"/>
        <v/>
      </c>
    </row>
    <row r="3841" spans="1:11" s="18" customFormat="1" ht="14.25" x14ac:dyDescent="0.2">
      <c r="A3841" s="18" t="str">
        <f t="shared" si="281"/>
        <v>Eintrag 3840</v>
      </c>
      <c r="B3841" s="18">
        <v>100</v>
      </c>
      <c r="C3841" s="19">
        <v>100</v>
      </c>
      <c r="D3841" s="20">
        <v>10</v>
      </c>
      <c r="E3841" s="20">
        <v>10</v>
      </c>
      <c r="F3841" s="20">
        <v>10</v>
      </c>
      <c r="G3841" s="19">
        <f t="shared" si="280"/>
        <v>172</v>
      </c>
      <c r="H3841" s="22">
        <f t="shared" si="283"/>
        <v>3840</v>
      </c>
      <c r="I3841" s="21">
        <f t="shared" ca="1" si="282"/>
        <v>0</v>
      </c>
      <c r="J3841" s="21" t="str">
        <f ca="1">IF(I3841=0,"",COUNTIF($I$2:I3841,"&gt;0"))</f>
        <v/>
      </c>
      <c r="K3841" s="21" t="str">
        <f t="shared" ca="1" si="279"/>
        <v/>
      </c>
    </row>
    <row r="3842" spans="1:11" s="18" customFormat="1" ht="14.25" x14ac:dyDescent="0.2">
      <c r="A3842" s="18" t="str">
        <f t="shared" si="281"/>
        <v>Eintrag 3841</v>
      </c>
      <c r="B3842" s="18">
        <v>100</v>
      </c>
      <c r="C3842" s="19">
        <v>100</v>
      </c>
      <c r="D3842" s="20">
        <v>10</v>
      </c>
      <c r="E3842" s="20">
        <v>10</v>
      </c>
      <c r="F3842" s="20">
        <v>10</v>
      </c>
      <c r="G3842" s="19">
        <f t="shared" si="280"/>
        <v>172</v>
      </c>
      <c r="H3842" s="22">
        <f t="shared" si="283"/>
        <v>3841</v>
      </c>
      <c r="I3842" s="21">
        <f t="shared" ca="1" si="282"/>
        <v>0</v>
      </c>
      <c r="J3842" s="21" t="str">
        <f ca="1">IF(I3842=0,"",COUNTIF($I$2:I3842,"&gt;0"))</f>
        <v/>
      </c>
      <c r="K3842" s="21" t="str">
        <f t="shared" ref="K3842:K3905" ca="1" si="284">IFERROR(INDEX(A:A,MATCH(ROW(I3841),J:J,0)),"")</f>
        <v/>
      </c>
    </row>
    <row r="3843" spans="1:11" s="18" customFormat="1" ht="14.25" x14ac:dyDescent="0.2">
      <c r="A3843" s="18" t="str">
        <f t="shared" si="281"/>
        <v>Eintrag 3842</v>
      </c>
      <c r="B3843" s="18">
        <v>100</v>
      </c>
      <c r="C3843" s="19">
        <v>100</v>
      </c>
      <c r="D3843" s="20">
        <v>10</v>
      </c>
      <c r="E3843" s="20">
        <v>10</v>
      </c>
      <c r="F3843" s="20">
        <v>10</v>
      </c>
      <c r="G3843" s="19">
        <f t="shared" ref="G3843:G3906" si="285">D3843*9+E3843*4.1+F3843*4.1</f>
        <v>172</v>
      </c>
      <c r="H3843" s="22">
        <f t="shared" si="283"/>
        <v>3842</v>
      </c>
      <c r="I3843" s="21">
        <f t="shared" ca="1" si="282"/>
        <v>0</v>
      </c>
      <c r="J3843" s="21" t="str">
        <f ca="1">IF(I3843=0,"",COUNTIF($I$2:I3843,"&gt;0"))</f>
        <v/>
      </c>
      <c r="K3843" s="21" t="str">
        <f t="shared" ca="1" si="284"/>
        <v/>
      </c>
    </row>
    <row r="3844" spans="1:11" s="18" customFormat="1" ht="14.25" x14ac:dyDescent="0.2">
      <c r="A3844" s="18" t="str">
        <f t="shared" si="281"/>
        <v>Eintrag 3843</v>
      </c>
      <c r="B3844" s="18">
        <v>100</v>
      </c>
      <c r="C3844" s="19">
        <v>100</v>
      </c>
      <c r="D3844" s="20">
        <v>10</v>
      </c>
      <c r="E3844" s="20">
        <v>10</v>
      </c>
      <c r="F3844" s="20">
        <v>10</v>
      </c>
      <c r="G3844" s="19">
        <f t="shared" si="285"/>
        <v>172</v>
      </c>
      <c r="H3844" s="22">
        <f t="shared" si="283"/>
        <v>3843</v>
      </c>
      <c r="I3844" s="21">
        <f t="shared" ca="1" si="282"/>
        <v>0</v>
      </c>
      <c r="J3844" s="21" t="str">
        <f ca="1">IF(I3844=0,"",COUNTIF($I$2:I3844,"&gt;0"))</f>
        <v/>
      </c>
      <c r="K3844" s="21" t="str">
        <f t="shared" ca="1" si="284"/>
        <v/>
      </c>
    </row>
    <row r="3845" spans="1:11" s="18" customFormat="1" ht="14.25" x14ac:dyDescent="0.2">
      <c r="A3845" s="18" t="str">
        <f t="shared" si="281"/>
        <v>Eintrag 3844</v>
      </c>
      <c r="B3845" s="18">
        <v>100</v>
      </c>
      <c r="C3845" s="19">
        <v>100</v>
      </c>
      <c r="D3845" s="20">
        <v>10</v>
      </c>
      <c r="E3845" s="20">
        <v>10</v>
      </c>
      <c r="F3845" s="20">
        <v>10</v>
      </c>
      <c r="G3845" s="19">
        <f t="shared" si="285"/>
        <v>172</v>
      </c>
      <c r="H3845" s="22">
        <f t="shared" si="283"/>
        <v>3844</v>
      </c>
      <c r="I3845" s="21">
        <f t="shared" ca="1" si="282"/>
        <v>0</v>
      </c>
      <c r="J3845" s="21" t="str">
        <f ca="1">IF(I3845=0,"",COUNTIF($I$2:I3845,"&gt;0"))</f>
        <v/>
      </c>
      <c r="K3845" s="21" t="str">
        <f t="shared" ca="1" si="284"/>
        <v/>
      </c>
    </row>
    <row r="3846" spans="1:11" s="18" customFormat="1" ht="14.25" x14ac:dyDescent="0.2">
      <c r="A3846" s="18" t="str">
        <f t="shared" si="281"/>
        <v>Eintrag 3845</v>
      </c>
      <c r="B3846" s="18">
        <v>100</v>
      </c>
      <c r="C3846" s="19">
        <v>100</v>
      </c>
      <c r="D3846" s="20">
        <v>10</v>
      </c>
      <c r="E3846" s="20">
        <v>10</v>
      </c>
      <c r="F3846" s="20">
        <v>10</v>
      </c>
      <c r="G3846" s="19">
        <f t="shared" si="285"/>
        <v>172</v>
      </c>
      <c r="H3846" s="22">
        <f t="shared" si="283"/>
        <v>3845</v>
      </c>
      <c r="I3846" s="21">
        <f t="shared" ca="1" si="282"/>
        <v>0</v>
      </c>
      <c r="J3846" s="21" t="str">
        <f ca="1">IF(I3846=0,"",COUNTIF($I$2:I3846,"&gt;0"))</f>
        <v/>
      </c>
      <c r="K3846" s="21" t="str">
        <f t="shared" ca="1" si="284"/>
        <v/>
      </c>
    </row>
    <row r="3847" spans="1:11" s="18" customFormat="1" ht="14.25" x14ac:dyDescent="0.2">
      <c r="A3847" s="18" t="str">
        <f t="shared" si="281"/>
        <v>Eintrag 3846</v>
      </c>
      <c r="B3847" s="18">
        <v>100</v>
      </c>
      <c r="C3847" s="19">
        <v>100</v>
      </c>
      <c r="D3847" s="20">
        <v>10</v>
      </c>
      <c r="E3847" s="20">
        <v>10</v>
      </c>
      <c r="F3847" s="20">
        <v>10</v>
      </c>
      <c r="G3847" s="19">
        <f t="shared" si="285"/>
        <v>172</v>
      </c>
      <c r="H3847" s="22">
        <f t="shared" si="283"/>
        <v>3846</v>
      </c>
      <c r="I3847" s="21">
        <f t="shared" ca="1" si="282"/>
        <v>0</v>
      </c>
      <c r="J3847" s="21" t="str">
        <f ca="1">IF(I3847=0,"",COUNTIF($I$2:I3847,"&gt;0"))</f>
        <v/>
      </c>
      <c r="K3847" s="21" t="str">
        <f t="shared" ca="1" si="284"/>
        <v/>
      </c>
    </row>
    <row r="3848" spans="1:11" s="18" customFormat="1" ht="14.25" x14ac:dyDescent="0.2">
      <c r="A3848" s="18" t="str">
        <f t="shared" si="281"/>
        <v>Eintrag 3847</v>
      </c>
      <c r="B3848" s="18">
        <v>100</v>
      </c>
      <c r="C3848" s="19">
        <v>100</v>
      </c>
      <c r="D3848" s="20">
        <v>10</v>
      </c>
      <c r="E3848" s="20">
        <v>10</v>
      </c>
      <c r="F3848" s="20">
        <v>10</v>
      </c>
      <c r="G3848" s="19">
        <f t="shared" si="285"/>
        <v>172</v>
      </c>
      <c r="H3848" s="22">
        <f t="shared" si="283"/>
        <v>3847</v>
      </c>
      <c r="I3848" s="21">
        <f t="shared" ca="1" si="282"/>
        <v>0</v>
      </c>
      <c r="J3848" s="21" t="str">
        <f ca="1">IF(I3848=0,"",COUNTIF($I$2:I3848,"&gt;0"))</f>
        <v/>
      </c>
      <c r="K3848" s="21" t="str">
        <f t="shared" ca="1" si="284"/>
        <v/>
      </c>
    </row>
    <row r="3849" spans="1:11" s="18" customFormat="1" ht="14.25" x14ac:dyDescent="0.2">
      <c r="A3849" s="18" t="str">
        <f t="shared" si="281"/>
        <v>Eintrag 3848</v>
      </c>
      <c r="B3849" s="18">
        <v>100</v>
      </c>
      <c r="C3849" s="19">
        <v>100</v>
      </c>
      <c r="D3849" s="20">
        <v>10</v>
      </c>
      <c r="E3849" s="20">
        <v>10</v>
      </c>
      <c r="F3849" s="20">
        <v>10</v>
      </c>
      <c r="G3849" s="19">
        <f t="shared" si="285"/>
        <v>172</v>
      </c>
      <c r="H3849" s="22">
        <f t="shared" si="283"/>
        <v>3848</v>
      </c>
      <c r="I3849" s="21">
        <f t="shared" ca="1" si="282"/>
        <v>0</v>
      </c>
      <c r="J3849" s="21" t="str">
        <f ca="1">IF(I3849=0,"",COUNTIF($I$2:I3849,"&gt;0"))</f>
        <v/>
      </c>
      <c r="K3849" s="21" t="str">
        <f t="shared" ca="1" si="284"/>
        <v/>
      </c>
    </row>
    <row r="3850" spans="1:11" s="18" customFormat="1" ht="14.25" x14ac:dyDescent="0.2">
      <c r="A3850" s="18" t="str">
        <f t="shared" si="281"/>
        <v>Eintrag 3849</v>
      </c>
      <c r="B3850" s="18">
        <v>100</v>
      </c>
      <c r="C3850" s="19">
        <v>100</v>
      </c>
      <c r="D3850" s="20">
        <v>10</v>
      </c>
      <c r="E3850" s="20">
        <v>10</v>
      </c>
      <c r="F3850" s="20">
        <v>10</v>
      </c>
      <c r="G3850" s="19">
        <f t="shared" si="285"/>
        <v>172</v>
      </c>
      <c r="H3850" s="22">
        <f t="shared" si="283"/>
        <v>3849</v>
      </c>
      <c r="I3850" s="21">
        <f t="shared" ca="1" si="282"/>
        <v>0</v>
      </c>
      <c r="J3850" s="21" t="str">
        <f ca="1">IF(I3850=0,"",COUNTIF($I$2:I3850,"&gt;0"))</f>
        <v/>
      </c>
      <c r="K3850" s="21" t="str">
        <f t="shared" ca="1" si="284"/>
        <v/>
      </c>
    </row>
    <row r="3851" spans="1:11" s="18" customFormat="1" ht="14.25" x14ac:dyDescent="0.2">
      <c r="A3851" s="18" t="str">
        <f t="shared" si="281"/>
        <v>Eintrag 3850</v>
      </c>
      <c r="B3851" s="18">
        <v>100</v>
      </c>
      <c r="C3851" s="19">
        <v>100</v>
      </c>
      <c r="D3851" s="20">
        <v>10</v>
      </c>
      <c r="E3851" s="20">
        <v>10</v>
      </c>
      <c r="F3851" s="20">
        <v>10</v>
      </c>
      <c r="G3851" s="19">
        <f t="shared" si="285"/>
        <v>172</v>
      </c>
      <c r="H3851" s="22">
        <f t="shared" si="283"/>
        <v>3850</v>
      </c>
      <c r="I3851" s="21">
        <f t="shared" ca="1" si="282"/>
        <v>0</v>
      </c>
      <c r="J3851" s="21" t="str">
        <f ca="1">IF(I3851=0,"",COUNTIF($I$2:I3851,"&gt;0"))</f>
        <v/>
      </c>
      <c r="K3851" s="21" t="str">
        <f t="shared" ca="1" si="284"/>
        <v/>
      </c>
    </row>
    <row r="3852" spans="1:11" s="18" customFormat="1" ht="14.25" x14ac:dyDescent="0.2">
      <c r="A3852" s="18" t="str">
        <f t="shared" si="281"/>
        <v>Eintrag 3851</v>
      </c>
      <c r="B3852" s="18">
        <v>100</v>
      </c>
      <c r="C3852" s="19">
        <v>100</v>
      </c>
      <c r="D3852" s="20">
        <v>10</v>
      </c>
      <c r="E3852" s="20">
        <v>10</v>
      </c>
      <c r="F3852" s="20">
        <v>10</v>
      </c>
      <c r="G3852" s="19">
        <f t="shared" si="285"/>
        <v>172</v>
      </c>
      <c r="H3852" s="22">
        <f t="shared" si="283"/>
        <v>3851</v>
      </c>
      <c r="I3852" s="21">
        <f t="shared" ca="1" si="282"/>
        <v>0</v>
      </c>
      <c r="J3852" s="21" t="str">
        <f ca="1">IF(I3852=0,"",COUNTIF($I$2:I3852,"&gt;0"))</f>
        <v/>
      </c>
      <c r="K3852" s="21" t="str">
        <f t="shared" ca="1" si="284"/>
        <v/>
      </c>
    </row>
    <row r="3853" spans="1:11" s="18" customFormat="1" ht="14.25" x14ac:dyDescent="0.2">
      <c r="A3853" s="18" t="str">
        <f t="shared" si="281"/>
        <v>Eintrag 3852</v>
      </c>
      <c r="B3853" s="18">
        <v>100</v>
      </c>
      <c r="C3853" s="19">
        <v>100</v>
      </c>
      <c r="D3853" s="20">
        <v>10</v>
      </c>
      <c r="E3853" s="20">
        <v>10</v>
      </c>
      <c r="F3853" s="20">
        <v>10</v>
      </c>
      <c r="G3853" s="19">
        <f t="shared" si="285"/>
        <v>172</v>
      </c>
      <c r="H3853" s="22">
        <f t="shared" si="283"/>
        <v>3852</v>
      </c>
      <c r="I3853" s="21">
        <f t="shared" ca="1" si="282"/>
        <v>0</v>
      </c>
      <c r="J3853" s="21" t="str">
        <f ca="1">IF(I3853=0,"",COUNTIF($I$2:I3853,"&gt;0"))</f>
        <v/>
      </c>
      <c r="K3853" s="21" t="str">
        <f t="shared" ca="1" si="284"/>
        <v/>
      </c>
    </row>
    <row r="3854" spans="1:11" s="18" customFormat="1" ht="14.25" x14ac:dyDescent="0.2">
      <c r="A3854" s="18" t="str">
        <f t="shared" si="281"/>
        <v>Eintrag 3853</v>
      </c>
      <c r="B3854" s="18">
        <v>100</v>
      </c>
      <c r="C3854" s="19">
        <v>100</v>
      </c>
      <c r="D3854" s="20">
        <v>10</v>
      </c>
      <c r="E3854" s="20">
        <v>10</v>
      </c>
      <c r="F3854" s="20">
        <v>10</v>
      </c>
      <c r="G3854" s="19">
        <f t="shared" si="285"/>
        <v>172</v>
      </c>
      <c r="H3854" s="22">
        <f t="shared" si="283"/>
        <v>3853</v>
      </c>
      <c r="I3854" s="21">
        <f t="shared" ca="1" si="282"/>
        <v>0</v>
      </c>
      <c r="J3854" s="21" t="str">
        <f ca="1">IF(I3854=0,"",COUNTIF($I$2:I3854,"&gt;0"))</f>
        <v/>
      </c>
      <c r="K3854" s="21" t="str">
        <f t="shared" ca="1" si="284"/>
        <v/>
      </c>
    </row>
    <row r="3855" spans="1:11" s="18" customFormat="1" ht="14.25" x14ac:dyDescent="0.2">
      <c r="A3855" s="18" t="str">
        <f t="shared" si="281"/>
        <v>Eintrag 3854</v>
      </c>
      <c r="B3855" s="18">
        <v>100</v>
      </c>
      <c r="C3855" s="19">
        <v>100</v>
      </c>
      <c r="D3855" s="20">
        <v>10</v>
      </c>
      <c r="E3855" s="20">
        <v>10</v>
      </c>
      <c r="F3855" s="20">
        <v>10</v>
      </c>
      <c r="G3855" s="19">
        <f t="shared" si="285"/>
        <v>172</v>
      </c>
      <c r="H3855" s="22">
        <f t="shared" si="283"/>
        <v>3854</v>
      </c>
      <c r="I3855" s="21">
        <f t="shared" ca="1" si="282"/>
        <v>0</v>
      </c>
      <c r="J3855" s="21" t="str">
        <f ca="1">IF(I3855=0,"",COUNTIF($I$2:I3855,"&gt;0"))</f>
        <v/>
      </c>
      <c r="K3855" s="21" t="str">
        <f t="shared" ca="1" si="284"/>
        <v/>
      </c>
    </row>
    <row r="3856" spans="1:11" s="18" customFormat="1" ht="14.25" x14ac:dyDescent="0.2">
      <c r="A3856" s="18" t="str">
        <f t="shared" si="281"/>
        <v>Eintrag 3855</v>
      </c>
      <c r="B3856" s="18">
        <v>100</v>
      </c>
      <c r="C3856" s="19">
        <v>100</v>
      </c>
      <c r="D3856" s="20">
        <v>10</v>
      </c>
      <c r="E3856" s="20">
        <v>10</v>
      </c>
      <c r="F3856" s="20">
        <v>10</v>
      </c>
      <c r="G3856" s="19">
        <f t="shared" si="285"/>
        <v>172</v>
      </c>
      <c r="H3856" s="22">
        <f t="shared" si="283"/>
        <v>3855</v>
      </c>
      <c r="I3856" s="21">
        <f t="shared" ca="1" si="282"/>
        <v>0</v>
      </c>
      <c r="J3856" s="21" t="str">
        <f ca="1">IF(I3856=0,"",COUNTIF($I$2:I3856,"&gt;0"))</f>
        <v/>
      </c>
      <c r="K3856" s="21" t="str">
        <f t="shared" ca="1" si="284"/>
        <v/>
      </c>
    </row>
    <row r="3857" spans="1:11" s="18" customFormat="1" ht="14.25" x14ac:dyDescent="0.2">
      <c r="A3857" s="18" t="str">
        <f t="shared" si="281"/>
        <v>Eintrag 3856</v>
      </c>
      <c r="B3857" s="18">
        <v>100</v>
      </c>
      <c r="C3857" s="19">
        <v>100</v>
      </c>
      <c r="D3857" s="20">
        <v>10</v>
      </c>
      <c r="E3857" s="20">
        <v>10</v>
      </c>
      <c r="F3857" s="20">
        <v>10</v>
      </c>
      <c r="G3857" s="19">
        <f t="shared" si="285"/>
        <v>172</v>
      </c>
      <c r="H3857" s="22">
        <f t="shared" si="283"/>
        <v>3856</v>
      </c>
      <c r="I3857" s="21">
        <f t="shared" ca="1" si="282"/>
        <v>0</v>
      </c>
      <c r="J3857" s="21" t="str">
        <f ca="1">IF(I3857=0,"",COUNTIF($I$2:I3857,"&gt;0"))</f>
        <v/>
      </c>
      <c r="K3857" s="21" t="str">
        <f t="shared" ca="1" si="284"/>
        <v/>
      </c>
    </row>
    <row r="3858" spans="1:11" s="18" customFormat="1" ht="14.25" x14ac:dyDescent="0.2">
      <c r="A3858" s="18" t="str">
        <f t="shared" si="281"/>
        <v>Eintrag 3857</v>
      </c>
      <c r="B3858" s="18">
        <v>100</v>
      </c>
      <c r="C3858" s="19">
        <v>100</v>
      </c>
      <c r="D3858" s="20">
        <v>10</v>
      </c>
      <c r="E3858" s="20">
        <v>10</v>
      </c>
      <c r="F3858" s="20">
        <v>10</v>
      </c>
      <c r="G3858" s="19">
        <f t="shared" si="285"/>
        <v>172</v>
      </c>
      <c r="H3858" s="22">
        <f t="shared" si="283"/>
        <v>3857</v>
      </c>
      <c r="I3858" s="21">
        <f t="shared" ca="1" si="282"/>
        <v>0</v>
      </c>
      <c r="J3858" s="21" t="str">
        <f ca="1">IF(I3858=0,"",COUNTIF($I$2:I3858,"&gt;0"))</f>
        <v/>
      </c>
      <c r="K3858" s="21" t="str">
        <f t="shared" ca="1" si="284"/>
        <v/>
      </c>
    </row>
    <row r="3859" spans="1:11" s="18" customFormat="1" ht="14.25" x14ac:dyDescent="0.2">
      <c r="A3859" s="18" t="str">
        <f t="shared" si="281"/>
        <v>Eintrag 3858</v>
      </c>
      <c r="B3859" s="18">
        <v>100</v>
      </c>
      <c r="C3859" s="19">
        <v>100</v>
      </c>
      <c r="D3859" s="20">
        <v>10</v>
      </c>
      <c r="E3859" s="20">
        <v>10</v>
      </c>
      <c r="F3859" s="20">
        <v>10</v>
      </c>
      <c r="G3859" s="19">
        <f t="shared" si="285"/>
        <v>172</v>
      </c>
      <c r="H3859" s="22">
        <f t="shared" si="283"/>
        <v>3858</v>
      </c>
      <c r="I3859" s="21">
        <f t="shared" ca="1" si="282"/>
        <v>0</v>
      </c>
      <c r="J3859" s="21" t="str">
        <f ca="1">IF(I3859=0,"",COUNTIF($I$2:I3859,"&gt;0"))</f>
        <v/>
      </c>
      <c r="K3859" s="21" t="str">
        <f t="shared" ca="1" si="284"/>
        <v/>
      </c>
    </row>
    <row r="3860" spans="1:11" s="18" customFormat="1" ht="14.25" x14ac:dyDescent="0.2">
      <c r="A3860" s="18" t="str">
        <f t="shared" si="281"/>
        <v>Eintrag 3859</v>
      </c>
      <c r="B3860" s="18">
        <v>100</v>
      </c>
      <c r="C3860" s="19">
        <v>100</v>
      </c>
      <c r="D3860" s="20">
        <v>10</v>
      </c>
      <c r="E3860" s="20">
        <v>10</v>
      </c>
      <c r="F3860" s="20">
        <v>10</v>
      </c>
      <c r="G3860" s="19">
        <f t="shared" si="285"/>
        <v>172</v>
      </c>
      <c r="H3860" s="22">
        <f t="shared" si="283"/>
        <v>3859</v>
      </c>
      <c r="I3860" s="21">
        <f t="shared" ca="1" si="282"/>
        <v>0</v>
      </c>
      <c r="J3860" s="21" t="str">
        <f ca="1">IF(I3860=0,"",COUNTIF($I$2:I3860,"&gt;0"))</f>
        <v/>
      </c>
      <c r="K3860" s="21" t="str">
        <f t="shared" ca="1" si="284"/>
        <v/>
      </c>
    </row>
    <row r="3861" spans="1:11" s="18" customFormat="1" ht="14.25" x14ac:dyDescent="0.2">
      <c r="A3861" s="18" t="str">
        <f t="shared" si="281"/>
        <v>Eintrag 3860</v>
      </c>
      <c r="B3861" s="18">
        <v>100</v>
      </c>
      <c r="C3861" s="19">
        <v>100</v>
      </c>
      <c r="D3861" s="20">
        <v>10</v>
      </c>
      <c r="E3861" s="20">
        <v>10</v>
      </c>
      <c r="F3861" s="20">
        <v>10</v>
      </c>
      <c r="G3861" s="19">
        <f t="shared" si="285"/>
        <v>172</v>
      </c>
      <c r="H3861" s="22">
        <f t="shared" si="283"/>
        <v>3860</v>
      </c>
      <c r="I3861" s="21">
        <f t="shared" ca="1" si="282"/>
        <v>0</v>
      </c>
      <c r="J3861" s="21" t="str">
        <f ca="1">IF(I3861=0,"",COUNTIF($I$2:I3861,"&gt;0"))</f>
        <v/>
      </c>
      <c r="K3861" s="21" t="str">
        <f t="shared" ca="1" si="284"/>
        <v/>
      </c>
    </row>
    <row r="3862" spans="1:11" s="18" customFormat="1" ht="14.25" x14ac:dyDescent="0.2">
      <c r="A3862" s="18" t="str">
        <f t="shared" si="281"/>
        <v>Eintrag 3861</v>
      </c>
      <c r="B3862" s="18">
        <v>100</v>
      </c>
      <c r="C3862" s="19">
        <v>100</v>
      </c>
      <c r="D3862" s="20">
        <v>10</v>
      </c>
      <c r="E3862" s="20">
        <v>10</v>
      </c>
      <c r="F3862" s="20">
        <v>10</v>
      </c>
      <c r="G3862" s="19">
        <f t="shared" si="285"/>
        <v>172</v>
      </c>
      <c r="H3862" s="22">
        <f t="shared" si="283"/>
        <v>3861</v>
      </c>
      <c r="I3862" s="21">
        <f t="shared" ca="1" si="282"/>
        <v>0</v>
      </c>
      <c r="J3862" s="21" t="str">
        <f ca="1">IF(I3862=0,"",COUNTIF($I$2:I3862,"&gt;0"))</f>
        <v/>
      </c>
      <c r="K3862" s="21" t="str">
        <f t="shared" ca="1" si="284"/>
        <v/>
      </c>
    </row>
    <row r="3863" spans="1:11" s="18" customFormat="1" ht="14.25" x14ac:dyDescent="0.2">
      <c r="A3863" s="18" t="str">
        <f t="shared" si="281"/>
        <v>Eintrag 3862</v>
      </c>
      <c r="B3863" s="18">
        <v>100</v>
      </c>
      <c r="C3863" s="19">
        <v>100</v>
      </c>
      <c r="D3863" s="20">
        <v>10</v>
      </c>
      <c r="E3863" s="20">
        <v>10</v>
      </c>
      <c r="F3863" s="20">
        <v>10</v>
      </c>
      <c r="G3863" s="19">
        <f t="shared" si="285"/>
        <v>172</v>
      </c>
      <c r="H3863" s="22">
        <f t="shared" si="283"/>
        <v>3862</v>
      </c>
      <c r="I3863" s="21">
        <f t="shared" ca="1" si="282"/>
        <v>0</v>
      </c>
      <c r="J3863" s="21" t="str">
        <f ca="1">IF(I3863=0,"",COUNTIF($I$2:I3863,"&gt;0"))</f>
        <v/>
      </c>
      <c r="K3863" s="21" t="str">
        <f t="shared" ca="1" si="284"/>
        <v/>
      </c>
    </row>
    <row r="3864" spans="1:11" s="18" customFormat="1" ht="14.25" x14ac:dyDescent="0.2">
      <c r="A3864" s="18" t="str">
        <f t="shared" si="281"/>
        <v>Eintrag 3863</v>
      </c>
      <c r="B3864" s="18">
        <v>100</v>
      </c>
      <c r="C3864" s="19">
        <v>100</v>
      </c>
      <c r="D3864" s="20">
        <v>10</v>
      </c>
      <c r="E3864" s="20">
        <v>10</v>
      </c>
      <c r="F3864" s="20">
        <v>10</v>
      </c>
      <c r="G3864" s="19">
        <f t="shared" si="285"/>
        <v>172</v>
      </c>
      <c r="H3864" s="22">
        <f t="shared" si="283"/>
        <v>3863</v>
      </c>
      <c r="I3864" s="21">
        <f t="shared" ca="1" si="282"/>
        <v>0</v>
      </c>
      <c r="J3864" s="21" t="str">
        <f ca="1">IF(I3864=0,"",COUNTIF($I$2:I3864,"&gt;0"))</f>
        <v/>
      </c>
      <c r="K3864" s="21" t="str">
        <f t="shared" ca="1" si="284"/>
        <v/>
      </c>
    </row>
    <row r="3865" spans="1:11" s="18" customFormat="1" ht="14.25" x14ac:dyDescent="0.2">
      <c r="A3865" s="18" t="str">
        <f t="shared" si="281"/>
        <v>Eintrag 3864</v>
      </c>
      <c r="B3865" s="18">
        <v>100</v>
      </c>
      <c r="C3865" s="19">
        <v>100</v>
      </c>
      <c r="D3865" s="20">
        <v>10</v>
      </c>
      <c r="E3865" s="20">
        <v>10</v>
      </c>
      <c r="F3865" s="20">
        <v>10</v>
      </c>
      <c r="G3865" s="19">
        <f t="shared" si="285"/>
        <v>172</v>
      </c>
      <c r="H3865" s="22">
        <f t="shared" si="283"/>
        <v>3864</v>
      </c>
      <c r="I3865" s="21">
        <f t="shared" ca="1" si="282"/>
        <v>0</v>
      </c>
      <c r="J3865" s="21" t="str">
        <f ca="1">IF(I3865=0,"",COUNTIF($I$2:I3865,"&gt;0"))</f>
        <v/>
      </c>
      <c r="K3865" s="21" t="str">
        <f t="shared" ca="1" si="284"/>
        <v/>
      </c>
    </row>
    <row r="3866" spans="1:11" s="18" customFormat="1" ht="14.25" x14ac:dyDescent="0.2">
      <c r="A3866" s="18" t="str">
        <f t="shared" si="281"/>
        <v>Eintrag 3865</v>
      </c>
      <c r="B3866" s="18">
        <v>100</v>
      </c>
      <c r="C3866" s="19">
        <v>100</v>
      </c>
      <c r="D3866" s="20">
        <v>10</v>
      </c>
      <c r="E3866" s="20">
        <v>10</v>
      </c>
      <c r="F3866" s="20">
        <v>10</v>
      </c>
      <c r="G3866" s="19">
        <f t="shared" si="285"/>
        <v>172</v>
      </c>
      <c r="H3866" s="22">
        <f t="shared" si="283"/>
        <v>3865</v>
      </c>
      <c r="I3866" s="21">
        <f t="shared" ca="1" si="282"/>
        <v>0</v>
      </c>
      <c r="J3866" s="21" t="str">
        <f ca="1">IF(I3866=0,"",COUNTIF($I$2:I3866,"&gt;0"))</f>
        <v/>
      </c>
      <c r="K3866" s="21" t="str">
        <f t="shared" ca="1" si="284"/>
        <v/>
      </c>
    </row>
    <row r="3867" spans="1:11" s="18" customFormat="1" ht="14.25" x14ac:dyDescent="0.2">
      <c r="A3867" s="18" t="str">
        <f t="shared" si="281"/>
        <v>Eintrag 3866</v>
      </c>
      <c r="B3867" s="18">
        <v>100</v>
      </c>
      <c r="C3867" s="19">
        <v>100</v>
      </c>
      <c r="D3867" s="20">
        <v>10</v>
      </c>
      <c r="E3867" s="20">
        <v>10</v>
      </c>
      <c r="F3867" s="20">
        <v>10</v>
      </c>
      <c r="G3867" s="19">
        <f t="shared" si="285"/>
        <v>172</v>
      </c>
      <c r="H3867" s="22">
        <f t="shared" si="283"/>
        <v>3866</v>
      </c>
      <c r="I3867" s="21">
        <f t="shared" ca="1" si="282"/>
        <v>0</v>
      </c>
      <c r="J3867" s="21" t="str">
        <f ca="1">IF(I3867=0,"",COUNTIF($I$2:I3867,"&gt;0"))</f>
        <v/>
      </c>
      <c r="K3867" s="21" t="str">
        <f t="shared" ca="1" si="284"/>
        <v/>
      </c>
    </row>
    <row r="3868" spans="1:11" s="18" customFormat="1" ht="14.25" x14ac:dyDescent="0.2">
      <c r="A3868" s="18" t="str">
        <f t="shared" si="281"/>
        <v>Eintrag 3867</v>
      </c>
      <c r="B3868" s="18">
        <v>100</v>
      </c>
      <c r="C3868" s="19">
        <v>100</v>
      </c>
      <c r="D3868" s="20">
        <v>10</v>
      </c>
      <c r="E3868" s="20">
        <v>10</v>
      </c>
      <c r="F3868" s="20">
        <v>10</v>
      </c>
      <c r="G3868" s="19">
        <f t="shared" si="285"/>
        <v>172</v>
      </c>
      <c r="H3868" s="22">
        <f t="shared" si="283"/>
        <v>3867</v>
      </c>
      <c r="I3868" s="21">
        <f t="shared" ca="1" si="282"/>
        <v>0</v>
      </c>
      <c r="J3868" s="21" t="str">
        <f ca="1">IF(I3868=0,"",COUNTIF($I$2:I3868,"&gt;0"))</f>
        <v/>
      </c>
      <c r="K3868" s="21" t="str">
        <f t="shared" ca="1" si="284"/>
        <v/>
      </c>
    </row>
    <row r="3869" spans="1:11" s="18" customFormat="1" ht="14.25" x14ac:dyDescent="0.2">
      <c r="A3869" s="18" t="str">
        <f t="shared" si="281"/>
        <v>Eintrag 3868</v>
      </c>
      <c r="B3869" s="18">
        <v>100</v>
      </c>
      <c r="C3869" s="19">
        <v>100</v>
      </c>
      <c r="D3869" s="20">
        <v>10</v>
      </c>
      <c r="E3869" s="20">
        <v>10</v>
      </c>
      <c r="F3869" s="20">
        <v>10</v>
      </c>
      <c r="G3869" s="19">
        <f t="shared" si="285"/>
        <v>172</v>
      </c>
      <c r="H3869" s="22">
        <f t="shared" si="283"/>
        <v>3868</v>
      </c>
      <c r="I3869" s="21">
        <f t="shared" ca="1" si="282"/>
        <v>0</v>
      </c>
      <c r="J3869" s="21" t="str">
        <f ca="1">IF(I3869=0,"",COUNTIF($I$2:I3869,"&gt;0"))</f>
        <v/>
      </c>
      <c r="K3869" s="21" t="str">
        <f t="shared" ca="1" si="284"/>
        <v/>
      </c>
    </row>
    <row r="3870" spans="1:11" s="18" customFormat="1" ht="14.25" x14ac:dyDescent="0.2">
      <c r="A3870" s="18" t="str">
        <f t="shared" si="281"/>
        <v>Eintrag 3869</v>
      </c>
      <c r="B3870" s="18">
        <v>100</v>
      </c>
      <c r="C3870" s="19">
        <v>100</v>
      </c>
      <c r="D3870" s="20">
        <v>10</v>
      </c>
      <c r="E3870" s="20">
        <v>10</v>
      </c>
      <c r="F3870" s="20">
        <v>10</v>
      </c>
      <c r="G3870" s="19">
        <f t="shared" si="285"/>
        <v>172</v>
      </c>
      <c r="H3870" s="22">
        <f t="shared" si="283"/>
        <v>3869</v>
      </c>
      <c r="I3870" s="21">
        <f t="shared" ref="I3870:I3933" ca="1" si="286">IFERROR(SEARCH(INDIRECT(CELL("address")),A3870),0)</f>
        <v>0</v>
      </c>
      <c r="J3870" s="21" t="str">
        <f ca="1">IF(I3870=0,"",COUNTIF($I$2:I3870,"&gt;0"))</f>
        <v/>
      </c>
      <c r="K3870" s="21" t="str">
        <f t="shared" ca="1" si="284"/>
        <v/>
      </c>
    </row>
    <row r="3871" spans="1:11" s="18" customFormat="1" ht="14.25" x14ac:dyDescent="0.2">
      <c r="A3871" s="18" t="str">
        <f t="shared" si="281"/>
        <v>Eintrag 3870</v>
      </c>
      <c r="B3871" s="18">
        <v>100</v>
      </c>
      <c r="C3871" s="19">
        <v>100</v>
      </c>
      <c r="D3871" s="20">
        <v>10</v>
      </c>
      <c r="E3871" s="20">
        <v>10</v>
      </c>
      <c r="F3871" s="20">
        <v>10</v>
      </c>
      <c r="G3871" s="19">
        <f t="shared" si="285"/>
        <v>172</v>
      </c>
      <c r="H3871" s="22">
        <f t="shared" si="283"/>
        <v>3870</v>
      </c>
      <c r="I3871" s="21">
        <f t="shared" ca="1" si="286"/>
        <v>0</v>
      </c>
      <c r="J3871" s="21" t="str">
        <f ca="1">IF(I3871=0,"",COUNTIF($I$2:I3871,"&gt;0"))</f>
        <v/>
      </c>
      <c r="K3871" s="21" t="str">
        <f t="shared" ca="1" si="284"/>
        <v/>
      </c>
    </row>
    <row r="3872" spans="1:11" s="18" customFormat="1" ht="14.25" x14ac:dyDescent="0.2">
      <c r="A3872" s="18" t="str">
        <f t="shared" si="281"/>
        <v>Eintrag 3871</v>
      </c>
      <c r="B3872" s="18">
        <v>100</v>
      </c>
      <c r="C3872" s="19">
        <v>100</v>
      </c>
      <c r="D3872" s="20">
        <v>10</v>
      </c>
      <c r="E3872" s="20">
        <v>10</v>
      </c>
      <c r="F3872" s="20">
        <v>10</v>
      </c>
      <c r="G3872" s="19">
        <f t="shared" si="285"/>
        <v>172</v>
      </c>
      <c r="H3872" s="22">
        <f t="shared" si="283"/>
        <v>3871</v>
      </c>
      <c r="I3872" s="21">
        <f t="shared" ca="1" si="286"/>
        <v>0</v>
      </c>
      <c r="J3872" s="21" t="str">
        <f ca="1">IF(I3872=0,"",COUNTIF($I$2:I3872,"&gt;0"))</f>
        <v/>
      </c>
      <c r="K3872" s="21" t="str">
        <f t="shared" ca="1" si="284"/>
        <v/>
      </c>
    </row>
    <row r="3873" spans="1:11" s="18" customFormat="1" ht="14.25" x14ac:dyDescent="0.2">
      <c r="A3873" s="18" t="str">
        <f t="shared" si="281"/>
        <v>Eintrag 3872</v>
      </c>
      <c r="B3873" s="18">
        <v>100</v>
      </c>
      <c r="C3873" s="19">
        <v>100</v>
      </c>
      <c r="D3873" s="20">
        <v>10</v>
      </c>
      <c r="E3873" s="20">
        <v>10</v>
      </c>
      <c r="F3873" s="20">
        <v>10</v>
      </c>
      <c r="G3873" s="19">
        <f t="shared" si="285"/>
        <v>172</v>
      </c>
      <c r="H3873" s="22">
        <f t="shared" si="283"/>
        <v>3872</v>
      </c>
      <c r="I3873" s="21">
        <f t="shared" ca="1" si="286"/>
        <v>0</v>
      </c>
      <c r="J3873" s="21" t="str">
        <f ca="1">IF(I3873=0,"",COUNTIF($I$2:I3873,"&gt;0"))</f>
        <v/>
      </c>
      <c r="K3873" s="21" t="str">
        <f t="shared" ca="1" si="284"/>
        <v/>
      </c>
    </row>
    <row r="3874" spans="1:11" s="18" customFormat="1" ht="14.25" x14ac:dyDescent="0.2">
      <c r="A3874" s="18" t="str">
        <f t="shared" si="281"/>
        <v>Eintrag 3873</v>
      </c>
      <c r="B3874" s="18">
        <v>100</v>
      </c>
      <c r="C3874" s="19">
        <v>100</v>
      </c>
      <c r="D3874" s="20">
        <v>10</v>
      </c>
      <c r="E3874" s="20">
        <v>10</v>
      </c>
      <c r="F3874" s="20">
        <v>10</v>
      </c>
      <c r="G3874" s="19">
        <f t="shared" si="285"/>
        <v>172</v>
      </c>
      <c r="H3874" s="22">
        <f t="shared" si="283"/>
        <v>3873</v>
      </c>
      <c r="I3874" s="21">
        <f t="shared" ca="1" si="286"/>
        <v>0</v>
      </c>
      <c r="J3874" s="21" t="str">
        <f ca="1">IF(I3874=0,"",COUNTIF($I$2:I3874,"&gt;0"))</f>
        <v/>
      </c>
      <c r="K3874" s="21" t="str">
        <f t="shared" ca="1" si="284"/>
        <v/>
      </c>
    </row>
    <row r="3875" spans="1:11" s="18" customFormat="1" ht="14.25" x14ac:dyDescent="0.2">
      <c r="A3875" s="18" t="str">
        <f t="shared" si="281"/>
        <v>Eintrag 3874</v>
      </c>
      <c r="B3875" s="18">
        <v>100</v>
      </c>
      <c r="C3875" s="19">
        <v>100</v>
      </c>
      <c r="D3875" s="20">
        <v>10</v>
      </c>
      <c r="E3875" s="20">
        <v>10</v>
      </c>
      <c r="F3875" s="20">
        <v>10</v>
      </c>
      <c r="G3875" s="19">
        <f t="shared" si="285"/>
        <v>172</v>
      </c>
      <c r="H3875" s="22">
        <f t="shared" si="283"/>
        <v>3874</v>
      </c>
      <c r="I3875" s="21">
        <f t="shared" ca="1" si="286"/>
        <v>0</v>
      </c>
      <c r="J3875" s="21" t="str">
        <f ca="1">IF(I3875=0,"",COUNTIF($I$2:I3875,"&gt;0"))</f>
        <v/>
      </c>
      <c r="K3875" s="21" t="str">
        <f t="shared" ca="1" si="284"/>
        <v/>
      </c>
    </row>
    <row r="3876" spans="1:11" s="18" customFormat="1" ht="14.25" x14ac:dyDescent="0.2">
      <c r="A3876" s="18" t="str">
        <f t="shared" si="281"/>
        <v>Eintrag 3875</v>
      </c>
      <c r="B3876" s="18">
        <v>100</v>
      </c>
      <c r="C3876" s="19">
        <v>100</v>
      </c>
      <c r="D3876" s="20">
        <v>10</v>
      </c>
      <c r="E3876" s="20">
        <v>10</v>
      </c>
      <c r="F3876" s="20">
        <v>10</v>
      </c>
      <c r="G3876" s="19">
        <f t="shared" si="285"/>
        <v>172</v>
      </c>
      <c r="H3876" s="22">
        <f t="shared" si="283"/>
        <v>3875</v>
      </c>
      <c r="I3876" s="21">
        <f t="shared" ca="1" si="286"/>
        <v>0</v>
      </c>
      <c r="J3876" s="21" t="str">
        <f ca="1">IF(I3876=0,"",COUNTIF($I$2:I3876,"&gt;0"))</f>
        <v/>
      </c>
      <c r="K3876" s="21" t="str">
        <f t="shared" ca="1" si="284"/>
        <v/>
      </c>
    </row>
    <row r="3877" spans="1:11" s="18" customFormat="1" ht="14.25" x14ac:dyDescent="0.2">
      <c r="A3877" s="18" t="str">
        <f t="shared" si="281"/>
        <v>Eintrag 3876</v>
      </c>
      <c r="B3877" s="18">
        <v>100</v>
      </c>
      <c r="C3877" s="19">
        <v>100</v>
      </c>
      <c r="D3877" s="20">
        <v>10</v>
      </c>
      <c r="E3877" s="20">
        <v>10</v>
      </c>
      <c r="F3877" s="20">
        <v>10</v>
      </c>
      <c r="G3877" s="19">
        <f t="shared" si="285"/>
        <v>172</v>
      </c>
      <c r="H3877" s="22">
        <f t="shared" ref="H3877:H3940" si="287">H3876+1</f>
        <v>3876</v>
      </c>
      <c r="I3877" s="21">
        <f t="shared" ca="1" si="286"/>
        <v>0</v>
      </c>
      <c r="J3877" s="21" t="str">
        <f ca="1">IF(I3877=0,"",COUNTIF($I$2:I3877,"&gt;0"))</f>
        <v/>
      </c>
      <c r="K3877" s="21" t="str">
        <f t="shared" ca="1" si="284"/>
        <v/>
      </c>
    </row>
    <row r="3878" spans="1:11" s="18" customFormat="1" ht="14.25" x14ac:dyDescent="0.2">
      <c r="A3878" s="18" t="str">
        <f t="shared" si="281"/>
        <v>Eintrag 3877</v>
      </c>
      <c r="B3878" s="18">
        <v>100</v>
      </c>
      <c r="C3878" s="19">
        <v>100</v>
      </c>
      <c r="D3878" s="20">
        <v>10</v>
      </c>
      <c r="E3878" s="20">
        <v>10</v>
      </c>
      <c r="F3878" s="20">
        <v>10</v>
      </c>
      <c r="G3878" s="19">
        <f t="shared" si="285"/>
        <v>172</v>
      </c>
      <c r="H3878" s="22">
        <f t="shared" si="287"/>
        <v>3877</v>
      </c>
      <c r="I3878" s="21">
        <f t="shared" ca="1" si="286"/>
        <v>0</v>
      </c>
      <c r="J3878" s="21" t="str">
        <f ca="1">IF(I3878=0,"",COUNTIF($I$2:I3878,"&gt;0"))</f>
        <v/>
      </c>
      <c r="K3878" s="21" t="str">
        <f t="shared" ca="1" si="284"/>
        <v/>
      </c>
    </row>
    <row r="3879" spans="1:11" s="18" customFormat="1" ht="14.25" x14ac:dyDescent="0.2">
      <c r="A3879" s="18" t="str">
        <f t="shared" si="281"/>
        <v>Eintrag 3878</v>
      </c>
      <c r="B3879" s="18">
        <v>100</v>
      </c>
      <c r="C3879" s="19">
        <v>100</v>
      </c>
      <c r="D3879" s="20">
        <v>10</v>
      </c>
      <c r="E3879" s="20">
        <v>10</v>
      </c>
      <c r="F3879" s="20">
        <v>10</v>
      </c>
      <c r="G3879" s="19">
        <f t="shared" si="285"/>
        <v>172</v>
      </c>
      <c r="H3879" s="22">
        <f t="shared" si="287"/>
        <v>3878</v>
      </c>
      <c r="I3879" s="21">
        <f t="shared" ca="1" si="286"/>
        <v>0</v>
      </c>
      <c r="J3879" s="21" t="str">
        <f ca="1">IF(I3879=0,"",COUNTIF($I$2:I3879,"&gt;0"))</f>
        <v/>
      </c>
      <c r="K3879" s="21" t="str">
        <f t="shared" ca="1" si="284"/>
        <v/>
      </c>
    </row>
    <row r="3880" spans="1:11" s="18" customFormat="1" ht="14.25" x14ac:dyDescent="0.2">
      <c r="A3880" s="18" t="str">
        <f t="shared" si="281"/>
        <v>Eintrag 3879</v>
      </c>
      <c r="B3880" s="18">
        <v>100</v>
      </c>
      <c r="C3880" s="19">
        <v>100</v>
      </c>
      <c r="D3880" s="20">
        <v>10</v>
      </c>
      <c r="E3880" s="20">
        <v>10</v>
      </c>
      <c r="F3880" s="20">
        <v>10</v>
      </c>
      <c r="G3880" s="19">
        <f t="shared" si="285"/>
        <v>172</v>
      </c>
      <c r="H3880" s="22">
        <f t="shared" si="287"/>
        <v>3879</v>
      </c>
      <c r="I3880" s="21">
        <f t="shared" ca="1" si="286"/>
        <v>0</v>
      </c>
      <c r="J3880" s="21" t="str">
        <f ca="1">IF(I3880=0,"",COUNTIF($I$2:I3880,"&gt;0"))</f>
        <v/>
      </c>
      <c r="K3880" s="21" t="str">
        <f t="shared" ca="1" si="284"/>
        <v/>
      </c>
    </row>
    <row r="3881" spans="1:11" s="18" customFormat="1" ht="14.25" x14ac:dyDescent="0.2">
      <c r="A3881" s="18" t="str">
        <f t="shared" si="281"/>
        <v>Eintrag 3880</v>
      </c>
      <c r="B3881" s="18">
        <v>100</v>
      </c>
      <c r="C3881" s="19">
        <v>100</v>
      </c>
      <c r="D3881" s="20">
        <v>10</v>
      </c>
      <c r="E3881" s="20">
        <v>10</v>
      </c>
      <c r="F3881" s="20">
        <v>10</v>
      </c>
      <c r="G3881" s="19">
        <f t="shared" si="285"/>
        <v>172</v>
      </c>
      <c r="H3881" s="22">
        <f t="shared" si="287"/>
        <v>3880</v>
      </c>
      <c r="I3881" s="21">
        <f t="shared" ca="1" si="286"/>
        <v>0</v>
      </c>
      <c r="J3881" s="21" t="str">
        <f ca="1">IF(I3881=0,"",COUNTIF($I$2:I3881,"&gt;0"))</f>
        <v/>
      </c>
      <c r="K3881" s="21" t="str">
        <f t="shared" ca="1" si="284"/>
        <v/>
      </c>
    </row>
    <row r="3882" spans="1:11" s="18" customFormat="1" ht="14.25" x14ac:dyDescent="0.2">
      <c r="A3882" s="18" t="str">
        <f t="shared" si="281"/>
        <v>Eintrag 3881</v>
      </c>
      <c r="B3882" s="18">
        <v>100</v>
      </c>
      <c r="C3882" s="19">
        <v>100</v>
      </c>
      <c r="D3882" s="20">
        <v>10</v>
      </c>
      <c r="E3882" s="20">
        <v>10</v>
      </c>
      <c r="F3882" s="20">
        <v>10</v>
      </c>
      <c r="G3882" s="19">
        <f t="shared" si="285"/>
        <v>172</v>
      </c>
      <c r="H3882" s="22">
        <f t="shared" si="287"/>
        <v>3881</v>
      </c>
      <c r="I3882" s="21">
        <f t="shared" ca="1" si="286"/>
        <v>0</v>
      </c>
      <c r="J3882" s="21" t="str">
        <f ca="1">IF(I3882=0,"",COUNTIF($I$2:I3882,"&gt;0"))</f>
        <v/>
      </c>
      <c r="K3882" s="21" t="str">
        <f t="shared" ca="1" si="284"/>
        <v/>
      </c>
    </row>
    <row r="3883" spans="1:11" s="18" customFormat="1" ht="14.25" x14ac:dyDescent="0.2">
      <c r="A3883" s="18" t="str">
        <f t="shared" si="281"/>
        <v>Eintrag 3882</v>
      </c>
      <c r="B3883" s="18">
        <v>100</v>
      </c>
      <c r="C3883" s="19">
        <v>100</v>
      </c>
      <c r="D3883" s="20">
        <v>10</v>
      </c>
      <c r="E3883" s="20">
        <v>10</v>
      </c>
      <c r="F3883" s="20">
        <v>10</v>
      </c>
      <c r="G3883" s="19">
        <f t="shared" si="285"/>
        <v>172</v>
      </c>
      <c r="H3883" s="22">
        <f t="shared" si="287"/>
        <v>3882</v>
      </c>
      <c r="I3883" s="21">
        <f t="shared" ca="1" si="286"/>
        <v>0</v>
      </c>
      <c r="J3883" s="21" t="str">
        <f ca="1">IF(I3883=0,"",COUNTIF($I$2:I3883,"&gt;0"))</f>
        <v/>
      </c>
      <c r="K3883" s="21" t="str">
        <f t="shared" ca="1" si="284"/>
        <v/>
      </c>
    </row>
    <row r="3884" spans="1:11" s="18" customFormat="1" ht="14.25" x14ac:dyDescent="0.2">
      <c r="A3884" s="18" t="str">
        <f t="shared" si="281"/>
        <v>Eintrag 3883</v>
      </c>
      <c r="B3884" s="18">
        <v>100</v>
      </c>
      <c r="C3884" s="19">
        <v>100</v>
      </c>
      <c r="D3884" s="20">
        <v>10</v>
      </c>
      <c r="E3884" s="20">
        <v>10</v>
      </c>
      <c r="F3884" s="20">
        <v>10</v>
      </c>
      <c r="G3884" s="19">
        <f t="shared" si="285"/>
        <v>172</v>
      </c>
      <c r="H3884" s="22">
        <f t="shared" si="287"/>
        <v>3883</v>
      </c>
      <c r="I3884" s="21">
        <f t="shared" ca="1" si="286"/>
        <v>0</v>
      </c>
      <c r="J3884" s="21" t="str">
        <f ca="1">IF(I3884=0,"",COUNTIF($I$2:I3884,"&gt;0"))</f>
        <v/>
      </c>
      <c r="K3884" s="21" t="str">
        <f t="shared" ca="1" si="284"/>
        <v/>
      </c>
    </row>
    <row r="3885" spans="1:11" s="18" customFormat="1" ht="14.25" x14ac:dyDescent="0.2">
      <c r="A3885" s="18" t="str">
        <f t="shared" si="281"/>
        <v>Eintrag 3884</v>
      </c>
      <c r="B3885" s="18">
        <v>100</v>
      </c>
      <c r="C3885" s="19">
        <v>100</v>
      </c>
      <c r="D3885" s="20">
        <v>10</v>
      </c>
      <c r="E3885" s="20">
        <v>10</v>
      </c>
      <c r="F3885" s="20">
        <v>10</v>
      </c>
      <c r="G3885" s="19">
        <f t="shared" si="285"/>
        <v>172</v>
      </c>
      <c r="H3885" s="22">
        <f t="shared" si="287"/>
        <v>3884</v>
      </c>
      <c r="I3885" s="21">
        <f t="shared" ca="1" si="286"/>
        <v>0</v>
      </c>
      <c r="J3885" s="21" t="str">
        <f ca="1">IF(I3885=0,"",COUNTIF($I$2:I3885,"&gt;0"))</f>
        <v/>
      </c>
      <c r="K3885" s="21" t="str">
        <f t="shared" ca="1" si="284"/>
        <v/>
      </c>
    </row>
    <row r="3886" spans="1:11" s="18" customFormat="1" ht="14.25" x14ac:dyDescent="0.2">
      <c r="A3886" s="18" t="str">
        <f t="shared" si="281"/>
        <v>Eintrag 3885</v>
      </c>
      <c r="B3886" s="18">
        <v>100</v>
      </c>
      <c r="C3886" s="19">
        <v>100</v>
      </c>
      <c r="D3886" s="20">
        <v>10</v>
      </c>
      <c r="E3886" s="20">
        <v>10</v>
      </c>
      <c r="F3886" s="20">
        <v>10</v>
      </c>
      <c r="G3886" s="19">
        <f t="shared" si="285"/>
        <v>172</v>
      </c>
      <c r="H3886" s="22">
        <f t="shared" si="287"/>
        <v>3885</v>
      </c>
      <c r="I3886" s="21">
        <f t="shared" ca="1" si="286"/>
        <v>0</v>
      </c>
      <c r="J3886" s="21" t="str">
        <f ca="1">IF(I3886=0,"",COUNTIF($I$2:I3886,"&gt;0"))</f>
        <v/>
      </c>
      <c r="K3886" s="21" t="str">
        <f t="shared" ca="1" si="284"/>
        <v/>
      </c>
    </row>
    <row r="3887" spans="1:11" s="18" customFormat="1" ht="14.25" x14ac:dyDescent="0.2">
      <c r="A3887" s="18" t="str">
        <f t="shared" si="281"/>
        <v>Eintrag 3886</v>
      </c>
      <c r="B3887" s="18">
        <v>100</v>
      </c>
      <c r="C3887" s="19">
        <v>100</v>
      </c>
      <c r="D3887" s="20">
        <v>10</v>
      </c>
      <c r="E3887" s="20">
        <v>10</v>
      </c>
      <c r="F3887" s="20">
        <v>10</v>
      </c>
      <c r="G3887" s="19">
        <f t="shared" si="285"/>
        <v>172</v>
      </c>
      <c r="H3887" s="22">
        <f t="shared" si="287"/>
        <v>3886</v>
      </c>
      <c r="I3887" s="21">
        <f t="shared" ca="1" si="286"/>
        <v>0</v>
      </c>
      <c r="J3887" s="21" t="str">
        <f ca="1">IF(I3887=0,"",COUNTIF($I$2:I3887,"&gt;0"))</f>
        <v/>
      </c>
      <c r="K3887" s="21" t="str">
        <f t="shared" ca="1" si="284"/>
        <v/>
      </c>
    </row>
    <row r="3888" spans="1:11" s="18" customFormat="1" ht="14.25" x14ac:dyDescent="0.2">
      <c r="A3888" s="18" t="str">
        <f t="shared" si="281"/>
        <v>Eintrag 3887</v>
      </c>
      <c r="B3888" s="18">
        <v>100</v>
      </c>
      <c r="C3888" s="19">
        <v>100</v>
      </c>
      <c r="D3888" s="20">
        <v>10</v>
      </c>
      <c r="E3888" s="20">
        <v>10</v>
      </c>
      <c r="F3888" s="20">
        <v>10</v>
      </c>
      <c r="G3888" s="19">
        <f t="shared" si="285"/>
        <v>172</v>
      </c>
      <c r="H3888" s="22">
        <f t="shared" si="287"/>
        <v>3887</v>
      </c>
      <c r="I3888" s="21">
        <f t="shared" ca="1" si="286"/>
        <v>0</v>
      </c>
      <c r="J3888" s="21" t="str">
        <f ca="1">IF(I3888=0,"",COUNTIF($I$2:I3888,"&gt;0"))</f>
        <v/>
      </c>
      <c r="K3888" s="21" t="str">
        <f t="shared" ca="1" si="284"/>
        <v/>
      </c>
    </row>
    <row r="3889" spans="1:11" s="18" customFormat="1" ht="14.25" x14ac:dyDescent="0.2">
      <c r="A3889" s="18" t="str">
        <f t="shared" si="281"/>
        <v>Eintrag 3888</v>
      </c>
      <c r="B3889" s="18">
        <v>100</v>
      </c>
      <c r="C3889" s="19">
        <v>100</v>
      </c>
      <c r="D3889" s="20">
        <v>10</v>
      </c>
      <c r="E3889" s="20">
        <v>10</v>
      </c>
      <c r="F3889" s="20">
        <v>10</v>
      </c>
      <c r="G3889" s="19">
        <f t="shared" si="285"/>
        <v>172</v>
      </c>
      <c r="H3889" s="22">
        <f t="shared" si="287"/>
        <v>3888</v>
      </c>
      <c r="I3889" s="21">
        <f t="shared" ca="1" si="286"/>
        <v>0</v>
      </c>
      <c r="J3889" s="21" t="str">
        <f ca="1">IF(I3889=0,"",COUNTIF($I$2:I3889,"&gt;0"))</f>
        <v/>
      </c>
      <c r="K3889" s="21" t="str">
        <f t="shared" ca="1" si="284"/>
        <v/>
      </c>
    </row>
    <row r="3890" spans="1:11" s="18" customFormat="1" ht="14.25" x14ac:dyDescent="0.2">
      <c r="A3890" s="18" t="str">
        <f t="shared" si="281"/>
        <v>Eintrag 3889</v>
      </c>
      <c r="B3890" s="18">
        <v>100</v>
      </c>
      <c r="C3890" s="19">
        <v>100</v>
      </c>
      <c r="D3890" s="20">
        <v>10</v>
      </c>
      <c r="E3890" s="20">
        <v>10</v>
      </c>
      <c r="F3890" s="20">
        <v>10</v>
      </c>
      <c r="G3890" s="19">
        <f t="shared" si="285"/>
        <v>172</v>
      </c>
      <c r="H3890" s="22">
        <f t="shared" si="287"/>
        <v>3889</v>
      </c>
      <c r="I3890" s="21">
        <f t="shared" ca="1" si="286"/>
        <v>0</v>
      </c>
      <c r="J3890" s="21" t="str">
        <f ca="1">IF(I3890=0,"",COUNTIF($I$2:I3890,"&gt;0"))</f>
        <v/>
      </c>
      <c r="K3890" s="21" t="str">
        <f t="shared" ca="1" si="284"/>
        <v/>
      </c>
    </row>
    <row r="3891" spans="1:11" s="18" customFormat="1" ht="14.25" x14ac:dyDescent="0.2">
      <c r="A3891" s="18" t="str">
        <f t="shared" si="281"/>
        <v>Eintrag 3890</v>
      </c>
      <c r="B3891" s="18">
        <v>100</v>
      </c>
      <c r="C3891" s="19">
        <v>100</v>
      </c>
      <c r="D3891" s="20">
        <v>10</v>
      </c>
      <c r="E3891" s="20">
        <v>10</v>
      </c>
      <c r="F3891" s="20">
        <v>10</v>
      </c>
      <c r="G3891" s="19">
        <f t="shared" si="285"/>
        <v>172</v>
      </c>
      <c r="H3891" s="22">
        <f t="shared" si="287"/>
        <v>3890</v>
      </c>
      <c r="I3891" s="21">
        <f t="shared" ca="1" si="286"/>
        <v>0</v>
      </c>
      <c r="J3891" s="21" t="str">
        <f ca="1">IF(I3891=0,"",COUNTIF($I$2:I3891,"&gt;0"))</f>
        <v/>
      </c>
      <c r="K3891" s="21" t="str">
        <f t="shared" ca="1" si="284"/>
        <v/>
      </c>
    </row>
    <row r="3892" spans="1:11" s="18" customFormat="1" ht="14.25" x14ac:dyDescent="0.2">
      <c r="A3892" s="18" t="str">
        <f t="shared" si="281"/>
        <v>Eintrag 3891</v>
      </c>
      <c r="B3892" s="18">
        <v>100</v>
      </c>
      <c r="C3892" s="19">
        <v>100</v>
      </c>
      <c r="D3892" s="20">
        <v>10</v>
      </c>
      <c r="E3892" s="20">
        <v>10</v>
      </c>
      <c r="F3892" s="20">
        <v>10</v>
      </c>
      <c r="G3892" s="19">
        <f t="shared" si="285"/>
        <v>172</v>
      </c>
      <c r="H3892" s="22">
        <f t="shared" si="287"/>
        <v>3891</v>
      </c>
      <c r="I3892" s="21">
        <f t="shared" ca="1" si="286"/>
        <v>0</v>
      </c>
      <c r="J3892" s="21" t="str">
        <f ca="1">IF(I3892=0,"",COUNTIF($I$2:I3892,"&gt;0"))</f>
        <v/>
      </c>
      <c r="K3892" s="21" t="str">
        <f t="shared" ca="1" si="284"/>
        <v/>
      </c>
    </row>
    <row r="3893" spans="1:11" s="18" customFormat="1" ht="14.25" x14ac:dyDescent="0.2">
      <c r="A3893" s="18" t="str">
        <f t="shared" si="281"/>
        <v>Eintrag 3892</v>
      </c>
      <c r="B3893" s="18">
        <v>100</v>
      </c>
      <c r="C3893" s="19">
        <v>100</v>
      </c>
      <c r="D3893" s="20">
        <v>10</v>
      </c>
      <c r="E3893" s="20">
        <v>10</v>
      </c>
      <c r="F3893" s="20">
        <v>10</v>
      </c>
      <c r="G3893" s="19">
        <f t="shared" si="285"/>
        <v>172</v>
      </c>
      <c r="H3893" s="22">
        <f t="shared" si="287"/>
        <v>3892</v>
      </c>
      <c r="I3893" s="21">
        <f t="shared" ca="1" si="286"/>
        <v>0</v>
      </c>
      <c r="J3893" s="21" t="str">
        <f ca="1">IF(I3893=0,"",COUNTIF($I$2:I3893,"&gt;0"))</f>
        <v/>
      </c>
      <c r="K3893" s="21" t="str">
        <f t="shared" ca="1" si="284"/>
        <v/>
      </c>
    </row>
    <row r="3894" spans="1:11" s="18" customFormat="1" ht="14.25" x14ac:dyDescent="0.2">
      <c r="A3894" s="18" t="str">
        <f t="shared" si="281"/>
        <v>Eintrag 3893</v>
      </c>
      <c r="B3894" s="18">
        <v>100</v>
      </c>
      <c r="C3894" s="19">
        <v>100</v>
      </c>
      <c r="D3894" s="20">
        <v>10</v>
      </c>
      <c r="E3894" s="20">
        <v>10</v>
      </c>
      <c r="F3894" s="20">
        <v>10</v>
      </c>
      <c r="G3894" s="19">
        <f t="shared" si="285"/>
        <v>172</v>
      </c>
      <c r="H3894" s="22">
        <f t="shared" si="287"/>
        <v>3893</v>
      </c>
      <c r="I3894" s="21">
        <f t="shared" ca="1" si="286"/>
        <v>0</v>
      </c>
      <c r="J3894" s="21" t="str">
        <f ca="1">IF(I3894=0,"",COUNTIF($I$2:I3894,"&gt;0"))</f>
        <v/>
      </c>
      <c r="K3894" s="21" t="str">
        <f t="shared" ca="1" si="284"/>
        <v/>
      </c>
    </row>
    <row r="3895" spans="1:11" s="18" customFormat="1" ht="14.25" x14ac:dyDescent="0.2">
      <c r="A3895" s="18" t="str">
        <f t="shared" si="281"/>
        <v>Eintrag 3894</v>
      </c>
      <c r="B3895" s="18">
        <v>100</v>
      </c>
      <c r="C3895" s="19">
        <v>100</v>
      </c>
      <c r="D3895" s="20">
        <v>10</v>
      </c>
      <c r="E3895" s="20">
        <v>10</v>
      </c>
      <c r="F3895" s="20">
        <v>10</v>
      </c>
      <c r="G3895" s="19">
        <f t="shared" si="285"/>
        <v>172</v>
      </c>
      <c r="H3895" s="22">
        <f t="shared" si="287"/>
        <v>3894</v>
      </c>
      <c r="I3895" s="21">
        <f t="shared" ca="1" si="286"/>
        <v>0</v>
      </c>
      <c r="J3895" s="21" t="str">
        <f ca="1">IF(I3895=0,"",COUNTIF($I$2:I3895,"&gt;0"))</f>
        <v/>
      </c>
      <c r="K3895" s="21" t="str">
        <f t="shared" ca="1" si="284"/>
        <v/>
      </c>
    </row>
    <row r="3896" spans="1:11" s="18" customFormat="1" ht="14.25" x14ac:dyDescent="0.2">
      <c r="A3896" s="18" t="str">
        <f t="shared" si="281"/>
        <v>Eintrag 3895</v>
      </c>
      <c r="B3896" s="18">
        <v>100</v>
      </c>
      <c r="C3896" s="19">
        <v>100</v>
      </c>
      <c r="D3896" s="20">
        <v>10</v>
      </c>
      <c r="E3896" s="20">
        <v>10</v>
      </c>
      <c r="F3896" s="20">
        <v>10</v>
      </c>
      <c r="G3896" s="19">
        <f t="shared" si="285"/>
        <v>172</v>
      </c>
      <c r="H3896" s="22">
        <f t="shared" si="287"/>
        <v>3895</v>
      </c>
      <c r="I3896" s="21">
        <f t="shared" ca="1" si="286"/>
        <v>0</v>
      </c>
      <c r="J3896" s="21" t="str">
        <f ca="1">IF(I3896=0,"",COUNTIF($I$2:I3896,"&gt;0"))</f>
        <v/>
      </c>
      <c r="K3896" s="21" t="str">
        <f t="shared" ca="1" si="284"/>
        <v/>
      </c>
    </row>
    <row r="3897" spans="1:11" s="18" customFormat="1" ht="14.25" x14ac:dyDescent="0.2">
      <c r="A3897" s="18" t="str">
        <f t="shared" si="281"/>
        <v>Eintrag 3896</v>
      </c>
      <c r="B3897" s="18">
        <v>100</v>
      </c>
      <c r="C3897" s="19">
        <v>100</v>
      </c>
      <c r="D3897" s="20">
        <v>10</v>
      </c>
      <c r="E3897" s="20">
        <v>10</v>
      </c>
      <c r="F3897" s="20">
        <v>10</v>
      </c>
      <c r="G3897" s="19">
        <f t="shared" si="285"/>
        <v>172</v>
      </c>
      <c r="H3897" s="22">
        <f t="shared" si="287"/>
        <v>3896</v>
      </c>
      <c r="I3897" s="21">
        <f t="shared" ca="1" si="286"/>
        <v>0</v>
      </c>
      <c r="J3897" s="21" t="str">
        <f ca="1">IF(I3897=0,"",COUNTIF($I$2:I3897,"&gt;0"))</f>
        <v/>
      </c>
      <c r="K3897" s="21" t="str">
        <f t="shared" ca="1" si="284"/>
        <v/>
      </c>
    </row>
    <row r="3898" spans="1:11" s="18" customFormat="1" ht="14.25" x14ac:dyDescent="0.2">
      <c r="A3898" s="18" t="str">
        <f t="shared" si="281"/>
        <v>Eintrag 3897</v>
      </c>
      <c r="B3898" s="18">
        <v>100</v>
      </c>
      <c r="C3898" s="19">
        <v>100</v>
      </c>
      <c r="D3898" s="20">
        <v>10</v>
      </c>
      <c r="E3898" s="20">
        <v>10</v>
      </c>
      <c r="F3898" s="20">
        <v>10</v>
      </c>
      <c r="G3898" s="19">
        <f t="shared" si="285"/>
        <v>172</v>
      </c>
      <c r="H3898" s="22">
        <f t="shared" si="287"/>
        <v>3897</v>
      </c>
      <c r="I3898" s="21">
        <f t="shared" ca="1" si="286"/>
        <v>0</v>
      </c>
      <c r="J3898" s="21" t="str">
        <f ca="1">IF(I3898=0,"",COUNTIF($I$2:I3898,"&gt;0"))</f>
        <v/>
      </c>
      <c r="K3898" s="21" t="str">
        <f t="shared" ca="1" si="284"/>
        <v/>
      </c>
    </row>
    <row r="3899" spans="1:11" s="18" customFormat="1" ht="14.25" x14ac:dyDescent="0.2">
      <c r="A3899" s="18" t="str">
        <f t="shared" si="281"/>
        <v>Eintrag 3898</v>
      </c>
      <c r="B3899" s="18">
        <v>100</v>
      </c>
      <c r="C3899" s="19">
        <v>100</v>
      </c>
      <c r="D3899" s="20">
        <v>10</v>
      </c>
      <c r="E3899" s="20">
        <v>10</v>
      </c>
      <c r="F3899" s="20">
        <v>10</v>
      </c>
      <c r="G3899" s="19">
        <f t="shared" si="285"/>
        <v>172</v>
      </c>
      <c r="H3899" s="22">
        <f t="shared" si="287"/>
        <v>3898</v>
      </c>
      <c r="I3899" s="21">
        <f t="shared" ca="1" si="286"/>
        <v>0</v>
      </c>
      <c r="J3899" s="21" t="str">
        <f ca="1">IF(I3899=0,"",COUNTIF($I$2:I3899,"&gt;0"))</f>
        <v/>
      </c>
      <c r="K3899" s="21" t="str">
        <f t="shared" ca="1" si="284"/>
        <v/>
      </c>
    </row>
    <row r="3900" spans="1:11" s="18" customFormat="1" ht="14.25" x14ac:dyDescent="0.2">
      <c r="A3900" s="18" t="str">
        <f t="shared" si="281"/>
        <v>Eintrag 3899</v>
      </c>
      <c r="B3900" s="18">
        <v>100</v>
      </c>
      <c r="C3900" s="19">
        <v>100</v>
      </c>
      <c r="D3900" s="20">
        <v>10</v>
      </c>
      <c r="E3900" s="20">
        <v>10</v>
      </c>
      <c r="F3900" s="20">
        <v>10</v>
      </c>
      <c r="G3900" s="19">
        <f t="shared" si="285"/>
        <v>172</v>
      </c>
      <c r="H3900" s="22">
        <f t="shared" si="287"/>
        <v>3899</v>
      </c>
      <c r="I3900" s="21">
        <f t="shared" ca="1" si="286"/>
        <v>0</v>
      </c>
      <c r="J3900" s="21" t="str">
        <f ca="1">IF(I3900=0,"",COUNTIF($I$2:I3900,"&gt;0"))</f>
        <v/>
      </c>
      <c r="K3900" s="21" t="str">
        <f t="shared" ca="1" si="284"/>
        <v/>
      </c>
    </row>
    <row r="3901" spans="1:11" s="18" customFormat="1" ht="14.25" x14ac:dyDescent="0.2">
      <c r="A3901" s="18" t="str">
        <f t="shared" si="281"/>
        <v>Eintrag 3900</v>
      </c>
      <c r="B3901" s="18">
        <v>100</v>
      </c>
      <c r="C3901" s="19">
        <v>100</v>
      </c>
      <c r="D3901" s="20">
        <v>10</v>
      </c>
      <c r="E3901" s="20">
        <v>10</v>
      </c>
      <c r="F3901" s="20">
        <v>10</v>
      </c>
      <c r="G3901" s="19">
        <f t="shared" si="285"/>
        <v>172</v>
      </c>
      <c r="H3901" s="22">
        <f t="shared" si="287"/>
        <v>3900</v>
      </c>
      <c r="I3901" s="21">
        <f t="shared" ca="1" si="286"/>
        <v>0</v>
      </c>
      <c r="J3901" s="21" t="str">
        <f ca="1">IF(I3901=0,"",COUNTIF($I$2:I3901,"&gt;0"))</f>
        <v/>
      </c>
      <c r="K3901" s="21" t="str">
        <f t="shared" ca="1" si="284"/>
        <v/>
      </c>
    </row>
    <row r="3902" spans="1:11" s="18" customFormat="1" ht="14.25" x14ac:dyDescent="0.2">
      <c r="A3902" s="18" t="str">
        <f t="shared" si="281"/>
        <v>Eintrag 3901</v>
      </c>
      <c r="B3902" s="18">
        <v>100</v>
      </c>
      <c r="C3902" s="19">
        <v>100</v>
      </c>
      <c r="D3902" s="20">
        <v>10</v>
      </c>
      <c r="E3902" s="20">
        <v>10</v>
      </c>
      <c r="F3902" s="20">
        <v>10</v>
      </c>
      <c r="G3902" s="19">
        <f t="shared" si="285"/>
        <v>172</v>
      </c>
      <c r="H3902" s="22">
        <f t="shared" si="287"/>
        <v>3901</v>
      </c>
      <c r="I3902" s="21">
        <f t="shared" ca="1" si="286"/>
        <v>0</v>
      </c>
      <c r="J3902" s="21" t="str">
        <f ca="1">IF(I3902=0,"",COUNTIF($I$2:I3902,"&gt;0"))</f>
        <v/>
      </c>
      <c r="K3902" s="21" t="str">
        <f t="shared" ca="1" si="284"/>
        <v/>
      </c>
    </row>
    <row r="3903" spans="1:11" s="18" customFormat="1" ht="14.25" x14ac:dyDescent="0.2">
      <c r="A3903" s="18" t="str">
        <f t="shared" si="281"/>
        <v>Eintrag 3902</v>
      </c>
      <c r="B3903" s="18">
        <v>100</v>
      </c>
      <c r="C3903" s="19">
        <v>100</v>
      </c>
      <c r="D3903" s="20">
        <v>10</v>
      </c>
      <c r="E3903" s="20">
        <v>10</v>
      </c>
      <c r="F3903" s="20">
        <v>10</v>
      </c>
      <c r="G3903" s="19">
        <f t="shared" si="285"/>
        <v>172</v>
      </c>
      <c r="H3903" s="22">
        <f t="shared" si="287"/>
        <v>3902</v>
      </c>
      <c r="I3903" s="21">
        <f t="shared" ca="1" si="286"/>
        <v>0</v>
      </c>
      <c r="J3903" s="21" t="str">
        <f ca="1">IF(I3903=0,"",COUNTIF($I$2:I3903,"&gt;0"))</f>
        <v/>
      </c>
      <c r="K3903" s="21" t="str">
        <f t="shared" ca="1" si="284"/>
        <v/>
      </c>
    </row>
    <row r="3904" spans="1:11" s="18" customFormat="1" ht="14.25" x14ac:dyDescent="0.2">
      <c r="A3904" s="18" t="str">
        <f t="shared" si="281"/>
        <v>Eintrag 3903</v>
      </c>
      <c r="B3904" s="18">
        <v>100</v>
      </c>
      <c r="C3904" s="19">
        <v>100</v>
      </c>
      <c r="D3904" s="20">
        <v>10</v>
      </c>
      <c r="E3904" s="20">
        <v>10</v>
      </c>
      <c r="F3904" s="20">
        <v>10</v>
      </c>
      <c r="G3904" s="19">
        <f t="shared" si="285"/>
        <v>172</v>
      </c>
      <c r="H3904" s="22">
        <f t="shared" si="287"/>
        <v>3903</v>
      </c>
      <c r="I3904" s="21">
        <f t="shared" ca="1" si="286"/>
        <v>0</v>
      </c>
      <c r="J3904" s="21" t="str">
        <f ca="1">IF(I3904=0,"",COUNTIF($I$2:I3904,"&gt;0"))</f>
        <v/>
      </c>
      <c r="K3904" s="21" t="str">
        <f t="shared" ca="1" si="284"/>
        <v/>
      </c>
    </row>
    <row r="3905" spans="1:11" s="18" customFormat="1" ht="14.25" x14ac:dyDescent="0.2">
      <c r="A3905" s="18" t="str">
        <f t="shared" si="281"/>
        <v>Eintrag 3904</v>
      </c>
      <c r="B3905" s="18">
        <v>100</v>
      </c>
      <c r="C3905" s="19">
        <v>100</v>
      </c>
      <c r="D3905" s="20">
        <v>10</v>
      </c>
      <c r="E3905" s="20">
        <v>10</v>
      </c>
      <c r="F3905" s="20">
        <v>10</v>
      </c>
      <c r="G3905" s="19">
        <f t="shared" si="285"/>
        <v>172</v>
      </c>
      <c r="H3905" s="22">
        <f t="shared" si="287"/>
        <v>3904</v>
      </c>
      <c r="I3905" s="21">
        <f t="shared" ca="1" si="286"/>
        <v>0</v>
      </c>
      <c r="J3905" s="21" t="str">
        <f ca="1">IF(I3905=0,"",COUNTIF($I$2:I3905,"&gt;0"))</f>
        <v/>
      </c>
      <c r="K3905" s="21" t="str">
        <f t="shared" ca="1" si="284"/>
        <v/>
      </c>
    </row>
    <row r="3906" spans="1:11" s="18" customFormat="1" ht="14.25" x14ac:dyDescent="0.2">
      <c r="A3906" s="18" t="str">
        <f t="shared" si="281"/>
        <v>Eintrag 3905</v>
      </c>
      <c r="B3906" s="18">
        <v>100</v>
      </c>
      <c r="C3906" s="19">
        <v>100</v>
      </c>
      <c r="D3906" s="20">
        <v>10</v>
      </c>
      <c r="E3906" s="20">
        <v>10</v>
      </c>
      <c r="F3906" s="20">
        <v>10</v>
      </c>
      <c r="G3906" s="19">
        <f t="shared" si="285"/>
        <v>172</v>
      </c>
      <c r="H3906" s="22">
        <f t="shared" si="287"/>
        <v>3905</v>
      </c>
      <c r="I3906" s="21">
        <f t="shared" ca="1" si="286"/>
        <v>0</v>
      </c>
      <c r="J3906" s="21" t="str">
        <f ca="1">IF(I3906=0,"",COUNTIF($I$2:I3906,"&gt;0"))</f>
        <v/>
      </c>
      <c r="K3906" s="21" t="str">
        <f t="shared" ref="K3906:K3969" ca="1" si="288">IFERROR(INDEX(A:A,MATCH(ROW(I3905),J:J,0)),"")</f>
        <v/>
      </c>
    </row>
    <row r="3907" spans="1:11" s="18" customFormat="1" ht="14.25" x14ac:dyDescent="0.2">
      <c r="A3907" s="18" t="str">
        <f t="shared" si="281"/>
        <v>Eintrag 3906</v>
      </c>
      <c r="B3907" s="18">
        <v>100</v>
      </c>
      <c r="C3907" s="19">
        <v>100</v>
      </c>
      <c r="D3907" s="20">
        <v>10</v>
      </c>
      <c r="E3907" s="20">
        <v>10</v>
      </c>
      <c r="F3907" s="20">
        <v>10</v>
      </c>
      <c r="G3907" s="19">
        <f t="shared" ref="G3907:G3970" si="289">D3907*9+E3907*4.1+F3907*4.1</f>
        <v>172</v>
      </c>
      <c r="H3907" s="22">
        <f t="shared" si="287"/>
        <v>3906</v>
      </c>
      <c r="I3907" s="21">
        <f t="shared" ca="1" si="286"/>
        <v>0</v>
      </c>
      <c r="J3907" s="21" t="str">
        <f ca="1">IF(I3907=0,"",COUNTIF($I$2:I3907,"&gt;0"))</f>
        <v/>
      </c>
      <c r="K3907" s="21" t="str">
        <f t="shared" ca="1" si="288"/>
        <v/>
      </c>
    </row>
    <row r="3908" spans="1:11" s="18" customFormat="1" ht="14.25" x14ac:dyDescent="0.2">
      <c r="A3908" s="18" t="str">
        <f t="shared" si="281"/>
        <v>Eintrag 3907</v>
      </c>
      <c r="B3908" s="18">
        <v>100</v>
      </c>
      <c r="C3908" s="19">
        <v>100</v>
      </c>
      <c r="D3908" s="20">
        <v>10</v>
      </c>
      <c r="E3908" s="20">
        <v>10</v>
      </c>
      <c r="F3908" s="20">
        <v>10</v>
      </c>
      <c r="G3908" s="19">
        <f t="shared" si="289"/>
        <v>172</v>
      </c>
      <c r="H3908" s="22">
        <f t="shared" si="287"/>
        <v>3907</v>
      </c>
      <c r="I3908" s="21">
        <f t="shared" ca="1" si="286"/>
        <v>0</v>
      </c>
      <c r="J3908" s="21" t="str">
        <f ca="1">IF(I3908=0,"",COUNTIF($I$2:I3908,"&gt;0"))</f>
        <v/>
      </c>
      <c r="K3908" s="21" t="str">
        <f t="shared" ca="1" si="288"/>
        <v/>
      </c>
    </row>
    <row r="3909" spans="1:11" s="18" customFormat="1" ht="14.25" x14ac:dyDescent="0.2">
      <c r="A3909" s="18" t="str">
        <f t="shared" si="281"/>
        <v>Eintrag 3908</v>
      </c>
      <c r="B3909" s="18">
        <v>100</v>
      </c>
      <c r="C3909" s="19">
        <v>100</v>
      </c>
      <c r="D3909" s="20">
        <v>10</v>
      </c>
      <c r="E3909" s="20">
        <v>10</v>
      </c>
      <c r="F3909" s="20">
        <v>10</v>
      </c>
      <c r="G3909" s="19">
        <f t="shared" si="289"/>
        <v>172</v>
      </c>
      <c r="H3909" s="22">
        <f t="shared" si="287"/>
        <v>3908</v>
      </c>
      <c r="I3909" s="21">
        <f t="shared" ca="1" si="286"/>
        <v>0</v>
      </c>
      <c r="J3909" s="21" t="str">
        <f ca="1">IF(I3909=0,"",COUNTIF($I$2:I3909,"&gt;0"))</f>
        <v/>
      </c>
      <c r="K3909" s="21" t="str">
        <f t="shared" ca="1" si="288"/>
        <v/>
      </c>
    </row>
    <row r="3910" spans="1:11" s="18" customFormat="1" ht="14.25" x14ac:dyDescent="0.2">
      <c r="A3910" s="18" t="str">
        <f t="shared" si="281"/>
        <v>Eintrag 3909</v>
      </c>
      <c r="B3910" s="18">
        <v>100</v>
      </c>
      <c r="C3910" s="19">
        <v>100</v>
      </c>
      <c r="D3910" s="20">
        <v>10</v>
      </c>
      <c r="E3910" s="20">
        <v>10</v>
      </c>
      <c r="F3910" s="20">
        <v>10</v>
      </c>
      <c r="G3910" s="19">
        <f t="shared" si="289"/>
        <v>172</v>
      </c>
      <c r="H3910" s="22">
        <f t="shared" si="287"/>
        <v>3909</v>
      </c>
      <c r="I3910" s="21">
        <f t="shared" ca="1" si="286"/>
        <v>0</v>
      </c>
      <c r="J3910" s="21" t="str">
        <f ca="1">IF(I3910=0,"",COUNTIF($I$2:I3910,"&gt;0"))</f>
        <v/>
      </c>
      <c r="K3910" s="21" t="str">
        <f t="shared" ca="1" si="288"/>
        <v/>
      </c>
    </row>
    <row r="3911" spans="1:11" s="18" customFormat="1" ht="14.25" x14ac:dyDescent="0.2">
      <c r="A3911" s="18" t="str">
        <f t="shared" si="281"/>
        <v>Eintrag 3910</v>
      </c>
      <c r="B3911" s="18">
        <v>100</v>
      </c>
      <c r="C3911" s="19">
        <v>100</v>
      </c>
      <c r="D3911" s="20">
        <v>10</v>
      </c>
      <c r="E3911" s="20">
        <v>10</v>
      </c>
      <c r="F3911" s="20">
        <v>10</v>
      </c>
      <c r="G3911" s="19">
        <f t="shared" si="289"/>
        <v>172</v>
      </c>
      <c r="H3911" s="22">
        <f t="shared" si="287"/>
        <v>3910</v>
      </c>
      <c r="I3911" s="21">
        <f t="shared" ca="1" si="286"/>
        <v>0</v>
      </c>
      <c r="J3911" s="21" t="str">
        <f ca="1">IF(I3911=0,"",COUNTIF($I$2:I3911,"&gt;0"))</f>
        <v/>
      </c>
      <c r="K3911" s="21" t="str">
        <f t="shared" ca="1" si="288"/>
        <v/>
      </c>
    </row>
    <row r="3912" spans="1:11" s="18" customFormat="1" ht="14.25" x14ac:dyDescent="0.2">
      <c r="A3912" s="18" t="str">
        <f t="shared" si="281"/>
        <v>Eintrag 3911</v>
      </c>
      <c r="B3912" s="18">
        <v>100</v>
      </c>
      <c r="C3912" s="19">
        <v>100</v>
      </c>
      <c r="D3912" s="20">
        <v>10</v>
      </c>
      <c r="E3912" s="20">
        <v>10</v>
      </c>
      <c r="F3912" s="20">
        <v>10</v>
      </c>
      <c r="G3912" s="19">
        <f t="shared" si="289"/>
        <v>172</v>
      </c>
      <c r="H3912" s="22">
        <f t="shared" si="287"/>
        <v>3911</v>
      </c>
      <c r="I3912" s="21">
        <f t="shared" ca="1" si="286"/>
        <v>0</v>
      </c>
      <c r="J3912" s="21" t="str">
        <f ca="1">IF(I3912=0,"",COUNTIF($I$2:I3912,"&gt;0"))</f>
        <v/>
      </c>
      <c r="K3912" s="21" t="str">
        <f t="shared" ca="1" si="288"/>
        <v/>
      </c>
    </row>
    <row r="3913" spans="1:11" s="18" customFormat="1" ht="14.25" x14ac:dyDescent="0.2">
      <c r="A3913" s="18" t="str">
        <f t="shared" si="281"/>
        <v>Eintrag 3912</v>
      </c>
      <c r="B3913" s="18">
        <v>100</v>
      </c>
      <c r="C3913" s="19">
        <v>100</v>
      </c>
      <c r="D3913" s="20">
        <v>10</v>
      </c>
      <c r="E3913" s="20">
        <v>10</v>
      </c>
      <c r="F3913" s="20">
        <v>10</v>
      </c>
      <c r="G3913" s="19">
        <f t="shared" si="289"/>
        <v>172</v>
      </c>
      <c r="H3913" s="22">
        <f t="shared" si="287"/>
        <v>3912</v>
      </c>
      <c r="I3913" s="21">
        <f t="shared" ca="1" si="286"/>
        <v>0</v>
      </c>
      <c r="J3913" s="21" t="str">
        <f ca="1">IF(I3913=0,"",COUNTIF($I$2:I3913,"&gt;0"))</f>
        <v/>
      </c>
      <c r="K3913" s="21" t="str">
        <f t="shared" ca="1" si="288"/>
        <v/>
      </c>
    </row>
    <row r="3914" spans="1:11" s="18" customFormat="1" ht="14.25" x14ac:dyDescent="0.2">
      <c r="A3914" s="18" t="str">
        <f t="shared" si="281"/>
        <v>Eintrag 3913</v>
      </c>
      <c r="B3914" s="18">
        <v>100</v>
      </c>
      <c r="C3914" s="19">
        <v>100</v>
      </c>
      <c r="D3914" s="20">
        <v>10</v>
      </c>
      <c r="E3914" s="20">
        <v>10</v>
      </c>
      <c r="F3914" s="20">
        <v>10</v>
      </c>
      <c r="G3914" s="19">
        <f t="shared" si="289"/>
        <v>172</v>
      </c>
      <c r="H3914" s="22">
        <f t="shared" si="287"/>
        <v>3913</v>
      </c>
      <c r="I3914" s="21">
        <f t="shared" ca="1" si="286"/>
        <v>0</v>
      </c>
      <c r="J3914" s="21" t="str">
        <f ca="1">IF(I3914=0,"",COUNTIF($I$2:I3914,"&gt;0"))</f>
        <v/>
      </c>
      <c r="K3914" s="21" t="str">
        <f t="shared" ca="1" si="288"/>
        <v/>
      </c>
    </row>
    <row r="3915" spans="1:11" s="18" customFormat="1" ht="14.25" x14ac:dyDescent="0.2">
      <c r="A3915" s="18" t="str">
        <f t="shared" si="281"/>
        <v>Eintrag 3914</v>
      </c>
      <c r="B3915" s="18">
        <v>100</v>
      </c>
      <c r="C3915" s="19">
        <v>100</v>
      </c>
      <c r="D3915" s="20">
        <v>10</v>
      </c>
      <c r="E3915" s="20">
        <v>10</v>
      </c>
      <c r="F3915" s="20">
        <v>10</v>
      </c>
      <c r="G3915" s="19">
        <f t="shared" si="289"/>
        <v>172</v>
      </c>
      <c r="H3915" s="22">
        <f t="shared" si="287"/>
        <v>3914</v>
      </c>
      <c r="I3915" s="21">
        <f t="shared" ca="1" si="286"/>
        <v>0</v>
      </c>
      <c r="J3915" s="21" t="str">
        <f ca="1">IF(I3915=0,"",COUNTIF($I$2:I3915,"&gt;0"))</f>
        <v/>
      </c>
      <c r="K3915" s="21" t="str">
        <f t="shared" ca="1" si="288"/>
        <v/>
      </c>
    </row>
    <row r="3916" spans="1:11" s="18" customFormat="1" ht="14.25" x14ac:dyDescent="0.2">
      <c r="A3916" s="18" t="str">
        <f t="shared" si="281"/>
        <v>Eintrag 3915</v>
      </c>
      <c r="B3916" s="18">
        <v>100</v>
      </c>
      <c r="C3916" s="19">
        <v>100</v>
      </c>
      <c r="D3916" s="20">
        <v>10</v>
      </c>
      <c r="E3916" s="20">
        <v>10</v>
      </c>
      <c r="F3916" s="20">
        <v>10</v>
      </c>
      <c r="G3916" s="19">
        <f t="shared" si="289"/>
        <v>172</v>
      </c>
      <c r="H3916" s="22">
        <f t="shared" si="287"/>
        <v>3915</v>
      </c>
      <c r="I3916" s="21">
        <f t="shared" ca="1" si="286"/>
        <v>0</v>
      </c>
      <c r="J3916" s="21" t="str">
        <f ca="1">IF(I3916=0,"",COUNTIF($I$2:I3916,"&gt;0"))</f>
        <v/>
      </c>
      <c r="K3916" s="21" t="str">
        <f t="shared" ca="1" si="288"/>
        <v/>
      </c>
    </row>
    <row r="3917" spans="1:11" s="18" customFormat="1" ht="14.25" x14ac:dyDescent="0.2">
      <c r="A3917" s="18" t="str">
        <f t="shared" si="281"/>
        <v>Eintrag 3916</v>
      </c>
      <c r="B3917" s="18">
        <v>100</v>
      </c>
      <c r="C3917" s="19">
        <v>100</v>
      </c>
      <c r="D3917" s="20">
        <v>10</v>
      </c>
      <c r="E3917" s="20">
        <v>10</v>
      </c>
      <c r="F3917" s="20">
        <v>10</v>
      </c>
      <c r="G3917" s="19">
        <f t="shared" si="289"/>
        <v>172</v>
      </c>
      <c r="H3917" s="22">
        <f t="shared" si="287"/>
        <v>3916</v>
      </c>
      <c r="I3917" s="21">
        <f t="shared" ca="1" si="286"/>
        <v>0</v>
      </c>
      <c r="J3917" s="21" t="str">
        <f ca="1">IF(I3917=0,"",COUNTIF($I$2:I3917,"&gt;0"))</f>
        <v/>
      </c>
      <c r="K3917" s="21" t="str">
        <f t="shared" ca="1" si="288"/>
        <v/>
      </c>
    </row>
    <row r="3918" spans="1:11" s="18" customFormat="1" ht="14.25" x14ac:dyDescent="0.2">
      <c r="A3918" s="18" t="str">
        <f t="shared" si="281"/>
        <v>Eintrag 3917</v>
      </c>
      <c r="B3918" s="18">
        <v>100</v>
      </c>
      <c r="C3918" s="19">
        <v>100</v>
      </c>
      <c r="D3918" s="20">
        <v>10</v>
      </c>
      <c r="E3918" s="20">
        <v>10</v>
      </c>
      <c r="F3918" s="20">
        <v>10</v>
      </c>
      <c r="G3918" s="19">
        <f t="shared" si="289"/>
        <v>172</v>
      </c>
      <c r="H3918" s="22">
        <f t="shared" si="287"/>
        <v>3917</v>
      </c>
      <c r="I3918" s="21">
        <f t="shared" ca="1" si="286"/>
        <v>0</v>
      </c>
      <c r="J3918" s="21" t="str">
        <f ca="1">IF(I3918=0,"",COUNTIF($I$2:I3918,"&gt;0"))</f>
        <v/>
      </c>
      <c r="K3918" s="21" t="str">
        <f t="shared" ca="1" si="288"/>
        <v/>
      </c>
    </row>
    <row r="3919" spans="1:11" s="18" customFormat="1" ht="14.25" x14ac:dyDescent="0.2">
      <c r="A3919" s="18" t="str">
        <f t="shared" si="281"/>
        <v>Eintrag 3918</v>
      </c>
      <c r="B3919" s="18">
        <v>100</v>
      </c>
      <c r="C3919" s="19">
        <v>100</v>
      </c>
      <c r="D3919" s="20">
        <v>10</v>
      </c>
      <c r="E3919" s="20">
        <v>10</v>
      </c>
      <c r="F3919" s="20">
        <v>10</v>
      </c>
      <c r="G3919" s="19">
        <f t="shared" si="289"/>
        <v>172</v>
      </c>
      <c r="H3919" s="22">
        <f t="shared" si="287"/>
        <v>3918</v>
      </c>
      <c r="I3919" s="21">
        <f t="shared" ca="1" si="286"/>
        <v>0</v>
      </c>
      <c r="J3919" s="21" t="str">
        <f ca="1">IF(I3919=0,"",COUNTIF($I$2:I3919,"&gt;0"))</f>
        <v/>
      </c>
      <c r="K3919" s="21" t="str">
        <f t="shared" ca="1" si="288"/>
        <v/>
      </c>
    </row>
    <row r="3920" spans="1:11" s="18" customFormat="1" ht="14.25" x14ac:dyDescent="0.2">
      <c r="A3920" s="18" t="str">
        <f t="shared" si="281"/>
        <v>Eintrag 3919</v>
      </c>
      <c r="B3920" s="18">
        <v>100</v>
      </c>
      <c r="C3920" s="19">
        <v>100</v>
      </c>
      <c r="D3920" s="20">
        <v>10</v>
      </c>
      <c r="E3920" s="20">
        <v>10</v>
      </c>
      <c r="F3920" s="20">
        <v>10</v>
      </c>
      <c r="G3920" s="19">
        <f t="shared" si="289"/>
        <v>172</v>
      </c>
      <c r="H3920" s="22">
        <f t="shared" si="287"/>
        <v>3919</v>
      </c>
      <c r="I3920" s="21">
        <f t="shared" ca="1" si="286"/>
        <v>0</v>
      </c>
      <c r="J3920" s="21" t="str">
        <f ca="1">IF(I3920=0,"",COUNTIF($I$2:I3920,"&gt;0"))</f>
        <v/>
      </c>
      <c r="K3920" s="21" t="str">
        <f t="shared" ca="1" si="288"/>
        <v/>
      </c>
    </row>
    <row r="3921" spans="1:11" s="18" customFormat="1" ht="14.25" x14ac:dyDescent="0.2">
      <c r="A3921" s="18" t="str">
        <f t="shared" si="281"/>
        <v>Eintrag 3920</v>
      </c>
      <c r="B3921" s="18">
        <v>100</v>
      </c>
      <c r="C3921" s="19">
        <v>100</v>
      </c>
      <c r="D3921" s="20">
        <v>10</v>
      </c>
      <c r="E3921" s="20">
        <v>10</v>
      </c>
      <c r="F3921" s="20">
        <v>10</v>
      </c>
      <c r="G3921" s="19">
        <f t="shared" si="289"/>
        <v>172</v>
      </c>
      <c r="H3921" s="22">
        <f t="shared" si="287"/>
        <v>3920</v>
      </c>
      <c r="I3921" s="21">
        <f t="shared" ca="1" si="286"/>
        <v>0</v>
      </c>
      <c r="J3921" s="21" t="str">
        <f ca="1">IF(I3921=0,"",COUNTIF($I$2:I3921,"&gt;0"))</f>
        <v/>
      </c>
      <c r="K3921" s="21" t="str">
        <f t="shared" ca="1" si="288"/>
        <v/>
      </c>
    </row>
    <row r="3922" spans="1:11" s="18" customFormat="1" ht="14.25" x14ac:dyDescent="0.2">
      <c r="A3922" s="18" t="str">
        <f t="shared" si="281"/>
        <v>Eintrag 3921</v>
      </c>
      <c r="B3922" s="18">
        <v>100</v>
      </c>
      <c r="C3922" s="19">
        <v>100</v>
      </c>
      <c r="D3922" s="20">
        <v>10</v>
      </c>
      <c r="E3922" s="20">
        <v>10</v>
      </c>
      <c r="F3922" s="20">
        <v>10</v>
      </c>
      <c r="G3922" s="19">
        <f t="shared" si="289"/>
        <v>172</v>
      </c>
      <c r="H3922" s="22">
        <f t="shared" si="287"/>
        <v>3921</v>
      </c>
      <c r="I3922" s="21">
        <f t="shared" ca="1" si="286"/>
        <v>0</v>
      </c>
      <c r="J3922" s="21" t="str">
        <f ca="1">IF(I3922=0,"",COUNTIF($I$2:I3922,"&gt;0"))</f>
        <v/>
      </c>
      <c r="K3922" s="21" t="str">
        <f t="shared" ca="1" si="288"/>
        <v/>
      </c>
    </row>
    <row r="3923" spans="1:11" s="18" customFormat="1" ht="14.25" x14ac:dyDescent="0.2">
      <c r="A3923" s="18" t="str">
        <f t="shared" si="281"/>
        <v>Eintrag 3922</v>
      </c>
      <c r="B3923" s="18">
        <v>100</v>
      </c>
      <c r="C3923" s="19">
        <v>100</v>
      </c>
      <c r="D3923" s="20">
        <v>10</v>
      </c>
      <c r="E3923" s="20">
        <v>10</v>
      </c>
      <c r="F3923" s="20">
        <v>10</v>
      </c>
      <c r="G3923" s="19">
        <f t="shared" si="289"/>
        <v>172</v>
      </c>
      <c r="H3923" s="22">
        <f t="shared" si="287"/>
        <v>3922</v>
      </c>
      <c r="I3923" s="21">
        <f t="shared" ca="1" si="286"/>
        <v>0</v>
      </c>
      <c r="J3923" s="21" t="str">
        <f ca="1">IF(I3923=0,"",COUNTIF($I$2:I3923,"&gt;0"))</f>
        <v/>
      </c>
      <c r="K3923" s="21" t="str">
        <f t="shared" ca="1" si="288"/>
        <v/>
      </c>
    </row>
    <row r="3924" spans="1:11" s="18" customFormat="1" ht="14.25" x14ac:dyDescent="0.2">
      <c r="A3924" s="18" t="str">
        <f t="shared" si="281"/>
        <v>Eintrag 3923</v>
      </c>
      <c r="B3924" s="18">
        <v>100</v>
      </c>
      <c r="C3924" s="19">
        <v>100</v>
      </c>
      <c r="D3924" s="20">
        <v>10</v>
      </c>
      <c r="E3924" s="20">
        <v>10</v>
      </c>
      <c r="F3924" s="20">
        <v>10</v>
      </c>
      <c r="G3924" s="19">
        <f t="shared" si="289"/>
        <v>172</v>
      </c>
      <c r="H3924" s="22">
        <f t="shared" si="287"/>
        <v>3923</v>
      </c>
      <c r="I3924" s="21">
        <f t="shared" ca="1" si="286"/>
        <v>0</v>
      </c>
      <c r="J3924" s="21" t="str">
        <f ca="1">IF(I3924=0,"",COUNTIF($I$2:I3924,"&gt;0"))</f>
        <v/>
      </c>
      <c r="K3924" s="21" t="str">
        <f t="shared" ca="1" si="288"/>
        <v/>
      </c>
    </row>
    <row r="3925" spans="1:11" s="18" customFormat="1" ht="14.25" x14ac:dyDescent="0.2">
      <c r="A3925" s="18" t="str">
        <f t="shared" si="281"/>
        <v>Eintrag 3924</v>
      </c>
      <c r="B3925" s="18">
        <v>100</v>
      </c>
      <c r="C3925" s="19">
        <v>100</v>
      </c>
      <c r="D3925" s="20">
        <v>10</v>
      </c>
      <c r="E3925" s="20">
        <v>10</v>
      </c>
      <c r="F3925" s="20">
        <v>10</v>
      </c>
      <c r="G3925" s="19">
        <f t="shared" si="289"/>
        <v>172</v>
      </c>
      <c r="H3925" s="22">
        <f t="shared" si="287"/>
        <v>3924</v>
      </c>
      <c r="I3925" s="21">
        <f t="shared" ca="1" si="286"/>
        <v>0</v>
      </c>
      <c r="J3925" s="21" t="str">
        <f ca="1">IF(I3925=0,"",COUNTIF($I$2:I3925,"&gt;0"))</f>
        <v/>
      </c>
      <c r="K3925" s="21" t="str">
        <f t="shared" ca="1" si="288"/>
        <v/>
      </c>
    </row>
    <row r="3926" spans="1:11" s="18" customFormat="1" ht="14.25" x14ac:dyDescent="0.2">
      <c r="A3926" s="18" t="str">
        <f t="shared" si="281"/>
        <v>Eintrag 3925</v>
      </c>
      <c r="B3926" s="18">
        <v>100</v>
      </c>
      <c r="C3926" s="19">
        <v>100</v>
      </c>
      <c r="D3926" s="20">
        <v>10</v>
      </c>
      <c r="E3926" s="20">
        <v>10</v>
      </c>
      <c r="F3926" s="20">
        <v>10</v>
      </c>
      <c r="G3926" s="19">
        <f t="shared" si="289"/>
        <v>172</v>
      </c>
      <c r="H3926" s="22">
        <f t="shared" si="287"/>
        <v>3925</v>
      </c>
      <c r="I3926" s="21">
        <f t="shared" ca="1" si="286"/>
        <v>0</v>
      </c>
      <c r="J3926" s="21" t="str">
        <f ca="1">IF(I3926=0,"",COUNTIF($I$2:I3926,"&gt;0"))</f>
        <v/>
      </c>
      <c r="K3926" s="21" t="str">
        <f t="shared" ca="1" si="288"/>
        <v/>
      </c>
    </row>
    <row r="3927" spans="1:11" s="18" customFormat="1" ht="14.25" x14ac:dyDescent="0.2">
      <c r="A3927" s="18" t="str">
        <f t="shared" si="281"/>
        <v>Eintrag 3926</v>
      </c>
      <c r="B3927" s="18">
        <v>100</v>
      </c>
      <c r="C3927" s="19">
        <v>100</v>
      </c>
      <c r="D3927" s="20">
        <v>10</v>
      </c>
      <c r="E3927" s="20">
        <v>10</v>
      </c>
      <c r="F3927" s="20">
        <v>10</v>
      </c>
      <c r="G3927" s="19">
        <f t="shared" si="289"/>
        <v>172</v>
      </c>
      <c r="H3927" s="22">
        <f t="shared" si="287"/>
        <v>3926</v>
      </c>
      <c r="I3927" s="21">
        <f t="shared" ca="1" si="286"/>
        <v>0</v>
      </c>
      <c r="J3927" s="21" t="str">
        <f ca="1">IF(I3927=0,"",COUNTIF($I$2:I3927,"&gt;0"))</f>
        <v/>
      </c>
      <c r="K3927" s="21" t="str">
        <f t="shared" ca="1" si="288"/>
        <v/>
      </c>
    </row>
    <row r="3928" spans="1:11" s="18" customFormat="1" ht="14.25" x14ac:dyDescent="0.2">
      <c r="A3928" s="18" t="str">
        <f t="shared" si="281"/>
        <v>Eintrag 3927</v>
      </c>
      <c r="B3928" s="18">
        <v>100</v>
      </c>
      <c r="C3928" s="19">
        <v>100</v>
      </c>
      <c r="D3928" s="20">
        <v>10</v>
      </c>
      <c r="E3928" s="20">
        <v>10</v>
      </c>
      <c r="F3928" s="20">
        <v>10</v>
      </c>
      <c r="G3928" s="19">
        <f t="shared" si="289"/>
        <v>172</v>
      </c>
      <c r="H3928" s="22">
        <f t="shared" si="287"/>
        <v>3927</v>
      </c>
      <c r="I3928" s="21">
        <f t="shared" ca="1" si="286"/>
        <v>0</v>
      </c>
      <c r="J3928" s="21" t="str">
        <f ca="1">IF(I3928=0,"",COUNTIF($I$2:I3928,"&gt;0"))</f>
        <v/>
      </c>
      <c r="K3928" s="21" t="str">
        <f t="shared" ca="1" si="288"/>
        <v/>
      </c>
    </row>
    <row r="3929" spans="1:11" s="18" customFormat="1" ht="14.25" x14ac:dyDescent="0.2">
      <c r="A3929" s="18" t="str">
        <f t="shared" si="281"/>
        <v>Eintrag 3928</v>
      </c>
      <c r="B3929" s="18">
        <v>100</v>
      </c>
      <c r="C3929" s="19">
        <v>100</v>
      </c>
      <c r="D3929" s="20">
        <v>10</v>
      </c>
      <c r="E3929" s="20">
        <v>10</v>
      </c>
      <c r="F3929" s="20">
        <v>10</v>
      </c>
      <c r="G3929" s="19">
        <f t="shared" si="289"/>
        <v>172</v>
      </c>
      <c r="H3929" s="22">
        <f t="shared" si="287"/>
        <v>3928</v>
      </c>
      <c r="I3929" s="21">
        <f t="shared" ca="1" si="286"/>
        <v>0</v>
      </c>
      <c r="J3929" s="21" t="str">
        <f ca="1">IF(I3929=0,"",COUNTIF($I$2:I3929,"&gt;0"))</f>
        <v/>
      </c>
      <c r="K3929" s="21" t="str">
        <f t="shared" ca="1" si="288"/>
        <v/>
      </c>
    </row>
    <row r="3930" spans="1:11" s="18" customFormat="1" ht="14.25" x14ac:dyDescent="0.2">
      <c r="A3930" s="18" t="str">
        <f t="shared" si="281"/>
        <v>Eintrag 3929</v>
      </c>
      <c r="B3930" s="18">
        <v>100</v>
      </c>
      <c r="C3930" s="19">
        <v>100</v>
      </c>
      <c r="D3930" s="20">
        <v>10</v>
      </c>
      <c r="E3930" s="20">
        <v>10</v>
      </c>
      <c r="F3930" s="20">
        <v>10</v>
      </c>
      <c r="G3930" s="19">
        <f t="shared" si="289"/>
        <v>172</v>
      </c>
      <c r="H3930" s="22">
        <f t="shared" si="287"/>
        <v>3929</v>
      </c>
      <c r="I3930" s="21">
        <f t="shared" ca="1" si="286"/>
        <v>0</v>
      </c>
      <c r="J3930" s="21" t="str">
        <f ca="1">IF(I3930=0,"",COUNTIF($I$2:I3930,"&gt;0"))</f>
        <v/>
      </c>
      <c r="K3930" s="21" t="str">
        <f t="shared" ca="1" si="288"/>
        <v/>
      </c>
    </row>
    <row r="3931" spans="1:11" s="18" customFormat="1" ht="14.25" x14ac:dyDescent="0.2">
      <c r="A3931" s="18" t="str">
        <f t="shared" si="281"/>
        <v>Eintrag 3930</v>
      </c>
      <c r="B3931" s="18">
        <v>100</v>
      </c>
      <c r="C3931" s="19">
        <v>100</v>
      </c>
      <c r="D3931" s="20">
        <v>10</v>
      </c>
      <c r="E3931" s="20">
        <v>10</v>
      </c>
      <c r="F3931" s="20">
        <v>10</v>
      </c>
      <c r="G3931" s="19">
        <f t="shared" si="289"/>
        <v>172</v>
      </c>
      <c r="H3931" s="22">
        <f t="shared" si="287"/>
        <v>3930</v>
      </c>
      <c r="I3931" s="21">
        <f t="shared" ca="1" si="286"/>
        <v>0</v>
      </c>
      <c r="J3931" s="21" t="str">
        <f ca="1">IF(I3931=0,"",COUNTIF($I$2:I3931,"&gt;0"))</f>
        <v/>
      </c>
      <c r="K3931" s="21" t="str">
        <f t="shared" ca="1" si="288"/>
        <v/>
      </c>
    </row>
    <row r="3932" spans="1:11" s="18" customFormat="1" ht="14.25" x14ac:dyDescent="0.2">
      <c r="A3932" s="18" t="str">
        <f t="shared" si="281"/>
        <v>Eintrag 3931</v>
      </c>
      <c r="B3932" s="18">
        <v>100</v>
      </c>
      <c r="C3932" s="19">
        <v>100</v>
      </c>
      <c r="D3932" s="20">
        <v>10</v>
      </c>
      <c r="E3932" s="20">
        <v>10</v>
      </c>
      <c r="F3932" s="20">
        <v>10</v>
      </c>
      <c r="G3932" s="19">
        <f t="shared" si="289"/>
        <v>172</v>
      </c>
      <c r="H3932" s="22">
        <f t="shared" si="287"/>
        <v>3931</v>
      </c>
      <c r="I3932" s="21">
        <f t="shared" ca="1" si="286"/>
        <v>0</v>
      </c>
      <c r="J3932" s="21" t="str">
        <f ca="1">IF(I3932=0,"",COUNTIF($I$2:I3932,"&gt;0"))</f>
        <v/>
      </c>
      <c r="K3932" s="21" t="str">
        <f t="shared" ca="1" si="288"/>
        <v/>
      </c>
    </row>
    <row r="3933" spans="1:11" s="18" customFormat="1" ht="14.25" x14ac:dyDescent="0.2">
      <c r="A3933" s="18" t="str">
        <f t="shared" si="281"/>
        <v>Eintrag 3932</v>
      </c>
      <c r="B3933" s="18">
        <v>100</v>
      </c>
      <c r="C3933" s="19">
        <v>100</v>
      </c>
      <c r="D3933" s="20">
        <v>10</v>
      </c>
      <c r="E3933" s="20">
        <v>10</v>
      </c>
      <c r="F3933" s="20">
        <v>10</v>
      </c>
      <c r="G3933" s="19">
        <f t="shared" si="289"/>
        <v>172</v>
      </c>
      <c r="H3933" s="22">
        <f t="shared" si="287"/>
        <v>3932</v>
      </c>
      <c r="I3933" s="21">
        <f t="shared" ca="1" si="286"/>
        <v>0</v>
      </c>
      <c r="J3933" s="21" t="str">
        <f ca="1">IF(I3933=0,"",COUNTIF($I$2:I3933,"&gt;0"))</f>
        <v/>
      </c>
      <c r="K3933" s="21" t="str">
        <f t="shared" ca="1" si="288"/>
        <v/>
      </c>
    </row>
    <row r="3934" spans="1:11" s="18" customFormat="1" ht="14.25" x14ac:dyDescent="0.2">
      <c r="A3934" s="18" t="str">
        <f t="shared" si="281"/>
        <v>Eintrag 3933</v>
      </c>
      <c r="B3934" s="18">
        <v>100</v>
      </c>
      <c r="C3934" s="19">
        <v>100</v>
      </c>
      <c r="D3934" s="20">
        <v>10</v>
      </c>
      <c r="E3934" s="20">
        <v>10</v>
      </c>
      <c r="F3934" s="20">
        <v>10</v>
      </c>
      <c r="G3934" s="19">
        <f t="shared" si="289"/>
        <v>172</v>
      </c>
      <c r="H3934" s="22">
        <f t="shared" si="287"/>
        <v>3933</v>
      </c>
      <c r="I3934" s="21">
        <f t="shared" ref="I3934:I3997" ca="1" si="290">IFERROR(SEARCH(INDIRECT(CELL("address")),A3934),0)</f>
        <v>0</v>
      </c>
      <c r="J3934" s="21" t="str">
        <f ca="1">IF(I3934=0,"",COUNTIF($I$2:I3934,"&gt;0"))</f>
        <v/>
      </c>
      <c r="K3934" s="21" t="str">
        <f t="shared" ca="1" si="288"/>
        <v/>
      </c>
    </row>
    <row r="3935" spans="1:11" s="18" customFormat="1" ht="14.25" x14ac:dyDescent="0.2">
      <c r="A3935" s="18" t="str">
        <f t="shared" si="281"/>
        <v>Eintrag 3934</v>
      </c>
      <c r="B3935" s="18">
        <v>100</v>
      </c>
      <c r="C3935" s="19">
        <v>100</v>
      </c>
      <c r="D3935" s="20">
        <v>10</v>
      </c>
      <c r="E3935" s="20">
        <v>10</v>
      </c>
      <c r="F3935" s="20">
        <v>10</v>
      </c>
      <c r="G3935" s="19">
        <f t="shared" si="289"/>
        <v>172</v>
      </c>
      <c r="H3935" s="22">
        <f t="shared" si="287"/>
        <v>3934</v>
      </c>
      <c r="I3935" s="21">
        <f t="shared" ca="1" si="290"/>
        <v>0</v>
      </c>
      <c r="J3935" s="21" t="str">
        <f ca="1">IF(I3935=0,"",COUNTIF($I$2:I3935,"&gt;0"))</f>
        <v/>
      </c>
      <c r="K3935" s="21" t="str">
        <f t="shared" ca="1" si="288"/>
        <v/>
      </c>
    </row>
    <row r="3936" spans="1:11" s="18" customFormat="1" ht="14.25" x14ac:dyDescent="0.2">
      <c r="A3936" s="18" t="str">
        <f t="shared" si="281"/>
        <v>Eintrag 3935</v>
      </c>
      <c r="B3936" s="18">
        <v>100</v>
      </c>
      <c r="C3936" s="19">
        <v>100</v>
      </c>
      <c r="D3936" s="20">
        <v>10</v>
      </c>
      <c r="E3936" s="20">
        <v>10</v>
      </c>
      <c r="F3936" s="20">
        <v>10</v>
      </c>
      <c r="G3936" s="19">
        <f t="shared" si="289"/>
        <v>172</v>
      </c>
      <c r="H3936" s="22">
        <f t="shared" si="287"/>
        <v>3935</v>
      </c>
      <c r="I3936" s="21">
        <f t="shared" ca="1" si="290"/>
        <v>0</v>
      </c>
      <c r="J3936" s="21" t="str">
        <f ca="1">IF(I3936=0,"",COUNTIF($I$2:I3936,"&gt;0"))</f>
        <v/>
      </c>
      <c r="K3936" s="21" t="str">
        <f t="shared" ca="1" si="288"/>
        <v/>
      </c>
    </row>
    <row r="3937" spans="1:11" s="18" customFormat="1" ht="14.25" x14ac:dyDescent="0.2">
      <c r="A3937" s="18" t="str">
        <f t="shared" si="281"/>
        <v>Eintrag 3936</v>
      </c>
      <c r="B3937" s="18">
        <v>100</v>
      </c>
      <c r="C3937" s="19">
        <v>100</v>
      </c>
      <c r="D3937" s="20">
        <v>10</v>
      </c>
      <c r="E3937" s="20">
        <v>10</v>
      </c>
      <c r="F3937" s="20">
        <v>10</v>
      </c>
      <c r="G3937" s="19">
        <f t="shared" si="289"/>
        <v>172</v>
      </c>
      <c r="H3937" s="22">
        <f t="shared" si="287"/>
        <v>3936</v>
      </c>
      <c r="I3937" s="21">
        <f t="shared" ca="1" si="290"/>
        <v>0</v>
      </c>
      <c r="J3937" s="21" t="str">
        <f ca="1">IF(I3937=0,"",COUNTIF($I$2:I3937,"&gt;0"))</f>
        <v/>
      </c>
      <c r="K3937" s="21" t="str">
        <f t="shared" ca="1" si="288"/>
        <v/>
      </c>
    </row>
    <row r="3938" spans="1:11" s="18" customFormat="1" ht="14.25" x14ac:dyDescent="0.2">
      <c r="A3938" s="18" t="str">
        <f t="shared" si="281"/>
        <v>Eintrag 3937</v>
      </c>
      <c r="B3938" s="18">
        <v>100</v>
      </c>
      <c r="C3938" s="19">
        <v>100</v>
      </c>
      <c r="D3938" s="20">
        <v>10</v>
      </c>
      <c r="E3938" s="20">
        <v>10</v>
      </c>
      <c r="F3938" s="20">
        <v>10</v>
      </c>
      <c r="G3938" s="19">
        <f t="shared" si="289"/>
        <v>172</v>
      </c>
      <c r="H3938" s="22">
        <f t="shared" si="287"/>
        <v>3937</v>
      </c>
      <c r="I3938" s="21">
        <f t="shared" ca="1" si="290"/>
        <v>0</v>
      </c>
      <c r="J3938" s="21" t="str">
        <f ca="1">IF(I3938=0,"",COUNTIF($I$2:I3938,"&gt;0"))</f>
        <v/>
      </c>
      <c r="K3938" s="21" t="str">
        <f t="shared" ca="1" si="288"/>
        <v/>
      </c>
    </row>
    <row r="3939" spans="1:11" s="18" customFormat="1" ht="14.25" x14ac:dyDescent="0.2">
      <c r="A3939" s="18" t="str">
        <f t="shared" si="281"/>
        <v>Eintrag 3938</v>
      </c>
      <c r="B3939" s="18">
        <v>100</v>
      </c>
      <c r="C3939" s="19">
        <v>100</v>
      </c>
      <c r="D3939" s="20">
        <v>10</v>
      </c>
      <c r="E3939" s="20">
        <v>10</v>
      </c>
      <c r="F3939" s="20">
        <v>10</v>
      </c>
      <c r="G3939" s="19">
        <f t="shared" si="289"/>
        <v>172</v>
      </c>
      <c r="H3939" s="22">
        <f t="shared" si="287"/>
        <v>3938</v>
      </c>
      <c r="I3939" s="21">
        <f t="shared" ca="1" si="290"/>
        <v>0</v>
      </c>
      <c r="J3939" s="21" t="str">
        <f ca="1">IF(I3939=0,"",COUNTIF($I$2:I3939,"&gt;0"))</f>
        <v/>
      </c>
      <c r="K3939" s="21" t="str">
        <f t="shared" ca="1" si="288"/>
        <v/>
      </c>
    </row>
    <row r="3940" spans="1:11" s="18" customFormat="1" ht="14.25" x14ac:dyDescent="0.2">
      <c r="A3940" s="18" t="str">
        <f t="shared" si="281"/>
        <v>Eintrag 3939</v>
      </c>
      <c r="B3940" s="18">
        <v>100</v>
      </c>
      <c r="C3940" s="19">
        <v>100</v>
      </c>
      <c r="D3940" s="20">
        <v>10</v>
      </c>
      <c r="E3940" s="20">
        <v>10</v>
      </c>
      <c r="F3940" s="20">
        <v>10</v>
      </c>
      <c r="G3940" s="19">
        <f t="shared" si="289"/>
        <v>172</v>
      </c>
      <c r="H3940" s="22">
        <f t="shared" si="287"/>
        <v>3939</v>
      </c>
      <c r="I3940" s="21">
        <f t="shared" ca="1" si="290"/>
        <v>0</v>
      </c>
      <c r="J3940" s="21" t="str">
        <f ca="1">IF(I3940=0,"",COUNTIF($I$2:I3940,"&gt;0"))</f>
        <v/>
      </c>
      <c r="K3940" s="21" t="str">
        <f t="shared" ca="1" si="288"/>
        <v/>
      </c>
    </row>
    <row r="3941" spans="1:11" s="18" customFormat="1" ht="14.25" x14ac:dyDescent="0.2">
      <c r="A3941" s="18" t="str">
        <f t="shared" si="281"/>
        <v>Eintrag 3940</v>
      </c>
      <c r="B3941" s="18">
        <v>100</v>
      </c>
      <c r="C3941" s="19">
        <v>100</v>
      </c>
      <c r="D3941" s="20">
        <v>10</v>
      </c>
      <c r="E3941" s="20">
        <v>10</v>
      </c>
      <c r="F3941" s="20">
        <v>10</v>
      </c>
      <c r="G3941" s="19">
        <f t="shared" si="289"/>
        <v>172</v>
      </c>
      <c r="H3941" s="22">
        <f t="shared" ref="H3941:H4004" si="291">H3940+1</f>
        <v>3940</v>
      </c>
      <c r="I3941" s="21">
        <f t="shared" ca="1" si="290"/>
        <v>0</v>
      </c>
      <c r="J3941" s="21" t="str">
        <f ca="1">IF(I3941=0,"",COUNTIF($I$2:I3941,"&gt;0"))</f>
        <v/>
      </c>
      <c r="K3941" s="21" t="str">
        <f t="shared" ca="1" si="288"/>
        <v/>
      </c>
    </row>
    <row r="3942" spans="1:11" s="18" customFormat="1" ht="14.25" x14ac:dyDescent="0.2">
      <c r="A3942" s="18" t="str">
        <f t="shared" si="281"/>
        <v>Eintrag 3941</v>
      </c>
      <c r="B3942" s="18">
        <v>100</v>
      </c>
      <c r="C3942" s="19">
        <v>100</v>
      </c>
      <c r="D3942" s="20">
        <v>10</v>
      </c>
      <c r="E3942" s="20">
        <v>10</v>
      </c>
      <c r="F3942" s="20">
        <v>10</v>
      </c>
      <c r="G3942" s="19">
        <f t="shared" si="289"/>
        <v>172</v>
      </c>
      <c r="H3942" s="22">
        <f t="shared" si="291"/>
        <v>3941</v>
      </c>
      <c r="I3942" s="21">
        <f t="shared" ca="1" si="290"/>
        <v>0</v>
      </c>
      <c r="J3942" s="21" t="str">
        <f ca="1">IF(I3942=0,"",COUNTIF($I$2:I3942,"&gt;0"))</f>
        <v/>
      </c>
      <c r="K3942" s="21" t="str">
        <f t="shared" ca="1" si="288"/>
        <v/>
      </c>
    </row>
    <row r="3943" spans="1:11" s="18" customFormat="1" ht="14.25" x14ac:dyDescent="0.2">
      <c r="A3943" s="18" t="str">
        <f t="shared" si="281"/>
        <v>Eintrag 3942</v>
      </c>
      <c r="B3943" s="18">
        <v>100</v>
      </c>
      <c r="C3943" s="19">
        <v>100</v>
      </c>
      <c r="D3943" s="20">
        <v>10</v>
      </c>
      <c r="E3943" s="20">
        <v>10</v>
      </c>
      <c r="F3943" s="20">
        <v>10</v>
      </c>
      <c r="G3943" s="19">
        <f t="shared" si="289"/>
        <v>172</v>
      </c>
      <c r="H3943" s="22">
        <f t="shared" si="291"/>
        <v>3942</v>
      </c>
      <c r="I3943" s="21">
        <f t="shared" ca="1" si="290"/>
        <v>0</v>
      </c>
      <c r="J3943" s="21" t="str">
        <f ca="1">IF(I3943=0,"",COUNTIF($I$2:I3943,"&gt;0"))</f>
        <v/>
      </c>
      <c r="K3943" s="21" t="str">
        <f t="shared" ca="1" si="288"/>
        <v/>
      </c>
    </row>
    <row r="3944" spans="1:11" s="18" customFormat="1" ht="14.25" x14ac:dyDescent="0.2">
      <c r="A3944" s="18" t="str">
        <f t="shared" si="281"/>
        <v>Eintrag 3943</v>
      </c>
      <c r="B3944" s="18">
        <v>100</v>
      </c>
      <c r="C3944" s="19">
        <v>100</v>
      </c>
      <c r="D3944" s="20">
        <v>10</v>
      </c>
      <c r="E3944" s="20">
        <v>10</v>
      </c>
      <c r="F3944" s="20">
        <v>10</v>
      </c>
      <c r="G3944" s="19">
        <f t="shared" si="289"/>
        <v>172</v>
      </c>
      <c r="H3944" s="22">
        <f t="shared" si="291"/>
        <v>3943</v>
      </c>
      <c r="I3944" s="21">
        <f t="shared" ca="1" si="290"/>
        <v>0</v>
      </c>
      <c r="J3944" s="21" t="str">
        <f ca="1">IF(I3944=0,"",COUNTIF($I$2:I3944,"&gt;0"))</f>
        <v/>
      </c>
      <c r="K3944" s="21" t="str">
        <f t="shared" ca="1" si="288"/>
        <v/>
      </c>
    </row>
    <row r="3945" spans="1:11" s="18" customFormat="1" ht="14.25" x14ac:dyDescent="0.2">
      <c r="A3945" s="18" t="str">
        <f t="shared" si="281"/>
        <v>Eintrag 3944</v>
      </c>
      <c r="B3945" s="18">
        <v>100</v>
      </c>
      <c r="C3945" s="19">
        <v>100</v>
      </c>
      <c r="D3945" s="20">
        <v>10</v>
      </c>
      <c r="E3945" s="20">
        <v>10</v>
      </c>
      <c r="F3945" s="20">
        <v>10</v>
      </c>
      <c r="G3945" s="19">
        <f t="shared" si="289"/>
        <v>172</v>
      </c>
      <c r="H3945" s="22">
        <f t="shared" si="291"/>
        <v>3944</v>
      </c>
      <c r="I3945" s="21">
        <f t="shared" ca="1" si="290"/>
        <v>0</v>
      </c>
      <c r="J3945" s="21" t="str">
        <f ca="1">IF(I3945=0,"",COUNTIF($I$2:I3945,"&gt;0"))</f>
        <v/>
      </c>
      <c r="K3945" s="21" t="str">
        <f t="shared" ca="1" si="288"/>
        <v/>
      </c>
    </row>
    <row r="3946" spans="1:11" s="18" customFormat="1" ht="14.25" x14ac:dyDescent="0.2">
      <c r="A3946" s="18" t="str">
        <f t="shared" si="281"/>
        <v>Eintrag 3945</v>
      </c>
      <c r="B3946" s="18">
        <v>100</v>
      </c>
      <c r="C3946" s="19">
        <v>100</v>
      </c>
      <c r="D3946" s="20">
        <v>10</v>
      </c>
      <c r="E3946" s="20">
        <v>10</v>
      </c>
      <c r="F3946" s="20">
        <v>10</v>
      </c>
      <c r="G3946" s="19">
        <f t="shared" si="289"/>
        <v>172</v>
      </c>
      <c r="H3946" s="22">
        <f t="shared" si="291"/>
        <v>3945</v>
      </c>
      <c r="I3946" s="21">
        <f t="shared" ca="1" si="290"/>
        <v>0</v>
      </c>
      <c r="J3946" s="21" t="str">
        <f ca="1">IF(I3946=0,"",COUNTIF($I$2:I3946,"&gt;0"))</f>
        <v/>
      </c>
      <c r="K3946" s="21" t="str">
        <f t="shared" ca="1" si="288"/>
        <v/>
      </c>
    </row>
    <row r="3947" spans="1:11" s="18" customFormat="1" ht="14.25" x14ac:dyDescent="0.2">
      <c r="A3947" s="18" t="str">
        <f t="shared" si="281"/>
        <v>Eintrag 3946</v>
      </c>
      <c r="B3947" s="18">
        <v>100</v>
      </c>
      <c r="C3947" s="19">
        <v>100</v>
      </c>
      <c r="D3947" s="20">
        <v>10</v>
      </c>
      <c r="E3947" s="20">
        <v>10</v>
      </c>
      <c r="F3947" s="20">
        <v>10</v>
      </c>
      <c r="G3947" s="19">
        <f t="shared" si="289"/>
        <v>172</v>
      </c>
      <c r="H3947" s="22">
        <f t="shared" si="291"/>
        <v>3946</v>
      </c>
      <c r="I3947" s="21">
        <f t="shared" ca="1" si="290"/>
        <v>0</v>
      </c>
      <c r="J3947" s="21" t="str">
        <f ca="1">IF(I3947=0,"",COUNTIF($I$2:I3947,"&gt;0"))</f>
        <v/>
      </c>
      <c r="K3947" s="21" t="str">
        <f t="shared" ca="1" si="288"/>
        <v/>
      </c>
    </row>
    <row r="3948" spans="1:11" s="18" customFormat="1" ht="14.25" x14ac:dyDescent="0.2">
      <c r="A3948" s="18" t="str">
        <f t="shared" si="281"/>
        <v>Eintrag 3947</v>
      </c>
      <c r="B3948" s="18">
        <v>100</v>
      </c>
      <c r="C3948" s="19">
        <v>100</v>
      </c>
      <c r="D3948" s="20">
        <v>10</v>
      </c>
      <c r="E3948" s="20">
        <v>10</v>
      </c>
      <c r="F3948" s="20">
        <v>10</v>
      </c>
      <c r="G3948" s="19">
        <f t="shared" si="289"/>
        <v>172</v>
      </c>
      <c r="H3948" s="22">
        <f t="shared" si="291"/>
        <v>3947</v>
      </c>
      <c r="I3948" s="21">
        <f t="shared" ca="1" si="290"/>
        <v>0</v>
      </c>
      <c r="J3948" s="21" t="str">
        <f ca="1">IF(I3948=0,"",COUNTIF($I$2:I3948,"&gt;0"))</f>
        <v/>
      </c>
      <c r="K3948" s="21" t="str">
        <f t="shared" ca="1" si="288"/>
        <v/>
      </c>
    </row>
    <row r="3949" spans="1:11" s="18" customFormat="1" ht="14.25" x14ac:dyDescent="0.2">
      <c r="A3949" s="18" t="str">
        <f t="shared" si="281"/>
        <v>Eintrag 3948</v>
      </c>
      <c r="B3949" s="18">
        <v>100</v>
      </c>
      <c r="C3949" s="19">
        <v>100</v>
      </c>
      <c r="D3949" s="20">
        <v>10</v>
      </c>
      <c r="E3949" s="20">
        <v>10</v>
      </c>
      <c r="F3949" s="20">
        <v>10</v>
      </c>
      <c r="G3949" s="19">
        <f t="shared" si="289"/>
        <v>172</v>
      </c>
      <c r="H3949" s="22">
        <f t="shared" si="291"/>
        <v>3948</v>
      </c>
      <c r="I3949" s="21">
        <f t="shared" ca="1" si="290"/>
        <v>0</v>
      </c>
      <c r="J3949" s="21" t="str">
        <f ca="1">IF(I3949=0,"",COUNTIF($I$2:I3949,"&gt;0"))</f>
        <v/>
      </c>
      <c r="K3949" s="21" t="str">
        <f t="shared" ca="1" si="288"/>
        <v/>
      </c>
    </row>
    <row r="3950" spans="1:11" s="18" customFormat="1" ht="14.25" x14ac:dyDescent="0.2">
      <c r="A3950" s="18" t="str">
        <f t="shared" si="281"/>
        <v>Eintrag 3949</v>
      </c>
      <c r="B3950" s="18">
        <v>100</v>
      </c>
      <c r="C3950" s="19">
        <v>100</v>
      </c>
      <c r="D3950" s="20">
        <v>10</v>
      </c>
      <c r="E3950" s="20">
        <v>10</v>
      </c>
      <c r="F3950" s="20">
        <v>10</v>
      </c>
      <c r="G3950" s="19">
        <f t="shared" si="289"/>
        <v>172</v>
      </c>
      <c r="H3950" s="22">
        <f t="shared" si="291"/>
        <v>3949</v>
      </c>
      <c r="I3950" s="21">
        <f t="shared" ca="1" si="290"/>
        <v>0</v>
      </c>
      <c r="J3950" s="21" t="str">
        <f ca="1">IF(I3950=0,"",COUNTIF($I$2:I3950,"&gt;0"))</f>
        <v/>
      </c>
      <c r="K3950" s="21" t="str">
        <f t="shared" ca="1" si="288"/>
        <v/>
      </c>
    </row>
    <row r="3951" spans="1:11" s="18" customFormat="1" ht="14.25" x14ac:dyDescent="0.2">
      <c r="A3951" s="18" t="str">
        <f t="shared" si="281"/>
        <v>Eintrag 3950</v>
      </c>
      <c r="B3951" s="18">
        <v>100</v>
      </c>
      <c r="C3951" s="19">
        <v>100</v>
      </c>
      <c r="D3951" s="20">
        <v>10</v>
      </c>
      <c r="E3951" s="20">
        <v>10</v>
      </c>
      <c r="F3951" s="20">
        <v>10</v>
      </c>
      <c r="G3951" s="19">
        <f t="shared" si="289"/>
        <v>172</v>
      </c>
      <c r="H3951" s="22">
        <f t="shared" si="291"/>
        <v>3950</v>
      </c>
      <c r="I3951" s="21">
        <f t="shared" ca="1" si="290"/>
        <v>0</v>
      </c>
      <c r="J3951" s="21" t="str">
        <f ca="1">IF(I3951=0,"",COUNTIF($I$2:I3951,"&gt;0"))</f>
        <v/>
      </c>
      <c r="K3951" s="21" t="str">
        <f t="shared" ca="1" si="288"/>
        <v/>
      </c>
    </row>
    <row r="3952" spans="1:11" s="18" customFormat="1" ht="14.25" x14ac:dyDescent="0.2">
      <c r="A3952" s="18" t="str">
        <f t="shared" si="281"/>
        <v>Eintrag 3951</v>
      </c>
      <c r="B3952" s="18">
        <v>100</v>
      </c>
      <c r="C3952" s="19">
        <v>100</v>
      </c>
      <c r="D3952" s="20">
        <v>10</v>
      </c>
      <c r="E3952" s="20">
        <v>10</v>
      </c>
      <c r="F3952" s="20">
        <v>10</v>
      </c>
      <c r="G3952" s="19">
        <f t="shared" si="289"/>
        <v>172</v>
      </c>
      <c r="H3952" s="22">
        <f t="shared" si="291"/>
        <v>3951</v>
      </c>
      <c r="I3952" s="21">
        <f t="shared" ca="1" si="290"/>
        <v>0</v>
      </c>
      <c r="J3952" s="21" t="str">
        <f ca="1">IF(I3952=0,"",COUNTIF($I$2:I3952,"&gt;0"))</f>
        <v/>
      </c>
      <c r="K3952" s="21" t="str">
        <f t="shared" ca="1" si="288"/>
        <v/>
      </c>
    </row>
    <row r="3953" spans="1:11" s="18" customFormat="1" ht="14.25" x14ac:dyDescent="0.2">
      <c r="A3953" s="18" t="str">
        <f t="shared" ref="A3953:A4016" si="292">CONCATENATE("Eintrag ",H3953)</f>
        <v>Eintrag 3952</v>
      </c>
      <c r="B3953" s="18">
        <v>100</v>
      </c>
      <c r="C3953" s="19">
        <v>100</v>
      </c>
      <c r="D3953" s="20">
        <v>10</v>
      </c>
      <c r="E3953" s="20">
        <v>10</v>
      </c>
      <c r="F3953" s="20">
        <v>10</v>
      </c>
      <c r="G3953" s="19">
        <f t="shared" si="289"/>
        <v>172</v>
      </c>
      <c r="H3953" s="22">
        <f t="shared" si="291"/>
        <v>3952</v>
      </c>
      <c r="I3953" s="21">
        <f t="shared" ca="1" si="290"/>
        <v>0</v>
      </c>
      <c r="J3953" s="21" t="str">
        <f ca="1">IF(I3953=0,"",COUNTIF($I$2:I3953,"&gt;0"))</f>
        <v/>
      </c>
      <c r="K3953" s="21" t="str">
        <f t="shared" ca="1" si="288"/>
        <v/>
      </c>
    </row>
    <row r="3954" spans="1:11" s="18" customFormat="1" ht="14.25" x14ac:dyDescent="0.2">
      <c r="A3954" s="18" t="str">
        <f t="shared" si="292"/>
        <v>Eintrag 3953</v>
      </c>
      <c r="B3954" s="18">
        <v>100</v>
      </c>
      <c r="C3954" s="19">
        <v>100</v>
      </c>
      <c r="D3954" s="20">
        <v>10</v>
      </c>
      <c r="E3954" s="20">
        <v>10</v>
      </c>
      <c r="F3954" s="20">
        <v>10</v>
      </c>
      <c r="G3954" s="19">
        <f t="shared" si="289"/>
        <v>172</v>
      </c>
      <c r="H3954" s="22">
        <f t="shared" si="291"/>
        <v>3953</v>
      </c>
      <c r="I3954" s="21">
        <f t="shared" ca="1" si="290"/>
        <v>0</v>
      </c>
      <c r="J3954" s="21" t="str">
        <f ca="1">IF(I3954=0,"",COUNTIF($I$2:I3954,"&gt;0"))</f>
        <v/>
      </c>
      <c r="K3954" s="21" t="str">
        <f t="shared" ca="1" si="288"/>
        <v/>
      </c>
    </row>
    <row r="3955" spans="1:11" s="18" customFormat="1" ht="14.25" x14ac:dyDescent="0.2">
      <c r="A3955" s="18" t="str">
        <f t="shared" si="292"/>
        <v>Eintrag 3954</v>
      </c>
      <c r="B3955" s="18">
        <v>100</v>
      </c>
      <c r="C3955" s="19">
        <v>100</v>
      </c>
      <c r="D3955" s="20">
        <v>10</v>
      </c>
      <c r="E3955" s="20">
        <v>10</v>
      </c>
      <c r="F3955" s="20">
        <v>10</v>
      </c>
      <c r="G3955" s="19">
        <f t="shared" si="289"/>
        <v>172</v>
      </c>
      <c r="H3955" s="22">
        <f t="shared" si="291"/>
        <v>3954</v>
      </c>
      <c r="I3955" s="21">
        <f t="shared" ca="1" si="290"/>
        <v>0</v>
      </c>
      <c r="J3955" s="21" t="str">
        <f ca="1">IF(I3955=0,"",COUNTIF($I$2:I3955,"&gt;0"))</f>
        <v/>
      </c>
      <c r="K3955" s="21" t="str">
        <f t="shared" ca="1" si="288"/>
        <v/>
      </c>
    </row>
    <row r="3956" spans="1:11" s="18" customFormat="1" ht="14.25" x14ac:dyDescent="0.2">
      <c r="A3956" s="18" t="str">
        <f t="shared" si="292"/>
        <v>Eintrag 3955</v>
      </c>
      <c r="B3956" s="18">
        <v>100</v>
      </c>
      <c r="C3956" s="19">
        <v>100</v>
      </c>
      <c r="D3956" s="20">
        <v>10</v>
      </c>
      <c r="E3956" s="20">
        <v>10</v>
      </c>
      <c r="F3956" s="20">
        <v>10</v>
      </c>
      <c r="G3956" s="19">
        <f t="shared" si="289"/>
        <v>172</v>
      </c>
      <c r="H3956" s="22">
        <f t="shared" si="291"/>
        <v>3955</v>
      </c>
      <c r="I3956" s="21">
        <f t="shared" ca="1" si="290"/>
        <v>0</v>
      </c>
      <c r="J3956" s="21" t="str">
        <f ca="1">IF(I3956=0,"",COUNTIF($I$2:I3956,"&gt;0"))</f>
        <v/>
      </c>
      <c r="K3956" s="21" t="str">
        <f t="shared" ca="1" si="288"/>
        <v/>
      </c>
    </row>
    <row r="3957" spans="1:11" s="18" customFormat="1" ht="14.25" x14ac:dyDescent="0.2">
      <c r="A3957" s="18" t="str">
        <f t="shared" si="292"/>
        <v>Eintrag 3956</v>
      </c>
      <c r="B3957" s="18">
        <v>100</v>
      </c>
      <c r="C3957" s="19">
        <v>100</v>
      </c>
      <c r="D3957" s="20">
        <v>10</v>
      </c>
      <c r="E3957" s="20">
        <v>10</v>
      </c>
      <c r="F3957" s="20">
        <v>10</v>
      </c>
      <c r="G3957" s="19">
        <f t="shared" si="289"/>
        <v>172</v>
      </c>
      <c r="H3957" s="22">
        <f t="shared" si="291"/>
        <v>3956</v>
      </c>
      <c r="I3957" s="21">
        <f t="shared" ca="1" si="290"/>
        <v>0</v>
      </c>
      <c r="J3957" s="21" t="str">
        <f ca="1">IF(I3957=0,"",COUNTIF($I$2:I3957,"&gt;0"))</f>
        <v/>
      </c>
      <c r="K3957" s="21" t="str">
        <f t="shared" ca="1" si="288"/>
        <v/>
      </c>
    </row>
    <row r="3958" spans="1:11" s="18" customFormat="1" ht="14.25" x14ac:dyDescent="0.2">
      <c r="A3958" s="18" t="str">
        <f t="shared" si="292"/>
        <v>Eintrag 3957</v>
      </c>
      <c r="B3958" s="18">
        <v>100</v>
      </c>
      <c r="C3958" s="19">
        <v>100</v>
      </c>
      <c r="D3958" s="20">
        <v>10</v>
      </c>
      <c r="E3958" s="20">
        <v>10</v>
      </c>
      <c r="F3958" s="20">
        <v>10</v>
      </c>
      <c r="G3958" s="19">
        <f t="shared" si="289"/>
        <v>172</v>
      </c>
      <c r="H3958" s="22">
        <f t="shared" si="291"/>
        <v>3957</v>
      </c>
      <c r="I3958" s="21">
        <f t="shared" ca="1" si="290"/>
        <v>0</v>
      </c>
      <c r="J3958" s="21" t="str">
        <f ca="1">IF(I3958=0,"",COUNTIF($I$2:I3958,"&gt;0"))</f>
        <v/>
      </c>
      <c r="K3958" s="21" t="str">
        <f t="shared" ca="1" si="288"/>
        <v/>
      </c>
    </row>
    <row r="3959" spans="1:11" s="18" customFormat="1" ht="14.25" x14ac:dyDescent="0.2">
      <c r="A3959" s="18" t="str">
        <f t="shared" si="292"/>
        <v>Eintrag 3958</v>
      </c>
      <c r="B3959" s="18">
        <v>100</v>
      </c>
      <c r="C3959" s="19">
        <v>100</v>
      </c>
      <c r="D3959" s="20">
        <v>10</v>
      </c>
      <c r="E3959" s="20">
        <v>10</v>
      </c>
      <c r="F3959" s="20">
        <v>10</v>
      </c>
      <c r="G3959" s="19">
        <f t="shared" si="289"/>
        <v>172</v>
      </c>
      <c r="H3959" s="22">
        <f t="shared" si="291"/>
        <v>3958</v>
      </c>
      <c r="I3959" s="21">
        <f t="shared" ca="1" si="290"/>
        <v>0</v>
      </c>
      <c r="J3959" s="21" t="str">
        <f ca="1">IF(I3959=0,"",COUNTIF($I$2:I3959,"&gt;0"))</f>
        <v/>
      </c>
      <c r="K3959" s="21" t="str">
        <f t="shared" ca="1" si="288"/>
        <v/>
      </c>
    </row>
    <row r="3960" spans="1:11" s="18" customFormat="1" ht="14.25" x14ac:dyDescent="0.2">
      <c r="A3960" s="18" t="str">
        <f t="shared" si="292"/>
        <v>Eintrag 3959</v>
      </c>
      <c r="B3960" s="18">
        <v>100</v>
      </c>
      <c r="C3960" s="19">
        <v>100</v>
      </c>
      <c r="D3960" s="20">
        <v>10</v>
      </c>
      <c r="E3960" s="20">
        <v>10</v>
      </c>
      <c r="F3960" s="20">
        <v>10</v>
      </c>
      <c r="G3960" s="19">
        <f t="shared" si="289"/>
        <v>172</v>
      </c>
      <c r="H3960" s="22">
        <f t="shared" si="291"/>
        <v>3959</v>
      </c>
      <c r="I3960" s="21">
        <f t="shared" ca="1" si="290"/>
        <v>0</v>
      </c>
      <c r="J3960" s="21" t="str">
        <f ca="1">IF(I3960=0,"",COUNTIF($I$2:I3960,"&gt;0"))</f>
        <v/>
      </c>
      <c r="K3960" s="21" t="str">
        <f t="shared" ca="1" si="288"/>
        <v/>
      </c>
    </row>
    <row r="3961" spans="1:11" s="18" customFormat="1" ht="14.25" x14ac:dyDescent="0.2">
      <c r="A3961" s="18" t="str">
        <f t="shared" si="292"/>
        <v>Eintrag 3960</v>
      </c>
      <c r="B3961" s="18">
        <v>100</v>
      </c>
      <c r="C3961" s="19">
        <v>100</v>
      </c>
      <c r="D3961" s="20">
        <v>10</v>
      </c>
      <c r="E3961" s="20">
        <v>10</v>
      </c>
      <c r="F3961" s="20">
        <v>10</v>
      </c>
      <c r="G3961" s="19">
        <f t="shared" si="289"/>
        <v>172</v>
      </c>
      <c r="H3961" s="22">
        <f t="shared" si="291"/>
        <v>3960</v>
      </c>
      <c r="I3961" s="21">
        <f t="shared" ca="1" si="290"/>
        <v>0</v>
      </c>
      <c r="J3961" s="21" t="str">
        <f ca="1">IF(I3961=0,"",COUNTIF($I$2:I3961,"&gt;0"))</f>
        <v/>
      </c>
      <c r="K3961" s="21" t="str">
        <f t="shared" ca="1" si="288"/>
        <v/>
      </c>
    </row>
    <row r="3962" spans="1:11" s="18" customFormat="1" ht="14.25" x14ac:dyDescent="0.2">
      <c r="A3962" s="18" t="str">
        <f t="shared" si="292"/>
        <v>Eintrag 3961</v>
      </c>
      <c r="B3962" s="18">
        <v>100</v>
      </c>
      <c r="C3962" s="19">
        <v>100</v>
      </c>
      <c r="D3962" s="20">
        <v>10</v>
      </c>
      <c r="E3962" s="20">
        <v>10</v>
      </c>
      <c r="F3962" s="20">
        <v>10</v>
      </c>
      <c r="G3962" s="19">
        <f t="shared" si="289"/>
        <v>172</v>
      </c>
      <c r="H3962" s="22">
        <f t="shared" si="291"/>
        <v>3961</v>
      </c>
      <c r="I3962" s="21">
        <f t="shared" ca="1" si="290"/>
        <v>0</v>
      </c>
      <c r="J3962" s="21" t="str">
        <f ca="1">IF(I3962=0,"",COUNTIF($I$2:I3962,"&gt;0"))</f>
        <v/>
      </c>
      <c r="K3962" s="21" t="str">
        <f t="shared" ca="1" si="288"/>
        <v/>
      </c>
    </row>
    <row r="3963" spans="1:11" s="18" customFormat="1" ht="14.25" x14ac:dyDescent="0.2">
      <c r="A3963" s="18" t="str">
        <f t="shared" si="292"/>
        <v>Eintrag 3962</v>
      </c>
      <c r="B3963" s="18">
        <v>100</v>
      </c>
      <c r="C3963" s="19">
        <v>100</v>
      </c>
      <c r="D3963" s="20">
        <v>10</v>
      </c>
      <c r="E3963" s="20">
        <v>10</v>
      </c>
      <c r="F3963" s="20">
        <v>10</v>
      </c>
      <c r="G3963" s="19">
        <f t="shared" si="289"/>
        <v>172</v>
      </c>
      <c r="H3963" s="22">
        <f t="shared" si="291"/>
        <v>3962</v>
      </c>
      <c r="I3963" s="21">
        <f t="shared" ca="1" si="290"/>
        <v>0</v>
      </c>
      <c r="J3963" s="21" t="str">
        <f ca="1">IF(I3963=0,"",COUNTIF($I$2:I3963,"&gt;0"))</f>
        <v/>
      </c>
      <c r="K3963" s="21" t="str">
        <f t="shared" ca="1" si="288"/>
        <v/>
      </c>
    </row>
    <row r="3964" spans="1:11" s="18" customFormat="1" ht="14.25" x14ac:dyDescent="0.2">
      <c r="A3964" s="18" t="str">
        <f t="shared" si="292"/>
        <v>Eintrag 3963</v>
      </c>
      <c r="B3964" s="18">
        <v>100</v>
      </c>
      <c r="C3964" s="19">
        <v>100</v>
      </c>
      <c r="D3964" s="20">
        <v>10</v>
      </c>
      <c r="E3964" s="20">
        <v>10</v>
      </c>
      <c r="F3964" s="20">
        <v>10</v>
      </c>
      <c r="G3964" s="19">
        <f t="shared" si="289"/>
        <v>172</v>
      </c>
      <c r="H3964" s="22">
        <f t="shared" si="291"/>
        <v>3963</v>
      </c>
      <c r="I3964" s="21">
        <f t="shared" ca="1" si="290"/>
        <v>0</v>
      </c>
      <c r="J3964" s="21" t="str">
        <f ca="1">IF(I3964=0,"",COUNTIF($I$2:I3964,"&gt;0"))</f>
        <v/>
      </c>
      <c r="K3964" s="21" t="str">
        <f t="shared" ca="1" si="288"/>
        <v/>
      </c>
    </row>
    <row r="3965" spans="1:11" s="18" customFormat="1" ht="14.25" x14ac:dyDescent="0.2">
      <c r="A3965" s="18" t="str">
        <f t="shared" si="292"/>
        <v>Eintrag 3964</v>
      </c>
      <c r="B3965" s="18">
        <v>100</v>
      </c>
      <c r="C3965" s="19">
        <v>100</v>
      </c>
      <c r="D3965" s="20">
        <v>10</v>
      </c>
      <c r="E3965" s="20">
        <v>10</v>
      </c>
      <c r="F3965" s="20">
        <v>10</v>
      </c>
      <c r="G3965" s="19">
        <f t="shared" si="289"/>
        <v>172</v>
      </c>
      <c r="H3965" s="22">
        <f t="shared" si="291"/>
        <v>3964</v>
      </c>
      <c r="I3965" s="21">
        <f t="shared" ca="1" si="290"/>
        <v>0</v>
      </c>
      <c r="J3965" s="21" t="str">
        <f ca="1">IF(I3965=0,"",COUNTIF($I$2:I3965,"&gt;0"))</f>
        <v/>
      </c>
      <c r="K3965" s="21" t="str">
        <f t="shared" ca="1" si="288"/>
        <v/>
      </c>
    </row>
    <row r="3966" spans="1:11" s="18" customFormat="1" ht="14.25" x14ac:dyDescent="0.2">
      <c r="A3966" s="18" t="str">
        <f t="shared" si="292"/>
        <v>Eintrag 3965</v>
      </c>
      <c r="B3966" s="18">
        <v>100</v>
      </c>
      <c r="C3966" s="19">
        <v>100</v>
      </c>
      <c r="D3966" s="20">
        <v>10</v>
      </c>
      <c r="E3966" s="20">
        <v>10</v>
      </c>
      <c r="F3966" s="20">
        <v>10</v>
      </c>
      <c r="G3966" s="19">
        <f t="shared" si="289"/>
        <v>172</v>
      </c>
      <c r="H3966" s="22">
        <f t="shared" si="291"/>
        <v>3965</v>
      </c>
      <c r="I3966" s="21">
        <f t="shared" ca="1" si="290"/>
        <v>0</v>
      </c>
      <c r="J3966" s="21" t="str">
        <f ca="1">IF(I3966=0,"",COUNTIF($I$2:I3966,"&gt;0"))</f>
        <v/>
      </c>
      <c r="K3966" s="21" t="str">
        <f t="shared" ca="1" si="288"/>
        <v/>
      </c>
    </row>
    <row r="3967" spans="1:11" s="18" customFormat="1" ht="14.25" x14ac:dyDescent="0.2">
      <c r="A3967" s="18" t="str">
        <f t="shared" si="292"/>
        <v>Eintrag 3966</v>
      </c>
      <c r="B3967" s="18">
        <v>100</v>
      </c>
      <c r="C3967" s="19">
        <v>100</v>
      </c>
      <c r="D3967" s="20">
        <v>10</v>
      </c>
      <c r="E3967" s="20">
        <v>10</v>
      </c>
      <c r="F3967" s="20">
        <v>10</v>
      </c>
      <c r="G3967" s="19">
        <f t="shared" si="289"/>
        <v>172</v>
      </c>
      <c r="H3967" s="22">
        <f t="shared" si="291"/>
        <v>3966</v>
      </c>
      <c r="I3967" s="21">
        <f t="shared" ca="1" si="290"/>
        <v>0</v>
      </c>
      <c r="J3967" s="21" t="str">
        <f ca="1">IF(I3967=0,"",COUNTIF($I$2:I3967,"&gt;0"))</f>
        <v/>
      </c>
      <c r="K3967" s="21" t="str">
        <f t="shared" ca="1" si="288"/>
        <v/>
      </c>
    </row>
    <row r="3968" spans="1:11" s="18" customFormat="1" ht="14.25" x14ac:dyDescent="0.2">
      <c r="A3968" s="18" t="str">
        <f t="shared" si="292"/>
        <v>Eintrag 3967</v>
      </c>
      <c r="B3968" s="18">
        <v>100</v>
      </c>
      <c r="C3968" s="19">
        <v>100</v>
      </c>
      <c r="D3968" s="20">
        <v>10</v>
      </c>
      <c r="E3968" s="20">
        <v>10</v>
      </c>
      <c r="F3968" s="20">
        <v>10</v>
      </c>
      <c r="G3968" s="19">
        <f t="shared" si="289"/>
        <v>172</v>
      </c>
      <c r="H3968" s="22">
        <f t="shared" si="291"/>
        <v>3967</v>
      </c>
      <c r="I3968" s="21">
        <f t="shared" ca="1" si="290"/>
        <v>0</v>
      </c>
      <c r="J3968" s="21" t="str">
        <f ca="1">IF(I3968=0,"",COUNTIF($I$2:I3968,"&gt;0"))</f>
        <v/>
      </c>
      <c r="K3968" s="21" t="str">
        <f t="shared" ca="1" si="288"/>
        <v/>
      </c>
    </row>
    <row r="3969" spans="1:11" s="18" customFormat="1" ht="14.25" x14ac:dyDescent="0.2">
      <c r="A3969" s="18" t="str">
        <f t="shared" si="292"/>
        <v>Eintrag 3968</v>
      </c>
      <c r="B3969" s="18">
        <v>100</v>
      </c>
      <c r="C3969" s="19">
        <v>100</v>
      </c>
      <c r="D3969" s="20">
        <v>10</v>
      </c>
      <c r="E3969" s="20">
        <v>10</v>
      </c>
      <c r="F3969" s="20">
        <v>10</v>
      </c>
      <c r="G3969" s="19">
        <f t="shared" si="289"/>
        <v>172</v>
      </c>
      <c r="H3969" s="22">
        <f t="shared" si="291"/>
        <v>3968</v>
      </c>
      <c r="I3969" s="21">
        <f t="shared" ca="1" si="290"/>
        <v>0</v>
      </c>
      <c r="J3969" s="21" t="str">
        <f ca="1">IF(I3969=0,"",COUNTIF($I$2:I3969,"&gt;0"))</f>
        <v/>
      </c>
      <c r="K3969" s="21" t="str">
        <f t="shared" ca="1" si="288"/>
        <v/>
      </c>
    </row>
    <row r="3970" spans="1:11" s="18" customFormat="1" ht="14.25" x14ac:dyDescent="0.2">
      <c r="A3970" s="18" t="str">
        <f t="shared" si="292"/>
        <v>Eintrag 3969</v>
      </c>
      <c r="B3970" s="18">
        <v>100</v>
      </c>
      <c r="C3970" s="19">
        <v>100</v>
      </c>
      <c r="D3970" s="20">
        <v>10</v>
      </c>
      <c r="E3970" s="20">
        <v>10</v>
      </c>
      <c r="F3970" s="20">
        <v>10</v>
      </c>
      <c r="G3970" s="19">
        <f t="shared" si="289"/>
        <v>172</v>
      </c>
      <c r="H3970" s="22">
        <f t="shared" si="291"/>
        <v>3969</v>
      </c>
      <c r="I3970" s="21">
        <f t="shared" ca="1" si="290"/>
        <v>0</v>
      </c>
      <c r="J3970" s="21" t="str">
        <f ca="1">IF(I3970=0,"",COUNTIF($I$2:I3970,"&gt;0"))</f>
        <v/>
      </c>
      <c r="K3970" s="21" t="str">
        <f t="shared" ref="K3970:K4033" ca="1" si="293">IFERROR(INDEX(A:A,MATCH(ROW(I3969),J:J,0)),"")</f>
        <v/>
      </c>
    </row>
    <row r="3971" spans="1:11" s="18" customFormat="1" ht="14.25" x14ac:dyDescent="0.2">
      <c r="A3971" s="18" t="str">
        <f t="shared" si="292"/>
        <v>Eintrag 3970</v>
      </c>
      <c r="B3971" s="18">
        <v>100</v>
      </c>
      <c r="C3971" s="19">
        <v>100</v>
      </c>
      <c r="D3971" s="20">
        <v>10</v>
      </c>
      <c r="E3971" s="20">
        <v>10</v>
      </c>
      <c r="F3971" s="20">
        <v>10</v>
      </c>
      <c r="G3971" s="19">
        <f t="shared" ref="G3971:G4034" si="294">D3971*9+E3971*4.1+F3971*4.1</f>
        <v>172</v>
      </c>
      <c r="H3971" s="22">
        <f t="shared" si="291"/>
        <v>3970</v>
      </c>
      <c r="I3971" s="21">
        <f t="shared" ca="1" si="290"/>
        <v>0</v>
      </c>
      <c r="J3971" s="21" t="str">
        <f ca="1">IF(I3971=0,"",COUNTIF($I$2:I3971,"&gt;0"))</f>
        <v/>
      </c>
      <c r="K3971" s="21" t="str">
        <f t="shared" ca="1" si="293"/>
        <v/>
      </c>
    </row>
    <row r="3972" spans="1:11" s="18" customFormat="1" ht="14.25" x14ac:dyDescent="0.2">
      <c r="A3972" s="18" t="str">
        <f t="shared" si="292"/>
        <v>Eintrag 3971</v>
      </c>
      <c r="B3972" s="18">
        <v>100</v>
      </c>
      <c r="C3972" s="19">
        <v>100</v>
      </c>
      <c r="D3972" s="20">
        <v>10</v>
      </c>
      <c r="E3972" s="20">
        <v>10</v>
      </c>
      <c r="F3972" s="20">
        <v>10</v>
      </c>
      <c r="G3972" s="19">
        <f t="shared" si="294"/>
        <v>172</v>
      </c>
      <c r="H3972" s="22">
        <f t="shared" si="291"/>
        <v>3971</v>
      </c>
      <c r="I3972" s="21">
        <f t="shared" ca="1" si="290"/>
        <v>0</v>
      </c>
      <c r="J3972" s="21" t="str">
        <f ca="1">IF(I3972=0,"",COUNTIF($I$2:I3972,"&gt;0"))</f>
        <v/>
      </c>
      <c r="K3972" s="21" t="str">
        <f t="shared" ca="1" si="293"/>
        <v/>
      </c>
    </row>
    <row r="3973" spans="1:11" s="18" customFormat="1" ht="14.25" x14ac:dyDescent="0.2">
      <c r="A3973" s="18" t="str">
        <f t="shared" si="292"/>
        <v>Eintrag 3972</v>
      </c>
      <c r="B3973" s="18">
        <v>100</v>
      </c>
      <c r="C3973" s="19">
        <v>100</v>
      </c>
      <c r="D3973" s="20">
        <v>10</v>
      </c>
      <c r="E3973" s="20">
        <v>10</v>
      </c>
      <c r="F3973" s="20">
        <v>10</v>
      </c>
      <c r="G3973" s="19">
        <f t="shared" si="294"/>
        <v>172</v>
      </c>
      <c r="H3973" s="22">
        <f t="shared" si="291"/>
        <v>3972</v>
      </c>
      <c r="I3973" s="21">
        <f t="shared" ca="1" si="290"/>
        <v>0</v>
      </c>
      <c r="J3973" s="21" t="str">
        <f ca="1">IF(I3973=0,"",COUNTIF($I$2:I3973,"&gt;0"))</f>
        <v/>
      </c>
      <c r="K3973" s="21" t="str">
        <f t="shared" ca="1" si="293"/>
        <v/>
      </c>
    </row>
    <row r="3974" spans="1:11" s="18" customFormat="1" ht="14.25" x14ac:dyDescent="0.2">
      <c r="A3974" s="18" t="str">
        <f t="shared" si="292"/>
        <v>Eintrag 3973</v>
      </c>
      <c r="B3974" s="18">
        <v>100</v>
      </c>
      <c r="C3974" s="19">
        <v>100</v>
      </c>
      <c r="D3974" s="20">
        <v>10</v>
      </c>
      <c r="E3974" s="20">
        <v>10</v>
      </c>
      <c r="F3974" s="20">
        <v>10</v>
      </c>
      <c r="G3974" s="19">
        <f t="shared" si="294"/>
        <v>172</v>
      </c>
      <c r="H3974" s="22">
        <f t="shared" si="291"/>
        <v>3973</v>
      </c>
      <c r="I3974" s="21">
        <f t="shared" ca="1" si="290"/>
        <v>0</v>
      </c>
      <c r="J3974" s="21" t="str">
        <f ca="1">IF(I3974=0,"",COUNTIF($I$2:I3974,"&gt;0"))</f>
        <v/>
      </c>
      <c r="K3974" s="21" t="str">
        <f t="shared" ca="1" si="293"/>
        <v/>
      </c>
    </row>
    <row r="3975" spans="1:11" s="18" customFormat="1" ht="14.25" x14ac:dyDescent="0.2">
      <c r="A3975" s="18" t="str">
        <f t="shared" si="292"/>
        <v>Eintrag 3974</v>
      </c>
      <c r="B3975" s="18">
        <v>100</v>
      </c>
      <c r="C3975" s="19">
        <v>100</v>
      </c>
      <c r="D3975" s="20">
        <v>10</v>
      </c>
      <c r="E3975" s="20">
        <v>10</v>
      </c>
      <c r="F3975" s="20">
        <v>10</v>
      </c>
      <c r="G3975" s="19">
        <f t="shared" si="294"/>
        <v>172</v>
      </c>
      <c r="H3975" s="22">
        <f t="shared" si="291"/>
        <v>3974</v>
      </c>
      <c r="I3975" s="21">
        <f t="shared" ca="1" si="290"/>
        <v>0</v>
      </c>
      <c r="J3975" s="21" t="str">
        <f ca="1">IF(I3975=0,"",COUNTIF($I$2:I3975,"&gt;0"))</f>
        <v/>
      </c>
      <c r="K3975" s="21" t="str">
        <f t="shared" ca="1" si="293"/>
        <v/>
      </c>
    </row>
    <row r="3976" spans="1:11" s="18" customFormat="1" ht="14.25" x14ac:dyDescent="0.2">
      <c r="A3976" s="18" t="str">
        <f t="shared" si="292"/>
        <v>Eintrag 3975</v>
      </c>
      <c r="B3976" s="18">
        <v>100</v>
      </c>
      <c r="C3976" s="19">
        <v>100</v>
      </c>
      <c r="D3976" s="20">
        <v>10</v>
      </c>
      <c r="E3976" s="20">
        <v>10</v>
      </c>
      <c r="F3976" s="20">
        <v>10</v>
      </c>
      <c r="G3976" s="19">
        <f t="shared" si="294"/>
        <v>172</v>
      </c>
      <c r="H3976" s="22">
        <f t="shared" si="291"/>
        <v>3975</v>
      </c>
      <c r="I3976" s="21">
        <f t="shared" ca="1" si="290"/>
        <v>0</v>
      </c>
      <c r="J3976" s="21" t="str">
        <f ca="1">IF(I3976=0,"",COUNTIF($I$2:I3976,"&gt;0"))</f>
        <v/>
      </c>
      <c r="K3976" s="21" t="str">
        <f t="shared" ca="1" si="293"/>
        <v/>
      </c>
    </row>
    <row r="3977" spans="1:11" s="18" customFormat="1" ht="14.25" x14ac:dyDescent="0.2">
      <c r="A3977" s="18" t="str">
        <f t="shared" si="292"/>
        <v>Eintrag 3976</v>
      </c>
      <c r="B3977" s="18">
        <v>100</v>
      </c>
      <c r="C3977" s="19">
        <v>100</v>
      </c>
      <c r="D3977" s="20">
        <v>10</v>
      </c>
      <c r="E3977" s="20">
        <v>10</v>
      </c>
      <c r="F3977" s="20">
        <v>10</v>
      </c>
      <c r="G3977" s="19">
        <f t="shared" si="294"/>
        <v>172</v>
      </c>
      <c r="H3977" s="22">
        <f t="shared" si="291"/>
        <v>3976</v>
      </c>
      <c r="I3977" s="21">
        <f t="shared" ca="1" si="290"/>
        <v>0</v>
      </c>
      <c r="J3977" s="21" t="str">
        <f ca="1">IF(I3977=0,"",COUNTIF($I$2:I3977,"&gt;0"))</f>
        <v/>
      </c>
      <c r="K3977" s="21" t="str">
        <f t="shared" ca="1" si="293"/>
        <v/>
      </c>
    </row>
    <row r="3978" spans="1:11" s="18" customFormat="1" ht="14.25" x14ac:dyDescent="0.2">
      <c r="A3978" s="18" t="str">
        <f t="shared" si="292"/>
        <v>Eintrag 3977</v>
      </c>
      <c r="B3978" s="18">
        <v>100</v>
      </c>
      <c r="C3978" s="19">
        <v>100</v>
      </c>
      <c r="D3978" s="20">
        <v>10</v>
      </c>
      <c r="E3978" s="20">
        <v>10</v>
      </c>
      <c r="F3978" s="20">
        <v>10</v>
      </c>
      <c r="G3978" s="19">
        <f t="shared" si="294"/>
        <v>172</v>
      </c>
      <c r="H3978" s="22">
        <f t="shared" si="291"/>
        <v>3977</v>
      </c>
      <c r="I3978" s="21">
        <f t="shared" ca="1" si="290"/>
        <v>0</v>
      </c>
      <c r="J3978" s="21" t="str">
        <f ca="1">IF(I3978=0,"",COUNTIF($I$2:I3978,"&gt;0"))</f>
        <v/>
      </c>
      <c r="K3978" s="21" t="str">
        <f t="shared" ca="1" si="293"/>
        <v/>
      </c>
    </row>
    <row r="3979" spans="1:11" s="18" customFormat="1" ht="14.25" x14ac:dyDescent="0.2">
      <c r="A3979" s="18" t="str">
        <f t="shared" si="292"/>
        <v>Eintrag 3978</v>
      </c>
      <c r="B3979" s="18">
        <v>100</v>
      </c>
      <c r="C3979" s="19">
        <v>100</v>
      </c>
      <c r="D3979" s="20">
        <v>10</v>
      </c>
      <c r="E3979" s="20">
        <v>10</v>
      </c>
      <c r="F3979" s="20">
        <v>10</v>
      </c>
      <c r="G3979" s="19">
        <f t="shared" si="294"/>
        <v>172</v>
      </c>
      <c r="H3979" s="22">
        <f t="shared" si="291"/>
        <v>3978</v>
      </c>
      <c r="I3979" s="21">
        <f t="shared" ca="1" si="290"/>
        <v>0</v>
      </c>
      <c r="J3979" s="21" t="str">
        <f ca="1">IF(I3979=0,"",COUNTIF($I$2:I3979,"&gt;0"))</f>
        <v/>
      </c>
      <c r="K3979" s="21" t="str">
        <f t="shared" ca="1" si="293"/>
        <v/>
      </c>
    </row>
    <row r="3980" spans="1:11" s="18" customFormat="1" ht="14.25" x14ac:dyDescent="0.2">
      <c r="A3980" s="18" t="str">
        <f t="shared" si="292"/>
        <v>Eintrag 3979</v>
      </c>
      <c r="B3980" s="18">
        <v>100</v>
      </c>
      <c r="C3980" s="19">
        <v>100</v>
      </c>
      <c r="D3980" s="20">
        <v>10</v>
      </c>
      <c r="E3980" s="20">
        <v>10</v>
      </c>
      <c r="F3980" s="20">
        <v>10</v>
      </c>
      <c r="G3980" s="19">
        <f t="shared" si="294"/>
        <v>172</v>
      </c>
      <c r="H3980" s="22">
        <f t="shared" si="291"/>
        <v>3979</v>
      </c>
      <c r="I3980" s="21">
        <f t="shared" ca="1" si="290"/>
        <v>0</v>
      </c>
      <c r="J3980" s="21" t="str">
        <f ca="1">IF(I3980=0,"",COUNTIF($I$2:I3980,"&gt;0"))</f>
        <v/>
      </c>
      <c r="K3980" s="21" t="str">
        <f t="shared" ca="1" si="293"/>
        <v/>
      </c>
    </row>
    <row r="3981" spans="1:11" s="18" customFormat="1" ht="14.25" x14ac:dyDescent="0.2">
      <c r="A3981" s="18" t="str">
        <f t="shared" si="292"/>
        <v>Eintrag 3980</v>
      </c>
      <c r="B3981" s="18">
        <v>100</v>
      </c>
      <c r="C3981" s="19">
        <v>100</v>
      </c>
      <c r="D3981" s="20">
        <v>10</v>
      </c>
      <c r="E3981" s="20">
        <v>10</v>
      </c>
      <c r="F3981" s="20">
        <v>10</v>
      </c>
      <c r="G3981" s="19">
        <f t="shared" si="294"/>
        <v>172</v>
      </c>
      <c r="H3981" s="22">
        <f t="shared" si="291"/>
        <v>3980</v>
      </c>
      <c r="I3981" s="21">
        <f t="shared" ca="1" si="290"/>
        <v>0</v>
      </c>
      <c r="J3981" s="21" t="str">
        <f ca="1">IF(I3981=0,"",COUNTIF($I$2:I3981,"&gt;0"))</f>
        <v/>
      </c>
      <c r="K3981" s="21" t="str">
        <f t="shared" ca="1" si="293"/>
        <v/>
      </c>
    </row>
    <row r="3982" spans="1:11" s="18" customFormat="1" ht="14.25" x14ac:dyDescent="0.2">
      <c r="A3982" s="18" t="str">
        <f t="shared" si="292"/>
        <v>Eintrag 3981</v>
      </c>
      <c r="B3982" s="18">
        <v>100</v>
      </c>
      <c r="C3982" s="19">
        <v>100</v>
      </c>
      <c r="D3982" s="20">
        <v>10</v>
      </c>
      <c r="E3982" s="20">
        <v>10</v>
      </c>
      <c r="F3982" s="20">
        <v>10</v>
      </c>
      <c r="G3982" s="19">
        <f t="shared" si="294"/>
        <v>172</v>
      </c>
      <c r="H3982" s="22">
        <f t="shared" si="291"/>
        <v>3981</v>
      </c>
      <c r="I3982" s="21">
        <f t="shared" ca="1" si="290"/>
        <v>0</v>
      </c>
      <c r="J3982" s="21" t="str">
        <f ca="1">IF(I3982=0,"",COUNTIF($I$2:I3982,"&gt;0"))</f>
        <v/>
      </c>
      <c r="K3982" s="21" t="str">
        <f t="shared" ca="1" si="293"/>
        <v/>
      </c>
    </row>
    <row r="3983" spans="1:11" s="18" customFormat="1" ht="14.25" x14ac:dyDescent="0.2">
      <c r="A3983" s="18" t="str">
        <f t="shared" si="292"/>
        <v>Eintrag 3982</v>
      </c>
      <c r="B3983" s="18">
        <v>100</v>
      </c>
      <c r="C3983" s="19">
        <v>100</v>
      </c>
      <c r="D3983" s="20">
        <v>10</v>
      </c>
      <c r="E3983" s="20">
        <v>10</v>
      </c>
      <c r="F3983" s="20">
        <v>10</v>
      </c>
      <c r="G3983" s="19">
        <f t="shared" si="294"/>
        <v>172</v>
      </c>
      <c r="H3983" s="22">
        <f t="shared" si="291"/>
        <v>3982</v>
      </c>
      <c r="I3983" s="21">
        <f t="shared" ca="1" si="290"/>
        <v>0</v>
      </c>
      <c r="J3983" s="21" t="str">
        <f ca="1">IF(I3983=0,"",COUNTIF($I$2:I3983,"&gt;0"))</f>
        <v/>
      </c>
      <c r="K3983" s="21" t="str">
        <f t="shared" ca="1" si="293"/>
        <v/>
      </c>
    </row>
    <row r="3984" spans="1:11" s="18" customFormat="1" ht="14.25" x14ac:dyDescent="0.2">
      <c r="A3984" s="18" t="str">
        <f t="shared" si="292"/>
        <v>Eintrag 3983</v>
      </c>
      <c r="B3984" s="18">
        <v>100</v>
      </c>
      <c r="C3984" s="19">
        <v>100</v>
      </c>
      <c r="D3984" s="20">
        <v>10</v>
      </c>
      <c r="E3984" s="20">
        <v>10</v>
      </c>
      <c r="F3984" s="20">
        <v>10</v>
      </c>
      <c r="G3984" s="19">
        <f t="shared" si="294"/>
        <v>172</v>
      </c>
      <c r="H3984" s="22">
        <f t="shared" si="291"/>
        <v>3983</v>
      </c>
      <c r="I3984" s="21">
        <f t="shared" ca="1" si="290"/>
        <v>0</v>
      </c>
      <c r="J3984" s="21" t="str">
        <f ca="1">IF(I3984=0,"",COUNTIF($I$2:I3984,"&gt;0"))</f>
        <v/>
      </c>
      <c r="K3984" s="21" t="str">
        <f t="shared" ca="1" si="293"/>
        <v/>
      </c>
    </row>
    <row r="3985" spans="1:11" s="18" customFormat="1" ht="14.25" x14ac:dyDescent="0.2">
      <c r="A3985" s="18" t="str">
        <f t="shared" si="292"/>
        <v>Eintrag 3984</v>
      </c>
      <c r="B3985" s="18">
        <v>100</v>
      </c>
      <c r="C3985" s="19">
        <v>100</v>
      </c>
      <c r="D3985" s="20">
        <v>10</v>
      </c>
      <c r="E3985" s="20">
        <v>10</v>
      </c>
      <c r="F3985" s="20">
        <v>10</v>
      </c>
      <c r="G3985" s="19">
        <f t="shared" si="294"/>
        <v>172</v>
      </c>
      <c r="H3985" s="22">
        <f t="shared" si="291"/>
        <v>3984</v>
      </c>
      <c r="I3985" s="21">
        <f t="shared" ca="1" si="290"/>
        <v>0</v>
      </c>
      <c r="J3985" s="21" t="str">
        <f ca="1">IF(I3985=0,"",COUNTIF($I$2:I3985,"&gt;0"))</f>
        <v/>
      </c>
      <c r="K3985" s="21" t="str">
        <f t="shared" ca="1" si="293"/>
        <v/>
      </c>
    </row>
    <row r="3986" spans="1:11" s="18" customFormat="1" ht="14.25" x14ac:dyDescent="0.2">
      <c r="A3986" s="18" t="str">
        <f t="shared" si="292"/>
        <v>Eintrag 3985</v>
      </c>
      <c r="B3986" s="18">
        <v>100</v>
      </c>
      <c r="C3986" s="19">
        <v>100</v>
      </c>
      <c r="D3986" s="20">
        <v>10</v>
      </c>
      <c r="E3986" s="20">
        <v>10</v>
      </c>
      <c r="F3986" s="20">
        <v>10</v>
      </c>
      <c r="G3986" s="19">
        <f t="shared" si="294"/>
        <v>172</v>
      </c>
      <c r="H3986" s="22">
        <f t="shared" si="291"/>
        <v>3985</v>
      </c>
      <c r="I3986" s="21">
        <f t="shared" ca="1" si="290"/>
        <v>0</v>
      </c>
      <c r="J3986" s="21" t="str">
        <f ca="1">IF(I3986=0,"",COUNTIF($I$2:I3986,"&gt;0"))</f>
        <v/>
      </c>
      <c r="K3986" s="21" t="str">
        <f t="shared" ca="1" si="293"/>
        <v/>
      </c>
    </row>
    <row r="3987" spans="1:11" s="18" customFormat="1" ht="14.25" x14ac:dyDescent="0.2">
      <c r="A3987" s="18" t="str">
        <f t="shared" si="292"/>
        <v>Eintrag 3986</v>
      </c>
      <c r="B3987" s="18">
        <v>100</v>
      </c>
      <c r="C3987" s="19">
        <v>100</v>
      </c>
      <c r="D3987" s="20">
        <v>10</v>
      </c>
      <c r="E3987" s="20">
        <v>10</v>
      </c>
      <c r="F3987" s="20">
        <v>10</v>
      </c>
      <c r="G3987" s="19">
        <f t="shared" si="294"/>
        <v>172</v>
      </c>
      <c r="H3987" s="22">
        <f t="shared" si="291"/>
        <v>3986</v>
      </c>
      <c r="I3987" s="21">
        <f t="shared" ca="1" si="290"/>
        <v>0</v>
      </c>
      <c r="J3987" s="21" t="str">
        <f ca="1">IF(I3987=0,"",COUNTIF($I$2:I3987,"&gt;0"))</f>
        <v/>
      </c>
      <c r="K3987" s="21" t="str">
        <f t="shared" ca="1" si="293"/>
        <v/>
      </c>
    </row>
    <row r="3988" spans="1:11" s="18" customFormat="1" ht="14.25" x14ac:dyDescent="0.2">
      <c r="A3988" s="18" t="str">
        <f t="shared" si="292"/>
        <v>Eintrag 3987</v>
      </c>
      <c r="B3988" s="18">
        <v>100</v>
      </c>
      <c r="C3988" s="19">
        <v>100</v>
      </c>
      <c r="D3988" s="20">
        <v>10</v>
      </c>
      <c r="E3988" s="20">
        <v>10</v>
      </c>
      <c r="F3988" s="20">
        <v>10</v>
      </c>
      <c r="G3988" s="19">
        <f t="shared" si="294"/>
        <v>172</v>
      </c>
      <c r="H3988" s="22">
        <f t="shared" si="291"/>
        <v>3987</v>
      </c>
      <c r="I3988" s="21">
        <f t="shared" ca="1" si="290"/>
        <v>0</v>
      </c>
      <c r="J3988" s="21" t="str">
        <f ca="1">IF(I3988=0,"",COUNTIF($I$2:I3988,"&gt;0"))</f>
        <v/>
      </c>
      <c r="K3988" s="21" t="str">
        <f t="shared" ca="1" si="293"/>
        <v/>
      </c>
    </row>
    <row r="3989" spans="1:11" s="18" customFormat="1" ht="14.25" x14ac:dyDescent="0.2">
      <c r="A3989" s="18" t="str">
        <f t="shared" si="292"/>
        <v>Eintrag 3988</v>
      </c>
      <c r="B3989" s="18">
        <v>100</v>
      </c>
      <c r="C3989" s="19">
        <v>100</v>
      </c>
      <c r="D3989" s="20">
        <v>10</v>
      </c>
      <c r="E3989" s="20">
        <v>10</v>
      </c>
      <c r="F3989" s="20">
        <v>10</v>
      </c>
      <c r="G3989" s="19">
        <f t="shared" si="294"/>
        <v>172</v>
      </c>
      <c r="H3989" s="22">
        <f t="shared" si="291"/>
        <v>3988</v>
      </c>
      <c r="I3989" s="21">
        <f t="shared" ca="1" si="290"/>
        <v>0</v>
      </c>
      <c r="J3989" s="21" t="str">
        <f ca="1">IF(I3989=0,"",COUNTIF($I$2:I3989,"&gt;0"))</f>
        <v/>
      </c>
      <c r="K3989" s="21" t="str">
        <f t="shared" ca="1" si="293"/>
        <v/>
      </c>
    </row>
    <row r="3990" spans="1:11" s="18" customFormat="1" ht="14.25" x14ac:dyDescent="0.2">
      <c r="A3990" s="18" t="str">
        <f t="shared" si="292"/>
        <v>Eintrag 3989</v>
      </c>
      <c r="B3990" s="18">
        <v>100</v>
      </c>
      <c r="C3990" s="19">
        <v>100</v>
      </c>
      <c r="D3990" s="20">
        <v>10</v>
      </c>
      <c r="E3990" s="20">
        <v>10</v>
      </c>
      <c r="F3990" s="20">
        <v>10</v>
      </c>
      <c r="G3990" s="19">
        <f t="shared" si="294"/>
        <v>172</v>
      </c>
      <c r="H3990" s="22">
        <f t="shared" si="291"/>
        <v>3989</v>
      </c>
      <c r="I3990" s="21">
        <f t="shared" ca="1" si="290"/>
        <v>0</v>
      </c>
      <c r="J3990" s="21" t="str">
        <f ca="1">IF(I3990=0,"",COUNTIF($I$2:I3990,"&gt;0"))</f>
        <v/>
      </c>
      <c r="K3990" s="21" t="str">
        <f t="shared" ca="1" si="293"/>
        <v/>
      </c>
    </row>
    <row r="3991" spans="1:11" s="18" customFormat="1" ht="14.25" x14ac:dyDescent="0.2">
      <c r="A3991" s="18" t="str">
        <f t="shared" si="292"/>
        <v>Eintrag 3990</v>
      </c>
      <c r="B3991" s="18">
        <v>100</v>
      </c>
      <c r="C3991" s="19">
        <v>100</v>
      </c>
      <c r="D3991" s="20">
        <v>10</v>
      </c>
      <c r="E3991" s="20">
        <v>10</v>
      </c>
      <c r="F3991" s="20">
        <v>10</v>
      </c>
      <c r="G3991" s="19">
        <f t="shared" si="294"/>
        <v>172</v>
      </c>
      <c r="H3991" s="22">
        <f t="shared" si="291"/>
        <v>3990</v>
      </c>
      <c r="I3991" s="21">
        <f t="shared" ca="1" si="290"/>
        <v>0</v>
      </c>
      <c r="J3991" s="21" t="str">
        <f ca="1">IF(I3991=0,"",COUNTIF($I$2:I3991,"&gt;0"))</f>
        <v/>
      </c>
      <c r="K3991" s="21" t="str">
        <f t="shared" ca="1" si="293"/>
        <v/>
      </c>
    </row>
    <row r="3992" spans="1:11" s="18" customFormat="1" ht="14.25" x14ac:dyDescent="0.2">
      <c r="A3992" s="18" t="str">
        <f t="shared" si="292"/>
        <v>Eintrag 3991</v>
      </c>
      <c r="B3992" s="18">
        <v>100</v>
      </c>
      <c r="C3992" s="19">
        <v>100</v>
      </c>
      <c r="D3992" s="20">
        <v>10</v>
      </c>
      <c r="E3992" s="20">
        <v>10</v>
      </c>
      <c r="F3992" s="20">
        <v>10</v>
      </c>
      <c r="G3992" s="19">
        <f t="shared" si="294"/>
        <v>172</v>
      </c>
      <c r="H3992" s="22">
        <f t="shared" si="291"/>
        <v>3991</v>
      </c>
      <c r="I3992" s="21">
        <f t="shared" ca="1" si="290"/>
        <v>0</v>
      </c>
      <c r="J3992" s="21" t="str">
        <f ca="1">IF(I3992=0,"",COUNTIF($I$2:I3992,"&gt;0"))</f>
        <v/>
      </c>
      <c r="K3992" s="21" t="str">
        <f t="shared" ca="1" si="293"/>
        <v/>
      </c>
    </row>
    <row r="3993" spans="1:11" s="18" customFormat="1" ht="14.25" x14ac:dyDescent="0.2">
      <c r="A3993" s="18" t="str">
        <f t="shared" si="292"/>
        <v>Eintrag 3992</v>
      </c>
      <c r="B3993" s="18">
        <v>100</v>
      </c>
      <c r="C3993" s="19">
        <v>100</v>
      </c>
      <c r="D3993" s="20">
        <v>10</v>
      </c>
      <c r="E3993" s="20">
        <v>10</v>
      </c>
      <c r="F3993" s="20">
        <v>10</v>
      </c>
      <c r="G3993" s="19">
        <f t="shared" si="294"/>
        <v>172</v>
      </c>
      <c r="H3993" s="22">
        <f t="shared" si="291"/>
        <v>3992</v>
      </c>
      <c r="I3993" s="21">
        <f t="shared" ca="1" si="290"/>
        <v>0</v>
      </c>
      <c r="J3993" s="21" t="str">
        <f ca="1">IF(I3993=0,"",COUNTIF($I$2:I3993,"&gt;0"))</f>
        <v/>
      </c>
      <c r="K3993" s="21" t="str">
        <f t="shared" ca="1" si="293"/>
        <v/>
      </c>
    </row>
    <row r="3994" spans="1:11" s="18" customFormat="1" ht="14.25" x14ac:dyDescent="0.2">
      <c r="A3994" s="18" t="str">
        <f t="shared" si="292"/>
        <v>Eintrag 3993</v>
      </c>
      <c r="B3994" s="18">
        <v>100</v>
      </c>
      <c r="C3994" s="19">
        <v>100</v>
      </c>
      <c r="D3994" s="20">
        <v>10</v>
      </c>
      <c r="E3994" s="20">
        <v>10</v>
      </c>
      <c r="F3994" s="20">
        <v>10</v>
      </c>
      <c r="G3994" s="19">
        <f t="shared" si="294"/>
        <v>172</v>
      </c>
      <c r="H3994" s="22">
        <f t="shared" si="291"/>
        <v>3993</v>
      </c>
      <c r="I3994" s="21">
        <f t="shared" ca="1" si="290"/>
        <v>0</v>
      </c>
      <c r="J3994" s="21" t="str">
        <f ca="1">IF(I3994=0,"",COUNTIF($I$2:I3994,"&gt;0"))</f>
        <v/>
      </c>
      <c r="K3994" s="21" t="str">
        <f t="shared" ca="1" si="293"/>
        <v/>
      </c>
    </row>
    <row r="3995" spans="1:11" s="18" customFormat="1" ht="14.25" x14ac:dyDescent="0.2">
      <c r="A3995" s="18" t="str">
        <f t="shared" si="292"/>
        <v>Eintrag 3994</v>
      </c>
      <c r="B3995" s="18">
        <v>100</v>
      </c>
      <c r="C3995" s="19">
        <v>100</v>
      </c>
      <c r="D3995" s="20">
        <v>10</v>
      </c>
      <c r="E3995" s="20">
        <v>10</v>
      </c>
      <c r="F3995" s="20">
        <v>10</v>
      </c>
      <c r="G3995" s="19">
        <f t="shared" si="294"/>
        <v>172</v>
      </c>
      <c r="H3995" s="22">
        <f t="shared" si="291"/>
        <v>3994</v>
      </c>
      <c r="I3995" s="21">
        <f t="shared" ca="1" si="290"/>
        <v>0</v>
      </c>
      <c r="J3995" s="21" t="str">
        <f ca="1">IF(I3995=0,"",COUNTIF($I$2:I3995,"&gt;0"))</f>
        <v/>
      </c>
      <c r="K3995" s="21" t="str">
        <f t="shared" ca="1" si="293"/>
        <v/>
      </c>
    </row>
    <row r="3996" spans="1:11" s="18" customFormat="1" ht="14.25" x14ac:dyDescent="0.2">
      <c r="A3996" s="18" t="str">
        <f t="shared" si="292"/>
        <v>Eintrag 3995</v>
      </c>
      <c r="B3996" s="18">
        <v>100</v>
      </c>
      <c r="C3996" s="19">
        <v>100</v>
      </c>
      <c r="D3996" s="20">
        <v>10</v>
      </c>
      <c r="E3996" s="20">
        <v>10</v>
      </c>
      <c r="F3996" s="20">
        <v>10</v>
      </c>
      <c r="G3996" s="19">
        <f t="shared" si="294"/>
        <v>172</v>
      </c>
      <c r="H3996" s="22">
        <f t="shared" si="291"/>
        <v>3995</v>
      </c>
      <c r="I3996" s="21">
        <f t="shared" ca="1" si="290"/>
        <v>0</v>
      </c>
      <c r="J3996" s="21" t="str">
        <f ca="1">IF(I3996=0,"",COUNTIF($I$2:I3996,"&gt;0"))</f>
        <v/>
      </c>
      <c r="K3996" s="21" t="str">
        <f t="shared" ca="1" si="293"/>
        <v/>
      </c>
    </row>
    <row r="3997" spans="1:11" s="18" customFormat="1" ht="14.25" x14ac:dyDescent="0.2">
      <c r="A3997" s="18" t="str">
        <f t="shared" si="292"/>
        <v>Eintrag 3996</v>
      </c>
      <c r="B3997" s="18">
        <v>100</v>
      </c>
      <c r="C3997" s="19">
        <v>100</v>
      </c>
      <c r="D3997" s="20">
        <v>10</v>
      </c>
      <c r="E3997" s="20">
        <v>10</v>
      </c>
      <c r="F3997" s="20">
        <v>10</v>
      </c>
      <c r="G3997" s="19">
        <f t="shared" si="294"/>
        <v>172</v>
      </c>
      <c r="H3997" s="22">
        <f t="shared" si="291"/>
        <v>3996</v>
      </c>
      <c r="I3997" s="21">
        <f t="shared" ca="1" si="290"/>
        <v>0</v>
      </c>
      <c r="J3997" s="21" t="str">
        <f ca="1">IF(I3997=0,"",COUNTIF($I$2:I3997,"&gt;0"))</f>
        <v/>
      </c>
      <c r="K3997" s="21" t="str">
        <f t="shared" ca="1" si="293"/>
        <v/>
      </c>
    </row>
    <row r="3998" spans="1:11" s="18" customFormat="1" ht="14.25" x14ac:dyDescent="0.2">
      <c r="A3998" s="18" t="str">
        <f t="shared" si="292"/>
        <v>Eintrag 3997</v>
      </c>
      <c r="B3998" s="18">
        <v>100</v>
      </c>
      <c r="C3998" s="19">
        <v>100</v>
      </c>
      <c r="D3998" s="20">
        <v>10</v>
      </c>
      <c r="E3998" s="20">
        <v>10</v>
      </c>
      <c r="F3998" s="20">
        <v>10</v>
      </c>
      <c r="G3998" s="19">
        <f t="shared" si="294"/>
        <v>172</v>
      </c>
      <c r="H3998" s="22">
        <f t="shared" si="291"/>
        <v>3997</v>
      </c>
      <c r="I3998" s="21">
        <f t="shared" ref="I3998:I4001" ca="1" si="295">IFERROR(SEARCH(INDIRECT(CELL("address")),A3998),0)</f>
        <v>0</v>
      </c>
      <c r="J3998" s="21" t="str">
        <f ca="1">IF(I3998=0,"",COUNTIF($I$2:I3998,"&gt;0"))</f>
        <v/>
      </c>
      <c r="K3998" s="21" t="str">
        <f t="shared" ca="1" si="293"/>
        <v/>
      </c>
    </row>
    <row r="3999" spans="1:11" s="18" customFormat="1" ht="14.25" x14ac:dyDescent="0.2">
      <c r="A3999" s="18" t="str">
        <f t="shared" si="292"/>
        <v>Eintrag 3998</v>
      </c>
      <c r="B3999" s="18">
        <v>100</v>
      </c>
      <c r="C3999" s="19">
        <v>100</v>
      </c>
      <c r="D3999" s="20">
        <v>10</v>
      </c>
      <c r="E3999" s="20">
        <v>10</v>
      </c>
      <c r="F3999" s="20">
        <v>10</v>
      </c>
      <c r="G3999" s="19">
        <f t="shared" si="294"/>
        <v>172</v>
      </c>
      <c r="H3999" s="22">
        <f t="shared" si="291"/>
        <v>3998</v>
      </c>
      <c r="I3999" s="21">
        <f t="shared" ca="1" si="295"/>
        <v>0</v>
      </c>
      <c r="J3999" s="21" t="str">
        <f ca="1">IF(I3999=0,"",COUNTIF($I$2:I3999,"&gt;0"))</f>
        <v/>
      </c>
      <c r="K3999" s="21" t="str">
        <f t="shared" ca="1" si="293"/>
        <v/>
      </c>
    </row>
    <row r="4000" spans="1:11" s="18" customFormat="1" ht="14.25" x14ac:dyDescent="0.2">
      <c r="A4000" s="18" t="str">
        <f t="shared" si="292"/>
        <v>Eintrag 3999</v>
      </c>
      <c r="B4000" s="18">
        <v>100</v>
      </c>
      <c r="C4000" s="19">
        <v>100</v>
      </c>
      <c r="D4000" s="20">
        <v>10</v>
      </c>
      <c r="E4000" s="20">
        <v>10</v>
      </c>
      <c r="F4000" s="20">
        <v>10</v>
      </c>
      <c r="G4000" s="19">
        <f t="shared" si="294"/>
        <v>172</v>
      </c>
      <c r="H4000" s="22">
        <f t="shared" si="291"/>
        <v>3999</v>
      </c>
      <c r="I4000" s="21">
        <f t="shared" ca="1" si="295"/>
        <v>0</v>
      </c>
      <c r="J4000" s="21" t="str">
        <f ca="1">IF(I4000=0,"",COUNTIF($I$2:I4000,"&gt;0"))</f>
        <v/>
      </c>
      <c r="K4000" s="21" t="str">
        <f t="shared" ca="1" si="293"/>
        <v/>
      </c>
    </row>
    <row r="4001" spans="1:11" s="18" customFormat="1" ht="14.25" x14ac:dyDescent="0.2">
      <c r="A4001" s="18" t="str">
        <f t="shared" si="292"/>
        <v>Eintrag 4000</v>
      </c>
      <c r="B4001" s="18">
        <v>100</v>
      </c>
      <c r="C4001" s="19">
        <v>100</v>
      </c>
      <c r="D4001" s="20">
        <v>10</v>
      </c>
      <c r="E4001" s="20">
        <v>10</v>
      </c>
      <c r="F4001" s="20">
        <v>10</v>
      </c>
      <c r="G4001" s="19">
        <f t="shared" si="294"/>
        <v>172</v>
      </c>
      <c r="H4001" s="22">
        <f t="shared" si="291"/>
        <v>4000</v>
      </c>
      <c r="I4001" s="21">
        <f t="shared" ca="1" si="295"/>
        <v>0</v>
      </c>
      <c r="J4001" s="21" t="str">
        <f ca="1">IF(I4001=0,"",COUNTIF($I$2:I4001,"&gt;0"))</f>
        <v/>
      </c>
      <c r="K4001" s="21" t="str">
        <f t="shared" ca="1" si="293"/>
        <v/>
      </c>
    </row>
    <row r="4002" spans="1:11" s="18" customFormat="1" ht="14.25" x14ac:dyDescent="0.2">
      <c r="A4002" s="18" t="str">
        <f t="shared" si="292"/>
        <v>Eintrag 4001</v>
      </c>
      <c r="B4002" s="18">
        <v>100</v>
      </c>
      <c r="C4002" s="19">
        <v>100</v>
      </c>
      <c r="D4002" s="20">
        <v>10</v>
      </c>
      <c r="E4002" s="20">
        <v>10</v>
      </c>
      <c r="F4002" s="20">
        <v>10</v>
      </c>
      <c r="G4002" s="19">
        <f t="shared" si="294"/>
        <v>172</v>
      </c>
      <c r="H4002" s="22">
        <f t="shared" si="291"/>
        <v>4001</v>
      </c>
      <c r="I4002" s="21">
        <f t="shared" ref="I4002:I4255" ca="1" si="296">IFERROR(SEARCH(INDIRECT(CELL("address")),A4002),0)</f>
        <v>0</v>
      </c>
      <c r="J4002" s="21" t="str">
        <f ca="1">IF(I4002=0,"",COUNTIF($I$2:I4002,"&gt;0"))</f>
        <v/>
      </c>
      <c r="K4002" s="21" t="str">
        <f t="shared" ca="1" si="293"/>
        <v/>
      </c>
    </row>
    <row r="4003" spans="1:11" s="18" customFormat="1" ht="14.25" x14ac:dyDescent="0.2">
      <c r="A4003" s="18" t="str">
        <f t="shared" si="292"/>
        <v>Eintrag 4002</v>
      </c>
      <c r="B4003" s="18">
        <v>100</v>
      </c>
      <c r="C4003" s="19">
        <v>100</v>
      </c>
      <c r="D4003" s="20">
        <v>10</v>
      </c>
      <c r="E4003" s="20">
        <v>10</v>
      </c>
      <c r="F4003" s="20">
        <v>10</v>
      </c>
      <c r="G4003" s="19">
        <f t="shared" si="294"/>
        <v>172</v>
      </c>
      <c r="H4003" s="22">
        <f t="shared" si="291"/>
        <v>4002</v>
      </c>
      <c r="I4003" s="21">
        <f t="shared" ca="1" si="296"/>
        <v>0</v>
      </c>
      <c r="J4003" s="21" t="str">
        <f ca="1">IF(I4003=0,"",COUNTIF($I$2:I4003,"&gt;0"))</f>
        <v/>
      </c>
      <c r="K4003" s="21" t="str">
        <f t="shared" ca="1" si="293"/>
        <v/>
      </c>
    </row>
    <row r="4004" spans="1:11" s="18" customFormat="1" ht="14.25" x14ac:dyDescent="0.2">
      <c r="A4004" s="18" t="str">
        <f t="shared" si="292"/>
        <v>Eintrag 4003</v>
      </c>
      <c r="B4004" s="18">
        <v>100</v>
      </c>
      <c r="C4004" s="19">
        <v>100</v>
      </c>
      <c r="D4004" s="20">
        <v>10</v>
      </c>
      <c r="E4004" s="20">
        <v>10</v>
      </c>
      <c r="F4004" s="20">
        <v>10</v>
      </c>
      <c r="G4004" s="19">
        <f t="shared" si="294"/>
        <v>172</v>
      </c>
      <c r="H4004" s="22">
        <f t="shared" si="291"/>
        <v>4003</v>
      </c>
      <c r="I4004" s="21">
        <f t="shared" ca="1" si="296"/>
        <v>0</v>
      </c>
      <c r="J4004" s="21" t="str">
        <f ca="1">IF(I4004=0,"",COUNTIF($I$2:I4004,"&gt;0"))</f>
        <v/>
      </c>
      <c r="K4004" s="21" t="str">
        <f t="shared" ca="1" si="293"/>
        <v/>
      </c>
    </row>
    <row r="4005" spans="1:11" s="18" customFormat="1" ht="14.25" x14ac:dyDescent="0.2">
      <c r="A4005" s="18" t="str">
        <f t="shared" si="292"/>
        <v>Eintrag 4004</v>
      </c>
      <c r="B4005" s="18">
        <v>100</v>
      </c>
      <c r="C4005" s="19">
        <v>100</v>
      </c>
      <c r="D4005" s="20">
        <v>10</v>
      </c>
      <c r="E4005" s="20">
        <v>10</v>
      </c>
      <c r="F4005" s="20">
        <v>10</v>
      </c>
      <c r="G4005" s="19">
        <f t="shared" si="294"/>
        <v>172</v>
      </c>
      <c r="H4005" s="22">
        <f t="shared" ref="H4005:H4068" si="297">H4004+1</f>
        <v>4004</v>
      </c>
      <c r="I4005" s="21">
        <f t="shared" ca="1" si="296"/>
        <v>0</v>
      </c>
      <c r="J4005" s="21" t="str">
        <f ca="1">IF(I4005=0,"",COUNTIF($I$2:I4005,"&gt;0"))</f>
        <v/>
      </c>
      <c r="K4005" s="21" t="str">
        <f t="shared" ca="1" si="293"/>
        <v/>
      </c>
    </row>
    <row r="4006" spans="1:11" s="18" customFormat="1" ht="14.25" x14ac:dyDescent="0.2">
      <c r="A4006" s="18" t="str">
        <f t="shared" si="292"/>
        <v>Eintrag 4005</v>
      </c>
      <c r="B4006" s="18">
        <v>100</v>
      </c>
      <c r="C4006" s="19">
        <v>100</v>
      </c>
      <c r="D4006" s="20">
        <v>10</v>
      </c>
      <c r="E4006" s="20">
        <v>10</v>
      </c>
      <c r="F4006" s="20">
        <v>10</v>
      </c>
      <c r="G4006" s="19">
        <f t="shared" si="294"/>
        <v>172</v>
      </c>
      <c r="H4006" s="22">
        <f t="shared" si="297"/>
        <v>4005</v>
      </c>
      <c r="I4006" s="21">
        <f t="shared" ca="1" si="296"/>
        <v>0</v>
      </c>
      <c r="J4006" s="21" t="str">
        <f ca="1">IF(I4006=0,"",COUNTIF($I$2:I4006,"&gt;0"))</f>
        <v/>
      </c>
      <c r="K4006" s="21" t="str">
        <f t="shared" ca="1" si="293"/>
        <v/>
      </c>
    </row>
    <row r="4007" spans="1:11" s="18" customFormat="1" ht="14.25" x14ac:dyDescent="0.2">
      <c r="A4007" s="18" t="str">
        <f t="shared" si="292"/>
        <v>Eintrag 4006</v>
      </c>
      <c r="B4007" s="18">
        <v>100</v>
      </c>
      <c r="C4007" s="19">
        <v>100</v>
      </c>
      <c r="D4007" s="20">
        <v>10</v>
      </c>
      <c r="E4007" s="20">
        <v>10</v>
      </c>
      <c r="F4007" s="20">
        <v>10</v>
      </c>
      <c r="G4007" s="19">
        <f t="shared" si="294"/>
        <v>172</v>
      </c>
      <c r="H4007" s="22">
        <f t="shared" si="297"/>
        <v>4006</v>
      </c>
      <c r="I4007" s="21">
        <f t="shared" ca="1" si="296"/>
        <v>0</v>
      </c>
      <c r="J4007" s="21" t="str">
        <f ca="1">IF(I4007=0,"",COUNTIF($I$2:I4007,"&gt;0"))</f>
        <v/>
      </c>
      <c r="K4007" s="21" t="str">
        <f t="shared" ca="1" si="293"/>
        <v/>
      </c>
    </row>
    <row r="4008" spans="1:11" s="18" customFormat="1" ht="14.25" x14ac:dyDescent="0.2">
      <c r="A4008" s="18" t="str">
        <f t="shared" si="292"/>
        <v>Eintrag 4007</v>
      </c>
      <c r="B4008" s="18">
        <v>100</v>
      </c>
      <c r="C4008" s="19">
        <v>100</v>
      </c>
      <c r="D4008" s="20">
        <v>10</v>
      </c>
      <c r="E4008" s="20">
        <v>10</v>
      </c>
      <c r="F4008" s="20">
        <v>10</v>
      </c>
      <c r="G4008" s="19">
        <f t="shared" si="294"/>
        <v>172</v>
      </c>
      <c r="H4008" s="22">
        <f t="shared" si="297"/>
        <v>4007</v>
      </c>
      <c r="I4008" s="21">
        <f t="shared" ca="1" si="296"/>
        <v>0</v>
      </c>
      <c r="J4008" s="21" t="str">
        <f ca="1">IF(I4008=0,"",COUNTIF($I$2:I4008,"&gt;0"))</f>
        <v/>
      </c>
      <c r="K4008" s="21" t="str">
        <f t="shared" ca="1" si="293"/>
        <v/>
      </c>
    </row>
    <row r="4009" spans="1:11" s="18" customFormat="1" ht="14.25" x14ac:dyDescent="0.2">
      <c r="A4009" s="18" t="str">
        <f t="shared" si="292"/>
        <v>Eintrag 4008</v>
      </c>
      <c r="B4009" s="18">
        <v>100</v>
      </c>
      <c r="C4009" s="19">
        <v>100</v>
      </c>
      <c r="D4009" s="20">
        <v>10</v>
      </c>
      <c r="E4009" s="20">
        <v>10</v>
      </c>
      <c r="F4009" s="20">
        <v>10</v>
      </c>
      <c r="G4009" s="19">
        <f t="shared" si="294"/>
        <v>172</v>
      </c>
      <c r="H4009" s="22">
        <f t="shared" si="297"/>
        <v>4008</v>
      </c>
      <c r="I4009" s="21">
        <f t="shared" ca="1" si="296"/>
        <v>0</v>
      </c>
      <c r="J4009" s="21" t="str">
        <f ca="1">IF(I4009=0,"",COUNTIF($I$2:I4009,"&gt;0"))</f>
        <v/>
      </c>
      <c r="K4009" s="21" t="str">
        <f t="shared" ca="1" si="293"/>
        <v/>
      </c>
    </row>
    <row r="4010" spans="1:11" s="18" customFormat="1" ht="14.25" x14ac:dyDescent="0.2">
      <c r="A4010" s="18" t="str">
        <f t="shared" si="292"/>
        <v>Eintrag 4009</v>
      </c>
      <c r="B4010" s="18">
        <v>100</v>
      </c>
      <c r="C4010" s="19">
        <v>100</v>
      </c>
      <c r="D4010" s="20">
        <v>10</v>
      </c>
      <c r="E4010" s="20">
        <v>10</v>
      </c>
      <c r="F4010" s="20">
        <v>10</v>
      </c>
      <c r="G4010" s="19">
        <f t="shared" si="294"/>
        <v>172</v>
      </c>
      <c r="H4010" s="22">
        <f t="shared" si="297"/>
        <v>4009</v>
      </c>
      <c r="I4010" s="21">
        <f t="shared" ca="1" si="296"/>
        <v>0</v>
      </c>
      <c r="J4010" s="21" t="str">
        <f ca="1">IF(I4010=0,"",COUNTIF($I$2:I4010,"&gt;0"))</f>
        <v/>
      </c>
      <c r="K4010" s="21" t="str">
        <f t="shared" ca="1" si="293"/>
        <v/>
      </c>
    </row>
    <row r="4011" spans="1:11" s="18" customFormat="1" ht="14.25" x14ac:dyDescent="0.2">
      <c r="A4011" s="18" t="str">
        <f t="shared" si="292"/>
        <v>Eintrag 4010</v>
      </c>
      <c r="B4011" s="18">
        <v>100</v>
      </c>
      <c r="C4011" s="19">
        <v>100</v>
      </c>
      <c r="D4011" s="20">
        <v>10</v>
      </c>
      <c r="E4011" s="20">
        <v>10</v>
      </c>
      <c r="F4011" s="20">
        <v>10</v>
      </c>
      <c r="G4011" s="19">
        <f t="shared" si="294"/>
        <v>172</v>
      </c>
      <c r="H4011" s="22">
        <f t="shared" si="297"/>
        <v>4010</v>
      </c>
      <c r="I4011" s="21">
        <f t="shared" ca="1" si="296"/>
        <v>0</v>
      </c>
      <c r="J4011" s="21" t="str">
        <f ca="1">IF(I4011=0,"",COUNTIF($I$2:I4011,"&gt;0"))</f>
        <v/>
      </c>
      <c r="K4011" s="21" t="str">
        <f t="shared" ca="1" si="293"/>
        <v/>
      </c>
    </row>
    <row r="4012" spans="1:11" s="18" customFormat="1" ht="14.25" x14ac:dyDescent="0.2">
      <c r="A4012" s="18" t="str">
        <f t="shared" si="292"/>
        <v>Eintrag 4011</v>
      </c>
      <c r="B4012" s="18">
        <v>100</v>
      </c>
      <c r="C4012" s="19">
        <v>100</v>
      </c>
      <c r="D4012" s="20">
        <v>10</v>
      </c>
      <c r="E4012" s="20">
        <v>10</v>
      </c>
      <c r="F4012" s="20">
        <v>10</v>
      </c>
      <c r="G4012" s="19">
        <f t="shared" si="294"/>
        <v>172</v>
      </c>
      <c r="H4012" s="22">
        <f t="shared" si="297"/>
        <v>4011</v>
      </c>
      <c r="I4012" s="21">
        <f t="shared" ca="1" si="296"/>
        <v>0</v>
      </c>
      <c r="J4012" s="21" t="str">
        <f ca="1">IF(I4012=0,"",COUNTIF($I$2:I4012,"&gt;0"))</f>
        <v/>
      </c>
      <c r="K4012" s="21" t="str">
        <f t="shared" ca="1" si="293"/>
        <v/>
      </c>
    </row>
    <row r="4013" spans="1:11" s="18" customFormat="1" ht="14.25" x14ac:dyDescent="0.2">
      <c r="A4013" s="18" t="str">
        <f t="shared" si="292"/>
        <v>Eintrag 4012</v>
      </c>
      <c r="B4013" s="18">
        <v>100</v>
      </c>
      <c r="C4013" s="19">
        <v>100</v>
      </c>
      <c r="D4013" s="20">
        <v>10</v>
      </c>
      <c r="E4013" s="20">
        <v>10</v>
      </c>
      <c r="F4013" s="20">
        <v>10</v>
      </c>
      <c r="G4013" s="19">
        <f t="shared" si="294"/>
        <v>172</v>
      </c>
      <c r="H4013" s="22">
        <f t="shared" si="297"/>
        <v>4012</v>
      </c>
      <c r="I4013" s="21">
        <f t="shared" ca="1" si="296"/>
        <v>0</v>
      </c>
      <c r="J4013" s="21" t="str">
        <f ca="1">IF(I4013=0,"",COUNTIF($I$2:I4013,"&gt;0"))</f>
        <v/>
      </c>
      <c r="K4013" s="21" t="str">
        <f t="shared" ca="1" si="293"/>
        <v/>
      </c>
    </row>
    <row r="4014" spans="1:11" s="18" customFormat="1" ht="14.25" x14ac:dyDescent="0.2">
      <c r="A4014" s="18" t="str">
        <f t="shared" si="292"/>
        <v>Eintrag 4013</v>
      </c>
      <c r="B4014" s="18">
        <v>100</v>
      </c>
      <c r="C4014" s="19">
        <v>100</v>
      </c>
      <c r="D4014" s="20">
        <v>10</v>
      </c>
      <c r="E4014" s="20">
        <v>10</v>
      </c>
      <c r="F4014" s="20">
        <v>10</v>
      </c>
      <c r="G4014" s="19">
        <f t="shared" si="294"/>
        <v>172</v>
      </c>
      <c r="H4014" s="22">
        <f t="shared" si="297"/>
        <v>4013</v>
      </c>
      <c r="I4014" s="21">
        <f t="shared" ca="1" si="296"/>
        <v>0</v>
      </c>
      <c r="J4014" s="21" t="str">
        <f ca="1">IF(I4014=0,"",COUNTIF($I$2:I4014,"&gt;0"))</f>
        <v/>
      </c>
      <c r="K4014" s="21" t="str">
        <f t="shared" ca="1" si="293"/>
        <v/>
      </c>
    </row>
    <row r="4015" spans="1:11" s="18" customFormat="1" ht="14.25" x14ac:dyDescent="0.2">
      <c r="A4015" s="18" t="str">
        <f t="shared" si="292"/>
        <v>Eintrag 4014</v>
      </c>
      <c r="B4015" s="18">
        <v>100</v>
      </c>
      <c r="C4015" s="19">
        <v>100</v>
      </c>
      <c r="D4015" s="20">
        <v>10</v>
      </c>
      <c r="E4015" s="20">
        <v>10</v>
      </c>
      <c r="F4015" s="20">
        <v>10</v>
      </c>
      <c r="G4015" s="19">
        <f t="shared" si="294"/>
        <v>172</v>
      </c>
      <c r="H4015" s="22">
        <f t="shared" si="297"/>
        <v>4014</v>
      </c>
      <c r="I4015" s="21">
        <f t="shared" ca="1" si="296"/>
        <v>0</v>
      </c>
      <c r="J4015" s="21" t="str">
        <f ca="1">IF(I4015=0,"",COUNTIF($I$2:I4015,"&gt;0"))</f>
        <v/>
      </c>
      <c r="K4015" s="21" t="str">
        <f t="shared" ca="1" si="293"/>
        <v/>
      </c>
    </row>
    <row r="4016" spans="1:11" s="18" customFormat="1" ht="14.25" x14ac:dyDescent="0.2">
      <c r="A4016" s="18" t="str">
        <f t="shared" si="292"/>
        <v>Eintrag 4015</v>
      </c>
      <c r="B4016" s="18">
        <v>100</v>
      </c>
      <c r="C4016" s="19">
        <v>100</v>
      </c>
      <c r="D4016" s="20">
        <v>10</v>
      </c>
      <c r="E4016" s="20">
        <v>10</v>
      </c>
      <c r="F4016" s="20">
        <v>10</v>
      </c>
      <c r="G4016" s="19">
        <f t="shared" si="294"/>
        <v>172</v>
      </c>
      <c r="H4016" s="22">
        <f t="shared" si="297"/>
        <v>4015</v>
      </c>
      <c r="I4016" s="21">
        <f t="shared" ca="1" si="296"/>
        <v>0</v>
      </c>
      <c r="J4016" s="21" t="str">
        <f ca="1">IF(I4016=0,"",COUNTIF($I$2:I4016,"&gt;0"))</f>
        <v/>
      </c>
      <c r="K4016" s="21" t="str">
        <f t="shared" ca="1" si="293"/>
        <v/>
      </c>
    </row>
    <row r="4017" spans="1:11" s="18" customFormat="1" ht="14.25" x14ac:dyDescent="0.2">
      <c r="A4017" s="18" t="str">
        <f t="shared" ref="A4017:A4080" si="298">CONCATENATE("Eintrag ",H4017)</f>
        <v>Eintrag 4016</v>
      </c>
      <c r="B4017" s="18">
        <v>100</v>
      </c>
      <c r="C4017" s="19">
        <v>100</v>
      </c>
      <c r="D4017" s="20">
        <v>10</v>
      </c>
      <c r="E4017" s="20">
        <v>10</v>
      </c>
      <c r="F4017" s="20">
        <v>10</v>
      </c>
      <c r="G4017" s="19">
        <f t="shared" si="294"/>
        <v>172</v>
      </c>
      <c r="H4017" s="22">
        <f t="shared" si="297"/>
        <v>4016</v>
      </c>
      <c r="I4017" s="21">
        <f t="shared" ca="1" si="296"/>
        <v>0</v>
      </c>
      <c r="J4017" s="21" t="str">
        <f ca="1">IF(I4017=0,"",COUNTIF($I$2:I4017,"&gt;0"))</f>
        <v/>
      </c>
      <c r="K4017" s="21" t="str">
        <f t="shared" ca="1" si="293"/>
        <v/>
      </c>
    </row>
    <row r="4018" spans="1:11" s="18" customFormat="1" ht="14.25" x14ac:dyDescent="0.2">
      <c r="A4018" s="18" t="str">
        <f t="shared" si="298"/>
        <v>Eintrag 4017</v>
      </c>
      <c r="B4018" s="18">
        <v>100</v>
      </c>
      <c r="C4018" s="19">
        <v>100</v>
      </c>
      <c r="D4018" s="20">
        <v>10</v>
      </c>
      <c r="E4018" s="20">
        <v>10</v>
      </c>
      <c r="F4018" s="20">
        <v>10</v>
      </c>
      <c r="G4018" s="19">
        <f t="shared" si="294"/>
        <v>172</v>
      </c>
      <c r="H4018" s="22">
        <f t="shared" si="297"/>
        <v>4017</v>
      </c>
      <c r="I4018" s="21">
        <f t="shared" ca="1" si="296"/>
        <v>0</v>
      </c>
      <c r="J4018" s="21" t="str">
        <f ca="1">IF(I4018=0,"",COUNTIF($I$2:I4018,"&gt;0"))</f>
        <v/>
      </c>
      <c r="K4018" s="21" t="str">
        <f t="shared" ca="1" si="293"/>
        <v/>
      </c>
    </row>
    <row r="4019" spans="1:11" s="18" customFormat="1" ht="14.25" x14ac:dyDescent="0.2">
      <c r="A4019" s="18" t="str">
        <f t="shared" si="298"/>
        <v>Eintrag 4018</v>
      </c>
      <c r="B4019" s="18">
        <v>100</v>
      </c>
      <c r="C4019" s="19">
        <v>100</v>
      </c>
      <c r="D4019" s="20">
        <v>10</v>
      </c>
      <c r="E4019" s="20">
        <v>10</v>
      </c>
      <c r="F4019" s="20">
        <v>10</v>
      </c>
      <c r="G4019" s="19">
        <f t="shared" si="294"/>
        <v>172</v>
      </c>
      <c r="H4019" s="22">
        <f t="shared" si="297"/>
        <v>4018</v>
      </c>
      <c r="I4019" s="21">
        <f t="shared" ca="1" si="296"/>
        <v>0</v>
      </c>
      <c r="J4019" s="21" t="str">
        <f ca="1">IF(I4019=0,"",COUNTIF($I$2:I4019,"&gt;0"))</f>
        <v/>
      </c>
      <c r="K4019" s="21" t="str">
        <f t="shared" ca="1" si="293"/>
        <v/>
      </c>
    </row>
    <row r="4020" spans="1:11" s="18" customFormat="1" ht="14.25" x14ac:dyDescent="0.2">
      <c r="A4020" s="18" t="str">
        <f t="shared" si="298"/>
        <v>Eintrag 4019</v>
      </c>
      <c r="B4020" s="18">
        <v>100</v>
      </c>
      <c r="C4020" s="19">
        <v>100</v>
      </c>
      <c r="D4020" s="20">
        <v>10</v>
      </c>
      <c r="E4020" s="20">
        <v>10</v>
      </c>
      <c r="F4020" s="20">
        <v>10</v>
      </c>
      <c r="G4020" s="19">
        <f t="shared" si="294"/>
        <v>172</v>
      </c>
      <c r="H4020" s="22">
        <f t="shared" si="297"/>
        <v>4019</v>
      </c>
      <c r="I4020" s="21">
        <f t="shared" ca="1" si="296"/>
        <v>0</v>
      </c>
      <c r="J4020" s="21" t="str">
        <f ca="1">IF(I4020=0,"",COUNTIF($I$2:I4020,"&gt;0"))</f>
        <v/>
      </c>
      <c r="K4020" s="21" t="str">
        <f t="shared" ca="1" si="293"/>
        <v/>
      </c>
    </row>
    <row r="4021" spans="1:11" s="18" customFormat="1" ht="14.25" x14ac:dyDescent="0.2">
      <c r="A4021" s="18" t="str">
        <f t="shared" si="298"/>
        <v>Eintrag 4020</v>
      </c>
      <c r="B4021" s="18">
        <v>100</v>
      </c>
      <c r="C4021" s="19">
        <v>100</v>
      </c>
      <c r="D4021" s="20">
        <v>10</v>
      </c>
      <c r="E4021" s="20">
        <v>10</v>
      </c>
      <c r="F4021" s="20">
        <v>10</v>
      </c>
      <c r="G4021" s="19">
        <f t="shared" si="294"/>
        <v>172</v>
      </c>
      <c r="H4021" s="22">
        <f t="shared" si="297"/>
        <v>4020</v>
      </c>
      <c r="I4021" s="21">
        <f t="shared" ca="1" si="296"/>
        <v>0</v>
      </c>
      <c r="J4021" s="21" t="str">
        <f ca="1">IF(I4021=0,"",COUNTIF($I$2:I4021,"&gt;0"))</f>
        <v/>
      </c>
      <c r="K4021" s="21" t="str">
        <f t="shared" ca="1" si="293"/>
        <v/>
      </c>
    </row>
    <row r="4022" spans="1:11" s="18" customFormat="1" ht="14.25" x14ac:dyDescent="0.2">
      <c r="A4022" s="18" t="str">
        <f t="shared" si="298"/>
        <v>Eintrag 4021</v>
      </c>
      <c r="B4022" s="18">
        <v>100</v>
      </c>
      <c r="C4022" s="19">
        <v>100</v>
      </c>
      <c r="D4022" s="20">
        <v>10</v>
      </c>
      <c r="E4022" s="20">
        <v>10</v>
      </c>
      <c r="F4022" s="20">
        <v>10</v>
      </c>
      <c r="G4022" s="19">
        <f t="shared" si="294"/>
        <v>172</v>
      </c>
      <c r="H4022" s="22">
        <f t="shared" si="297"/>
        <v>4021</v>
      </c>
      <c r="I4022" s="21">
        <f t="shared" ca="1" si="296"/>
        <v>0</v>
      </c>
      <c r="J4022" s="21" t="str">
        <f ca="1">IF(I4022=0,"",COUNTIF($I$2:I4022,"&gt;0"))</f>
        <v/>
      </c>
      <c r="K4022" s="21" t="str">
        <f t="shared" ca="1" si="293"/>
        <v/>
      </c>
    </row>
    <row r="4023" spans="1:11" s="18" customFormat="1" ht="14.25" x14ac:dyDescent="0.2">
      <c r="A4023" s="18" t="str">
        <f t="shared" si="298"/>
        <v>Eintrag 4022</v>
      </c>
      <c r="B4023" s="18">
        <v>100</v>
      </c>
      <c r="C4023" s="19">
        <v>100</v>
      </c>
      <c r="D4023" s="20">
        <v>10</v>
      </c>
      <c r="E4023" s="20">
        <v>10</v>
      </c>
      <c r="F4023" s="20">
        <v>10</v>
      </c>
      <c r="G4023" s="19">
        <f t="shared" si="294"/>
        <v>172</v>
      </c>
      <c r="H4023" s="22">
        <f t="shared" si="297"/>
        <v>4022</v>
      </c>
      <c r="I4023" s="21">
        <f t="shared" ca="1" si="296"/>
        <v>0</v>
      </c>
      <c r="J4023" s="21" t="str">
        <f ca="1">IF(I4023=0,"",COUNTIF($I$2:I4023,"&gt;0"))</f>
        <v/>
      </c>
      <c r="K4023" s="21" t="str">
        <f t="shared" ca="1" si="293"/>
        <v/>
      </c>
    </row>
    <row r="4024" spans="1:11" s="18" customFormat="1" ht="14.25" x14ac:dyDescent="0.2">
      <c r="A4024" s="18" t="str">
        <f t="shared" si="298"/>
        <v>Eintrag 4023</v>
      </c>
      <c r="B4024" s="18">
        <v>100</v>
      </c>
      <c r="C4024" s="19">
        <v>100</v>
      </c>
      <c r="D4024" s="20">
        <v>10</v>
      </c>
      <c r="E4024" s="20">
        <v>10</v>
      </c>
      <c r="F4024" s="20">
        <v>10</v>
      </c>
      <c r="G4024" s="19">
        <f t="shared" si="294"/>
        <v>172</v>
      </c>
      <c r="H4024" s="22">
        <f t="shared" si="297"/>
        <v>4023</v>
      </c>
      <c r="I4024" s="21">
        <f t="shared" ca="1" si="296"/>
        <v>0</v>
      </c>
      <c r="J4024" s="21" t="str">
        <f ca="1">IF(I4024=0,"",COUNTIF($I$2:I4024,"&gt;0"))</f>
        <v/>
      </c>
      <c r="K4024" s="21" t="str">
        <f t="shared" ca="1" si="293"/>
        <v/>
      </c>
    </row>
    <row r="4025" spans="1:11" s="18" customFormat="1" ht="14.25" x14ac:dyDescent="0.2">
      <c r="A4025" s="18" t="str">
        <f t="shared" si="298"/>
        <v>Eintrag 4024</v>
      </c>
      <c r="B4025" s="18">
        <v>100</v>
      </c>
      <c r="C4025" s="19">
        <v>100</v>
      </c>
      <c r="D4025" s="20">
        <v>10</v>
      </c>
      <c r="E4025" s="20">
        <v>10</v>
      </c>
      <c r="F4025" s="20">
        <v>10</v>
      </c>
      <c r="G4025" s="19">
        <f t="shared" si="294"/>
        <v>172</v>
      </c>
      <c r="H4025" s="22">
        <f t="shared" si="297"/>
        <v>4024</v>
      </c>
      <c r="I4025" s="21">
        <f t="shared" ca="1" si="296"/>
        <v>0</v>
      </c>
      <c r="J4025" s="21" t="str">
        <f ca="1">IF(I4025=0,"",COUNTIF($I$2:I4025,"&gt;0"))</f>
        <v/>
      </c>
      <c r="K4025" s="21" t="str">
        <f t="shared" ca="1" si="293"/>
        <v/>
      </c>
    </row>
    <row r="4026" spans="1:11" s="18" customFormat="1" ht="14.25" x14ac:dyDescent="0.2">
      <c r="A4026" s="18" t="str">
        <f t="shared" si="298"/>
        <v>Eintrag 4025</v>
      </c>
      <c r="B4026" s="18">
        <v>100</v>
      </c>
      <c r="C4026" s="19">
        <v>100</v>
      </c>
      <c r="D4026" s="20">
        <v>10</v>
      </c>
      <c r="E4026" s="20">
        <v>10</v>
      </c>
      <c r="F4026" s="20">
        <v>10</v>
      </c>
      <c r="G4026" s="19">
        <f t="shared" si="294"/>
        <v>172</v>
      </c>
      <c r="H4026" s="22">
        <f t="shared" si="297"/>
        <v>4025</v>
      </c>
      <c r="I4026" s="21">
        <f t="shared" ca="1" si="296"/>
        <v>0</v>
      </c>
      <c r="J4026" s="21" t="str">
        <f ca="1">IF(I4026=0,"",COUNTIF($I$2:I4026,"&gt;0"))</f>
        <v/>
      </c>
      <c r="K4026" s="21" t="str">
        <f t="shared" ca="1" si="293"/>
        <v/>
      </c>
    </row>
    <row r="4027" spans="1:11" s="18" customFormat="1" ht="14.25" x14ac:dyDescent="0.2">
      <c r="A4027" s="18" t="str">
        <f t="shared" si="298"/>
        <v>Eintrag 4026</v>
      </c>
      <c r="B4027" s="18">
        <v>100</v>
      </c>
      <c r="C4027" s="19">
        <v>100</v>
      </c>
      <c r="D4027" s="20">
        <v>10</v>
      </c>
      <c r="E4027" s="20">
        <v>10</v>
      </c>
      <c r="F4027" s="20">
        <v>10</v>
      </c>
      <c r="G4027" s="19">
        <f t="shared" si="294"/>
        <v>172</v>
      </c>
      <c r="H4027" s="22">
        <f t="shared" si="297"/>
        <v>4026</v>
      </c>
      <c r="I4027" s="21">
        <f t="shared" ca="1" si="296"/>
        <v>0</v>
      </c>
      <c r="J4027" s="21" t="str">
        <f ca="1">IF(I4027=0,"",COUNTIF($I$2:I4027,"&gt;0"))</f>
        <v/>
      </c>
      <c r="K4027" s="21" t="str">
        <f t="shared" ca="1" si="293"/>
        <v/>
      </c>
    </row>
    <row r="4028" spans="1:11" s="18" customFormat="1" ht="14.25" x14ac:dyDescent="0.2">
      <c r="A4028" s="18" t="str">
        <f t="shared" si="298"/>
        <v>Eintrag 4027</v>
      </c>
      <c r="B4028" s="18">
        <v>100</v>
      </c>
      <c r="C4028" s="19">
        <v>100</v>
      </c>
      <c r="D4028" s="20">
        <v>10</v>
      </c>
      <c r="E4028" s="20">
        <v>10</v>
      </c>
      <c r="F4028" s="20">
        <v>10</v>
      </c>
      <c r="G4028" s="19">
        <f t="shared" si="294"/>
        <v>172</v>
      </c>
      <c r="H4028" s="22">
        <f t="shared" si="297"/>
        <v>4027</v>
      </c>
      <c r="I4028" s="21">
        <f t="shared" ca="1" si="296"/>
        <v>0</v>
      </c>
      <c r="J4028" s="21" t="str">
        <f ca="1">IF(I4028=0,"",COUNTIF($I$2:I4028,"&gt;0"))</f>
        <v/>
      </c>
      <c r="K4028" s="21" t="str">
        <f t="shared" ca="1" si="293"/>
        <v/>
      </c>
    </row>
    <row r="4029" spans="1:11" s="18" customFormat="1" ht="14.25" x14ac:dyDescent="0.2">
      <c r="A4029" s="18" t="str">
        <f t="shared" si="298"/>
        <v>Eintrag 4028</v>
      </c>
      <c r="B4029" s="18">
        <v>100</v>
      </c>
      <c r="C4029" s="19">
        <v>100</v>
      </c>
      <c r="D4029" s="20">
        <v>10</v>
      </c>
      <c r="E4029" s="20">
        <v>10</v>
      </c>
      <c r="F4029" s="20">
        <v>10</v>
      </c>
      <c r="G4029" s="19">
        <f t="shared" si="294"/>
        <v>172</v>
      </c>
      <c r="H4029" s="22">
        <f t="shared" si="297"/>
        <v>4028</v>
      </c>
      <c r="I4029" s="21">
        <f t="shared" ca="1" si="296"/>
        <v>0</v>
      </c>
      <c r="J4029" s="21" t="str">
        <f ca="1">IF(I4029=0,"",COUNTIF($I$2:I4029,"&gt;0"))</f>
        <v/>
      </c>
      <c r="K4029" s="21" t="str">
        <f t="shared" ca="1" si="293"/>
        <v/>
      </c>
    </row>
    <row r="4030" spans="1:11" s="18" customFormat="1" ht="14.25" x14ac:dyDescent="0.2">
      <c r="A4030" s="18" t="str">
        <f t="shared" si="298"/>
        <v>Eintrag 4029</v>
      </c>
      <c r="B4030" s="18">
        <v>100</v>
      </c>
      <c r="C4030" s="19">
        <v>100</v>
      </c>
      <c r="D4030" s="20">
        <v>10</v>
      </c>
      <c r="E4030" s="20">
        <v>10</v>
      </c>
      <c r="F4030" s="20">
        <v>10</v>
      </c>
      <c r="G4030" s="19">
        <f t="shared" si="294"/>
        <v>172</v>
      </c>
      <c r="H4030" s="22">
        <f t="shared" si="297"/>
        <v>4029</v>
      </c>
      <c r="I4030" s="21">
        <f t="shared" ca="1" si="296"/>
        <v>0</v>
      </c>
      <c r="J4030" s="21" t="str">
        <f ca="1">IF(I4030=0,"",COUNTIF($I$2:I4030,"&gt;0"))</f>
        <v/>
      </c>
      <c r="K4030" s="21" t="str">
        <f t="shared" ca="1" si="293"/>
        <v/>
      </c>
    </row>
    <row r="4031" spans="1:11" s="18" customFormat="1" ht="14.25" x14ac:dyDescent="0.2">
      <c r="A4031" s="18" t="str">
        <f t="shared" si="298"/>
        <v>Eintrag 4030</v>
      </c>
      <c r="B4031" s="18">
        <v>100</v>
      </c>
      <c r="C4031" s="19">
        <v>100</v>
      </c>
      <c r="D4031" s="20">
        <v>10</v>
      </c>
      <c r="E4031" s="20">
        <v>10</v>
      </c>
      <c r="F4031" s="20">
        <v>10</v>
      </c>
      <c r="G4031" s="19">
        <f t="shared" si="294"/>
        <v>172</v>
      </c>
      <c r="H4031" s="22">
        <f t="shared" si="297"/>
        <v>4030</v>
      </c>
      <c r="I4031" s="21">
        <f t="shared" ca="1" si="296"/>
        <v>0</v>
      </c>
      <c r="J4031" s="21" t="str">
        <f ca="1">IF(I4031=0,"",COUNTIF($I$2:I4031,"&gt;0"))</f>
        <v/>
      </c>
      <c r="K4031" s="21" t="str">
        <f t="shared" ca="1" si="293"/>
        <v/>
      </c>
    </row>
    <row r="4032" spans="1:11" s="18" customFormat="1" ht="14.25" x14ac:dyDescent="0.2">
      <c r="A4032" s="18" t="str">
        <f t="shared" si="298"/>
        <v>Eintrag 4031</v>
      </c>
      <c r="B4032" s="18">
        <v>100</v>
      </c>
      <c r="C4032" s="19">
        <v>100</v>
      </c>
      <c r="D4032" s="20">
        <v>10</v>
      </c>
      <c r="E4032" s="20">
        <v>10</v>
      </c>
      <c r="F4032" s="20">
        <v>10</v>
      </c>
      <c r="G4032" s="19">
        <f t="shared" si="294"/>
        <v>172</v>
      </c>
      <c r="H4032" s="22">
        <f t="shared" si="297"/>
        <v>4031</v>
      </c>
      <c r="I4032" s="21">
        <f t="shared" ca="1" si="296"/>
        <v>0</v>
      </c>
      <c r="J4032" s="21" t="str">
        <f ca="1">IF(I4032=0,"",COUNTIF($I$2:I4032,"&gt;0"))</f>
        <v/>
      </c>
      <c r="K4032" s="21" t="str">
        <f t="shared" ca="1" si="293"/>
        <v/>
      </c>
    </row>
    <row r="4033" spans="1:11" s="18" customFormat="1" ht="14.25" x14ac:dyDescent="0.2">
      <c r="A4033" s="18" t="str">
        <f t="shared" si="298"/>
        <v>Eintrag 4032</v>
      </c>
      <c r="B4033" s="18">
        <v>100</v>
      </c>
      <c r="C4033" s="19">
        <v>100</v>
      </c>
      <c r="D4033" s="20">
        <v>10</v>
      </c>
      <c r="E4033" s="20">
        <v>10</v>
      </c>
      <c r="F4033" s="20">
        <v>10</v>
      </c>
      <c r="G4033" s="19">
        <f t="shared" si="294"/>
        <v>172</v>
      </c>
      <c r="H4033" s="22">
        <f t="shared" si="297"/>
        <v>4032</v>
      </c>
      <c r="I4033" s="21">
        <f t="shared" ca="1" si="296"/>
        <v>0</v>
      </c>
      <c r="J4033" s="21" t="str">
        <f ca="1">IF(I4033=0,"",COUNTIF($I$2:I4033,"&gt;0"))</f>
        <v/>
      </c>
      <c r="K4033" s="21" t="str">
        <f t="shared" ca="1" si="293"/>
        <v/>
      </c>
    </row>
    <row r="4034" spans="1:11" s="18" customFormat="1" ht="14.25" x14ac:dyDescent="0.2">
      <c r="A4034" s="18" t="str">
        <f t="shared" si="298"/>
        <v>Eintrag 4033</v>
      </c>
      <c r="B4034" s="18">
        <v>100</v>
      </c>
      <c r="C4034" s="19">
        <v>100</v>
      </c>
      <c r="D4034" s="20">
        <v>10</v>
      </c>
      <c r="E4034" s="20">
        <v>10</v>
      </c>
      <c r="F4034" s="20">
        <v>10</v>
      </c>
      <c r="G4034" s="19">
        <f t="shared" si="294"/>
        <v>172</v>
      </c>
      <c r="H4034" s="22">
        <f t="shared" si="297"/>
        <v>4033</v>
      </c>
      <c r="I4034" s="21">
        <f t="shared" ca="1" si="296"/>
        <v>0</v>
      </c>
      <c r="J4034" s="21" t="str">
        <f ca="1">IF(I4034=0,"",COUNTIF($I$2:I4034,"&gt;0"))</f>
        <v/>
      </c>
      <c r="K4034" s="21" t="str">
        <f t="shared" ref="K4034:K4097" ca="1" si="299">IFERROR(INDEX(A:A,MATCH(ROW(I4033),J:J,0)),"")</f>
        <v/>
      </c>
    </row>
    <row r="4035" spans="1:11" s="18" customFormat="1" ht="14.25" x14ac:dyDescent="0.2">
      <c r="A4035" s="18" t="str">
        <f t="shared" si="298"/>
        <v>Eintrag 4034</v>
      </c>
      <c r="B4035" s="18">
        <v>100</v>
      </c>
      <c r="C4035" s="19">
        <v>100</v>
      </c>
      <c r="D4035" s="20">
        <v>10</v>
      </c>
      <c r="E4035" s="20">
        <v>10</v>
      </c>
      <c r="F4035" s="20">
        <v>10</v>
      </c>
      <c r="G4035" s="19">
        <f t="shared" ref="G4035:G4098" si="300">D4035*9+E4035*4.1+F4035*4.1</f>
        <v>172</v>
      </c>
      <c r="H4035" s="22">
        <f t="shared" si="297"/>
        <v>4034</v>
      </c>
      <c r="I4035" s="21">
        <f t="shared" ca="1" si="296"/>
        <v>0</v>
      </c>
      <c r="J4035" s="21" t="str">
        <f ca="1">IF(I4035=0,"",COUNTIF($I$2:I4035,"&gt;0"))</f>
        <v/>
      </c>
      <c r="K4035" s="21" t="str">
        <f t="shared" ca="1" si="299"/>
        <v/>
      </c>
    </row>
    <row r="4036" spans="1:11" s="18" customFormat="1" ht="14.25" x14ac:dyDescent="0.2">
      <c r="A4036" s="18" t="str">
        <f t="shared" si="298"/>
        <v>Eintrag 4035</v>
      </c>
      <c r="B4036" s="18">
        <v>100</v>
      </c>
      <c r="C4036" s="19">
        <v>100</v>
      </c>
      <c r="D4036" s="20">
        <v>10</v>
      </c>
      <c r="E4036" s="20">
        <v>10</v>
      </c>
      <c r="F4036" s="20">
        <v>10</v>
      </c>
      <c r="G4036" s="19">
        <f t="shared" si="300"/>
        <v>172</v>
      </c>
      <c r="H4036" s="22">
        <f t="shared" si="297"/>
        <v>4035</v>
      </c>
      <c r="I4036" s="21">
        <f t="shared" ca="1" si="296"/>
        <v>0</v>
      </c>
      <c r="J4036" s="21" t="str">
        <f ca="1">IF(I4036=0,"",COUNTIF($I$2:I4036,"&gt;0"))</f>
        <v/>
      </c>
      <c r="K4036" s="21" t="str">
        <f t="shared" ca="1" si="299"/>
        <v/>
      </c>
    </row>
    <row r="4037" spans="1:11" s="18" customFormat="1" ht="14.25" x14ac:dyDescent="0.2">
      <c r="A4037" s="18" t="str">
        <f t="shared" si="298"/>
        <v>Eintrag 4036</v>
      </c>
      <c r="B4037" s="18">
        <v>100</v>
      </c>
      <c r="C4037" s="19">
        <v>100</v>
      </c>
      <c r="D4037" s="20">
        <v>10</v>
      </c>
      <c r="E4037" s="20">
        <v>10</v>
      </c>
      <c r="F4037" s="20">
        <v>10</v>
      </c>
      <c r="G4037" s="19">
        <f t="shared" si="300"/>
        <v>172</v>
      </c>
      <c r="H4037" s="22">
        <f t="shared" si="297"/>
        <v>4036</v>
      </c>
      <c r="I4037" s="21">
        <f t="shared" ca="1" si="296"/>
        <v>0</v>
      </c>
      <c r="J4037" s="21" t="str">
        <f ca="1">IF(I4037=0,"",COUNTIF($I$2:I4037,"&gt;0"))</f>
        <v/>
      </c>
      <c r="K4037" s="21" t="str">
        <f t="shared" ca="1" si="299"/>
        <v/>
      </c>
    </row>
    <row r="4038" spans="1:11" s="18" customFormat="1" ht="14.25" x14ac:dyDescent="0.2">
      <c r="A4038" s="18" t="str">
        <f t="shared" si="298"/>
        <v>Eintrag 4037</v>
      </c>
      <c r="B4038" s="18">
        <v>100</v>
      </c>
      <c r="C4038" s="19">
        <v>100</v>
      </c>
      <c r="D4038" s="20">
        <v>10</v>
      </c>
      <c r="E4038" s="20">
        <v>10</v>
      </c>
      <c r="F4038" s="20">
        <v>10</v>
      </c>
      <c r="G4038" s="19">
        <f t="shared" si="300"/>
        <v>172</v>
      </c>
      <c r="H4038" s="22">
        <f t="shared" si="297"/>
        <v>4037</v>
      </c>
      <c r="I4038" s="21">
        <f t="shared" ca="1" si="296"/>
        <v>0</v>
      </c>
      <c r="J4038" s="21" t="str">
        <f ca="1">IF(I4038=0,"",COUNTIF($I$2:I4038,"&gt;0"))</f>
        <v/>
      </c>
      <c r="K4038" s="21" t="str">
        <f t="shared" ca="1" si="299"/>
        <v/>
      </c>
    </row>
    <row r="4039" spans="1:11" s="18" customFormat="1" ht="14.25" x14ac:dyDescent="0.2">
      <c r="A4039" s="18" t="str">
        <f t="shared" si="298"/>
        <v>Eintrag 4038</v>
      </c>
      <c r="B4039" s="18">
        <v>100</v>
      </c>
      <c r="C4039" s="19">
        <v>100</v>
      </c>
      <c r="D4039" s="20">
        <v>10</v>
      </c>
      <c r="E4039" s="20">
        <v>10</v>
      </c>
      <c r="F4039" s="20">
        <v>10</v>
      </c>
      <c r="G4039" s="19">
        <f t="shared" si="300"/>
        <v>172</v>
      </c>
      <c r="H4039" s="22">
        <f t="shared" si="297"/>
        <v>4038</v>
      </c>
      <c r="I4039" s="21">
        <f t="shared" ca="1" si="296"/>
        <v>0</v>
      </c>
      <c r="J4039" s="21" t="str">
        <f ca="1">IF(I4039=0,"",COUNTIF($I$2:I4039,"&gt;0"))</f>
        <v/>
      </c>
      <c r="K4039" s="21" t="str">
        <f t="shared" ca="1" si="299"/>
        <v/>
      </c>
    </row>
    <row r="4040" spans="1:11" s="18" customFormat="1" ht="14.25" x14ac:dyDescent="0.2">
      <c r="A4040" s="18" t="str">
        <f t="shared" si="298"/>
        <v>Eintrag 4039</v>
      </c>
      <c r="B4040" s="18">
        <v>100</v>
      </c>
      <c r="C4040" s="19">
        <v>100</v>
      </c>
      <c r="D4040" s="20">
        <v>10</v>
      </c>
      <c r="E4040" s="20">
        <v>10</v>
      </c>
      <c r="F4040" s="20">
        <v>10</v>
      </c>
      <c r="G4040" s="19">
        <f t="shared" si="300"/>
        <v>172</v>
      </c>
      <c r="H4040" s="22">
        <f t="shared" si="297"/>
        <v>4039</v>
      </c>
      <c r="I4040" s="21">
        <f t="shared" ca="1" si="296"/>
        <v>0</v>
      </c>
      <c r="J4040" s="21" t="str">
        <f ca="1">IF(I4040=0,"",COUNTIF($I$2:I4040,"&gt;0"))</f>
        <v/>
      </c>
      <c r="K4040" s="21" t="str">
        <f t="shared" ca="1" si="299"/>
        <v/>
      </c>
    </row>
    <row r="4041" spans="1:11" s="18" customFormat="1" ht="14.25" x14ac:dyDescent="0.2">
      <c r="A4041" s="18" t="str">
        <f t="shared" si="298"/>
        <v>Eintrag 4040</v>
      </c>
      <c r="B4041" s="18">
        <v>100</v>
      </c>
      <c r="C4041" s="19">
        <v>100</v>
      </c>
      <c r="D4041" s="20">
        <v>10</v>
      </c>
      <c r="E4041" s="20">
        <v>10</v>
      </c>
      <c r="F4041" s="20">
        <v>10</v>
      </c>
      <c r="G4041" s="19">
        <f t="shared" si="300"/>
        <v>172</v>
      </c>
      <c r="H4041" s="22">
        <f t="shared" si="297"/>
        <v>4040</v>
      </c>
      <c r="I4041" s="21">
        <f t="shared" ca="1" si="296"/>
        <v>0</v>
      </c>
      <c r="J4041" s="21" t="str">
        <f ca="1">IF(I4041=0,"",COUNTIF($I$2:I4041,"&gt;0"))</f>
        <v/>
      </c>
      <c r="K4041" s="21" t="str">
        <f t="shared" ca="1" si="299"/>
        <v/>
      </c>
    </row>
    <row r="4042" spans="1:11" s="18" customFormat="1" ht="14.25" x14ac:dyDescent="0.2">
      <c r="A4042" s="18" t="str">
        <f t="shared" si="298"/>
        <v>Eintrag 4041</v>
      </c>
      <c r="B4042" s="18">
        <v>100</v>
      </c>
      <c r="C4042" s="19">
        <v>100</v>
      </c>
      <c r="D4042" s="20">
        <v>10</v>
      </c>
      <c r="E4042" s="20">
        <v>10</v>
      </c>
      <c r="F4042" s="20">
        <v>10</v>
      </c>
      <c r="G4042" s="19">
        <f t="shared" si="300"/>
        <v>172</v>
      </c>
      <c r="H4042" s="22">
        <f t="shared" si="297"/>
        <v>4041</v>
      </c>
      <c r="I4042" s="21">
        <f t="shared" ca="1" si="296"/>
        <v>0</v>
      </c>
      <c r="J4042" s="21" t="str">
        <f ca="1">IF(I4042=0,"",COUNTIF($I$2:I4042,"&gt;0"))</f>
        <v/>
      </c>
      <c r="K4042" s="21" t="str">
        <f t="shared" ca="1" si="299"/>
        <v/>
      </c>
    </row>
    <row r="4043" spans="1:11" s="18" customFormat="1" ht="14.25" x14ac:dyDescent="0.2">
      <c r="A4043" s="18" t="str">
        <f t="shared" si="298"/>
        <v>Eintrag 4042</v>
      </c>
      <c r="B4043" s="18">
        <v>100</v>
      </c>
      <c r="C4043" s="19">
        <v>100</v>
      </c>
      <c r="D4043" s="20">
        <v>10</v>
      </c>
      <c r="E4043" s="20">
        <v>10</v>
      </c>
      <c r="F4043" s="20">
        <v>10</v>
      </c>
      <c r="G4043" s="19">
        <f t="shared" si="300"/>
        <v>172</v>
      </c>
      <c r="H4043" s="22">
        <f t="shared" si="297"/>
        <v>4042</v>
      </c>
      <c r="I4043" s="21">
        <f t="shared" ca="1" si="296"/>
        <v>0</v>
      </c>
      <c r="J4043" s="21" t="str">
        <f ca="1">IF(I4043=0,"",COUNTIF($I$2:I4043,"&gt;0"))</f>
        <v/>
      </c>
      <c r="K4043" s="21" t="str">
        <f t="shared" ca="1" si="299"/>
        <v/>
      </c>
    </row>
    <row r="4044" spans="1:11" s="18" customFormat="1" ht="14.25" x14ac:dyDescent="0.2">
      <c r="A4044" s="18" t="str">
        <f t="shared" si="298"/>
        <v>Eintrag 4043</v>
      </c>
      <c r="B4044" s="18">
        <v>100</v>
      </c>
      <c r="C4044" s="19">
        <v>100</v>
      </c>
      <c r="D4044" s="20">
        <v>10</v>
      </c>
      <c r="E4044" s="20">
        <v>10</v>
      </c>
      <c r="F4044" s="20">
        <v>10</v>
      </c>
      <c r="G4044" s="19">
        <f t="shared" si="300"/>
        <v>172</v>
      </c>
      <c r="H4044" s="22">
        <f t="shared" si="297"/>
        <v>4043</v>
      </c>
      <c r="I4044" s="21">
        <f t="shared" ca="1" si="296"/>
        <v>0</v>
      </c>
      <c r="J4044" s="21" t="str">
        <f ca="1">IF(I4044=0,"",COUNTIF($I$2:I4044,"&gt;0"))</f>
        <v/>
      </c>
      <c r="K4044" s="21" t="str">
        <f t="shared" ca="1" si="299"/>
        <v/>
      </c>
    </row>
    <row r="4045" spans="1:11" s="18" customFormat="1" ht="14.25" x14ac:dyDescent="0.2">
      <c r="A4045" s="18" t="str">
        <f t="shared" si="298"/>
        <v>Eintrag 4044</v>
      </c>
      <c r="B4045" s="18">
        <v>100</v>
      </c>
      <c r="C4045" s="19">
        <v>100</v>
      </c>
      <c r="D4045" s="20">
        <v>10</v>
      </c>
      <c r="E4045" s="20">
        <v>10</v>
      </c>
      <c r="F4045" s="20">
        <v>10</v>
      </c>
      <c r="G4045" s="19">
        <f t="shared" si="300"/>
        <v>172</v>
      </c>
      <c r="H4045" s="22">
        <f t="shared" si="297"/>
        <v>4044</v>
      </c>
      <c r="I4045" s="21">
        <f t="shared" ca="1" si="296"/>
        <v>0</v>
      </c>
      <c r="J4045" s="21" t="str">
        <f ca="1">IF(I4045=0,"",COUNTIF($I$2:I4045,"&gt;0"))</f>
        <v/>
      </c>
      <c r="K4045" s="21" t="str">
        <f t="shared" ca="1" si="299"/>
        <v/>
      </c>
    </row>
    <row r="4046" spans="1:11" s="18" customFormat="1" ht="14.25" x14ac:dyDescent="0.2">
      <c r="A4046" s="18" t="str">
        <f t="shared" si="298"/>
        <v>Eintrag 4045</v>
      </c>
      <c r="B4046" s="18">
        <v>100</v>
      </c>
      <c r="C4046" s="19">
        <v>100</v>
      </c>
      <c r="D4046" s="20">
        <v>10</v>
      </c>
      <c r="E4046" s="20">
        <v>10</v>
      </c>
      <c r="F4046" s="20">
        <v>10</v>
      </c>
      <c r="G4046" s="19">
        <f t="shared" si="300"/>
        <v>172</v>
      </c>
      <c r="H4046" s="22">
        <f t="shared" si="297"/>
        <v>4045</v>
      </c>
      <c r="I4046" s="21">
        <f t="shared" ca="1" si="296"/>
        <v>0</v>
      </c>
      <c r="J4046" s="21" t="str">
        <f ca="1">IF(I4046=0,"",COUNTIF($I$2:I4046,"&gt;0"))</f>
        <v/>
      </c>
      <c r="K4046" s="21" t="str">
        <f t="shared" ca="1" si="299"/>
        <v/>
      </c>
    </row>
    <row r="4047" spans="1:11" s="18" customFormat="1" ht="14.25" x14ac:dyDescent="0.2">
      <c r="A4047" s="18" t="str">
        <f t="shared" si="298"/>
        <v>Eintrag 4046</v>
      </c>
      <c r="B4047" s="18">
        <v>100</v>
      </c>
      <c r="C4047" s="19">
        <v>100</v>
      </c>
      <c r="D4047" s="20">
        <v>10</v>
      </c>
      <c r="E4047" s="20">
        <v>10</v>
      </c>
      <c r="F4047" s="20">
        <v>10</v>
      </c>
      <c r="G4047" s="19">
        <f t="shared" si="300"/>
        <v>172</v>
      </c>
      <c r="H4047" s="22">
        <f t="shared" si="297"/>
        <v>4046</v>
      </c>
      <c r="I4047" s="21">
        <f t="shared" ca="1" si="296"/>
        <v>0</v>
      </c>
      <c r="J4047" s="21" t="str">
        <f ca="1">IF(I4047=0,"",COUNTIF($I$2:I4047,"&gt;0"))</f>
        <v/>
      </c>
      <c r="K4047" s="21" t="str">
        <f t="shared" ca="1" si="299"/>
        <v/>
      </c>
    </row>
    <row r="4048" spans="1:11" s="18" customFormat="1" ht="14.25" x14ac:dyDescent="0.2">
      <c r="A4048" s="18" t="str">
        <f t="shared" si="298"/>
        <v>Eintrag 4047</v>
      </c>
      <c r="B4048" s="18">
        <v>100</v>
      </c>
      <c r="C4048" s="19">
        <v>100</v>
      </c>
      <c r="D4048" s="20">
        <v>10</v>
      </c>
      <c r="E4048" s="20">
        <v>10</v>
      </c>
      <c r="F4048" s="20">
        <v>10</v>
      </c>
      <c r="G4048" s="19">
        <f t="shared" si="300"/>
        <v>172</v>
      </c>
      <c r="H4048" s="22">
        <f t="shared" si="297"/>
        <v>4047</v>
      </c>
      <c r="I4048" s="21">
        <f t="shared" ca="1" si="296"/>
        <v>0</v>
      </c>
      <c r="J4048" s="21" t="str">
        <f ca="1">IF(I4048=0,"",COUNTIF($I$2:I4048,"&gt;0"))</f>
        <v/>
      </c>
      <c r="K4048" s="21" t="str">
        <f t="shared" ca="1" si="299"/>
        <v/>
      </c>
    </row>
    <row r="4049" spans="1:11" s="18" customFormat="1" ht="14.25" x14ac:dyDescent="0.2">
      <c r="A4049" s="18" t="str">
        <f t="shared" si="298"/>
        <v>Eintrag 4048</v>
      </c>
      <c r="B4049" s="18">
        <v>100</v>
      </c>
      <c r="C4049" s="19">
        <v>100</v>
      </c>
      <c r="D4049" s="20">
        <v>10</v>
      </c>
      <c r="E4049" s="20">
        <v>10</v>
      </c>
      <c r="F4049" s="20">
        <v>10</v>
      </c>
      <c r="G4049" s="19">
        <f t="shared" si="300"/>
        <v>172</v>
      </c>
      <c r="H4049" s="22">
        <f t="shared" si="297"/>
        <v>4048</v>
      </c>
      <c r="I4049" s="21">
        <f t="shared" ca="1" si="296"/>
        <v>0</v>
      </c>
      <c r="J4049" s="21" t="str">
        <f ca="1">IF(I4049=0,"",COUNTIF($I$2:I4049,"&gt;0"))</f>
        <v/>
      </c>
      <c r="K4049" s="21" t="str">
        <f t="shared" ca="1" si="299"/>
        <v/>
      </c>
    </row>
    <row r="4050" spans="1:11" s="18" customFormat="1" ht="14.25" x14ac:dyDescent="0.2">
      <c r="A4050" s="18" t="str">
        <f t="shared" si="298"/>
        <v>Eintrag 4049</v>
      </c>
      <c r="B4050" s="18">
        <v>100</v>
      </c>
      <c r="C4050" s="19">
        <v>100</v>
      </c>
      <c r="D4050" s="20">
        <v>10</v>
      </c>
      <c r="E4050" s="20">
        <v>10</v>
      </c>
      <c r="F4050" s="20">
        <v>10</v>
      </c>
      <c r="G4050" s="19">
        <f t="shared" si="300"/>
        <v>172</v>
      </c>
      <c r="H4050" s="22">
        <f t="shared" si="297"/>
        <v>4049</v>
      </c>
      <c r="I4050" s="21">
        <f t="shared" ca="1" si="296"/>
        <v>0</v>
      </c>
      <c r="J4050" s="21" t="str">
        <f ca="1">IF(I4050=0,"",COUNTIF($I$2:I4050,"&gt;0"))</f>
        <v/>
      </c>
      <c r="K4050" s="21" t="str">
        <f t="shared" ca="1" si="299"/>
        <v/>
      </c>
    </row>
    <row r="4051" spans="1:11" s="18" customFormat="1" ht="14.25" x14ac:dyDescent="0.2">
      <c r="A4051" s="18" t="str">
        <f t="shared" si="298"/>
        <v>Eintrag 4050</v>
      </c>
      <c r="B4051" s="18">
        <v>100</v>
      </c>
      <c r="C4051" s="19">
        <v>100</v>
      </c>
      <c r="D4051" s="20">
        <v>10</v>
      </c>
      <c r="E4051" s="20">
        <v>10</v>
      </c>
      <c r="F4051" s="20">
        <v>10</v>
      </c>
      <c r="G4051" s="19">
        <f t="shared" si="300"/>
        <v>172</v>
      </c>
      <c r="H4051" s="22">
        <f t="shared" si="297"/>
        <v>4050</v>
      </c>
      <c r="I4051" s="21">
        <f t="shared" ca="1" si="296"/>
        <v>0</v>
      </c>
      <c r="J4051" s="21" t="str">
        <f ca="1">IF(I4051=0,"",COUNTIF($I$2:I4051,"&gt;0"))</f>
        <v/>
      </c>
      <c r="K4051" s="21" t="str">
        <f t="shared" ca="1" si="299"/>
        <v/>
      </c>
    </row>
    <row r="4052" spans="1:11" s="18" customFormat="1" ht="14.25" x14ac:dyDescent="0.2">
      <c r="A4052" s="18" t="str">
        <f t="shared" si="298"/>
        <v>Eintrag 4051</v>
      </c>
      <c r="B4052" s="18">
        <v>100</v>
      </c>
      <c r="C4052" s="19">
        <v>100</v>
      </c>
      <c r="D4052" s="20">
        <v>10</v>
      </c>
      <c r="E4052" s="20">
        <v>10</v>
      </c>
      <c r="F4052" s="20">
        <v>10</v>
      </c>
      <c r="G4052" s="19">
        <f t="shared" si="300"/>
        <v>172</v>
      </c>
      <c r="H4052" s="22">
        <f t="shared" si="297"/>
        <v>4051</v>
      </c>
      <c r="I4052" s="21">
        <f t="shared" ca="1" si="296"/>
        <v>0</v>
      </c>
      <c r="J4052" s="21" t="str">
        <f ca="1">IF(I4052=0,"",COUNTIF($I$2:I4052,"&gt;0"))</f>
        <v/>
      </c>
      <c r="K4052" s="21" t="str">
        <f t="shared" ca="1" si="299"/>
        <v/>
      </c>
    </row>
    <row r="4053" spans="1:11" s="18" customFormat="1" ht="14.25" x14ac:dyDescent="0.2">
      <c r="A4053" s="18" t="str">
        <f t="shared" si="298"/>
        <v>Eintrag 4052</v>
      </c>
      <c r="B4053" s="18">
        <v>100</v>
      </c>
      <c r="C4053" s="19">
        <v>100</v>
      </c>
      <c r="D4053" s="20">
        <v>10</v>
      </c>
      <c r="E4053" s="20">
        <v>10</v>
      </c>
      <c r="F4053" s="20">
        <v>10</v>
      </c>
      <c r="G4053" s="19">
        <f t="shared" si="300"/>
        <v>172</v>
      </c>
      <c r="H4053" s="22">
        <f t="shared" si="297"/>
        <v>4052</v>
      </c>
      <c r="I4053" s="21">
        <f t="shared" ca="1" si="296"/>
        <v>0</v>
      </c>
      <c r="J4053" s="21" t="str">
        <f ca="1">IF(I4053=0,"",COUNTIF($I$2:I4053,"&gt;0"))</f>
        <v/>
      </c>
      <c r="K4053" s="21" t="str">
        <f t="shared" ca="1" si="299"/>
        <v/>
      </c>
    </row>
    <row r="4054" spans="1:11" s="18" customFormat="1" ht="14.25" x14ac:dyDescent="0.2">
      <c r="A4054" s="18" t="str">
        <f t="shared" si="298"/>
        <v>Eintrag 4053</v>
      </c>
      <c r="B4054" s="18">
        <v>100</v>
      </c>
      <c r="C4054" s="19">
        <v>100</v>
      </c>
      <c r="D4054" s="20">
        <v>10</v>
      </c>
      <c r="E4054" s="20">
        <v>10</v>
      </c>
      <c r="F4054" s="20">
        <v>10</v>
      </c>
      <c r="G4054" s="19">
        <f t="shared" si="300"/>
        <v>172</v>
      </c>
      <c r="H4054" s="22">
        <f t="shared" si="297"/>
        <v>4053</v>
      </c>
      <c r="I4054" s="21">
        <f t="shared" ca="1" si="296"/>
        <v>0</v>
      </c>
      <c r="J4054" s="21" t="str">
        <f ca="1">IF(I4054=0,"",COUNTIF($I$2:I4054,"&gt;0"))</f>
        <v/>
      </c>
      <c r="K4054" s="21" t="str">
        <f t="shared" ca="1" si="299"/>
        <v/>
      </c>
    </row>
    <row r="4055" spans="1:11" s="18" customFormat="1" ht="14.25" x14ac:dyDescent="0.2">
      <c r="A4055" s="18" t="str">
        <f t="shared" si="298"/>
        <v>Eintrag 4054</v>
      </c>
      <c r="B4055" s="18">
        <v>100</v>
      </c>
      <c r="C4055" s="19">
        <v>100</v>
      </c>
      <c r="D4055" s="20">
        <v>10</v>
      </c>
      <c r="E4055" s="20">
        <v>10</v>
      </c>
      <c r="F4055" s="20">
        <v>10</v>
      </c>
      <c r="G4055" s="19">
        <f t="shared" si="300"/>
        <v>172</v>
      </c>
      <c r="H4055" s="22">
        <f t="shared" si="297"/>
        <v>4054</v>
      </c>
      <c r="I4055" s="21">
        <f t="shared" ca="1" si="296"/>
        <v>0</v>
      </c>
      <c r="J4055" s="21" t="str">
        <f ca="1">IF(I4055=0,"",COUNTIF($I$2:I4055,"&gt;0"))</f>
        <v/>
      </c>
      <c r="K4055" s="21" t="str">
        <f t="shared" ca="1" si="299"/>
        <v/>
      </c>
    </row>
    <row r="4056" spans="1:11" s="18" customFormat="1" ht="14.25" x14ac:dyDescent="0.2">
      <c r="A4056" s="18" t="str">
        <f t="shared" si="298"/>
        <v>Eintrag 4055</v>
      </c>
      <c r="B4056" s="18">
        <v>100</v>
      </c>
      <c r="C4056" s="19">
        <v>100</v>
      </c>
      <c r="D4056" s="20">
        <v>10</v>
      </c>
      <c r="E4056" s="20">
        <v>10</v>
      </c>
      <c r="F4056" s="20">
        <v>10</v>
      </c>
      <c r="G4056" s="19">
        <f t="shared" si="300"/>
        <v>172</v>
      </c>
      <c r="H4056" s="22">
        <f t="shared" si="297"/>
        <v>4055</v>
      </c>
      <c r="I4056" s="21">
        <f t="shared" ca="1" si="296"/>
        <v>0</v>
      </c>
      <c r="J4056" s="21" t="str">
        <f ca="1">IF(I4056=0,"",COUNTIF($I$2:I4056,"&gt;0"))</f>
        <v/>
      </c>
      <c r="K4056" s="21" t="str">
        <f t="shared" ca="1" si="299"/>
        <v/>
      </c>
    </row>
    <row r="4057" spans="1:11" s="18" customFormat="1" ht="14.25" x14ac:dyDescent="0.2">
      <c r="A4057" s="18" t="str">
        <f t="shared" si="298"/>
        <v>Eintrag 4056</v>
      </c>
      <c r="B4057" s="18">
        <v>100</v>
      </c>
      <c r="C4057" s="19">
        <v>100</v>
      </c>
      <c r="D4057" s="20">
        <v>10</v>
      </c>
      <c r="E4057" s="20">
        <v>10</v>
      </c>
      <c r="F4057" s="20">
        <v>10</v>
      </c>
      <c r="G4057" s="19">
        <f t="shared" si="300"/>
        <v>172</v>
      </c>
      <c r="H4057" s="22">
        <f t="shared" si="297"/>
        <v>4056</v>
      </c>
      <c r="I4057" s="21">
        <f t="shared" ca="1" si="296"/>
        <v>0</v>
      </c>
      <c r="J4057" s="21" t="str">
        <f ca="1">IF(I4057=0,"",COUNTIF($I$2:I4057,"&gt;0"))</f>
        <v/>
      </c>
      <c r="K4057" s="21" t="str">
        <f t="shared" ca="1" si="299"/>
        <v/>
      </c>
    </row>
    <row r="4058" spans="1:11" s="18" customFormat="1" ht="14.25" x14ac:dyDescent="0.2">
      <c r="A4058" s="18" t="str">
        <f t="shared" si="298"/>
        <v>Eintrag 4057</v>
      </c>
      <c r="B4058" s="18">
        <v>100</v>
      </c>
      <c r="C4058" s="19">
        <v>100</v>
      </c>
      <c r="D4058" s="20">
        <v>10</v>
      </c>
      <c r="E4058" s="20">
        <v>10</v>
      </c>
      <c r="F4058" s="20">
        <v>10</v>
      </c>
      <c r="G4058" s="19">
        <f t="shared" si="300"/>
        <v>172</v>
      </c>
      <c r="H4058" s="22">
        <f t="shared" si="297"/>
        <v>4057</v>
      </c>
      <c r="I4058" s="21">
        <f t="shared" ca="1" si="296"/>
        <v>0</v>
      </c>
      <c r="J4058" s="21" t="str">
        <f ca="1">IF(I4058=0,"",COUNTIF($I$2:I4058,"&gt;0"))</f>
        <v/>
      </c>
      <c r="K4058" s="21" t="str">
        <f t="shared" ca="1" si="299"/>
        <v/>
      </c>
    </row>
    <row r="4059" spans="1:11" s="18" customFormat="1" ht="14.25" x14ac:dyDescent="0.2">
      <c r="A4059" s="18" t="str">
        <f t="shared" si="298"/>
        <v>Eintrag 4058</v>
      </c>
      <c r="B4059" s="18">
        <v>100</v>
      </c>
      <c r="C4059" s="19">
        <v>100</v>
      </c>
      <c r="D4059" s="20">
        <v>10</v>
      </c>
      <c r="E4059" s="20">
        <v>10</v>
      </c>
      <c r="F4059" s="20">
        <v>10</v>
      </c>
      <c r="G4059" s="19">
        <f t="shared" si="300"/>
        <v>172</v>
      </c>
      <c r="H4059" s="22">
        <f t="shared" si="297"/>
        <v>4058</v>
      </c>
      <c r="I4059" s="21">
        <f t="shared" ca="1" si="296"/>
        <v>0</v>
      </c>
      <c r="J4059" s="21" t="str">
        <f ca="1">IF(I4059=0,"",COUNTIF($I$2:I4059,"&gt;0"))</f>
        <v/>
      </c>
      <c r="K4059" s="21" t="str">
        <f t="shared" ca="1" si="299"/>
        <v/>
      </c>
    </row>
    <row r="4060" spans="1:11" s="18" customFormat="1" ht="14.25" x14ac:dyDescent="0.2">
      <c r="A4060" s="18" t="str">
        <f t="shared" si="298"/>
        <v>Eintrag 4059</v>
      </c>
      <c r="B4060" s="18">
        <v>100</v>
      </c>
      <c r="C4060" s="19">
        <v>100</v>
      </c>
      <c r="D4060" s="20">
        <v>10</v>
      </c>
      <c r="E4060" s="20">
        <v>10</v>
      </c>
      <c r="F4060" s="20">
        <v>10</v>
      </c>
      <c r="G4060" s="19">
        <f t="shared" si="300"/>
        <v>172</v>
      </c>
      <c r="H4060" s="22">
        <f t="shared" si="297"/>
        <v>4059</v>
      </c>
      <c r="I4060" s="21">
        <f t="shared" ca="1" si="296"/>
        <v>0</v>
      </c>
      <c r="J4060" s="21" t="str">
        <f ca="1">IF(I4060=0,"",COUNTIF($I$2:I4060,"&gt;0"))</f>
        <v/>
      </c>
      <c r="K4060" s="21" t="str">
        <f t="shared" ca="1" si="299"/>
        <v/>
      </c>
    </row>
    <row r="4061" spans="1:11" s="18" customFormat="1" ht="14.25" x14ac:dyDescent="0.2">
      <c r="A4061" s="18" t="str">
        <f t="shared" si="298"/>
        <v>Eintrag 4060</v>
      </c>
      <c r="B4061" s="18">
        <v>100</v>
      </c>
      <c r="C4061" s="19">
        <v>100</v>
      </c>
      <c r="D4061" s="20">
        <v>10</v>
      </c>
      <c r="E4061" s="20">
        <v>10</v>
      </c>
      <c r="F4061" s="20">
        <v>10</v>
      </c>
      <c r="G4061" s="19">
        <f t="shared" si="300"/>
        <v>172</v>
      </c>
      <c r="H4061" s="22">
        <f t="shared" si="297"/>
        <v>4060</v>
      </c>
      <c r="I4061" s="21">
        <f t="shared" ca="1" si="296"/>
        <v>0</v>
      </c>
      <c r="J4061" s="21" t="str">
        <f ca="1">IF(I4061=0,"",COUNTIF($I$2:I4061,"&gt;0"))</f>
        <v/>
      </c>
      <c r="K4061" s="21" t="str">
        <f t="shared" ca="1" si="299"/>
        <v/>
      </c>
    </row>
    <row r="4062" spans="1:11" s="18" customFormat="1" ht="14.25" x14ac:dyDescent="0.2">
      <c r="A4062" s="18" t="str">
        <f t="shared" si="298"/>
        <v>Eintrag 4061</v>
      </c>
      <c r="B4062" s="18">
        <v>100</v>
      </c>
      <c r="C4062" s="19">
        <v>100</v>
      </c>
      <c r="D4062" s="20">
        <v>10</v>
      </c>
      <c r="E4062" s="20">
        <v>10</v>
      </c>
      <c r="F4062" s="20">
        <v>10</v>
      </c>
      <c r="G4062" s="19">
        <f t="shared" si="300"/>
        <v>172</v>
      </c>
      <c r="H4062" s="22">
        <f t="shared" si="297"/>
        <v>4061</v>
      </c>
      <c r="I4062" s="21">
        <f t="shared" ca="1" si="296"/>
        <v>0</v>
      </c>
      <c r="J4062" s="21" t="str">
        <f ca="1">IF(I4062=0,"",COUNTIF($I$2:I4062,"&gt;0"))</f>
        <v/>
      </c>
      <c r="K4062" s="21" t="str">
        <f t="shared" ca="1" si="299"/>
        <v/>
      </c>
    </row>
    <row r="4063" spans="1:11" s="18" customFormat="1" ht="14.25" x14ac:dyDescent="0.2">
      <c r="A4063" s="18" t="str">
        <f t="shared" si="298"/>
        <v>Eintrag 4062</v>
      </c>
      <c r="B4063" s="18">
        <v>100</v>
      </c>
      <c r="C4063" s="19">
        <v>100</v>
      </c>
      <c r="D4063" s="20">
        <v>10</v>
      </c>
      <c r="E4063" s="20">
        <v>10</v>
      </c>
      <c r="F4063" s="20">
        <v>10</v>
      </c>
      <c r="G4063" s="19">
        <f t="shared" si="300"/>
        <v>172</v>
      </c>
      <c r="H4063" s="22">
        <f t="shared" si="297"/>
        <v>4062</v>
      </c>
      <c r="I4063" s="21">
        <f t="shared" ca="1" si="296"/>
        <v>0</v>
      </c>
      <c r="J4063" s="21" t="str">
        <f ca="1">IF(I4063=0,"",COUNTIF($I$2:I4063,"&gt;0"))</f>
        <v/>
      </c>
      <c r="K4063" s="21" t="str">
        <f t="shared" ca="1" si="299"/>
        <v/>
      </c>
    </row>
    <row r="4064" spans="1:11" s="18" customFormat="1" ht="14.25" x14ac:dyDescent="0.2">
      <c r="A4064" s="18" t="str">
        <f t="shared" si="298"/>
        <v>Eintrag 4063</v>
      </c>
      <c r="B4064" s="18">
        <v>100</v>
      </c>
      <c r="C4064" s="19">
        <v>100</v>
      </c>
      <c r="D4064" s="20">
        <v>10</v>
      </c>
      <c r="E4064" s="20">
        <v>10</v>
      </c>
      <c r="F4064" s="20">
        <v>10</v>
      </c>
      <c r="G4064" s="19">
        <f t="shared" si="300"/>
        <v>172</v>
      </c>
      <c r="H4064" s="22">
        <f t="shared" si="297"/>
        <v>4063</v>
      </c>
      <c r="I4064" s="21">
        <f t="shared" ca="1" si="296"/>
        <v>0</v>
      </c>
      <c r="J4064" s="21" t="str">
        <f ca="1">IF(I4064=0,"",COUNTIF($I$2:I4064,"&gt;0"))</f>
        <v/>
      </c>
      <c r="K4064" s="21" t="str">
        <f t="shared" ca="1" si="299"/>
        <v/>
      </c>
    </row>
    <row r="4065" spans="1:11" s="18" customFormat="1" ht="14.25" x14ac:dyDescent="0.2">
      <c r="A4065" s="18" t="str">
        <f t="shared" si="298"/>
        <v>Eintrag 4064</v>
      </c>
      <c r="B4065" s="18">
        <v>100</v>
      </c>
      <c r="C4065" s="19">
        <v>100</v>
      </c>
      <c r="D4065" s="20">
        <v>10</v>
      </c>
      <c r="E4065" s="20">
        <v>10</v>
      </c>
      <c r="F4065" s="20">
        <v>10</v>
      </c>
      <c r="G4065" s="19">
        <f t="shared" si="300"/>
        <v>172</v>
      </c>
      <c r="H4065" s="22">
        <f t="shared" si="297"/>
        <v>4064</v>
      </c>
      <c r="I4065" s="21">
        <f t="shared" ca="1" si="296"/>
        <v>0</v>
      </c>
      <c r="J4065" s="21" t="str">
        <f ca="1">IF(I4065=0,"",COUNTIF($I$2:I4065,"&gt;0"))</f>
        <v/>
      </c>
      <c r="K4065" s="21" t="str">
        <f t="shared" ca="1" si="299"/>
        <v/>
      </c>
    </row>
    <row r="4066" spans="1:11" s="18" customFormat="1" ht="14.25" x14ac:dyDescent="0.2">
      <c r="A4066" s="18" t="str">
        <f t="shared" si="298"/>
        <v>Eintrag 4065</v>
      </c>
      <c r="B4066" s="18">
        <v>100</v>
      </c>
      <c r="C4066" s="19">
        <v>100</v>
      </c>
      <c r="D4066" s="20">
        <v>10</v>
      </c>
      <c r="E4066" s="20">
        <v>10</v>
      </c>
      <c r="F4066" s="20">
        <v>10</v>
      </c>
      <c r="G4066" s="19">
        <f t="shared" si="300"/>
        <v>172</v>
      </c>
      <c r="H4066" s="22">
        <f t="shared" si="297"/>
        <v>4065</v>
      </c>
      <c r="I4066" s="21">
        <f t="shared" ca="1" si="296"/>
        <v>0</v>
      </c>
      <c r="J4066" s="21" t="str">
        <f ca="1">IF(I4066=0,"",COUNTIF($I$2:I4066,"&gt;0"))</f>
        <v/>
      </c>
      <c r="K4066" s="21" t="str">
        <f t="shared" ca="1" si="299"/>
        <v/>
      </c>
    </row>
    <row r="4067" spans="1:11" s="18" customFormat="1" ht="14.25" x14ac:dyDescent="0.2">
      <c r="A4067" s="18" t="str">
        <f t="shared" si="298"/>
        <v>Eintrag 4066</v>
      </c>
      <c r="B4067" s="18">
        <v>100</v>
      </c>
      <c r="C4067" s="19">
        <v>100</v>
      </c>
      <c r="D4067" s="20">
        <v>10</v>
      </c>
      <c r="E4067" s="20">
        <v>10</v>
      </c>
      <c r="F4067" s="20">
        <v>10</v>
      </c>
      <c r="G4067" s="19">
        <f t="shared" si="300"/>
        <v>172</v>
      </c>
      <c r="H4067" s="22">
        <f t="shared" si="297"/>
        <v>4066</v>
      </c>
      <c r="I4067" s="21">
        <f t="shared" ca="1" si="296"/>
        <v>0</v>
      </c>
      <c r="J4067" s="21" t="str">
        <f ca="1">IF(I4067=0,"",COUNTIF($I$2:I4067,"&gt;0"))</f>
        <v/>
      </c>
      <c r="K4067" s="21" t="str">
        <f t="shared" ca="1" si="299"/>
        <v/>
      </c>
    </row>
    <row r="4068" spans="1:11" s="18" customFormat="1" ht="14.25" x14ac:dyDescent="0.2">
      <c r="A4068" s="18" t="str">
        <f t="shared" si="298"/>
        <v>Eintrag 4067</v>
      </c>
      <c r="B4068" s="18">
        <v>100</v>
      </c>
      <c r="C4068" s="19">
        <v>100</v>
      </c>
      <c r="D4068" s="20">
        <v>10</v>
      </c>
      <c r="E4068" s="20">
        <v>10</v>
      </c>
      <c r="F4068" s="20">
        <v>10</v>
      </c>
      <c r="G4068" s="19">
        <f t="shared" si="300"/>
        <v>172</v>
      </c>
      <c r="H4068" s="22">
        <f t="shared" si="297"/>
        <v>4067</v>
      </c>
      <c r="I4068" s="21">
        <f t="shared" ca="1" si="296"/>
        <v>0</v>
      </c>
      <c r="J4068" s="21" t="str">
        <f ca="1">IF(I4068=0,"",COUNTIF($I$2:I4068,"&gt;0"))</f>
        <v/>
      </c>
      <c r="K4068" s="21" t="str">
        <f t="shared" ca="1" si="299"/>
        <v/>
      </c>
    </row>
    <row r="4069" spans="1:11" s="18" customFormat="1" ht="14.25" x14ac:dyDescent="0.2">
      <c r="A4069" s="18" t="str">
        <f t="shared" si="298"/>
        <v>Eintrag 4068</v>
      </c>
      <c r="B4069" s="18">
        <v>100</v>
      </c>
      <c r="C4069" s="19">
        <v>100</v>
      </c>
      <c r="D4069" s="20">
        <v>10</v>
      </c>
      <c r="E4069" s="20">
        <v>10</v>
      </c>
      <c r="F4069" s="20">
        <v>10</v>
      </c>
      <c r="G4069" s="19">
        <f t="shared" si="300"/>
        <v>172</v>
      </c>
      <c r="H4069" s="22">
        <f t="shared" ref="H4069:H4132" si="301">H4068+1</f>
        <v>4068</v>
      </c>
      <c r="I4069" s="21">
        <f t="shared" ca="1" si="296"/>
        <v>0</v>
      </c>
      <c r="J4069" s="21" t="str">
        <f ca="1">IF(I4069=0,"",COUNTIF($I$2:I4069,"&gt;0"))</f>
        <v/>
      </c>
      <c r="K4069" s="21" t="str">
        <f t="shared" ca="1" si="299"/>
        <v/>
      </c>
    </row>
    <row r="4070" spans="1:11" s="18" customFormat="1" ht="14.25" x14ac:dyDescent="0.2">
      <c r="A4070" s="18" t="str">
        <f t="shared" si="298"/>
        <v>Eintrag 4069</v>
      </c>
      <c r="B4070" s="18">
        <v>100</v>
      </c>
      <c r="C4070" s="19">
        <v>100</v>
      </c>
      <c r="D4070" s="20">
        <v>10</v>
      </c>
      <c r="E4070" s="20">
        <v>10</v>
      </c>
      <c r="F4070" s="20">
        <v>10</v>
      </c>
      <c r="G4070" s="19">
        <f t="shared" si="300"/>
        <v>172</v>
      </c>
      <c r="H4070" s="22">
        <f t="shared" si="301"/>
        <v>4069</v>
      </c>
      <c r="I4070" s="21">
        <f t="shared" ca="1" si="296"/>
        <v>0</v>
      </c>
      <c r="J4070" s="21" t="str">
        <f ca="1">IF(I4070=0,"",COUNTIF($I$2:I4070,"&gt;0"))</f>
        <v/>
      </c>
      <c r="K4070" s="21" t="str">
        <f t="shared" ca="1" si="299"/>
        <v/>
      </c>
    </row>
    <row r="4071" spans="1:11" s="18" customFormat="1" ht="14.25" x14ac:dyDescent="0.2">
      <c r="A4071" s="18" t="str">
        <f t="shared" si="298"/>
        <v>Eintrag 4070</v>
      </c>
      <c r="B4071" s="18">
        <v>100</v>
      </c>
      <c r="C4071" s="19">
        <v>100</v>
      </c>
      <c r="D4071" s="20">
        <v>10</v>
      </c>
      <c r="E4071" s="20">
        <v>10</v>
      </c>
      <c r="F4071" s="20">
        <v>10</v>
      </c>
      <c r="G4071" s="19">
        <f t="shared" si="300"/>
        <v>172</v>
      </c>
      <c r="H4071" s="22">
        <f t="shared" si="301"/>
        <v>4070</v>
      </c>
      <c r="I4071" s="21">
        <f t="shared" ca="1" si="296"/>
        <v>0</v>
      </c>
      <c r="J4071" s="21" t="str">
        <f ca="1">IF(I4071=0,"",COUNTIF($I$2:I4071,"&gt;0"))</f>
        <v/>
      </c>
      <c r="K4071" s="21" t="str">
        <f t="shared" ca="1" si="299"/>
        <v/>
      </c>
    </row>
    <row r="4072" spans="1:11" s="18" customFormat="1" ht="14.25" x14ac:dyDescent="0.2">
      <c r="A4072" s="18" t="str">
        <f t="shared" si="298"/>
        <v>Eintrag 4071</v>
      </c>
      <c r="B4072" s="18">
        <v>100</v>
      </c>
      <c r="C4072" s="19">
        <v>100</v>
      </c>
      <c r="D4072" s="20">
        <v>10</v>
      </c>
      <c r="E4072" s="20">
        <v>10</v>
      </c>
      <c r="F4072" s="20">
        <v>10</v>
      </c>
      <c r="G4072" s="19">
        <f t="shared" si="300"/>
        <v>172</v>
      </c>
      <c r="H4072" s="22">
        <f t="shared" si="301"/>
        <v>4071</v>
      </c>
      <c r="I4072" s="21">
        <f t="shared" ca="1" si="296"/>
        <v>0</v>
      </c>
      <c r="J4072" s="21" t="str">
        <f ca="1">IF(I4072=0,"",COUNTIF($I$2:I4072,"&gt;0"))</f>
        <v/>
      </c>
      <c r="K4072" s="21" t="str">
        <f t="shared" ca="1" si="299"/>
        <v/>
      </c>
    </row>
    <row r="4073" spans="1:11" s="18" customFormat="1" ht="14.25" x14ac:dyDescent="0.2">
      <c r="A4073" s="18" t="str">
        <f t="shared" si="298"/>
        <v>Eintrag 4072</v>
      </c>
      <c r="B4073" s="18">
        <v>100</v>
      </c>
      <c r="C4073" s="19">
        <v>100</v>
      </c>
      <c r="D4073" s="20">
        <v>10</v>
      </c>
      <c r="E4073" s="20">
        <v>10</v>
      </c>
      <c r="F4073" s="20">
        <v>10</v>
      </c>
      <c r="G4073" s="19">
        <f t="shared" si="300"/>
        <v>172</v>
      </c>
      <c r="H4073" s="22">
        <f t="shared" si="301"/>
        <v>4072</v>
      </c>
      <c r="I4073" s="21">
        <f t="shared" ca="1" si="296"/>
        <v>0</v>
      </c>
      <c r="J4073" s="21" t="str">
        <f ca="1">IF(I4073=0,"",COUNTIF($I$2:I4073,"&gt;0"))</f>
        <v/>
      </c>
      <c r="K4073" s="21" t="str">
        <f t="shared" ca="1" si="299"/>
        <v/>
      </c>
    </row>
    <row r="4074" spans="1:11" s="18" customFormat="1" ht="14.25" x14ac:dyDescent="0.2">
      <c r="A4074" s="18" t="str">
        <f t="shared" si="298"/>
        <v>Eintrag 4073</v>
      </c>
      <c r="B4074" s="18">
        <v>100</v>
      </c>
      <c r="C4074" s="19">
        <v>100</v>
      </c>
      <c r="D4074" s="20">
        <v>10</v>
      </c>
      <c r="E4074" s="20">
        <v>10</v>
      </c>
      <c r="F4074" s="20">
        <v>10</v>
      </c>
      <c r="G4074" s="19">
        <f t="shared" si="300"/>
        <v>172</v>
      </c>
      <c r="H4074" s="22">
        <f t="shared" si="301"/>
        <v>4073</v>
      </c>
      <c r="I4074" s="21">
        <f t="shared" ca="1" si="296"/>
        <v>0</v>
      </c>
      <c r="J4074" s="21" t="str">
        <f ca="1">IF(I4074=0,"",COUNTIF($I$2:I4074,"&gt;0"))</f>
        <v/>
      </c>
      <c r="K4074" s="21" t="str">
        <f t="shared" ca="1" si="299"/>
        <v/>
      </c>
    </row>
    <row r="4075" spans="1:11" s="18" customFormat="1" ht="14.25" x14ac:dyDescent="0.2">
      <c r="A4075" s="18" t="str">
        <f t="shared" si="298"/>
        <v>Eintrag 4074</v>
      </c>
      <c r="B4075" s="18">
        <v>100</v>
      </c>
      <c r="C4075" s="19">
        <v>100</v>
      </c>
      <c r="D4075" s="20">
        <v>10</v>
      </c>
      <c r="E4075" s="20">
        <v>10</v>
      </c>
      <c r="F4075" s="20">
        <v>10</v>
      </c>
      <c r="G4075" s="19">
        <f t="shared" si="300"/>
        <v>172</v>
      </c>
      <c r="H4075" s="22">
        <f t="shared" si="301"/>
        <v>4074</v>
      </c>
      <c r="I4075" s="21">
        <f t="shared" ca="1" si="296"/>
        <v>0</v>
      </c>
      <c r="J4075" s="21" t="str">
        <f ca="1">IF(I4075=0,"",COUNTIF($I$2:I4075,"&gt;0"))</f>
        <v/>
      </c>
      <c r="K4075" s="21" t="str">
        <f t="shared" ca="1" si="299"/>
        <v/>
      </c>
    </row>
    <row r="4076" spans="1:11" s="18" customFormat="1" ht="14.25" x14ac:dyDescent="0.2">
      <c r="A4076" s="18" t="str">
        <f t="shared" si="298"/>
        <v>Eintrag 4075</v>
      </c>
      <c r="B4076" s="18">
        <v>100</v>
      </c>
      <c r="C4076" s="19">
        <v>100</v>
      </c>
      <c r="D4076" s="20">
        <v>10</v>
      </c>
      <c r="E4076" s="20">
        <v>10</v>
      </c>
      <c r="F4076" s="20">
        <v>10</v>
      </c>
      <c r="G4076" s="19">
        <f t="shared" si="300"/>
        <v>172</v>
      </c>
      <c r="H4076" s="22">
        <f t="shared" si="301"/>
        <v>4075</v>
      </c>
      <c r="I4076" s="21">
        <f t="shared" ca="1" si="296"/>
        <v>0</v>
      </c>
      <c r="J4076" s="21" t="str">
        <f ca="1">IF(I4076=0,"",COUNTIF($I$2:I4076,"&gt;0"))</f>
        <v/>
      </c>
      <c r="K4076" s="21" t="str">
        <f t="shared" ca="1" si="299"/>
        <v/>
      </c>
    </row>
    <row r="4077" spans="1:11" s="18" customFormat="1" ht="14.25" x14ac:dyDescent="0.2">
      <c r="A4077" s="18" t="str">
        <f t="shared" si="298"/>
        <v>Eintrag 4076</v>
      </c>
      <c r="B4077" s="18">
        <v>100</v>
      </c>
      <c r="C4077" s="19">
        <v>100</v>
      </c>
      <c r="D4077" s="20">
        <v>10</v>
      </c>
      <c r="E4077" s="20">
        <v>10</v>
      </c>
      <c r="F4077" s="20">
        <v>10</v>
      </c>
      <c r="G4077" s="19">
        <f t="shared" si="300"/>
        <v>172</v>
      </c>
      <c r="H4077" s="22">
        <f t="shared" si="301"/>
        <v>4076</v>
      </c>
      <c r="I4077" s="21">
        <f t="shared" ca="1" si="296"/>
        <v>0</v>
      </c>
      <c r="J4077" s="21" t="str">
        <f ca="1">IF(I4077=0,"",COUNTIF($I$2:I4077,"&gt;0"))</f>
        <v/>
      </c>
      <c r="K4077" s="21" t="str">
        <f t="shared" ca="1" si="299"/>
        <v/>
      </c>
    </row>
    <row r="4078" spans="1:11" s="18" customFormat="1" ht="14.25" x14ac:dyDescent="0.2">
      <c r="A4078" s="18" t="str">
        <f t="shared" si="298"/>
        <v>Eintrag 4077</v>
      </c>
      <c r="B4078" s="18">
        <v>100</v>
      </c>
      <c r="C4078" s="19">
        <v>100</v>
      </c>
      <c r="D4078" s="20">
        <v>10</v>
      </c>
      <c r="E4078" s="20">
        <v>10</v>
      </c>
      <c r="F4078" s="20">
        <v>10</v>
      </c>
      <c r="G4078" s="19">
        <f t="shared" si="300"/>
        <v>172</v>
      </c>
      <c r="H4078" s="22">
        <f t="shared" si="301"/>
        <v>4077</v>
      </c>
      <c r="I4078" s="21">
        <f t="shared" ca="1" si="296"/>
        <v>0</v>
      </c>
      <c r="J4078" s="21" t="str">
        <f ca="1">IF(I4078=0,"",COUNTIF($I$2:I4078,"&gt;0"))</f>
        <v/>
      </c>
      <c r="K4078" s="21" t="str">
        <f t="shared" ca="1" si="299"/>
        <v/>
      </c>
    </row>
    <row r="4079" spans="1:11" s="18" customFormat="1" ht="14.25" x14ac:dyDescent="0.2">
      <c r="A4079" s="18" t="str">
        <f t="shared" si="298"/>
        <v>Eintrag 4078</v>
      </c>
      <c r="B4079" s="18">
        <v>100</v>
      </c>
      <c r="C4079" s="19">
        <v>100</v>
      </c>
      <c r="D4079" s="20">
        <v>10</v>
      </c>
      <c r="E4079" s="20">
        <v>10</v>
      </c>
      <c r="F4079" s="20">
        <v>10</v>
      </c>
      <c r="G4079" s="19">
        <f t="shared" si="300"/>
        <v>172</v>
      </c>
      <c r="H4079" s="22">
        <f t="shared" si="301"/>
        <v>4078</v>
      </c>
      <c r="I4079" s="21">
        <f t="shared" ca="1" si="296"/>
        <v>0</v>
      </c>
      <c r="J4079" s="21" t="str">
        <f ca="1">IF(I4079=0,"",COUNTIF($I$2:I4079,"&gt;0"))</f>
        <v/>
      </c>
      <c r="K4079" s="21" t="str">
        <f t="shared" ca="1" si="299"/>
        <v/>
      </c>
    </row>
    <row r="4080" spans="1:11" s="18" customFormat="1" ht="14.25" x14ac:dyDescent="0.2">
      <c r="A4080" s="18" t="str">
        <f t="shared" si="298"/>
        <v>Eintrag 4079</v>
      </c>
      <c r="B4080" s="18">
        <v>100</v>
      </c>
      <c r="C4080" s="19">
        <v>100</v>
      </c>
      <c r="D4080" s="20">
        <v>10</v>
      </c>
      <c r="E4080" s="20">
        <v>10</v>
      </c>
      <c r="F4080" s="20">
        <v>10</v>
      </c>
      <c r="G4080" s="19">
        <f t="shared" si="300"/>
        <v>172</v>
      </c>
      <c r="H4080" s="22">
        <f t="shared" si="301"/>
        <v>4079</v>
      </c>
      <c r="I4080" s="21">
        <f t="shared" ca="1" si="296"/>
        <v>0</v>
      </c>
      <c r="J4080" s="21" t="str">
        <f ca="1">IF(I4080=0,"",COUNTIF($I$2:I4080,"&gt;0"))</f>
        <v/>
      </c>
      <c r="K4080" s="21" t="str">
        <f t="shared" ca="1" si="299"/>
        <v/>
      </c>
    </row>
    <row r="4081" spans="1:11" s="18" customFormat="1" ht="14.25" x14ac:dyDescent="0.2">
      <c r="A4081" s="18" t="str">
        <f t="shared" ref="A4081:A4144" si="302">CONCATENATE("Eintrag ",H4081)</f>
        <v>Eintrag 4080</v>
      </c>
      <c r="B4081" s="18">
        <v>100</v>
      </c>
      <c r="C4081" s="19">
        <v>100</v>
      </c>
      <c r="D4081" s="20">
        <v>10</v>
      </c>
      <c r="E4081" s="20">
        <v>10</v>
      </c>
      <c r="F4081" s="20">
        <v>10</v>
      </c>
      <c r="G4081" s="19">
        <f t="shared" si="300"/>
        <v>172</v>
      </c>
      <c r="H4081" s="22">
        <f t="shared" si="301"/>
        <v>4080</v>
      </c>
      <c r="I4081" s="21">
        <f t="shared" ca="1" si="296"/>
        <v>0</v>
      </c>
      <c r="J4081" s="21" t="str">
        <f ca="1">IF(I4081=0,"",COUNTIF($I$2:I4081,"&gt;0"))</f>
        <v/>
      </c>
      <c r="K4081" s="21" t="str">
        <f t="shared" ca="1" si="299"/>
        <v/>
      </c>
    </row>
    <row r="4082" spans="1:11" s="18" customFormat="1" ht="14.25" x14ac:dyDescent="0.2">
      <c r="A4082" s="18" t="str">
        <f t="shared" si="302"/>
        <v>Eintrag 4081</v>
      </c>
      <c r="B4082" s="18">
        <v>100</v>
      </c>
      <c r="C4082" s="19">
        <v>100</v>
      </c>
      <c r="D4082" s="20">
        <v>10</v>
      </c>
      <c r="E4082" s="20">
        <v>10</v>
      </c>
      <c r="F4082" s="20">
        <v>10</v>
      </c>
      <c r="G4082" s="19">
        <f t="shared" si="300"/>
        <v>172</v>
      </c>
      <c r="H4082" s="22">
        <f t="shared" si="301"/>
        <v>4081</v>
      </c>
      <c r="I4082" s="21">
        <f t="shared" ca="1" si="296"/>
        <v>0</v>
      </c>
      <c r="J4082" s="21" t="str">
        <f ca="1">IF(I4082=0,"",COUNTIF($I$2:I4082,"&gt;0"))</f>
        <v/>
      </c>
      <c r="K4082" s="21" t="str">
        <f t="shared" ca="1" si="299"/>
        <v/>
      </c>
    </row>
    <row r="4083" spans="1:11" s="18" customFormat="1" ht="14.25" x14ac:dyDescent="0.2">
      <c r="A4083" s="18" t="str">
        <f t="shared" si="302"/>
        <v>Eintrag 4082</v>
      </c>
      <c r="B4083" s="18">
        <v>100</v>
      </c>
      <c r="C4083" s="19">
        <v>100</v>
      </c>
      <c r="D4083" s="20">
        <v>10</v>
      </c>
      <c r="E4083" s="20">
        <v>10</v>
      </c>
      <c r="F4083" s="20">
        <v>10</v>
      </c>
      <c r="G4083" s="19">
        <f t="shared" si="300"/>
        <v>172</v>
      </c>
      <c r="H4083" s="22">
        <f t="shared" si="301"/>
        <v>4082</v>
      </c>
      <c r="I4083" s="21">
        <f t="shared" ca="1" si="296"/>
        <v>0</v>
      </c>
      <c r="J4083" s="21" t="str">
        <f ca="1">IF(I4083=0,"",COUNTIF($I$2:I4083,"&gt;0"))</f>
        <v/>
      </c>
      <c r="K4083" s="21" t="str">
        <f t="shared" ca="1" si="299"/>
        <v/>
      </c>
    </row>
    <row r="4084" spans="1:11" s="18" customFormat="1" ht="14.25" x14ac:dyDescent="0.2">
      <c r="A4084" s="18" t="str">
        <f t="shared" si="302"/>
        <v>Eintrag 4083</v>
      </c>
      <c r="B4084" s="18">
        <v>100</v>
      </c>
      <c r="C4084" s="19">
        <v>100</v>
      </c>
      <c r="D4084" s="20">
        <v>10</v>
      </c>
      <c r="E4084" s="20">
        <v>10</v>
      </c>
      <c r="F4084" s="20">
        <v>10</v>
      </c>
      <c r="G4084" s="19">
        <f t="shared" si="300"/>
        <v>172</v>
      </c>
      <c r="H4084" s="22">
        <f t="shared" si="301"/>
        <v>4083</v>
      </c>
      <c r="I4084" s="21">
        <f t="shared" ca="1" si="296"/>
        <v>0</v>
      </c>
      <c r="J4084" s="21" t="str">
        <f ca="1">IF(I4084=0,"",COUNTIF($I$2:I4084,"&gt;0"))</f>
        <v/>
      </c>
      <c r="K4084" s="21" t="str">
        <f t="shared" ca="1" si="299"/>
        <v/>
      </c>
    </row>
    <row r="4085" spans="1:11" s="18" customFormat="1" ht="14.25" x14ac:dyDescent="0.2">
      <c r="A4085" s="18" t="str">
        <f t="shared" si="302"/>
        <v>Eintrag 4084</v>
      </c>
      <c r="B4085" s="18">
        <v>100</v>
      </c>
      <c r="C4085" s="19">
        <v>100</v>
      </c>
      <c r="D4085" s="20">
        <v>10</v>
      </c>
      <c r="E4085" s="20">
        <v>10</v>
      </c>
      <c r="F4085" s="20">
        <v>10</v>
      </c>
      <c r="G4085" s="19">
        <f t="shared" si="300"/>
        <v>172</v>
      </c>
      <c r="H4085" s="22">
        <f t="shared" si="301"/>
        <v>4084</v>
      </c>
      <c r="I4085" s="21">
        <f t="shared" ca="1" si="296"/>
        <v>0</v>
      </c>
      <c r="J4085" s="21" t="str">
        <f ca="1">IF(I4085=0,"",COUNTIF($I$2:I4085,"&gt;0"))</f>
        <v/>
      </c>
      <c r="K4085" s="21" t="str">
        <f t="shared" ca="1" si="299"/>
        <v/>
      </c>
    </row>
    <row r="4086" spans="1:11" s="18" customFormat="1" ht="14.25" x14ac:dyDescent="0.2">
      <c r="A4086" s="18" t="str">
        <f t="shared" si="302"/>
        <v>Eintrag 4085</v>
      </c>
      <c r="B4086" s="18">
        <v>100</v>
      </c>
      <c r="C4086" s="19">
        <v>100</v>
      </c>
      <c r="D4086" s="20">
        <v>10</v>
      </c>
      <c r="E4086" s="20">
        <v>10</v>
      </c>
      <c r="F4086" s="20">
        <v>10</v>
      </c>
      <c r="G4086" s="19">
        <f t="shared" si="300"/>
        <v>172</v>
      </c>
      <c r="H4086" s="22">
        <f t="shared" si="301"/>
        <v>4085</v>
      </c>
      <c r="I4086" s="21">
        <f t="shared" ca="1" si="296"/>
        <v>0</v>
      </c>
      <c r="J4086" s="21" t="str">
        <f ca="1">IF(I4086=0,"",COUNTIF($I$2:I4086,"&gt;0"))</f>
        <v/>
      </c>
      <c r="K4086" s="21" t="str">
        <f t="shared" ca="1" si="299"/>
        <v/>
      </c>
    </row>
    <row r="4087" spans="1:11" s="18" customFormat="1" ht="14.25" x14ac:dyDescent="0.2">
      <c r="A4087" s="18" t="str">
        <f t="shared" si="302"/>
        <v>Eintrag 4086</v>
      </c>
      <c r="B4087" s="18">
        <v>100</v>
      </c>
      <c r="C4087" s="19">
        <v>100</v>
      </c>
      <c r="D4087" s="20">
        <v>10</v>
      </c>
      <c r="E4087" s="20">
        <v>10</v>
      </c>
      <c r="F4087" s="20">
        <v>10</v>
      </c>
      <c r="G4087" s="19">
        <f t="shared" si="300"/>
        <v>172</v>
      </c>
      <c r="H4087" s="22">
        <f t="shared" si="301"/>
        <v>4086</v>
      </c>
      <c r="I4087" s="21">
        <f t="shared" ca="1" si="296"/>
        <v>0</v>
      </c>
      <c r="J4087" s="21" t="str">
        <f ca="1">IF(I4087=0,"",COUNTIF($I$2:I4087,"&gt;0"))</f>
        <v/>
      </c>
      <c r="K4087" s="21" t="str">
        <f t="shared" ca="1" si="299"/>
        <v/>
      </c>
    </row>
    <row r="4088" spans="1:11" s="18" customFormat="1" ht="14.25" x14ac:dyDescent="0.2">
      <c r="A4088" s="18" t="str">
        <f t="shared" si="302"/>
        <v>Eintrag 4087</v>
      </c>
      <c r="B4088" s="18">
        <v>100</v>
      </c>
      <c r="C4088" s="19">
        <v>100</v>
      </c>
      <c r="D4088" s="20">
        <v>10</v>
      </c>
      <c r="E4088" s="20">
        <v>10</v>
      </c>
      <c r="F4088" s="20">
        <v>10</v>
      </c>
      <c r="G4088" s="19">
        <f t="shared" si="300"/>
        <v>172</v>
      </c>
      <c r="H4088" s="22">
        <f t="shared" si="301"/>
        <v>4087</v>
      </c>
      <c r="I4088" s="21">
        <f t="shared" ca="1" si="296"/>
        <v>0</v>
      </c>
      <c r="J4088" s="21" t="str">
        <f ca="1">IF(I4088=0,"",COUNTIF($I$2:I4088,"&gt;0"))</f>
        <v/>
      </c>
      <c r="K4088" s="21" t="str">
        <f t="shared" ca="1" si="299"/>
        <v/>
      </c>
    </row>
    <row r="4089" spans="1:11" s="18" customFormat="1" ht="14.25" x14ac:dyDescent="0.2">
      <c r="A4089" s="18" t="str">
        <f t="shared" si="302"/>
        <v>Eintrag 4088</v>
      </c>
      <c r="B4089" s="18">
        <v>100</v>
      </c>
      <c r="C4089" s="19">
        <v>100</v>
      </c>
      <c r="D4089" s="20">
        <v>10</v>
      </c>
      <c r="E4089" s="20">
        <v>10</v>
      </c>
      <c r="F4089" s="20">
        <v>10</v>
      </c>
      <c r="G4089" s="19">
        <f t="shared" si="300"/>
        <v>172</v>
      </c>
      <c r="H4089" s="22">
        <f t="shared" si="301"/>
        <v>4088</v>
      </c>
      <c r="I4089" s="21">
        <f t="shared" ca="1" si="296"/>
        <v>0</v>
      </c>
      <c r="J4089" s="21" t="str">
        <f ca="1">IF(I4089=0,"",COUNTIF($I$2:I4089,"&gt;0"))</f>
        <v/>
      </c>
      <c r="K4089" s="21" t="str">
        <f t="shared" ca="1" si="299"/>
        <v/>
      </c>
    </row>
    <row r="4090" spans="1:11" s="18" customFormat="1" ht="14.25" x14ac:dyDescent="0.2">
      <c r="A4090" s="18" t="str">
        <f t="shared" si="302"/>
        <v>Eintrag 4089</v>
      </c>
      <c r="B4090" s="18">
        <v>100</v>
      </c>
      <c r="C4090" s="19">
        <v>100</v>
      </c>
      <c r="D4090" s="20">
        <v>10</v>
      </c>
      <c r="E4090" s="20">
        <v>10</v>
      </c>
      <c r="F4090" s="20">
        <v>10</v>
      </c>
      <c r="G4090" s="19">
        <f t="shared" si="300"/>
        <v>172</v>
      </c>
      <c r="H4090" s="22">
        <f t="shared" si="301"/>
        <v>4089</v>
      </c>
      <c r="I4090" s="21">
        <f t="shared" ca="1" si="296"/>
        <v>0</v>
      </c>
      <c r="J4090" s="21" t="str">
        <f ca="1">IF(I4090=0,"",COUNTIF($I$2:I4090,"&gt;0"))</f>
        <v/>
      </c>
      <c r="K4090" s="21" t="str">
        <f t="shared" ca="1" si="299"/>
        <v/>
      </c>
    </row>
    <row r="4091" spans="1:11" s="18" customFormat="1" ht="14.25" x14ac:dyDescent="0.2">
      <c r="A4091" s="18" t="str">
        <f t="shared" si="302"/>
        <v>Eintrag 4090</v>
      </c>
      <c r="B4091" s="18">
        <v>100</v>
      </c>
      <c r="C4091" s="19">
        <v>100</v>
      </c>
      <c r="D4091" s="20">
        <v>10</v>
      </c>
      <c r="E4091" s="20">
        <v>10</v>
      </c>
      <c r="F4091" s="20">
        <v>10</v>
      </c>
      <c r="G4091" s="19">
        <f t="shared" si="300"/>
        <v>172</v>
      </c>
      <c r="H4091" s="22">
        <f t="shared" si="301"/>
        <v>4090</v>
      </c>
      <c r="I4091" s="21">
        <f t="shared" ca="1" si="296"/>
        <v>0</v>
      </c>
      <c r="J4091" s="21" t="str">
        <f ca="1">IF(I4091=0,"",COUNTIF($I$2:I4091,"&gt;0"))</f>
        <v/>
      </c>
      <c r="K4091" s="21" t="str">
        <f t="shared" ca="1" si="299"/>
        <v/>
      </c>
    </row>
    <row r="4092" spans="1:11" s="18" customFormat="1" ht="14.25" x14ac:dyDescent="0.2">
      <c r="A4092" s="18" t="str">
        <f t="shared" si="302"/>
        <v>Eintrag 4091</v>
      </c>
      <c r="B4092" s="18">
        <v>100</v>
      </c>
      <c r="C4092" s="19">
        <v>100</v>
      </c>
      <c r="D4092" s="20">
        <v>10</v>
      </c>
      <c r="E4092" s="20">
        <v>10</v>
      </c>
      <c r="F4092" s="20">
        <v>10</v>
      </c>
      <c r="G4092" s="19">
        <f t="shared" si="300"/>
        <v>172</v>
      </c>
      <c r="H4092" s="22">
        <f t="shared" si="301"/>
        <v>4091</v>
      </c>
      <c r="I4092" s="21">
        <f t="shared" ca="1" si="296"/>
        <v>0</v>
      </c>
      <c r="J4092" s="21" t="str">
        <f ca="1">IF(I4092=0,"",COUNTIF($I$2:I4092,"&gt;0"))</f>
        <v/>
      </c>
      <c r="K4092" s="21" t="str">
        <f t="shared" ca="1" si="299"/>
        <v/>
      </c>
    </row>
    <row r="4093" spans="1:11" s="18" customFormat="1" ht="14.25" x14ac:dyDescent="0.2">
      <c r="A4093" s="18" t="str">
        <f t="shared" si="302"/>
        <v>Eintrag 4092</v>
      </c>
      <c r="B4093" s="18">
        <v>100</v>
      </c>
      <c r="C4093" s="19">
        <v>100</v>
      </c>
      <c r="D4093" s="20">
        <v>10</v>
      </c>
      <c r="E4093" s="20">
        <v>10</v>
      </c>
      <c r="F4093" s="20">
        <v>10</v>
      </c>
      <c r="G4093" s="19">
        <f t="shared" si="300"/>
        <v>172</v>
      </c>
      <c r="H4093" s="22">
        <f t="shared" si="301"/>
        <v>4092</v>
      </c>
      <c r="I4093" s="21">
        <f t="shared" ca="1" si="296"/>
        <v>0</v>
      </c>
      <c r="J4093" s="21" t="str">
        <f ca="1">IF(I4093=0,"",COUNTIF($I$2:I4093,"&gt;0"))</f>
        <v/>
      </c>
      <c r="K4093" s="21" t="str">
        <f t="shared" ca="1" si="299"/>
        <v/>
      </c>
    </row>
    <row r="4094" spans="1:11" s="18" customFormat="1" ht="14.25" x14ac:dyDescent="0.2">
      <c r="A4094" s="18" t="str">
        <f t="shared" si="302"/>
        <v>Eintrag 4093</v>
      </c>
      <c r="B4094" s="18">
        <v>100</v>
      </c>
      <c r="C4094" s="19">
        <v>100</v>
      </c>
      <c r="D4094" s="20">
        <v>10</v>
      </c>
      <c r="E4094" s="20">
        <v>10</v>
      </c>
      <c r="F4094" s="20">
        <v>10</v>
      </c>
      <c r="G4094" s="19">
        <f t="shared" si="300"/>
        <v>172</v>
      </c>
      <c r="H4094" s="22">
        <f t="shared" si="301"/>
        <v>4093</v>
      </c>
      <c r="I4094" s="21">
        <f t="shared" ca="1" si="296"/>
        <v>0</v>
      </c>
      <c r="J4094" s="21" t="str">
        <f ca="1">IF(I4094=0,"",COUNTIF($I$2:I4094,"&gt;0"))</f>
        <v/>
      </c>
      <c r="K4094" s="21" t="str">
        <f t="shared" ca="1" si="299"/>
        <v/>
      </c>
    </row>
    <row r="4095" spans="1:11" s="18" customFormat="1" ht="14.25" x14ac:dyDescent="0.2">
      <c r="A4095" s="18" t="str">
        <f t="shared" si="302"/>
        <v>Eintrag 4094</v>
      </c>
      <c r="B4095" s="18">
        <v>100</v>
      </c>
      <c r="C4095" s="19">
        <v>100</v>
      </c>
      <c r="D4095" s="20">
        <v>10</v>
      </c>
      <c r="E4095" s="20">
        <v>10</v>
      </c>
      <c r="F4095" s="20">
        <v>10</v>
      </c>
      <c r="G4095" s="19">
        <f t="shared" si="300"/>
        <v>172</v>
      </c>
      <c r="H4095" s="22">
        <f t="shared" si="301"/>
        <v>4094</v>
      </c>
      <c r="I4095" s="21">
        <f t="shared" ca="1" si="296"/>
        <v>0</v>
      </c>
      <c r="J4095" s="21" t="str">
        <f ca="1">IF(I4095=0,"",COUNTIF($I$2:I4095,"&gt;0"))</f>
        <v/>
      </c>
      <c r="K4095" s="21" t="str">
        <f t="shared" ca="1" si="299"/>
        <v/>
      </c>
    </row>
    <row r="4096" spans="1:11" s="18" customFormat="1" ht="14.25" x14ac:dyDescent="0.2">
      <c r="A4096" s="18" t="str">
        <f t="shared" si="302"/>
        <v>Eintrag 4095</v>
      </c>
      <c r="B4096" s="18">
        <v>100</v>
      </c>
      <c r="C4096" s="19">
        <v>100</v>
      </c>
      <c r="D4096" s="20">
        <v>10</v>
      </c>
      <c r="E4096" s="20">
        <v>10</v>
      </c>
      <c r="F4096" s="20">
        <v>10</v>
      </c>
      <c r="G4096" s="19">
        <f t="shared" si="300"/>
        <v>172</v>
      </c>
      <c r="H4096" s="22">
        <f t="shared" si="301"/>
        <v>4095</v>
      </c>
      <c r="I4096" s="21">
        <f t="shared" ca="1" si="296"/>
        <v>0</v>
      </c>
      <c r="J4096" s="21" t="str">
        <f ca="1">IF(I4096=0,"",COUNTIF($I$2:I4096,"&gt;0"))</f>
        <v/>
      </c>
      <c r="K4096" s="21" t="str">
        <f t="shared" ca="1" si="299"/>
        <v/>
      </c>
    </row>
    <row r="4097" spans="1:11" s="18" customFormat="1" ht="14.25" x14ac:dyDescent="0.2">
      <c r="A4097" s="18" t="str">
        <f t="shared" si="302"/>
        <v>Eintrag 4096</v>
      </c>
      <c r="B4097" s="18">
        <v>100</v>
      </c>
      <c r="C4097" s="19">
        <v>100</v>
      </c>
      <c r="D4097" s="20">
        <v>10</v>
      </c>
      <c r="E4097" s="20">
        <v>10</v>
      </c>
      <c r="F4097" s="20">
        <v>10</v>
      </c>
      <c r="G4097" s="19">
        <f t="shared" si="300"/>
        <v>172</v>
      </c>
      <c r="H4097" s="22">
        <f t="shared" si="301"/>
        <v>4096</v>
      </c>
      <c r="I4097" s="21">
        <f t="shared" ca="1" si="296"/>
        <v>0</v>
      </c>
      <c r="J4097" s="21" t="str">
        <f ca="1">IF(I4097=0,"",COUNTIF($I$2:I4097,"&gt;0"))</f>
        <v/>
      </c>
      <c r="K4097" s="21" t="str">
        <f t="shared" ca="1" si="299"/>
        <v/>
      </c>
    </row>
    <row r="4098" spans="1:11" s="18" customFormat="1" ht="14.25" x14ac:dyDescent="0.2">
      <c r="A4098" s="18" t="str">
        <f t="shared" si="302"/>
        <v>Eintrag 4097</v>
      </c>
      <c r="B4098" s="18">
        <v>100</v>
      </c>
      <c r="C4098" s="19">
        <v>100</v>
      </c>
      <c r="D4098" s="20">
        <v>10</v>
      </c>
      <c r="E4098" s="20">
        <v>10</v>
      </c>
      <c r="F4098" s="20">
        <v>10</v>
      </c>
      <c r="G4098" s="19">
        <f t="shared" si="300"/>
        <v>172</v>
      </c>
      <c r="H4098" s="22">
        <f t="shared" si="301"/>
        <v>4097</v>
      </c>
      <c r="I4098" s="21">
        <f t="shared" ca="1" si="296"/>
        <v>0</v>
      </c>
      <c r="J4098" s="21" t="str">
        <f ca="1">IF(I4098=0,"",COUNTIF($I$2:I4098,"&gt;0"))</f>
        <v/>
      </c>
      <c r="K4098" s="21" t="str">
        <f t="shared" ref="K4098:K4161" ca="1" si="303">IFERROR(INDEX(A:A,MATCH(ROW(I4097),J:J,0)),"")</f>
        <v/>
      </c>
    </row>
    <row r="4099" spans="1:11" s="18" customFormat="1" ht="14.25" x14ac:dyDescent="0.2">
      <c r="A4099" s="18" t="str">
        <f t="shared" si="302"/>
        <v>Eintrag 4098</v>
      </c>
      <c r="B4099" s="18">
        <v>100</v>
      </c>
      <c r="C4099" s="19">
        <v>100</v>
      </c>
      <c r="D4099" s="20">
        <v>10</v>
      </c>
      <c r="E4099" s="20">
        <v>10</v>
      </c>
      <c r="F4099" s="20">
        <v>10</v>
      </c>
      <c r="G4099" s="19">
        <f t="shared" ref="G4099:G4162" si="304">D4099*9+E4099*4.1+F4099*4.1</f>
        <v>172</v>
      </c>
      <c r="H4099" s="22">
        <f t="shared" si="301"/>
        <v>4098</v>
      </c>
      <c r="I4099" s="21">
        <f t="shared" ca="1" si="296"/>
        <v>0</v>
      </c>
      <c r="J4099" s="21" t="str">
        <f ca="1">IF(I4099=0,"",COUNTIF($I$2:I4099,"&gt;0"))</f>
        <v/>
      </c>
      <c r="K4099" s="21" t="str">
        <f t="shared" ca="1" si="303"/>
        <v/>
      </c>
    </row>
    <row r="4100" spans="1:11" s="18" customFormat="1" ht="14.25" x14ac:dyDescent="0.2">
      <c r="A4100" s="18" t="str">
        <f t="shared" si="302"/>
        <v>Eintrag 4099</v>
      </c>
      <c r="B4100" s="18">
        <v>100</v>
      </c>
      <c r="C4100" s="19">
        <v>100</v>
      </c>
      <c r="D4100" s="20">
        <v>10</v>
      </c>
      <c r="E4100" s="20">
        <v>10</v>
      </c>
      <c r="F4100" s="20">
        <v>10</v>
      </c>
      <c r="G4100" s="19">
        <f t="shared" si="304"/>
        <v>172</v>
      </c>
      <c r="H4100" s="22">
        <f t="shared" si="301"/>
        <v>4099</v>
      </c>
      <c r="I4100" s="21">
        <f t="shared" ca="1" si="296"/>
        <v>0</v>
      </c>
      <c r="J4100" s="21" t="str">
        <f ca="1">IF(I4100=0,"",COUNTIF($I$2:I4100,"&gt;0"))</f>
        <v/>
      </c>
      <c r="K4100" s="21" t="str">
        <f t="shared" ca="1" si="303"/>
        <v/>
      </c>
    </row>
    <row r="4101" spans="1:11" s="18" customFormat="1" ht="14.25" x14ac:dyDescent="0.2">
      <c r="A4101" s="18" t="str">
        <f t="shared" si="302"/>
        <v>Eintrag 4100</v>
      </c>
      <c r="B4101" s="18">
        <v>100</v>
      </c>
      <c r="C4101" s="19">
        <v>100</v>
      </c>
      <c r="D4101" s="20">
        <v>10</v>
      </c>
      <c r="E4101" s="20">
        <v>10</v>
      </c>
      <c r="F4101" s="20">
        <v>10</v>
      </c>
      <c r="G4101" s="19">
        <f t="shared" si="304"/>
        <v>172</v>
      </c>
      <c r="H4101" s="22">
        <f t="shared" si="301"/>
        <v>4100</v>
      </c>
      <c r="I4101" s="21">
        <f t="shared" ca="1" si="296"/>
        <v>0</v>
      </c>
      <c r="J4101" s="21" t="str">
        <f ca="1">IF(I4101=0,"",COUNTIF($I$2:I4101,"&gt;0"))</f>
        <v/>
      </c>
      <c r="K4101" s="21" t="str">
        <f t="shared" ca="1" si="303"/>
        <v/>
      </c>
    </row>
    <row r="4102" spans="1:11" s="18" customFormat="1" ht="14.25" x14ac:dyDescent="0.2">
      <c r="A4102" s="18" t="str">
        <f t="shared" si="302"/>
        <v>Eintrag 4101</v>
      </c>
      <c r="B4102" s="18">
        <v>100</v>
      </c>
      <c r="C4102" s="19">
        <v>100</v>
      </c>
      <c r="D4102" s="20">
        <v>10</v>
      </c>
      <c r="E4102" s="20">
        <v>10</v>
      </c>
      <c r="F4102" s="20">
        <v>10</v>
      </c>
      <c r="G4102" s="19">
        <f t="shared" si="304"/>
        <v>172</v>
      </c>
      <c r="H4102" s="22">
        <f t="shared" si="301"/>
        <v>4101</v>
      </c>
      <c r="I4102" s="21">
        <f t="shared" ca="1" si="296"/>
        <v>0</v>
      </c>
      <c r="J4102" s="21" t="str">
        <f ca="1">IF(I4102=0,"",COUNTIF($I$2:I4102,"&gt;0"))</f>
        <v/>
      </c>
      <c r="K4102" s="21" t="str">
        <f t="shared" ca="1" si="303"/>
        <v/>
      </c>
    </row>
    <row r="4103" spans="1:11" s="18" customFormat="1" ht="14.25" x14ac:dyDescent="0.2">
      <c r="A4103" s="18" t="str">
        <f t="shared" si="302"/>
        <v>Eintrag 4102</v>
      </c>
      <c r="B4103" s="18">
        <v>100</v>
      </c>
      <c r="C4103" s="19">
        <v>100</v>
      </c>
      <c r="D4103" s="20">
        <v>10</v>
      </c>
      <c r="E4103" s="20">
        <v>10</v>
      </c>
      <c r="F4103" s="20">
        <v>10</v>
      </c>
      <c r="G4103" s="19">
        <f t="shared" si="304"/>
        <v>172</v>
      </c>
      <c r="H4103" s="22">
        <f t="shared" si="301"/>
        <v>4102</v>
      </c>
      <c r="I4103" s="21">
        <f t="shared" ca="1" si="296"/>
        <v>0</v>
      </c>
      <c r="J4103" s="21" t="str">
        <f ca="1">IF(I4103=0,"",COUNTIF($I$2:I4103,"&gt;0"))</f>
        <v/>
      </c>
      <c r="K4103" s="21" t="str">
        <f t="shared" ca="1" si="303"/>
        <v/>
      </c>
    </row>
    <row r="4104" spans="1:11" s="18" customFormat="1" ht="14.25" x14ac:dyDescent="0.2">
      <c r="A4104" s="18" t="str">
        <f t="shared" si="302"/>
        <v>Eintrag 4103</v>
      </c>
      <c r="B4104" s="18">
        <v>100</v>
      </c>
      <c r="C4104" s="19">
        <v>100</v>
      </c>
      <c r="D4104" s="20">
        <v>10</v>
      </c>
      <c r="E4104" s="20">
        <v>10</v>
      </c>
      <c r="F4104" s="20">
        <v>10</v>
      </c>
      <c r="G4104" s="19">
        <f t="shared" si="304"/>
        <v>172</v>
      </c>
      <c r="H4104" s="22">
        <f t="shared" si="301"/>
        <v>4103</v>
      </c>
      <c r="I4104" s="21">
        <f t="shared" ca="1" si="296"/>
        <v>0</v>
      </c>
      <c r="J4104" s="21" t="str">
        <f ca="1">IF(I4104=0,"",COUNTIF($I$2:I4104,"&gt;0"))</f>
        <v/>
      </c>
      <c r="K4104" s="21" t="str">
        <f t="shared" ca="1" si="303"/>
        <v/>
      </c>
    </row>
    <row r="4105" spans="1:11" s="18" customFormat="1" ht="14.25" x14ac:dyDescent="0.2">
      <c r="A4105" s="18" t="str">
        <f t="shared" si="302"/>
        <v>Eintrag 4104</v>
      </c>
      <c r="B4105" s="18">
        <v>100</v>
      </c>
      <c r="C4105" s="19">
        <v>100</v>
      </c>
      <c r="D4105" s="20">
        <v>10</v>
      </c>
      <c r="E4105" s="20">
        <v>10</v>
      </c>
      <c r="F4105" s="20">
        <v>10</v>
      </c>
      <c r="G4105" s="19">
        <f t="shared" si="304"/>
        <v>172</v>
      </c>
      <c r="H4105" s="22">
        <f t="shared" si="301"/>
        <v>4104</v>
      </c>
      <c r="I4105" s="21">
        <f t="shared" ca="1" si="296"/>
        <v>0</v>
      </c>
      <c r="J4105" s="21" t="str">
        <f ca="1">IF(I4105=0,"",COUNTIF($I$2:I4105,"&gt;0"))</f>
        <v/>
      </c>
      <c r="K4105" s="21" t="str">
        <f t="shared" ca="1" si="303"/>
        <v/>
      </c>
    </row>
    <row r="4106" spans="1:11" s="18" customFormat="1" ht="14.25" x14ac:dyDescent="0.2">
      <c r="A4106" s="18" t="str">
        <f t="shared" si="302"/>
        <v>Eintrag 4105</v>
      </c>
      <c r="B4106" s="18">
        <v>100</v>
      </c>
      <c r="C4106" s="19">
        <v>100</v>
      </c>
      <c r="D4106" s="20">
        <v>10</v>
      </c>
      <c r="E4106" s="20">
        <v>10</v>
      </c>
      <c r="F4106" s="20">
        <v>10</v>
      </c>
      <c r="G4106" s="19">
        <f t="shared" si="304"/>
        <v>172</v>
      </c>
      <c r="H4106" s="22">
        <f t="shared" si="301"/>
        <v>4105</v>
      </c>
      <c r="I4106" s="21">
        <f t="shared" ca="1" si="296"/>
        <v>0</v>
      </c>
      <c r="J4106" s="21" t="str">
        <f ca="1">IF(I4106=0,"",COUNTIF($I$2:I4106,"&gt;0"))</f>
        <v/>
      </c>
      <c r="K4106" s="21" t="str">
        <f t="shared" ca="1" si="303"/>
        <v/>
      </c>
    </row>
    <row r="4107" spans="1:11" s="18" customFormat="1" ht="14.25" x14ac:dyDescent="0.2">
      <c r="A4107" s="18" t="str">
        <f t="shared" si="302"/>
        <v>Eintrag 4106</v>
      </c>
      <c r="B4107" s="18">
        <v>100</v>
      </c>
      <c r="C4107" s="19">
        <v>100</v>
      </c>
      <c r="D4107" s="20">
        <v>10</v>
      </c>
      <c r="E4107" s="20">
        <v>10</v>
      </c>
      <c r="F4107" s="20">
        <v>10</v>
      </c>
      <c r="G4107" s="19">
        <f t="shared" si="304"/>
        <v>172</v>
      </c>
      <c r="H4107" s="22">
        <f t="shared" si="301"/>
        <v>4106</v>
      </c>
      <c r="I4107" s="21">
        <f t="shared" ca="1" si="296"/>
        <v>0</v>
      </c>
      <c r="J4107" s="21" t="str">
        <f ca="1">IF(I4107=0,"",COUNTIF($I$2:I4107,"&gt;0"))</f>
        <v/>
      </c>
      <c r="K4107" s="21" t="str">
        <f t="shared" ca="1" si="303"/>
        <v/>
      </c>
    </row>
    <row r="4108" spans="1:11" s="18" customFormat="1" ht="14.25" x14ac:dyDescent="0.2">
      <c r="A4108" s="18" t="str">
        <f t="shared" si="302"/>
        <v>Eintrag 4107</v>
      </c>
      <c r="B4108" s="18">
        <v>100</v>
      </c>
      <c r="C4108" s="19">
        <v>100</v>
      </c>
      <c r="D4108" s="20">
        <v>10</v>
      </c>
      <c r="E4108" s="20">
        <v>10</v>
      </c>
      <c r="F4108" s="20">
        <v>10</v>
      </c>
      <c r="G4108" s="19">
        <f t="shared" si="304"/>
        <v>172</v>
      </c>
      <c r="H4108" s="22">
        <f t="shared" si="301"/>
        <v>4107</v>
      </c>
      <c r="I4108" s="21">
        <f t="shared" ca="1" si="296"/>
        <v>0</v>
      </c>
      <c r="J4108" s="21" t="str">
        <f ca="1">IF(I4108=0,"",COUNTIF($I$2:I4108,"&gt;0"))</f>
        <v/>
      </c>
      <c r="K4108" s="21" t="str">
        <f t="shared" ca="1" si="303"/>
        <v/>
      </c>
    </row>
    <row r="4109" spans="1:11" s="18" customFormat="1" ht="14.25" x14ac:dyDescent="0.2">
      <c r="A4109" s="18" t="str">
        <f t="shared" si="302"/>
        <v>Eintrag 4108</v>
      </c>
      <c r="B4109" s="18">
        <v>100</v>
      </c>
      <c r="C4109" s="19">
        <v>100</v>
      </c>
      <c r="D4109" s="20">
        <v>10</v>
      </c>
      <c r="E4109" s="20">
        <v>10</v>
      </c>
      <c r="F4109" s="20">
        <v>10</v>
      </c>
      <c r="G4109" s="19">
        <f t="shared" si="304"/>
        <v>172</v>
      </c>
      <c r="H4109" s="22">
        <f t="shared" si="301"/>
        <v>4108</v>
      </c>
      <c r="I4109" s="21">
        <f t="shared" ca="1" si="296"/>
        <v>0</v>
      </c>
      <c r="J4109" s="21" t="str">
        <f ca="1">IF(I4109=0,"",COUNTIF($I$2:I4109,"&gt;0"))</f>
        <v/>
      </c>
      <c r="K4109" s="21" t="str">
        <f t="shared" ca="1" si="303"/>
        <v/>
      </c>
    </row>
    <row r="4110" spans="1:11" s="18" customFormat="1" ht="14.25" x14ac:dyDescent="0.2">
      <c r="A4110" s="18" t="str">
        <f t="shared" si="302"/>
        <v>Eintrag 4109</v>
      </c>
      <c r="B4110" s="18">
        <v>100</v>
      </c>
      <c r="C4110" s="19">
        <v>100</v>
      </c>
      <c r="D4110" s="20">
        <v>10</v>
      </c>
      <c r="E4110" s="20">
        <v>10</v>
      </c>
      <c r="F4110" s="20">
        <v>10</v>
      </c>
      <c r="G4110" s="19">
        <f t="shared" si="304"/>
        <v>172</v>
      </c>
      <c r="H4110" s="22">
        <f t="shared" si="301"/>
        <v>4109</v>
      </c>
      <c r="I4110" s="21">
        <f t="shared" ca="1" si="296"/>
        <v>0</v>
      </c>
      <c r="J4110" s="21" t="str">
        <f ca="1">IF(I4110=0,"",COUNTIF($I$2:I4110,"&gt;0"))</f>
        <v/>
      </c>
      <c r="K4110" s="21" t="str">
        <f t="shared" ca="1" si="303"/>
        <v/>
      </c>
    </row>
    <row r="4111" spans="1:11" s="18" customFormat="1" ht="14.25" x14ac:dyDescent="0.2">
      <c r="A4111" s="18" t="str">
        <f t="shared" si="302"/>
        <v>Eintrag 4110</v>
      </c>
      <c r="B4111" s="18">
        <v>100</v>
      </c>
      <c r="C4111" s="19">
        <v>100</v>
      </c>
      <c r="D4111" s="20">
        <v>10</v>
      </c>
      <c r="E4111" s="20">
        <v>10</v>
      </c>
      <c r="F4111" s="20">
        <v>10</v>
      </c>
      <c r="G4111" s="19">
        <f t="shared" si="304"/>
        <v>172</v>
      </c>
      <c r="H4111" s="22">
        <f t="shared" si="301"/>
        <v>4110</v>
      </c>
      <c r="I4111" s="21">
        <f t="shared" ca="1" si="296"/>
        <v>0</v>
      </c>
      <c r="J4111" s="21" t="str">
        <f ca="1">IF(I4111=0,"",COUNTIF($I$2:I4111,"&gt;0"))</f>
        <v/>
      </c>
      <c r="K4111" s="21" t="str">
        <f t="shared" ca="1" si="303"/>
        <v/>
      </c>
    </row>
    <row r="4112" spans="1:11" s="18" customFormat="1" ht="14.25" x14ac:dyDescent="0.2">
      <c r="A4112" s="18" t="str">
        <f t="shared" si="302"/>
        <v>Eintrag 4111</v>
      </c>
      <c r="B4112" s="18">
        <v>100</v>
      </c>
      <c r="C4112" s="19">
        <v>100</v>
      </c>
      <c r="D4112" s="20">
        <v>10</v>
      </c>
      <c r="E4112" s="20">
        <v>10</v>
      </c>
      <c r="F4112" s="20">
        <v>10</v>
      </c>
      <c r="G4112" s="19">
        <f t="shared" si="304"/>
        <v>172</v>
      </c>
      <c r="H4112" s="22">
        <f t="shared" si="301"/>
        <v>4111</v>
      </c>
      <c r="I4112" s="21">
        <f t="shared" ca="1" si="296"/>
        <v>0</v>
      </c>
      <c r="J4112" s="21" t="str">
        <f ca="1">IF(I4112=0,"",COUNTIF($I$2:I4112,"&gt;0"))</f>
        <v/>
      </c>
      <c r="K4112" s="21" t="str">
        <f t="shared" ca="1" si="303"/>
        <v/>
      </c>
    </row>
    <row r="4113" spans="1:11" s="18" customFormat="1" ht="14.25" x14ac:dyDescent="0.2">
      <c r="A4113" s="18" t="str">
        <f t="shared" si="302"/>
        <v>Eintrag 4112</v>
      </c>
      <c r="B4113" s="18">
        <v>100</v>
      </c>
      <c r="C4113" s="19">
        <v>100</v>
      </c>
      <c r="D4113" s="20">
        <v>10</v>
      </c>
      <c r="E4113" s="20">
        <v>10</v>
      </c>
      <c r="F4113" s="20">
        <v>10</v>
      </c>
      <c r="G4113" s="19">
        <f t="shared" si="304"/>
        <v>172</v>
      </c>
      <c r="H4113" s="22">
        <f t="shared" si="301"/>
        <v>4112</v>
      </c>
      <c r="I4113" s="21">
        <f t="shared" ca="1" si="296"/>
        <v>0</v>
      </c>
      <c r="J4113" s="21" t="str">
        <f ca="1">IF(I4113=0,"",COUNTIF($I$2:I4113,"&gt;0"))</f>
        <v/>
      </c>
      <c r="K4113" s="21" t="str">
        <f t="shared" ca="1" si="303"/>
        <v/>
      </c>
    </row>
    <row r="4114" spans="1:11" s="18" customFormat="1" ht="14.25" x14ac:dyDescent="0.2">
      <c r="A4114" s="18" t="str">
        <f t="shared" si="302"/>
        <v>Eintrag 4113</v>
      </c>
      <c r="B4114" s="18">
        <v>100</v>
      </c>
      <c r="C4114" s="19">
        <v>100</v>
      </c>
      <c r="D4114" s="20">
        <v>10</v>
      </c>
      <c r="E4114" s="20">
        <v>10</v>
      </c>
      <c r="F4114" s="20">
        <v>10</v>
      </c>
      <c r="G4114" s="19">
        <f t="shared" si="304"/>
        <v>172</v>
      </c>
      <c r="H4114" s="22">
        <f t="shared" si="301"/>
        <v>4113</v>
      </c>
      <c r="I4114" s="21">
        <f t="shared" ca="1" si="296"/>
        <v>0</v>
      </c>
      <c r="J4114" s="21" t="str">
        <f ca="1">IF(I4114=0,"",COUNTIF($I$2:I4114,"&gt;0"))</f>
        <v/>
      </c>
      <c r="K4114" s="21" t="str">
        <f t="shared" ca="1" si="303"/>
        <v/>
      </c>
    </row>
    <row r="4115" spans="1:11" s="18" customFormat="1" ht="14.25" x14ac:dyDescent="0.2">
      <c r="A4115" s="18" t="str">
        <f t="shared" si="302"/>
        <v>Eintrag 4114</v>
      </c>
      <c r="B4115" s="18">
        <v>100</v>
      </c>
      <c r="C4115" s="19">
        <v>100</v>
      </c>
      <c r="D4115" s="20">
        <v>10</v>
      </c>
      <c r="E4115" s="20">
        <v>10</v>
      </c>
      <c r="F4115" s="20">
        <v>10</v>
      </c>
      <c r="G4115" s="19">
        <f t="shared" si="304"/>
        <v>172</v>
      </c>
      <c r="H4115" s="22">
        <f t="shared" si="301"/>
        <v>4114</v>
      </c>
      <c r="I4115" s="21">
        <f t="shared" ca="1" si="296"/>
        <v>0</v>
      </c>
      <c r="J4115" s="21" t="str">
        <f ca="1">IF(I4115=0,"",COUNTIF($I$2:I4115,"&gt;0"))</f>
        <v/>
      </c>
      <c r="K4115" s="21" t="str">
        <f t="shared" ca="1" si="303"/>
        <v/>
      </c>
    </row>
    <row r="4116" spans="1:11" s="18" customFormat="1" ht="14.25" x14ac:dyDescent="0.2">
      <c r="A4116" s="18" t="str">
        <f t="shared" si="302"/>
        <v>Eintrag 4115</v>
      </c>
      <c r="B4116" s="18">
        <v>100</v>
      </c>
      <c r="C4116" s="19">
        <v>100</v>
      </c>
      <c r="D4116" s="20">
        <v>10</v>
      </c>
      <c r="E4116" s="20">
        <v>10</v>
      </c>
      <c r="F4116" s="20">
        <v>10</v>
      </c>
      <c r="G4116" s="19">
        <f t="shared" si="304"/>
        <v>172</v>
      </c>
      <c r="H4116" s="22">
        <f t="shared" si="301"/>
        <v>4115</v>
      </c>
      <c r="I4116" s="21">
        <f t="shared" ca="1" si="296"/>
        <v>0</v>
      </c>
      <c r="J4116" s="21" t="str">
        <f ca="1">IF(I4116=0,"",COUNTIF($I$2:I4116,"&gt;0"))</f>
        <v/>
      </c>
      <c r="K4116" s="21" t="str">
        <f t="shared" ca="1" si="303"/>
        <v/>
      </c>
    </row>
    <row r="4117" spans="1:11" s="18" customFormat="1" ht="14.25" x14ac:dyDescent="0.2">
      <c r="A4117" s="18" t="str">
        <f t="shared" si="302"/>
        <v>Eintrag 4116</v>
      </c>
      <c r="B4117" s="18">
        <v>100</v>
      </c>
      <c r="C4117" s="19">
        <v>100</v>
      </c>
      <c r="D4117" s="20">
        <v>10</v>
      </c>
      <c r="E4117" s="20">
        <v>10</v>
      </c>
      <c r="F4117" s="20">
        <v>10</v>
      </c>
      <c r="G4117" s="19">
        <f t="shared" si="304"/>
        <v>172</v>
      </c>
      <c r="H4117" s="22">
        <f t="shared" si="301"/>
        <v>4116</v>
      </c>
      <c r="I4117" s="21">
        <f t="shared" ca="1" si="296"/>
        <v>0</v>
      </c>
      <c r="J4117" s="21" t="str">
        <f ca="1">IF(I4117=0,"",COUNTIF($I$2:I4117,"&gt;0"))</f>
        <v/>
      </c>
      <c r="K4117" s="21" t="str">
        <f t="shared" ca="1" si="303"/>
        <v/>
      </c>
    </row>
    <row r="4118" spans="1:11" s="18" customFormat="1" ht="14.25" x14ac:dyDescent="0.2">
      <c r="A4118" s="18" t="str">
        <f t="shared" si="302"/>
        <v>Eintrag 4117</v>
      </c>
      <c r="B4118" s="18">
        <v>100</v>
      </c>
      <c r="C4118" s="19">
        <v>100</v>
      </c>
      <c r="D4118" s="20">
        <v>10</v>
      </c>
      <c r="E4118" s="20">
        <v>10</v>
      </c>
      <c r="F4118" s="20">
        <v>10</v>
      </c>
      <c r="G4118" s="19">
        <f t="shared" si="304"/>
        <v>172</v>
      </c>
      <c r="H4118" s="22">
        <f t="shared" si="301"/>
        <v>4117</v>
      </c>
      <c r="I4118" s="21">
        <f t="shared" ca="1" si="296"/>
        <v>0</v>
      </c>
      <c r="J4118" s="21" t="str">
        <f ca="1">IF(I4118=0,"",COUNTIF($I$2:I4118,"&gt;0"))</f>
        <v/>
      </c>
      <c r="K4118" s="21" t="str">
        <f t="shared" ca="1" si="303"/>
        <v/>
      </c>
    </row>
    <row r="4119" spans="1:11" s="18" customFormat="1" ht="14.25" x14ac:dyDescent="0.2">
      <c r="A4119" s="18" t="str">
        <f t="shared" si="302"/>
        <v>Eintrag 4118</v>
      </c>
      <c r="B4119" s="18">
        <v>100</v>
      </c>
      <c r="C4119" s="19">
        <v>100</v>
      </c>
      <c r="D4119" s="20">
        <v>10</v>
      </c>
      <c r="E4119" s="20">
        <v>10</v>
      </c>
      <c r="F4119" s="20">
        <v>10</v>
      </c>
      <c r="G4119" s="19">
        <f t="shared" si="304"/>
        <v>172</v>
      </c>
      <c r="H4119" s="22">
        <f t="shared" si="301"/>
        <v>4118</v>
      </c>
      <c r="I4119" s="21">
        <f t="shared" ca="1" si="296"/>
        <v>0</v>
      </c>
      <c r="J4119" s="21" t="str">
        <f ca="1">IF(I4119=0,"",COUNTIF($I$2:I4119,"&gt;0"))</f>
        <v/>
      </c>
      <c r="K4119" s="21" t="str">
        <f t="shared" ca="1" si="303"/>
        <v/>
      </c>
    </row>
    <row r="4120" spans="1:11" s="18" customFormat="1" ht="14.25" x14ac:dyDescent="0.2">
      <c r="A4120" s="18" t="str">
        <f t="shared" si="302"/>
        <v>Eintrag 4119</v>
      </c>
      <c r="B4120" s="18">
        <v>100</v>
      </c>
      <c r="C4120" s="19">
        <v>100</v>
      </c>
      <c r="D4120" s="20">
        <v>10</v>
      </c>
      <c r="E4120" s="20">
        <v>10</v>
      </c>
      <c r="F4120" s="20">
        <v>10</v>
      </c>
      <c r="G4120" s="19">
        <f t="shared" si="304"/>
        <v>172</v>
      </c>
      <c r="H4120" s="22">
        <f t="shared" si="301"/>
        <v>4119</v>
      </c>
      <c r="I4120" s="21">
        <f t="shared" ca="1" si="296"/>
        <v>0</v>
      </c>
      <c r="J4120" s="21" t="str">
        <f ca="1">IF(I4120=0,"",COUNTIF($I$2:I4120,"&gt;0"))</f>
        <v/>
      </c>
      <c r="K4120" s="21" t="str">
        <f t="shared" ca="1" si="303"/>
        <v/>
      </c>
    </row>
    <row r="4121" spans="1:11" s="18" customFormat="1" ht="14.25" x14ac:dyDescent="0.2">
      <c r="A4121" s="18" t="str">
        <f t="shared" si="302"/>
        <v>Eintrag 4120</v>
      </c>
      <c r="B4121" s="18">
        <v>100</v>
      </c>
      <c r="C4121" s="19">
        <v>100</v>
      </c>
      <c r="D4121" s="20">
        <v>10</v>
      </c>
      <c r="E4121" s="20">
        <v>10</v>
      </c>
      <c r="F4121" s="20">
        <v>10</v>
      </c>
      <c r="G4121" s="19">
        <f t="shared" si="304"/>
        <v>172</v>
      </c>
      <c r="H4121" s="22">
        <f t="shared" si="301"/>
        <v>4120</v>
      </c>
      <c r="I4121" s="21">
        <f t="shared" ca="1" si="296"/>
        <v>0</v>
      </c>
      <c r="J4121" s="21" t="str">
        <f ca="1">IF(I4121=0,"",COUNTIF($I$2:I4121,"&gt;0"))</f>
        <v/>
      </c>
      <c r="K4121" s="21" t="str">
        <f t="shared" ca="1" si="303"/>
        <v/>
      </c>
    </row>
    <row r="4122" spans="1:11" s="18" customFormat="1" ht="14.25" x14ac:dyDescent="0.2">
      <c r="A4122" s="18" t="str">
        <f t="shared" si="302"/>
        <v>Eintrag 4121</v>
      </c>
      <c r="B4122" s="18">
        <v>100</v>
      </c>
      <c r="C4122" s="19">
        <v>100</v>
      </c>
      <c r="D4122" s="20">
        <v>10</v>
      </c>
      <c r="E4122" s="20">
        <v>10</v>
      </c>
      <c r="F4122" s="20">
        <v>10</v>
      </c>
      <c r="G4122" s="19">
        <f t="shared" si="304"/>
        <v>172</v>
      </c>
      <c r="H4122" s="22">
        <f t="shared" si="301"/>
        <v>4121</v>
      </c>
      <c r="I4122" s="21">
        <f t="shared" ca="1" si="296"/>
        <v>0</v>
      </c>
      <c r="J4122" s="21" t="str">
        <f ca="1">IF(I4122=0,"",COUNTIF($I$2:I4122,"&gt;0"))</f>
        <v/>
      </c>
      <c r="K4122" s="21" t="str">
        <f t="shared" ca="1" si="303"/>
        <v/>
      </c>
    </row>
    <row r="4123" spans="1:11" s="18" customFormat="1" ht="14.25" x14ac:dyDescent="0.2">
      <c r="A4123" s="18" t="str">
        <f t="shared" si="302"/>
        <v>Eintrag 4122</v>
      </c>
      <c r="B4123" s="18">
        <v>100</v>
      </c>
      <c r="C4123" s="19">
        <v>100</v>
      </c>
      <c r="D4123" s="20">
        <v>10</v>
      </c>
      <c r="E4123" s="20">
        <v>10</v>
      </c>
      <c r="F4123" s="20">
        <v>10</v>
      </c>
      <c r="G4123" s="19">
        <f t="shared" si="304"/>
        <v>172</v>
      </c>
      <c r="H4123" s="22">
        <f t="shared" si="301"/>
        <v>4122</v>
      </c>
      <c r="I4123" s="21">
        <f t="shared" ca="1" si="296"/>
        <v>0</v>
      </c>
      <c r="J4123" s="21" t="str">
        <f ca="1">IF(I4123=0,"",COUNTIF($I$2:I4123,"&gt;0"))</f>
        <v/>
      </c>
      <c r="K4123" s="21" t="str">
        <f t="shared" ca="1" si="303"/>
        <v/>
      </c>
    </row>
    <row r="4124" spans="1:11" s="18" customFormat="1" ht="14.25" x14ac:dyDescent="0.2">
      <c r="A4124" s="18" t="str">
        <f t="shared" si="302"/>
        <v>Eintrag 4123</v>
      </c>
      <c r="B4124" s="18">
        <v>100</v>
      </c>
      <c r="C4124" s="19">
        <v>100</v>
      </c>
      <c r="D4124" s="20">
        <v>10</v>
      </c>
      <c r="E4124" s="20">
        <v>10</v>
      </c>
      <c r="F4124" s="20">
        <v>10</v>
      </c>
      <c r="G4124" s="19">
        <f t="shared" si="304"/>
        <v>172</v>
      </c>
      <c r="H4124" s="22">
        <f t="shared" si="301"/>
        <v>4123</v>
      </c>
      <c r="I4124" s="21">
        <f t="shared" ca="1" si="296"/>
        <v>0</v>
      </c>
      <c r="J4124" s="21" t="str">
        <f ca="1">IF(I4124=0,"",COUNTIF($I$2:I4124,"&gt;0"))</f>
        <v/>
      </c>
      <c r="K4124" s="21" t="str">
        <f t="shared" ca="1" si="303"/>
        <v/>
      </c>
    </row>
    <row r="4125" spans="1:11" s="18" customFormat="1" ht="14.25" x14ac:dyDescent="0.2">
      <c r="A4125" s="18" t="str">
        <f t="shared" si="302"/>
        <v>Eintrag 4124</v>
      </c>
      <c r="B4125" s="18">
        <v>100</v>
      </c>
      <c r="C4125" s="19">
        <v>100</v>
      </c>
      <c r="D4125" s="20">
        <v>10</v>
      </c>
      <c r="E4125" s="20">
        <v>10</v>
      </c>
      <c r="F4125" s="20">
        <v>10</v>
      </c>
      <c r="G4125" s="19">
        <f t="shared" si="304"/>
        <v>172</v>
      </c>
      <c r="H4125" s="22">
        <f t="shared" si="301"/>
        <v>4124</v>
      </c>
      <c r="I4125" s="21">
        <f t="shared" ca="1" si="296"/>
        <v>0</v>
      </c>
      <c r="J4125" s="21" t="str">
        <f ca="1">IF(I4125=0,"",COUNTIF($I$2:I4125,"&gt;0"))</f>
        <v/>
      </c>
      <c r="K4125" s="21" t="str">
        <f t="shared" ca="1" si="303"/>
        <v/>
      </c>
    </row>
    <row r="4126" spans="1:11" s="18" customFormat="1" ht="14.25" x14ac:dyDescent="0.2">
      <c r="A4126" s="18" t="str">
        <f t="shared" si="302"/>
        <v>Eintrag 4125</v>
      </c>
      <c r="B4126" s="18">
        <v>100</v>
      </c>
      <c r="C4126" s="19">
        <v>100</v>
      </c>
      <c r="D4126" s="20">
        <v>10</v>
      </c>
      <c r="E4126" s="20">
        <v>10</v>
      </c>
      <c r="F4126" s="20">
        <v>10</v>
      </c>
      <c r="G4126" s="19">
        <f t="shared" si="304"/>
        <v>172</v>
      </c>
      <c r="H4126" s="22">
        <f t="shared" si="301"/>
        <v>4125</v>
      </c>
      <c r="I4126" s="21">
        <f t="shared" ca="1" si="296"/>
        <v>0</v>
      </c>
      <c r="J4126" s="21" t="str">
        <f ca="1">IF(I4126=0,"",COUNTIF($I$2:I4126,"&gt;0"))</f>
        <v/>
      </c>
      <c r="K4126" s="21" t="str">
        <f t="shared" ca="1" si="303"/>
        <v/>
      </c>
    </row>
    <row r="4127" spans="1:11" s="18" customFormat="1" ht="14.25" x14ac:dyDescent="0.2">
      <c r="A4127" s="18" t="str">
        <f t="shared" si="302"/>
        <v>Eintrag 4126</v>
      </c>
      <c r="B4127" s="18">
        <v>100</v>
      </c>
      <c r="C4127" s="19">
        <v>100</v>
      </c>
      <c r="D4127" s="20">
        <v>10</v>
      </c>
      <c r="E4127" s="20">
        <v>10</v>
      </c>
      <c r="F4127" s="20">
        <v>10</v>
      </c>
      <c r="G4127" s="19">
        <f t="shared" si="304"/>
        <v>172</v>
      </c>
      <c r="H4127" s="22">
        <f t="shared" si="301"/>
        <v>4126</v>
      </c>
      <c r="I4127" s="21">
        <f t="shared" ca="1" si="296"/>
        <v>0</v>
      </c>
      <c r="J4127" s="21" t="str">
        <f ca="1">IF(I4127=0,"",COUNTIF($I$2:I4127,"&gt;0"))</f>
        <v/>
      </c>
      <c r="K4127" s="21" t="str">
        <f t="shared" ca="1" si="303"/>
        <v/>
      </c>
    </row>
    <row r="4128" spans="1:11" s="18" customFormat="1" ht="14.25" x14ac:dyDescent="0.2">
      <c r="A4128" s="18" t="str">
        <f t="shared" si="302"/>
        <v>Eintrag 4127</v>
      </c>
      <c r="B4128" s="18">
        <v>100</v>
      </c>
      <c r="C4128" s="19">
        <v>100</v>
      </c>
      <c r="D4128" s="20">
        <v>10</v>
      </c>
      <c r="E4128" s="20">
        <v>10</v>
      </c>
      <c r="F4128" s="20">
        <v>10</v>
      </c>
      <c r="G4128" s="19">
        <f t="shared" si="304"/>
        <v>172</v>
      </c>
      <c r="H4128" s="22">
        <f t="shared" si="301"/>
        <v>4127</v>
      </c>
      <c r="I4128" s="21">
        <f t="shared" ca="1" si="296"/>
        <v>0</v>
      </c>
      <c r="J4128" s="21" t="str">
        <f ca="1">IF(I4128=0,"",COUNTIF($I$2:I4128,"&gt;0"))</f>
        <v/>
      </c>
      <c r="K4128" s="21" t="str">
        <f t="shared" ca="1" si="303"/>
        <v/>
      </c>
    </row>
    <row r="4129" spans="1:11" s="18" customFormat="1" ht="14.25" x14ac:dyDescent="0.2">
      <c r="A4129" s="18" t="str">
        <f t="shared" si="302"/>
        <v>Eintrag 4128</v>
      </c>
      <c r="B4129" s="18">
        <v>100</v>
      </c>
      <c r="C4129" s="19">
        <v>100</v>
      </c>
      <c r="D4129" s="20">
        <v>10</v>
      </c>
      <c r="E4129" s="20">
        <v>10</v>
      </c>
      <c r="F4129" s="20">
        <v>10</v>
      </c>
      <c r="G4129" s="19">
        <f t="shared" si="304"/>
        <v>172</v>
      </c>
      <c r="H4129" s="22">
        <f t="shared" si="301"/>
        <v>4128</v>
      </c>
      <c r="I4129" s="21">
        <f t="shared" ca="1" si="296"/>
        <v>0</v>
      </c>
      <c r="J4129" s="21" t="str">
        <f ca="1">IF(I4129=0,"",COUNTIF($I$2:I4129,"&gt;0"))</f>
        <v/>
      </c>
      <c r="K4129" s="21" t="str">
        <f t="shared" ca="1" si="303"/>
        <v/>
      </c>
    </row>
    <row r="4130" spans="1:11" s="18" customFormat="1" ht="14.25" x14ac:dyDescent="0.2">
      <c r="A4130" s="18" t="str">
        <f t="shared" si="302"/>
        <v>Eintrag 4129</v>
      </c>
      <c r="B4130" s="18">
        <v>100</v>
      </c>
      <c r="C4130" s="19">
        <v>100</v>
      </c>
      <c r="D4130" s="20">
        <v>10</v>
      </c>
      <c r="E4130" s="20">
        <v>10</v>
      </c>
      <c r="F4130" s="20">
        <v>10</v>
      </c>
      <c r="G4130" s="19">
        <f t="shared" si="304"/>
        <v>172</v>
      </c>
      <c r="H4130" s="22">
        <f t="shared" si="301"/>
        <v>4129</v>
      </c>
      <c r="I4130" s="21">
        <f t="shared" ca="1" si="296"/>
        <v>0</v>
      </c>
      <c r="J4130" s="21" t="str">
        <f ca="1">IF(I4130=0,"",COUNTIF($I$2:I4130,"&gt;0"))</f>
        <v/>
      </c>
      <c r="K4130" s="21" t="str">
        <f t="shared" ca="1" si="303"/>
        <v/>
      </c>
    </row>
    <row r="4131" spans="1:11" s="18" customFormat="1" ht="14.25" x14ac:dyDescent="0.2">
      <c r="A4131" s="18" t="str">
        <f t="shared" si="302"/>
        <v>Eintrag 4130</v>
      </c>
      <c r="B4131" s="18">
        <v>100</v>
      </c>
      <c r="C4131" s="19">
        <v>100</v>
      </c>
      <c r="D4131" s="20">
        <v>10</v>
      </c>
      <c r="E4131" s="20">
        <v>10</v>
      </c>
      <c r="F4131" s="20">
        <v>10</v>
      </c>
      <c r="G4131" s="19">
        <f t="shared" si="304"/>
        <v>172</v>
      </c>
      <c r="H4131" s="22">
        <f t="shared" si="301"/>
        <v>4130</v>
      </c>
      <c r="I4131" s="21">
        <f t="shared" ca="1" si="296"/>
        <v>0</v>
      </c>
      <c r="J4131" s="21" t="str">
        <f ca="1">IF(I4131=0,"",COUNTIF($I$2:I4131,"&gt;0"))</f>
        <v/>
      </c>
      <c r="K4131" s="21" t="str">
        <f t="shared" ca="1" si="303"/>
        <v/>
      </c>
    </row>
    <row r="4132" spans="1:11" s="18" customFormat="1" ht="14.25" x14ac:dyDescent="0.2">
      <c r="A4132" s="18" t="str">
        <f t="shared" si="302"/>
        <v>Eintrag 4131</v>
      </c>
      <c r="B4132" s="18">
        <v>100</v>
      </c>
      <c r="C4132" s="19">
        <v>100</v>
      </c>
      <c r="D4132" s="20">
        <v>10</v>
      </c>
      <c r="E4132" s="20">
        <v>10</v>
      </c>
      <c r="F4132" s="20">
        <v>10</v>
      </c>
      <c r="G4132" s="19">
        <f t="shared" si="304"/>
        <v>172</v>
      </c>
      <c r="H4132" s="22">
        <f t="shared" si="301"/>
        <v>4131</v>
      </c>
      <c r="I4132" s="21">
        <f t="shared" ca="1" si="296"/>
        <v>0</v>
      </c>
      <c r="J4132" s="21" t="str">
        <f ca="1">IF(I4132=0,"",COUNTIF($I$2:I4132,"&gt;0"))</f>
        <v/>
      </c>
      <c r="K4132" s="21" t="str">
        <f t="shared" ca="1" si="303"/>
        <v/>
      </c>
    </row>
    <row r="4133" spans="1:11" s="18" customFormat="1" ht="14.25" x14ac:dyDescent="0.2">
      <c r="A4133" s="18" t="str">
        <f t="shared" si="302"/>
        <v>Eintrag 4132</v>
      </c>
      <c r="B4133" s="18">
        <v>100</v>
      </c>
      <c r="C4133" s="19">
        <v>100</v>
      </c>
      <c r="D4133" s="20">
        <v>10</v>
      </c>
      <c r="E4133" s="20">
        <v>10</v>
      </c>
      <c r="F4133" s="20">
        <v>10</v>
      </c>
      <c r="G4133" s="19">
        <f t="shared" si="304"/>
        <v>172</v>
      </c>
      <c r="H4133" s="22">
        <f t="shared" ref="H4133:H4196" si="305">H4132+1</f>
        <v>4132</v>
      </c>
      <c r="I4133" s="21">
        <f t="shared" ca="1" si="296"/>
        <v>0</v>
      </c>
      <c r="J4133" s="21" t="str">
        <f ca="1">IF(I4133=0,"",COUNTIF($I$2:I4133,"&gt;0"))</f>
        <v/>
      </c>
      <c r="K4133" s="21" t="str">
        <f t="shared" ca="1" si="303"/>
        <v/>
      </c>
    </row>
    <row r="4134" spans="1:11" s="18" customFormat="1" ht="14.25" x14ac:dyDescent="0.2">
      <c r="A4134" s="18" t="str">
        <f t="shared" si="302"/>
        <v>Eintrag 4133</v>
      </c>
      <c r="B4134" s="18">
        <v>100</v>
      </c>
      <c r="C4134" s="19">
        <v>100</v>
      </c>
      <c r="D4134" s="20">
        <v>10</v>
      </c>
      <c r="E4134" s="20">
        <v>10</v>
      </c>
      <c r="F4134" s="20">
        <v>10</v>
      </c>
      <c r="G4134" s="19">
        <f t="shared" si="304"/>
        <v>172</v>
      </c>
      <c r="H4134" s="22">
        <f t="shared" si="305"/>
        <v>4133</v>
      </c>
      <c r="I4134" s="21">
        <f t="shared" ca="1" si="296"/>
        <v>0</v>
      </c>
      <c r="J4134" s="21" t="str">
        <f ca="1">IF(I4134=0,"",COUNTIF($I$2:I4134,"&gt;0"))</f>
        <v/>
      </c>
      <c r="K4134" s="21" t="str">
        <f t="shared" ca="1" si="303"/>
        <v/>
      </c>
    </row>
    <row r="4135" spans="1:11" s="18" customFormat="1" ht="14.25" x14ac:dyDescent="0.2">
      <c r="A4135" s="18" t="str">
        <f t="shared" si="302"/>
        <v>Eintrag 4134</v>
      </c>
      <c r="B4135" s="18">
        <v>100</v>
      </c>
      <c r="C4135" s="19">
        <v>100</v>
      </c>
      <c r="D4135" s="20">
        <v>10</v>
      </c>
      <c r="E4135" s="20">
        <v>10</v>
      </c>
      <c r="F4135" s="20">
        <v>10</v>
      </c>
      <c r="G4135" s="19">
        <f t="shared" si="304"/>
        <v>172</v>
      </c>
      <c r="H4135" s="22">
        <f t="shared" si="305"/>
        <v>4134</v>
      </c>
      <c r="I4135" s="21">
        <f t="shared" ca="1" si="296"/>
        <v>0</v>
      </c>
      <c r="J4135" s="21" t="str">
        <f ca="1">IF(I4135=0,"",COUNTIF($I$2:I4135,"&gt;0"))</f>
        <v/>
      </c>
      <c r="K4135" s="21" t="str">
        <f t="shared" ca="1" si="303"/>
        <v/>
      </c>
    </row>
    <row r="4136" spans="1:11" s="18" customFormat="1" ht="14.25" x14ac:dyDescent="0.2">
      <c r="A4136" s="18" t="str">
        <f t="shared" si="302"/>
        <v>Eintrag 4135</v>
      </c>
      <c r="B4136" s="18">
        <v>100</v>
      </c>
      <c r="C4136" s="19">
        <v>100</v>
      </c>
      <c r="D4136" s="20">
        <v>10</v>
      </c>
      <c r="E4136" s="20">
        <v>10</v>
      </c>
      <c r="F4136" s="20">
        <v>10</v>
      </c>
      <c r="G4136" s="19">
        <f t="shared" si="304"/>
        <v>172</v>
      </c>
      <c r="H4136" s="22">
        <f t="shared" si="305"/>
        <v>4135</v>
      </c>
      <c r="I4136" s="21">
        <f t="shared" ca="1" si="296"/>
        <v>0</v>
      </c>
      <c r="J4136" s="21" t="str">
        <f ca="1">IF(I4136=0,"",COUNTIF($I$2:I4136,"&gt;0"))</f>
        <v/>
      </c>
      <c r="K4136" s="21" t="str">
        <f t="shared" ca="1" si="303"/>
        <v/>
      </c>
    </row>
    <row r="4137" spans="1:11" s="18" customFormat="1" ht="14.25" x14ac:dyDescent="0.2">
      <c r="A4137" s="18" t="str">
        <f t="shared" si="302"/>
        <v>Eintrag 4136</v>
      </c>
      <c r="B4137" s="18">
        <v>100</v>
      </c>
      <c r="C4137" s="19">
        <v>100</v>
      </c>
      <c r="D4137" s="20">
        <v>10</v>
      </c>
      <c r="E4137" s="20">
        <v>10</v>
      </c>
      <c r="F4137" s="20">
        <v>10</v>
      </c>
      <c r="G4137" s="19">
        <f t="shared" si="304"/>
        <v>172</v>
      </c>
      <c r="H4137" s="22">
        <f t="shared" si="305"/>
        <v>4136</v>
      </c>
      <c r="I4137" s="21">
        <f t="shared" ca="1" si="296"/>
        <v>0</v>
      </c>
      <c r="J4137" s="21" t="str">
        <f ca="1">IF(I4137=0,"",COUNTIF($I$2:I4137,"&gt;0"))</f>
        <v/>
      </c>
      <c r="K4137" s="21" t="str">
        <f t="shared" ca="1" si="303"/>
        <v/>
      </c>
    </row>
    <row r="4138" spans="1:11" s="18" customFormat="1" ht="14.25" x14ac:dyDescent="0.2">
      <c r="A4138" s="18" t="str">
        <f t="shared" si="302"/>
        <v>Eintrag 4137</v>
      </c>
      <c r="B4138" s="18">
        <v>100</v>
      </c>
      <c r="C4138" s="19">
        <v>100</v>
      </c>
      <c r="D4138" s="20">
        <v>10</v>
      </c>
      <c r="E4138" s="20">
        <v>10</v>
      </c>
      <c r="F4138" s="20">
        <v>10</v>
      </c>
      <c r="G4138" s="19">
        <f t="shared" si="304"/>
        <v>172</v>
      </c>
      <c r="H4138" s="22">
        <f t="shared" si="305"/>
        <v>4137</v>
      </c>
      <c r="I4138" s="21">
        <f t="shared" ca="1" si="296"/>
        <v>0</v>
      </c>
      <c r="J4138" s="21" t="str">
        <f ca="1">IF(I4138=0,"",COUNTIF($I$2:I4138,"&gt;0"))</f>
        <v/>
      </c>
      <c r="K4138" s="21" t="str">
        <f t="shared" ca="1" si="303"/>
        <v/>
      </c>
    </row>
    <row r="4139" spans="1:11" s="18" customFormat="1" ht="14.25" x14ac:dyDescent="0.2">
      <c r="A4139" s="18" t="str">
        <f t="shared" si="302"/>
        <v>Eintrag 4138</v>
      </c>
      <c r="B4139" s="18">
        <v>100</v>
      </c>
      <c r="C4139" s="19">
        <v>100</v>
      </c>
      <c r="D4139" s="20">
        <v>10</v>
      </c>
      <c r="E4139" s="20">
        <v>10</v>
      </c>
      <c r="F4139" s="20">
        <v>10</v>
      </c>
      <c r="G4139" s="19">
        <f t="shared" si="304"/>
        <v>172</v>
      </c>
      <c r="H4139" s="22">
        <f t="shared" si="305"/>
        <v>4138</v>
      </c>
      <c r="I4139" s="21">
        <f t="shared" ca="1" si="296"/>
        <v>0</v>
      </c>
      <c r="J4139" s="21" t="str">
        <f ca="1">IF(I4139=0,"",COUNTIF($I$2:I4139,"&gt;0"))</f>
        <v/>
      </c>
      <c r="K4139" s="21" t="str">
        <f t="shared" ca="1" si="303"/>
        <v/>
      </c>
    </row>
    <row r="4140" spans="1:11" s="18" customFormat="1" ht="14.25" x14ac:dyDescent="0.2">
      <c r="A4140" s="18" t="str">
        <f t="shared" si="302"/>
        <v>Eintrag 4139</v>
      </c>
      <c r="B4140" s="18">
        <v>100</v>
      </c>
      <c r="C4140" s="19">
        <v>100</v>
      </c>
      <c r="D4140" s="20">
        <v>10</v>
      </c>
      <c r="E4140" s="20">
        <v>10</v>
      </c>
      <c r="F4140" s="20">
        <v>10</v>
      </c>
      <c r="G4140" s="19">
        <f t="shared" si="304"/>
        <v>172</v>
      </c>
      <c r="H4140" s="22">
        <f t="shared" si="305"/>
        <v>4139</v>
      </c>
      <c r="I4140" s="21">
        <f t="shared" ca="1" si="296"/>
        <v>0</v>
      </c>
      <c r="J4140" s="21" t="str">
        <f ca="1">IF(I4140=0,"",COUNTIF($I$2:I4140,"&gt;0"))</f>
        <v/>
      </c>
      <c r="K4140" s="21" t="str">
        <f t="shared" ca="1" si="303"/>
        <v/>
      </c>
    </row>
    <row r="4141" spans="1:11" s="18" customFormat="1" ht="14.25" x14ac:dyDescent="0.2">
      <c r="A4141" s="18" t="str">
        <f t="shared" si="302"/>
        <v>Eintrag 4140</v>
      </c>
      <c r="B4141" s="18">
        <v>100</v>
      </c>
      <c r="C4141" s="19">
        <v>100</v>
      </c>
      <c r="D4141" s="20">
        <v>10</v>
      </c>
      <c r="E4141" s="20">
        <v>10</v>
      </c>
      <c r="F4141" s="20">
        <v>10</v>
      </c>
      <c r="G4141" s="19">
        <f t="shared" si="304"/>
        <v>172</v>
      </c>
      <c r="H4141" s="22">
        <f t="shared" si="305"/>
        <v>4140</v>
      </c>
      <c r="I4141" s="21">
        <f t="shared" ca="1" si="296"/>
        <v>0</v>
      </c>
      <c r="J4141" s="21" t="str">
        <f ca="1">IF(I4141=0,"",COUNTIF($I$2:I4141,"&gt;0"))</f>
        <v/>
      </c>
      <c r="K4141" s="21" t="str">
        <f t="shared" ca="1" si="303"/>
        <v/>
      </c>
    </row>
    <row r="4142" spans="1:11" s="18" customFormat="1" ht="14.25" x14ac:dyDescent="0.2">
      <c r="A4142" s="18" t="str">
        <f t="shared" si="302"/>
        <v>Eintrag 4141</v>
      </c>
      <c r="B4142" s="18">
        <v>100</v>
      </c>
      <c r="C4142" s="19">
        <v>100</v>
      </c>
      <c r="D4142" s="20">
        <v>10</v>
      </c>
      <c r="E4142" s="20">
        <v>10</v>
      </c>
      <c r="F4142" s="20">
        <v>10</v>
      </c>
      <c r="G4142" s="19">
        <f t="shared" si="304"/>
        <v>172</v>
      </c>
      <c r="H4142" s="22">
        <f t="shared" si="305"/>
        <v>4141</v>
      </c>
      <c r="I4142" s="21">
        <f t="shared" ca="1" si="296"/>
        <v>0</v>
      </c>
      <c r="J4142" s="21" t="str">
        <f ca="1">IF(I4142=0,"",COUNTIF($I$2:I4142,"&gt;0"))</f>
        <v/>
      </c>
      <c r="K4142" s="21" t="str">
        <f t="shared" ca="1" si="303"/>
        <v/>
      </c>
    </row>
    <row r="4143" spans="1:11" s="18" customFormat="1" ht="14.25" x14ac:dyDescent="0.2">
      <c r="A4143" s="18" t="str">
        <f t="shared" si="302"/>
        <v>Eintrag 4142</v>
      </c>
      <c r="B4143" s="18">
        <v>100</v>
      </c>
      <c r="C4143" s="19">
        <v>100</v>
      </c>
      <c r="D4143" s="20">
        <v>10</v>
      </c>
      <c r="E4143" s="20">
        <v>10</v>
      </c>
      <c r="F4143" s="20">
        <v>10</v>
      </c>
      <c r="G4143" s="19">
        <f t="shared" si="304"/>
        <v>172</v>
      </c>
      <c r="H4143" s="22">
        <f t="shared" si="305"/>
        <v>4142</v>
      </c>
      <c r="I4143" s="21">
        <f t="shared" ca="1" si="296"/>
        <v>0</v>
      </c>
      <c r="J4143" s="21" t="str">
        <f ca="1">IF(I4143=0,"",COUNTIF($I$2:I4143,"&gt;0"))</f>
        <v/>
      </c>
      <c r="K4143" s="21" t="str">
        <f t="shared" ca="1" si="303"/>
        <v/>
      </c>
    </row>
    <row r="4144" spans="1:11" s="18" customFormat="1" ht="14.25" x14ac:dyDescent="0.2">
      <c r="A4144" s="18" t="str">
        <f t="shared" si="302"/>
        <v>Eintrag 4143</v>
      </c>
      <c r="B4144" s="18">
        <v>100</v>
      </c>
      <c r="C4144" s="19">
        <v>100</v>
      </c>
      <c r="D4144" s="20">
        <v>10</v>
      </c>
      <c r="E4144" s="20">
        <v>10</v>
      </c>
      <c r="F4144" s="20">
        <v>10</v>
      </c>
      <c r="G4144" s="19">
        <f t="shared" si="304"/>
        <v>172</v>
      </c>
      <c r="H4144" s="22">
        <f t="shared" si="305"/>
        <v>4143</v>
      </c>
      <c r="I4144" s="21">
        <f t="shared" ca="1" si="296"/>
        <v>0</v>
      </c>
      <c r="J4144" s="21" t="str">
        <f ca="1">IF(I4144=0,"",COUNTIF($I$2:I4144,"&gt;0"))</f>
        <v/>
      </c>
      <c r="K4144" s="21" t="str">
        <f t="shared" ca="1" si="303"/>
        <v/>
      </c>
    </row>
    <row r="4145" spans="1:11" s="18" customFormat="1" ht="14.25" x14ac:dyDescent="0.2">
      <c r="A4145" s="18" t="str">
        <f t="shared" ref="A4145:A4208" si="306">CONCATENATE("Eintrag ",H4145)</f>
        <v>Eintrag 4144</v>
      </c>
      <c r="B4145" s="18">
        <v>100</v>
      </c>
      <c r="C4145" s="19">
        <v>100</v>
      </c>
      <c r="D4145" s="20">
        <v>10</v>
      </c>
      <c r="E4145" s="20">
        <v>10</v>
      </c>
      <c r="F4145" s="20">
        <v>10</v>
      </c>
      <c r="G4145" s="19">
        <f t="shared" si="304"/>
        <v>172</v>
      </c>
      <c r="H4145" s="22">
        <f t="shared" si="305"/>
        <v>4144</v>
      </c>
      <c r="I4145" s="21">
        <f t="shared" ca="1" si="296"/>
        <v>0</v>
      </c>
      <c r="J4145" s="21" t="str">
        <f ca="1">IF(I4145=0,"",COUNTIF($I$2:I4145,"&gt;0"))</f>
        <v/>
      </c>
      <c r="K4145" s="21" t="str">
        <f t="shared" ca="1" si="303"/>
        <v/>
      </c>
    </row>
    <row r="4146" spans="1:11" s="18" customFormat="1" ht="14.25" x14ac:dyDescent="0.2">
      <c r="A4146" s="18" t="str">
        <f t="shared" si="306"/>
        <v>Eintrag 4145</v>
      </c>
      <c r="B4146" s="18">
        <v>100</v>
      </c>
      <c r="C4146" s="19">
        <v>100</v>
      </c>
      <c r="D4146" s="20">
        <v>10</v>
      </c>
      <c r="E4146" s="20">
        <v>10</v>
      </c>
      <c r="F4146" s="20">
        <v>10</v>
      </c>
      <c r="G4146" s="19">
        <f t="shared" si="304"/>
        <v>172</v>
      </c>
      <c r="H4146" s="22">
        <f t="shared" si="305"/>
        <v>4145</v>
      </c>
      <c r="I4146" s="21">
        <f t="shared" ca="1" si="296"/>
        <v>0</v>
      </c>
      <c r="J4146" s="21" t="str">
        <f ca="1">IF(I4146=0,"",COUNTIF($I$2:I4146,"&gt;0"))</f>
        <v/>
      </c>
      <c r="K4146" s="21" t="str">
        <f t="shared" ca="1" si="303"/>
        <v/>
      </c>
    </row>
    <row r="4147" spans="1:11" s="18" customFormat="1" ht="14.25" x14ac:dyDescent="0.2">
      <c r="A4147" s="18" t="str">
        <f t="shared" si="306"/>
        <v>Eintrag 4146</v>
      </c>
      <c r="B4147" s="18">
        <v>100</v>
      </c>
      <c r="C4147" s="19">
        <v>100</v>
      </c>
      <c r="D4147" s="20">
        <v>10</v>
      </c>
      <c r="E4147" s="20">
        <v>10</v>
      </c>
      <c r="F4147" s="20">
        <v>10</v>
      </c>
      <c r="G4147" s="19">
        <f t="shared" si="304"/>
        <v>172</v>
      </c>
      <c r="H4147" s="22">
        <f t="shared" si="305"/>
        <v>4146</v>
      </c>
      <c r="I4147" s="21">
        <f t="shared" ca="1" si="296"/>
        <v>0</v>
      </c>
      <c r="J4147" s="21" t="str">
        <f ca="1">IF(I4147=0,"",COUNTIF($I$2:I4147,"&gt;0"))</f>
        <v/>
      </c>
      <c r="K4147" s="21" t="str">
        <f t="shared" ca="1" si="303"/>
        <v/>
      </c>
    </row>
    <row r="4148" spans="1:11" s="18" customFormat="1" ht="14.25" x14ac:dyDescent="0.2">
      <c r="A4148" s="18" t="str">
        <f t="shared" si="306"/>
        <v>Eintrag 4147</v>
      </c>
      <c r="B4148" s="18">
        <v>100</v>
      </c>
      <c r="C4148" s="19">
        <v>100</v>
      </c>
      <c r="D4148" s="20">
        <v>10</v>
      </c>
      <c r="E4148" s="20">
        <v>10</v>
      </c>
      <c r="F4148" s="20">
        <v>10</v>
      </c>
      <c r="G4148" s="19">
        <f t="shared" si="304"/>
        <v>172</v>
      </c>
      <c r="H4148" s="22">
        <f t="shared" si="305"/>
        <v>4147</v>
      </c>
      <c r="I4148" s="21">
        <f t="shared" ca="1" si="296"/>
        <v>0</v>
      </c>
      <c r="J4148" s="21" t="str">
        <f ca="1">IF(I4148=0,"",COUNTIF($I$2:I4148,"&gt;0"))</f>
        <v/>
      </c>
      <c r="K4148" s="21" t="str">
        <f t="shared" ca="1" si="303"/>
        <v/>
      </c>
    </row>
    <row r="4149" spans="1:11" s="18" customFormat="1" ht="14.25" x14ac:dyDescent="0.2">
      <c r="A4149" s="18" t="str">
        <f t="shared" si="306"/>
        <v>Eintrag 4148</v>
      </c>
      <c r="B4149" s="18">
        <v>100</v>
      </c>
      <c r="C4149" s="19">
        <v>100</v>
      </c>
      <c r="D4149" s="20">
        <v>10</v>
      </c>
      <c r="E4149" s="20">
        <v>10</v>
      </c>
      <c r="F4149" s="20">
        <v>10</v>
      </c>
      <c r="G4149" s="19">
        <f t="shared" si="304"/>
        <v>172</v>
      </c>
      <c r="H4149" s="22">
        <f t="shared" si="305"/>
        <v>4148</v>
      </c>
      <c r="I4149" s="21">
        <f t="shared" ca="1" si="296"/>
        <v>0</v>
      </c>
      <c r="J4149" s="21" t="str">
        <f ca="1">IF(I4149=0,"",COUNTIF($I$2:I4149,"&gt;0"))</f>
        <v/>
      </c>
      <c r="K4149" s="21" t="str">
        <f t="shared" ca="1" si="303"/>
        <v/>
      </c>
    </row>
    <row r="4150" spans="1:11" s="18" customFormat="1" ht="14.25" x14ac:dyDescent="0.2">
      <c r="A4150" s="18" t="str">
        <f t="shared" si="306"/>
        <v>Eintrag 4149</v>
      </c>
      <c r="B4150" s="18">
        <v>100</v>
      </c>
      <c r="C4150" s="19">
        <v>100</v>
      </c>
      <c r="D4150" s="20">
        <v>10</v>
      </c>
      <c r="E4150" s="20">
        <v>10</v>
      </c>
      <c r="F4150" s="20">
        <v>10</v>
      </c>
      <c r="G4150" s="19">
        <f t="shared" si="304"/>
        <v>172</v>
      </c>
      <c r="H4150" s="22">
        <f t="shared" si="305"/>
        <v>4149</v>
      </c>
      <c r="I4150" s="21">
        <f t="shared" ca="1" si="296"/>
        <v>0</v>
      </c>
      <c r="J4150" s="21" t="str">
        <f ca="1">IF(I4150=0,"",COUNTIF($I$2:I4150,"&gt;0"))</f>
        <v/>
      </c>
      <c r="K4150" s="21" t="str">
        <f t="shared" ca="1" si="303"/>
        <v/>
      </c>
    </row>
    <row r="4151" spans="1:11" s="18" customFormat="1" ht="14.25" x14ac:dyDescent="0.2">
      <c r="A4151" s="18" t="str">
        <f t="shared" si="306"/>
        <v>Eintrag 4150</v>
      </c>
      <c r="B4151" s="18">
        <v>100</v>
      </c>
      <c r="C4151" s="19">
        <v>100</v>
      </c>
      <c r="D4151" s="20">
        <v>10</v>
      </c>
      <c r="E4151" s="20">
        <v>10</v>
      </c>
      <c r="F4151" s="20">
        <v>10</v>
      </c>
      <c r="G4151" s="19">
        <f t="shared" si="304"/>
        <v>172</v>
      </c>
      <c r="H4151" s="22">
        <f t="shared" si="305"/>
        <v>4150</v>
      </c>
      <c r="I4151" s="21">
        <f t="shared" ca="1" si="296"/>
        <v>0</v>
      </c>
      <c r="J4151" s="21" t="str">
        <f ca="1">IF(I4151=0,"",COUNTIF($I$2:I4151,"&gt;0"))</f>
        <v/>
      </c>
      <c r="K4151" s="21" t="str">
        <f t="shared" ca="1" si="303"/>
        <v/>
      </c>
    </row>
    <row r="4152" spans="1:11" s="18" customFormat="1" ht="14.25" x14ac:dyDescent="0.2">
      <c r="A4152" s="18" t="str">
        <f t="shared" si="306"/>
        <v>Eintrag 4151</v>
      </c>
      <c r="B4152" s="18">
        <v>100</v>
      </c>
      <c r="C4152" s="19">
        <v>100</v>
      </c>
      <c r="D4152" s="20">
        <v>10</v>
      </c>
      <c r="E4152" s="20">
        <v>10</v>
      </c>
      <c r="F4152" s="20">
        <v>10</v>
      </c>
      <c r="G4152" s="19">
        <f t="shared" si="304"/>
        <v>172</v>
      </c>
      <c r="H4152" s="22">
        <f t="shared" si="305"/>
        <v>4151</v>
      </c>
      <c r="I4152" s="21">
        <f t="shared" ca="1" si="296"/>
        <v>0</v>
      </c>
      <c r="J4152" s="21" t="str">
        <f ca="1">IF(I4152=0,"",COUNTIF($I$2:I4152,"&gt;0"))</f>
        <v/>
      </c>
      <c r="K4152" s="21" t="str">
        <f t="shared" ca="1" si="303"/>
        <v/>
      </c>
    </row>
    <row r="4153" spans="1:11" s="18" customFormat="1" ht="14.25" x14ac:dyDescent="0.2">
      <c r="A4153" s="18" t="str">
        <f t="shared" si="306"/>
        <v>Eintrag 4152</v>
      </c>
      <c r="B4153" s="18">
        <v>100</v>
      </c>
      <c r="C4153" s="19">
        <v>100</v>
      </c>
      <c r="D4153" s="20">
        <v>10</v>
      </c>
      <c r="E4153" s="20">
        <v>10</v>
      </c>
      <c r="F4153" s="20">
        <v>10</v>
      </c>
      <c r="G4153" s="19">
        <f t="shared" si="304"/>
        <v>172</v>
      </c>
      <c r="H4153" s="22">
        <f t="shared" si="305"/>
        <v>4152</v>
      </c>
      <c r="I4153" s="21">
        <f t="shared" ca="1" si="296"/>
        <v>0</v>
      </c>
      <c r="J4153" s="21" t="str">
        <f ca="1">IF(I4153=0,"",COUNTIF($I$2:I4153,"&gt;0"))</f>
        <v/>
      </c>
      <c r="K4153" s="21" t="str">
        <f t="shared" ca="1" si="303"/>
        <v/>
      </c>
    </row>
    <row r="4154" spans="1:11" s="18" customFormat="1" ht="14.25" x14ac:dyDescent="0.2">
      <c r="A4154" s="18" t="str">
        <f t="shared" si="306"/>
        <v>Eintrag 4153</v>
      </c>
      <c r="B4154" s="18">
        <v>100</v>
      </c>
      <c r="C4154" s="19">
        <v>100</v>
      </c>
      <c r="D4154" s="20">
        <v>10</v>
      </c>
      <c r="E4154" s="20">
        <v>10</v>
      </c>
      <c r="F4154" s="20">
        <v>10</v>
      </c>
      <c r="G4154" s="19">
        <f t="shared" si="304"/>
        <v>172</v>
      </c>
      <c r="H4154" s="22">
        <f t="shared" si="305"/>
        <v>4153</v>
      </c>
      <c r="I4154" s="21">
        <f t="shared" ca="1" si="296"/>
        <v>0</v>
      </c>
      <c r="J4154" s="21" t="str">
        <f ca="1">IF(I4154=0,"",COUNTIF($I$2:I4154,"&gt;0"))</f>
        <v/>
      </c>
      <c r="K4154" s="21" t="str">
        <f t="shared" ca="1" si="303"/>
        <v/>
      </c>
    </row>
    <row r="4155" spans="1:11" s="18" customFormat="1" ht="14.25" x14ac:dyDescent="0.2">
      <c r="A4155" s="18" t="str">
        <f t="shared" si="306"/>
        <v>Eintrag 4154</v>
      </c>
      <c r="B4155" s="18">
        <v>100</v>
      </c>
      <c r="C4155" s="19">
        <v>100</v>
      </c>
      <c r="D4155" s="20">
        <v>10</v>
      </c>
      <c r="E4155" s="20">
        <v>10</v>
      </c>
      <c r="F4155" s="20">
        <v>10</v>
      </c>
      <c r="G4155" s="19">
        <f t="shared" si="304"/>
        <v>172</v>
      </c>
      <c r="H4155" s="22">
        <f t="shared" si="305"/>
        <v>4154</v>
      </c>
      <c r="I4155" s="21">
        <f t="shared" ca="1" si="296"/>
        <v>0</v>
      </c>
      <c r="J4155" s="21" t="str">
        <f ca="1">IF(I4155=0,"",COUNTIF($I$2:I4155,"&gt;0"))</f>
        <v/>
      </c>
      <c r="K4155" s="21" t="str">
        <f t="shared" ca="1" si="303"/>
        <v/>
      </c>
    </row>
    <row r="4156" spans="1:11" s="18" customFormat="1" ht="14.25" x14ac:dyDescent="0.2">
      <c r="A4156" s="18" t="str">
        <f t="shared" si="306"/>
        <v>Eintrag 4155</v>
      </c>
      <c r="B4156" s="18">
        <v>100</v>
      </c>
      <c r="C4156" s="19">
        <v>100</v>
      </c>
      <c r="D4156" s="20">
        <v>10</v>
      </c>
      <c r="E4156" s="20">
        <v>10</v>
      </c>
      <c r="F4156" s="20">
        <v>10</v>
      </c>
      <c r="G4156" s="19">
        <f t="shared" si="304"/>
        <v>172</v>
      </c>
      <c r="H4156" s="22">
        <f t="shared" si="305"/>
        <v>4155</v>
      </c>
      <c r="I4156" s="21">
        <f t="shared" ca="1" si="296"/>
        <v>0</v>
      </c>
      <c r="J4156" s="21" t="str">
        <f ca="1">IF(I4156=0,"",COUNTIF($I$2:I4156,"&gt;0"))</f>
        <v/>
      </c>
      <c r="K4156" s="21" t="str">
        <f t="shared" ca="1" si="303"/>
        <v/>
      </c>
    </row>
    <row r="4157" spans="1:11" s="18" customFormat="1" ht="14.25" x14ac:dyDescent="0.2">
      <c r="A4157" s="18" t="str">
        <f t="shared" si="306"/>
        <v>Eintrag 4156</v>
      </c>
      <c r="B4157" s="18">
        <v>100</v>
      </c>
      <c r="C4157" s="19">
        <v>100</v>
      </c>
      <c r="D4157" s="20">
        <v>10</v>
      </c>
      <c r="E4157" s="20">
        <v>10</v>
      </c>
      <c r="F4157" s="20">
        <v>10</v>
      </c>
      <c r="G4157" s="19">
        <f t="shared" si="304"/>
        <v>172</v>
      </c>
      <c r="H4157" s="22">
        <f t="shared" si="305"/>
        <v>4156</v>
      </c>
      <c r="I4157" s="21">
        <f t="shared" ca="1" si="296"/>
        <v>0</v>
      </c>
      <c r="J4157" s="21" t="str">
        <f ca="1">IF(I4157=0,"",COUNTIF($I$2:I4157,"&gt;0"))</f>
        <v/>
      </c>
      <c r="K4157" s="21" t="str">
        <f t="shared" ca="1" si="303"/>
        <v/>
      </c>
    </row>
    <row r="4158" spans="1:11" s="18" customFormat="1" ht="14.25" x14ac:dyDescent="0.2">
      <c r="A4158" s="18" t="str">
        <f t="shared" si="306"/>
        <v>Eintrag 4157</v>
      </c>
      <c r="B4158" s="18">
        <v>100</v>
      </c>
      <c r="C4158" s="19">
        <v>100</v>
      </c>
      <c r="D4158" s="20">
        <v>10</v>
      </c>
      <c r="E4158" s="20">
        <v>10</v>
      </c>
      <c r="F4158" s="20">
        <v>10</v>
      </c>
      <c r="G4158" s="19">
        <f t="shared" si="304"/>
        <v>172</v>
      </c>
      <c r="H4158" s="22">
        <f t="shared" si="305"/>
        <v>4157</v>
      </c>
      <c r="I4158" s="21">
        <f t="shared" ca="1" si="296"/>
        <v>0</v>
      </c>
      <c r="J4158" s="21" t="str">
        <f ca="1">IF(I4158=0,"",COUNTIF($I$2:I4158,"&gt;0"))</f>
        <v/>
      </c>
      <c r="K4158" s="21" t="str">
        <f t="shared" ca="1" si="303"/>
        <v/>
      </c>
    </row>
    <row r="4159" spans="1:11" s="18" customFormat="1" ht="14.25" x14ac:dyDescent="0.2">
      <c r="A4159" s="18" t="str">
        <f t="shared" si="306"/>
        <v>Eintrag 4158</v>
      </c>
      <c r="B4159" s="18">
        <v>100</v>
      </c>
      <c r="C4159" s="19">
        <v>100</v>
      </c>
      <c r="D4159" s="20">
        <v>10</v>
      </c>
      <c r="E4159" s="20">
        <v>10</v>
      </c>
      <c r="F4159" s="20">
        <v>10</v>
      </c>
      <c r="G4159" s="19">
        <f t="shared" si="304"/>
        <v>172</v>
      </c>
      <c r="H4159" s="22">
        <f t="shared" si="305"/>
        <v>4158</v>
      </c>
      <c r="I4159" s="21">
        <f t="shared" ca="1" si="296"/>
        <v>0</v>
      </c>
      <c r="J4159" s="21" t="str">
        <f ca="1">IF(I4159=0,"",COUNTIF($I$2:I4159,"&gt;0"))</f>
        <v/>
      </c>
      <c r="K4159" s="21" t="str">
        <f t="shared" ca="1" si="303"/>
        <v/>
      </c>
    </row>
    <row r="4160" spans="1:11" s="18" customFormat="1" ht="14.25" x14ac:dyDescent="0.2">
      <c r="A4160" s="18" t="str">
        <f t="shared" si="306"/>
        <v>Eintrag 4159</v>
      </c>
      <c r="B4160" s="18">
        <v>100</v>
      </c>
      <c r="C4160" s="19">
        <v>100</v>
      </c>
      <c r="D4160" s="20">
        <v>10</v>
      </c>
      <c r="E4160" s="20">
        <v>10</v>
      </c>
      <c r="F4160" s="20">
        <v>10</v>
      </c>
      <c r="G4160" s="19">
        <f t="shared" si="304"/>
        <v>172</v>
      </c>
      <c r="H4160" s="22">
        <f t="shared" si="305"/>
        <v>4159</v>
      </c>
      <c r="I4160" s="21">
        <f t="shared" ca="1" si="296"/>
        <v>0</v>
      </c>
      <c r="J4160" s="21" t="str">
        <f ca="1">IF(I4160=0,"",COUNTIF($I$2:I4160,"&gt;0"))</f>
        <v/>
      </c>
      <c r="K4160" s="21" t="str">
        <f t="shared" ca="1" si="303"/>
        <v/>
      </c>
    </row>
    <row r="4161" spans="1:11" s="18" customFormat="1" ht="14.25" x14ac:dyDescent="0.2">
      <c r="A4161" s="18" t="str">
        <f t="shared" si="306"/>
        <v>Eintrag 4160</v>
      </c>
      <c r="B4161" s="18">
        <v>100</v>
      </c>
      <c r="C4161" s="19">
        <v>100</v>
      </c>
      <c r="D4161" s="20">
        <v>10</v>
      </c>
      <c r="E4161" s="20">
        <v>10</v>
      </c>
      <c r="F4161" s="20">
        <v>10</v>
      </c>
      <c r="G4161" s="19">
        <f t="shared" si="304"/>
        <v>172</v>
      </c>
      <c r="H4161" s="22">
        <f t="shared" si="305"/>
        <v>4160</v>
      </c>
      <c r="I4161" s="21">
        <f t="shared" ca="1" si="296"/>
        <v>0</v>
      </c>
      <c r="J4161" s="21" t="str">
        <f ca="1">IF(I4161=0,"",COUNTIF($I$2:I4161,"&gt;0"))</f>
        <v/>
      </c>
      <c r="K4161" s="21" t="str">
        <f t="shared" ca="1" si="303"/>
        <v/>
      </c>
    </row>
    <row r="4162" spans="1:11" s="18" customFormat="1" ht="14.25" x14ac:dyDescent="0.2">
      <c r="A4162" s="18" t="str">
        <f t="shared" si="306"/>
        <v>Eintrag 4161</v>
      </c>
      <c r="B4162" s="18">
        <v>100</v>
      </c>
      <c r="C4162" s="19">
        <v>100</v>
      </c>
      <c r="D4162" s="20">
        <v>10</v>
      </c>
      <c r="E4162" s="20">
        <v>10</v>
      </c>
      <c r="F4162" s="20">
        <v>10</v>
      </c>
      <c r="G4162" s="19">
        <f t="shared" si="304"/>
        <v>172</v>
      </c>
      <c r="H4162" s="22">
        <f t="shared" si="305"/>
        <v>4161</v>
      </c>
      <c r="I4162" s="21">
        <f t="shared" ca="1" si="296"/>
        <v>0</v>
      </c>
      <c r="J4162" s="21" t="str">
        <f ca="1">IF(I4162=0,"",COUNTIF($I$2:I4162,"&gt;0"))</f>
        <v/>
      </c>
      <c r="K4162" s="21" t="str">
        <f t="shared" ref="K4162:K4225" ca="1" si="307">IFERROR(INDEX(A:A,MATCH(ROW(I4161),J:J,0)),"")</f>
        <v/>
      </c>
    </row>
    <row r="4163" spans="1:11" s="18" customFormat="1" ht="14.25" x14ac:dyDescent="0.2">
      <c r="A4163" s="18" t="str">
        <f t="shared" si="306"/>
        <v>Eintrag 4162</v>
      </c>
      <c r="B4163" s="18">
        <v>100</v>
      </c>
      <c r="C4163" s="19">
        <v>100</v>
      </c>
      <c r="D4163" s="20">
        <v>10</v>
      </c>
      <c r="E4163" s="20">
        <v>10</v>
      </c>
      <c r="F4163" s="20">
        <v>10</v>
      </c>
      <c r="G4163" s="19">
        <f t="shared" ref="G4163:G4226" si="308">D4163*9+E4163*4.1+F4163*4.1</f>
        <v>172</v>
      </c>
      <c r="H4163" s="22">
        <f t="shared" si="305"/>
        <v>4162</v>
      </c>
      <c r="I4163" s="21">
        <f t="shared" ca="1" si="296"/>
        <v>0</v>
      </c>
      <c r="J4163" s="21" t="str">
        <f ca="1">IF(I4163=0,"",COUNTIF($I$2:I4163,"&gt;0"))</f>
        <v/>
      </c>
      <c r="K4163" s="21" t="str">
        <f t="shared" ca="1" si="307"/>
        <v/>
      </c>
    </row>
    <row r="4164" spans="1:11" s="18" customFormat="1" ht="14.25" x14ac:dyDescent="0.2">
      <c r="A4164" s="18" t="str">
        <f t="shared" si="306"/>
        <v>Eintrag 4163</v>
      </c>
      <c r="B4164" s="18">
        <v>100</v>
      </c>
      <c r="C4164" s="19">
        <v>100</v>
      </c>
      <c r="D4164" s="20">
        <v>10</v>
      </c>
      <c r="E4164" s="20">
        <v>10</v>
      </c>
      <c r="F4164" s="20">
        <v>10</v>
      </c>
      <c r="G4164" s="19">
        <f t="shared" si="308"/>
        <v>172</v>
      </c>
      <c r="H4164" s="22">
        <f t="shared" si="305"/>
        <v>4163</v>
      </c>
      <c r="I4164" s="21">
        <f t="shared" ca="1" si="296"/>
        <v>0</v>
      </c>
      <c r="J4164" s="21" t="str">
        <f ca="1">IF(I4164=0,"",COUNTIF($I$2:I4164,"&gt;0"))</f>
        <v/>
      </c>
      <c r="K4164" s="21" t="str">
        <f t="shared" ca="1" si="307"/>
        <v/>
      </c>
    </row>
    <row r="4165" spans="1:11" s="18" customFormat="1" ht="14.25" x14ac:dyDescent="0.2">
      <c r="A4165" s="18" t="str">
        <f t="shared" si="306"/>
        <v>Eintrag 4164</v>
      </c>
      <c r="B4165" s="18">
        <v>100</v>
      </c>
      <c r="C4165" s="19">
        <v>100</v>
      </c>
      <c r="D4165" s="20">
        <v>10</v>
      </c>
      <c r="E4165" s="20">
        <v>10</v>
      </c>
      <c r="F4165" s="20">
        <v>10</v>
      </c>
      <c r="G4165" s="19">
        <f t="shared" si="308"/>
        <v>172</v>
      </c>
      <c r="H4165" s="22">
        <f t="shared" si="305"/>
        <v>4164</v>
      </c>
      <c r="I4165" s="21">
        <f t="shared" ca="1" si="296"/>
        <v>0</v>
      </c>
      <c r="J4165" s="21" t="str">
        <f ca="1">IF(I4165=0,"",COUNTIF($I$2:I4165,"&gt;0"))</f>
        <v/>
      </c>
      <c r="K4165" s="21" t="str">
        <f t="shared" ca="1" si="307"/>
        <v/>
      </c>
    </row>
    <row r="4166" spans="1:11" s="18" customFormat="1" ht="14.25" x14ac:dyDescent="0.2">
      <c r="A4166" s="18" t="str">
        <f t="shared" si="306"/>
        <v>Eintrag 4165</v>
      </c>
      <c r="B4166" s="18">
        <v>100</v>
      </c>
      <c r="C4166" s="19">
        <v>100</v>
      </c>
      <c r="D4166" s="20">
        <v>10</v>
      </c>
      <c r="E4166" s="20">
        <v>10</v>
      </c>
      <c r="F4166" s="20">
        <v>10</v>
      </c>
      <c r="G4166" s="19">
        <f t="shared" si="308"/>
        <v>172</v>
      </c>
      <c r="H4166" s="22">
        <f t="shared" si="305"/>
        <v>4165</v>
      </c>
      <c r="I4166" s="21">
        <f t="shared" ca="1" si="296"/>
        <v>0</v>
      </c>
      <c r="J4166" s="21" t="str">
        <f ca="1">IF(I4166=0,"",COUNTIF($I$2:I4166,"&gt;0"))</f>
        <v/>
      </c>
      <c r="K4166" s="21" t="str">
        <f t="shared" ca="1" si="307"/>
        <v/>
      </c>
    </row>
    <row r="4167" spans="1:11" s="18" customFormat="1" ht="14.25" x14ac:dyDescent="0.2">
      <c r="A4167" s="18" t="str">
        <f t="shared" si="306"/>
        <v>Eintrag 4166</v>
      </c>
      <c r="B4167" s="18">
        <v>100</v>
      </c>
      <c r="C4167" s="19">
        <v>100</v>
      </c>
      <c r="D4167" s="20">
        <v>10</v>
      </c>
      <c r="E4167" s="20">
        <v>10</v>
      </c>
      <c r="F4167" s="20">
        <v>10</v>
      </c>
      <c r="G4167" s="19">
        <f t="shared" si="308"/>
        <v>172</v>
      </c>
      <c r="H4167" s="22">
        <f t="shared" si="305"/>
        <v>4166</v>
      </c>
      <c r="I4167" s="21">
        <f t="shared" ca="1" si="296"/>
        <v>0</v>
      </c>
      <c r="J4167" s="21" t="str">
        <f ca="1">IF(I4167=0,"",COUNTIF($I$2:I4167,"&gt;0"))</f>
        <v/>
      </c>
      <c r="K4167" s="21" t="str">
        <f t="shared" ca="1" si="307"/>
        <v/>
      </c>
    </row>
    <row r="4168" spans="1:11" s="18" customFormat="1" ht="14.25" x14ac:dyDescent="0.2">
      <c r="A4168" s="18" t="str">
        <f t="shared" si="306"/>
        <v>Eintrag 4167</v>
      </c>
      <c r="B4168" s="18">
        <v>100</v>
      </c>
      <c r="C4168" s="19">
        <v>100</v>
      </c>
      <c r="D4168" s="20">
        <v>10</v>
      </c>
      <c r="E4168" s="20">
        <v>10</v>
      </c>
      <c r="F4168" s="20">
        <v>10</v>
      </c>
      <c r="G4168" s="19">
        <f t="shared" si="308"/>
        <v>172</v>
      </c>
      <c r="H4168" s="22">
        <f t="shared" si="305"/>
        <v>4167</v>
      </c>
      <c r="I4168" s="21">
        <f t="shared" ca="1" si="296"/>
        <v>0</v>
      </c>
      <c r="J4168" s="21" t="str">
        <f ca="1">IF(I4168=0,"",COUNTIF($I$2:I4168,"&gt;0"))</f>
        <v/>
      </c>
      <c r="K4168" s="21" t="str">
        <f t="shared" ca="1" si="307"/>
        <v/>
      </c>
    </row>
    <row r="4169" spans="1:11" s="18" customFormat="1" ht="14.25" x14ac:dyDescent="0.2">
      <c r="A4169" s="18" t="str">
        <f t="shared" si="306"/>
        <v>Eintrag 4168</v>
      </c>
      <c r="B4169" s="18">
        <v>100</v>
      </c>
      <c r="C4169" s="19">
        <v>100</v>
      </c>
      <c r="D4169" s="20">
        <v>10</v>
      </c>
      <c r="E4169" s="20">
        <v>10</v>
      </c>
      <c r="F4169" s="20">
        <v>10</v>
      </c>
      <c r="G4169" s="19">
        <f t="shared" si="308"/>
        <v>172</v>
      </c>
      <c r="H4169" s="22">
        <f t="shared" si="305"/>
        <v>4168</v>
      </c>
      <c r="I4169" s="21">
        <f t="shared" ca="1" si="296"/>
        <v>0</v>
      </c>
      <c r="J4169" s="21" t="str">
        <f ca="1">IF(I4169=0,"",COUNTIF($I$2:I4169,"&gt;0"))</f>
        <v/>
      </c>
      <c r="K4169" s="21" t="str">
        <f t="shared" ca="1" si="307"/>
        <v/>
      </c>
    </row>
    <row r="4170" spans="1:11" s="18" customFormat="1" ht="14.25" x14ac:dyDescent="0.2">
      <c r="A4170" s="18" t="str">
        <f t="shared" si="306"/>
        <v>Eintrag 4169</v>
      </c>
      <c r="B4170" s="18">
        <v>100</v>
      </c>
      <c r="C4170" s="19">
        <v>100</v>
      </c>
      <c r="D4170" s="20">
        <v>10</v>
      </c>
      <c r="E4170" s="20">
        <v>10</v>
      </c>
      <c r="F4170" s="20">
        <v>10</v>
      </c>
      <c r="G4170" s="19">
        <f t="shared" si="308"/>
        <v>172</v>
      </c>
      <c r="H4170" s="22">
        <f t="shared" si="305"/>
        <v>4169</v>
      </c>
      <c r="I4170" s="21">
        <f t="shared" ca="1" si="296"/>
        <v>0</v>
      </c>
      <c r="J4170" s="21" t="str">
        <f ca="1">IF(I4170=0,"",COUNTIF($I$2:I4170,"&gt;0"))</f>
        <v/>
      </c>
      <c r="K4170" s="21" t="str">
        <f t="shared" ca="1" si="307"/>
        <v/>
      </c>
    </row>
    <row r="4171" spans="1:11" s="18" customFormat="1" ht="14.25" x14ac:dyDescent="0.2">
      <c r="A4171" s="18" t="str">
        <f t="shared" si="306"/>
        <v>Eintrag 4170</v>
      </c>
      <c r="B4171" s="18">
        <v>100</v>
      </c>
      <c r="C4171" s="19">
        <v>100</v>
      </c>
      <c r="D4171" s="20">
        <v>10</v>
      </c>
      <c r="E4171" s="20">
        <v>10</v>
      </c>
      <c r="F4171" s="20">
        <v>10</v>
      </c>
      <c r="G4171" s="19">
        <f t="shared" si="308"/>
        <v>172</v>
      </c>
      <c r="H4171" s="22">
        <f t="shared" si="305"/>
        <v>4170</v>
      </c>
      <c r="I4171" s="21">
        <f t="shared" ca="1" si="296"/>
        <v>0</v>
      </c>
      <c r="J4171" s="21" t="str">
        <f ca="1">IF(I4171=0,"",COUNTIF($I$2:I4171,"&gt;0"))</f>
        <v/>
      </c>
      <c r="K4171" s="21" t="str">
        <f t="shared" ca="1" si="307"/>
        <v/>
      </c>
    </row>
    <row r="4172" spans="1:11" s="18" customFormat="1" ht="14.25" x14ac:dyDescent="0.2">
      <c r="A4172" s="18" t="str">
        <f t="shared" si="306"/>
        <v>Eintrag 4171</v>
      </c>
      <c r="B4172" s="18">
        <v>100</v>
      </c>
      <c r="C4172" s="19">
        <v>100</v>
      </c>
      <c r="D4172" s="20">
        <v>10</v>
      </c>
      <c r="E4172" s="20">
        <v>10</v>
      </c>
      <c r="F4172" s="20">
        <v>10</v>
      </c>
      <c r="G4172" s="19">
        <f t="shared" si="308"/>
        <v>172</v>
      </c>
      <c r="H4172" s="22">
        <f t="shared" si="305"/>
        <v>4171</v>
      </c>
      <c r="I4172" s="21">
        <f t="shared" ca="1" si="296"/>
        <v>0</v>
      </c>
      <c r="J4172" s="21" t="str">
        <f ca="1">IF(I4172=0,"",COUNTIF($I$2:I4172,"&gt;0"))</f>
        <v/>
      </c>
      <c r="K4172" s="21" t="str">
        <f t="shared" ca="1" si="307"/>
        <v/>
      </c>
    </row>
    <row r="4173" spans="1:11" s="18" customFormat="1" ht="14.25" x14ac:dyDescent="0.2">
      <c r="A4173" s="18" t="str">
        <f t="shared" si="306"/>
        <v>Eintrag 4172</v>
      </c>
      <c r="B4173" s="18">
        <v>100</v>
      </c>
      <c r="C4173" s="19">
        <v>100</v>
      </c>
      <c r="D4173" s="20">
        <v>10</v>
      </c>
      <c r="E4173" s="20">
        <v>10</v>
      </c>
      <c r="F4173" s="20">
        <v>10</v>
      </c>
      <c r="G4173" s="19">
        <f t="shared" si="308"/>
        <v>172</v>
      </c>
      <c r="H4173" s="22">
        <f t="shared" si="305"/>
        <v>4172</v>
      </c>
      <c r="I4173" s="21">
        <f t="shared" ca="1" si="296"/>
        <v>0</v>
      </c>
      <c r="J4173" s="21" t="str">
        <f ca="1">IF(I4173=0,"",COUNTIF($I$2:I4173,"&gt;0"))</f>
        <v/>
      </c>
      <c r="K4173" s="21" t="str">
        <f t="shared" ca="1" si="307"/>
        <v/>
      </c>
    </row>
    <row r="4174" spans="1:11" s="18" customFormat="1" ht="14.25" x14ac:dyDescent="0.2">
      <c r="A4174" s="18" t="str">
        <f t="shared" si="306"/>
        <v>Eintrag 4173</v>
      </c>
      <c r="B4174" s="18">
        <v>100</v>
      </c>
      <c r="C4174" s="19">
        <v>100</v>
      </c>
      <c r="D4174" s="20">
        <v>10</v>
      </c>
      <c r="E4174" s="20">
        <v>10</v>
      </c>
      <c r="F4174" s="20">
        <v>10</v>
      </c>
      <c r="G4174" s="19">
        <f t="shared" si="308"/>
        <v>172</v>
      </c>
      <c r="H4174" s="22">
        <f t="shared" si="305"/>
        <v>4173</v>
      </c>
      <c r="I4174" s="21">
        <f t="shared" ca="1" si="296"/>
        <v>0</v>
      </c>
      <c r="J4174" s="21" t="str">
        <f ca="1">IF(I4174=0,"",COUNTIF($I$2:I4174,"&gt;0"))</f>
        <v/>
      </c>
      <c r="K4174" s="21" t="str">
        <f t="shared" ca="1" si="307"/>
        <v/>
      </c>
    </row>
    <row r="4175" spans="1:11" s="18" customFormat="1" ht="14.25" x14ac:dyDescent="0.2">
      <c r="A4175" s="18" t="str">
        <f t="shared" si="306"/>
        <v>Eintrag 4174</v>
      </c>
      <c r="B4175" s="18">
        <v>100</v>
      </c>
      <c r="C4175" s="19">
        <v>100</v>
      </c>
      <c r="D4175" s="20">
        <v>10</v>
      </c>
      <c r="E4175" s="20">
        <v>10</v>
      </c>
      <c r="F4175" s="20">
        <v>10</v>
      </c>
      <c r="G4175" s="19">
        <f t="shared" si="308"/>
        <v>172</v>
      </c>
      <c r="H4175" s="22">
        <f t="shared" si="305"/>
        <v>4174</v>
      </c>
      <c r="I4175" s="21">
        <f t="shared" ca="1" si="296"/>
        <v>0</v>
      </c>
      <c r="J4175" s="21" t="str">
        <f ca="1">IF(I4175=0,"",COUNTIF($I$2:I4175,"&gt;0"))</f>
        <v/>
      </c>
      <c r="K4175" s="21" t="str">
        <f t="shared" ca="1" si="307"/>
        <v/>
      </c>
    </row>
    <row r="4176" spans="1:11" s="18" customFormat="1" ht="14.25" x14ac:dyDescent="0.2">
      <c r="A4176" s="18" t="str">
        <f t="shared" si="306"/>
        <v>Eintrag 4175</v>
      </c>
      <c r="B4176" s="18">
        <v>100</v>
      </c>
      <c r="C4176" s="19">
        <v>100</v>
      </c>
      <c r="D4176" s="20">
        <v>10</v>
      </c>
      <c r="E4176" s="20">
        <v>10</v>
      </c>
      <c r="F4176" s="20">
        <v>10</v>
      </c>
      <c r="G4176" s="19">
        <f t="shared" si="308"/>
        <v>172</v>
      </c>
      <c r="H4176" s="22">
        <f t="shared" si="305"/>
        <v>4175</v>
      </c>
      <c r="I4176" s="21">
        <f t="shared" ca="1" si="296"/>
        <v>0</v>
      </c>
      <c r="J4176" s="21" t="str">
        <f ca="1">IF(I4176=0,"",COUNTIF($I$2:I4176,"&gt;0"))</f>
        <v/>
      </c>
      <c r="K4176" s="21" t="str">
        <f t="shared" ca="1" si="307"/>
        <v/>
      </c>
    </row>
    <row r="4177" spans="1:11" s="18" customFormat="1" ht="14.25" x14ac:dyDescent="0.2">
      <c r="A4177" s="18" t="str">
        <f t="shared" si="306"/>
        <v>Eintrag 4176</v>
      </c>
      <c r="B4177" s="18">
        <v>100</v>
      </c>
      <c r="C4177" s="19">
        <v>100</v>
      </c>
      <c r="D4177" s="20">
        <v>10</v>
      </c>
      <c r="E4177" s="20">
        <v>10</v>
      </c>
      <c r="F4177" s="20">
        <v>10</v>
      </c>
      <c r="G4177" s="19">
        <f t="shared" si="308"/>
        <v>172</v>
      </c>
      <c r="H4177" s="22">
        <f t="shared" si="305"/>
        <v>4176</v>
      </c>
      <c r="I4177" s="21">
        <f t="shared" ca="1" si="296"/>
        <v>0</v>
      </c>
      <c r="J4177" s="21" t="str">
        <f ca="1">IF(I4177=0,"",COUNTIF($I$2:I4177,"&gt;0"))</f>
        <v/>
      </c>
      <c r="K4177" s="21" t="str">
        <f t="shared" ca="1" si="307"/>
        <v/>
      </c>
    </row>
    <row r="4178" spans="1:11" s="18" customFormat="1" ht="14.25" x14ac:dyDescent="0.2">
      <c r="A4178" s="18" t="str">
        <f t="shared" si="306"/>
        <v>Eintrag 4177</v>
      </c>
      <c r="B4178" s="18">
        <v>100</v>
      </c>
      <c r="C4178" s="19">
        <v>100</v>
      </c>
      <c r="D4178" s="20">
        <v>10</v>
      </c>
      <c r="E4178" s="20">
        <v>10</v>
      </c>
      <c r="F4178" s="20">
        <v>10</v>
      </c>
      <c r="G4178" s="19">
        <f t="shared" si="308"/>
        <v>172</v>
      </c>
      <c r="H4178" s="22">
        <f t="shared" si="305"/>
        <v>4177</v>
      </c>
      <c r="I4178" s="21">
        <f t="shared" ca="1" si="296"/>
        <v>0</v>
      </c>
      <c r="J4178" s="21" t="str">
        <f ca="1">IF(I4178=0,"",COUNTIF($I$2:I4178,"&gt;0"))</f>
        <v/>
      </c>
      <c r="K4178" s="21" t="str">
        <f t="shared" ca="1" si="307"/>
        <v/>
      </c>
    </row>
    <row r="4179" spans="1:11" s="18" customFormat="1" ht="14.25" x14ac:dyDescent="0.2">
      <c r="A4179" s="18" t="str">
        <f t="shared" si="306"/>
        <v>Eintrag 4178</v>
      </c>
      <c r="B4179" s="18">
        <v>100</v>
      </c>
      <c r="C4179" s="19">
        <v>100</v>
      </c>
      <c r="D4179" s="20">
        <v>10</v>
      </c>
      <c r="E4179" s="20">
        <v>10</v>
      </c>
      <c r="F4179" s="20">
        <v>10</v>
      </c>
      <c r="G4179" s="19">
        <f t="shared" si="308"/>
        <v>172</v>
      </c>
      <c r="H4179" s="22">
        <f t="shared" si="305"/>
        <v>4178</v>
      </c>
      <c r="I4179" s="21">
        <f t="shared" ca="1" si="296"/>
        <v>0</v>
      </c>
      <c r="J4179" s="21" t="str">
        <f ca="1">IF(I4179=0,"",COUNTIF($I$2:I4179,"&gt;0"))</f>
        <v/>
      </c>
      <c r="K4179" s="21" t="str">
        <f t="shared" ca="1" si="307"/>
        <v/>
      </c>
    </row>
    <row r="4180" spans="1:11" s="18" customFormat="1" ht="14.25" x14ac:dyDescent="0.2">
      <c r="A4180" s="18" t="str">
        <f t="shared" si="306"/>
        <v>Eintrag 4179</v>
      </c>
      <c r="B4180" s="18">
        <v>100</v>
      </c>
      <c r="C4180" s="19">
        <v>100</v>
      </c>
      <c r="D4180" s="20">
        <v>10</v>
      </c>
      <c r="E4180" s="20">
        <v>10</v>
      </c>
      <c r="F4180" s="20">
        <v>10</v>
      </c>
      <c r="G4180" s="19">
        <f t="shared" si="308"/>
        <v>172</v>
      </c>
      <c r="H4180" s="22">
        <f t="shared" si="305"/>
        <v>4179</v>
      </c>
      <c r="I4180" s="21">
        <f t="shared" ca="1" si="296"/>
        <v>0</v>
      </c>
      <c r="J4180" s="21" t="str">
        <f ca="1">IF(I4180=0,"",COUNTIF($I$2:I4180,"&gt;0"))</f>
        <v/>
      </c>
      <c r="K4180" s="21" t="str">
        <f t="shared" ca="1" si="307"/>
        <v/>
      </c>
    </row>
    <row r="4181" spans="1:11" s="18" customFormat="1" ht="14.25" x14ac:dyDescent="0.2">
      <c r="A4181" s="18" t="str">
        <f t="shared" si="306"/>
        <v>Eintrag 4180</v>
      </c>
      <c r="B4181" s="18">
        <v>100</v>
      </c>
      <c r="C4181" s="19">
        <v>100</v>
      </c>
      <c r="D4181" s="20">
        <v>10</v>
      </c>
      <c r="E4181" s="20">
        <v>10</v>
      </c>
      <c r="F4181" s="20">
        <v>10</v>
      </c>
      <c r="G4181" s="19">
        <f t="shared" si="308"/>
        <v>172</v>
      </c>
      <c r="H4181" s="22">
        <f t="shared" si="305"/>
        <v>4180</v>
      </c>
      <c r="I4181" s="21">
        <f t="shared" ca="1" si="296"/>
        <v>0</v>
      </c>
      <c r="J4181" s="21" t="str">
        <f ca="1">IF(I4181=0,"",COUNTIF($I$2:I4181,"&gt;0"))</f>
        <v/>
      </c>
      <c r="K4181" s="21" t="str">
        <f t="shared" ca="1" si="307"/>
        <v/>
      </c>
    </row>
    <row r="4182" spans="1:11" s="18" customFormat="1" ht="14.25" x14ac:dyDescent="0.2">
      <c r="A4182" s="18" t="str">
        <f t="shared" si="306"/>
        <v>Eintrag 4181</v>
      </c>
      <c r="B4182" s="18">
        <v>100</v>
      </c>
      <c r="C4182" s="19">
        <v>100</v>
      </c>
      <c r="D4182" s="20">
        <v>10</v>
      </c>
      <c r="E4182" s="20">
        <v>10</v>
      </c>
      <c r="F4182" s="20">
        <v>10</v>
      </c>
      <c r="G4182" s="19">
        <f t="shared" si="308"/>
        <v>172</v>
      </c>
      <c r="H4182" s="22">
        <f t="shared" si="305"/>
        <v>4181</v>
      </c>
      <c r="I4182" s="21">
        <f t="shared" ca="1" si="296"/>
        <v>0</v>
      </c>
      <c r="J4182" s="21" t="str">
        <f ca="1">IF(I4182=0,"",COUNTIF($I$2:I4182,"&gt;0"))</f>
        <v/>
      </c>
      <c r="K4182" s="21" t="str">
        <f t="shared" ca="1" si="307"/>
        <v/>
      </c>
    </row>
    <row r="4183" spans="1:11" s="18" customFormat="1" ht="14.25" x14ac:dyDescent="0.2">
      <c r="A4183" s="18" t="str">
        <f t="shared" si="306"/>
        <v>Eintrag 4182</v>
      </c>
      <c r="B4183" s="18">
        <v>100</v>
      </c>
      <c r="C4183" s="19">
        <v>100</v>
      </c>
      <c r="D4183" s="20">
        <v>10</v>
      </c>
      <c r="E4183" s="20">
        <v>10</v>
      </c>
      <c r="F4183" s="20">
        <v>10</v>
      </c>
      <c r="G4183" s="19">
        <f t="shared" si="308"/>
        <v>172</v>
      </c>
      <c r="H4183" s="22">
        <f t="shared" si="305"/>
        <v>4182</v>
      </c>
      <c r="I4183" s="21">
        <f t="shared" ca="1" si="296"/>
        <v>0</v>
      </c>
      <c r="J4183" s="21" t="str">
        <f ca="1">IF(I4183=0,"",COUNTIF($I$2:I4183,"&gt;0"))</f>
        <v/>
      </c>
      <c r="K4183" s="21" t="str">
        <f t="shared" ca="1" si="307"/>
        <v/>
      </c>
    </row>
    <row r="4184" spans="1:11" s="18" customFormat="1" ht="14.25" x14ac:dyDescent="0.2">
      <c r="A4184" s="18" t="str">
        <f t="shared" si="306"/>
        <v>Eintrag 4183</v>
      </c>
      <c r="B4184" s="18">
        <v>100</v>
      </c>
      <c r="C4184" s="19">
        <v>100</v>
      </c>
      <c r="D4184" s="20">
        <v>10</v>
      </c>
      <c r="E4184" s="20">
        <v>10</v>
      </c>
      <c r="F4184" s="20">
        <v>10</v>
      </c>
      <c r="G4184" s="19">
        <f t="shared" si="308"/>
        <v>172</v>
      </c>
      <c r="H4184" s="22">
        <f t="shared" si="305"/>
        <v>4183</v>
      </c>
      <c r="I4184" s="21">
        <f t="shared" ca="1" si="296"/>
        <v>0</v>
      </c>
      <c r="J4184" s="21" t="str">
        <f ca="1">IF(I4184=0,"",COUNTIF($I$2:I4184,"&gt;0"))</f>
        <v/>
      </c>
      <c r="K4184" s="21" t="str">
        <f t="shared" ca="1" si="307"/>
        <v/>
      </c>
    </row>
    <row r="4185" spans="1:11" s="18" customFormat="1" ht="14.25" x14ac:dyDescent="0.2">
      <c r="A4185" s="18" t="str">
        <f t="shared" si="306"/>
        <v>Eintrag 4184</v>
      </c>
      <c r="B4185" s="18">
        <v>100</v>
      </c>
      <c r="C4185" s="19">
        <v>100</v>
      </c>
      <c r="D4185" s="20">
        <v>10</v>
      </c>
      <c r="E4185" s="20">
        <v>10</v>
      </c>
      <c r="F4185" s="20">
        <v>10</v>
      </c>
      <c r="G4185" s="19">
        <f t="shared" si="308"/>
        <v>172</v>
      </c>
      <c r="H4185" s="22">
        <f t="shared" si="305"/>
        <v>4184</v>
      </c>
      <c r="I4185" s="21">
        <f t="shared" ca="1" si="296"/>
        <v>0</v>
      </c>
      <c r="J4185" s="21" t="str">
        <f ca="1">IF(I4185=0,"",COUNTIF($I$2:I4185,"&gt;0"))</f>
        <v/>
      </c>
      <c r="K4185" s="21" t="str">
        <f t="shared" ca="1" si="307"/>
        <v/>
      </c>
    </row>
    <row r="4186" spans="1:11" s="18" customFormat="1" ht="14.25" x14ac:dyDescent="0.2">
      <c r="A4186" s="18" t="str">
        <f t="shared" si="306"/>
        <v>Eintrag 4185</v>
      </c>
      <c r="B4186" s="18">
        <v>100</v>
      </c>
      <c r="C4186" s="19">
        <v>100</v>
      </c>
      <c r="D4186" s="20">
        <v>10</v>
      </c>
      <c r="E4186" s="20">
        <v>10</v>
      </c>
      <c r="F4186" s="20">
        <v>10</v>
      </c>
      <c r="G4186" s="19">
        <f t="shared" si="308"/>
        <v>172</v>
      </c>
      <c r="H4186" s="22">
        <f t="shared" si="305"/>
        <v>4185</v>
      </c>
      <c r="I4186" s="21">
        <f t="shared" ca="1" si="296"/>
        <v>0</v>
      </c>
      <c r="J4186" s="21" t="str">
        <f ca="1">IF(I4186=0,"",COUNTIF($I$2:I4186,"&gt;0"))</f>
        <v/>
      </c>
      <c r="K4186" s="21" t="str">
        <f t="shared" ca="1" si="307"/>
        <v/>
      </c>
    </row>
    <row r="4187" spans="1:11" s="18" customFormat="1" ht="14.25" x14ac:dyDescent="0.2">
      <c r="A4187" s="18" t="str">
        <f t="shared" si="306"/>
        <v>Eintrag 4186</v>
      </c>
      <c r="B4187" s="18">
        <v>100</v>
      </c>
      <c r="C4187" s="19">
        <v>100</v>
      </c>
      <c r="D4187" s="20">
        <v>10</v>
      </c>
      <c r="E4187" s="20">
        <v>10</v>
      </c>
      <c r="F4187" s="20">
        <v>10</v>
      </c>
      <c r="G4187" s="19">
        <f t="shared" si="308"/>
        <v>172</v>
      </c>
      <c r="H4187" s="22">
        <f t="shared" si="305"/>
        <v>4186</v>
      </c>
      <c r="I4187" s="21">
        <f t="shared" ca="1" si="296"/>
        <v>0</v>
      </c>
      <c r="J4187" s="21" t="str">
        <f ca="1">IF(I4187=0,"",COUNTIF($I$2:I4187,"&gt;0"))</f>
        <v/>
      </c>
      <c r="K4187" s="21" t="str">
        <f t="shared" ca="1" si="307"/>
        <v/>
      </c>
    </row>
    <row r="4188" spans="1:11" s="18" customFormat="1" ht="14.25" x14ac:dyDescent="0.2">
      <c r="A4188" s="18" t="str">
        <f t="shared" si="306"/>
        <v>Eintrag 4187</v>
      </c>
      <c r="B4188" s="18">
        <v>100</v>
      </c>
      <c r="C4188" s="19">
        <v>100</v>
      </c>
      <c r="D4188" s="20">
        <v>10</v>
      </c>
      <c r="E4188" s="20">
        <v>10</v>
      </c>
      <c r="F4188" s="20">
        <v>10</v>
      </c>
      <c r="G4188" s="19">
        <f t="shared" si="308"/>
        <v>172</v>
      </c>
      <c r="H4188" s="22">
        <f t="shared" si="305"/>
        <v>4187</v>
      </c>
      <c r="I4188" s="21">
        <f t="shared" ca="1" si="296"/>
        <v>0</v>
      </c>
      <c r="J4188" s="21" t="str">
        <f ca="1">IF(I4188=0,"",COUNTIF($I$2:I4188,"&gt;0"))</f>
        <v/>
      </c>
      <c r="K4188" s="21" t="str">
        <f t="shared" ca="1" si="307"/>
        <v/>
      </c>
    </row>
    <row r="4189" spans="1:11" s="18" customFormat="1" ht="14.25" x14ac:dyDescent="0.2">
      <c r="A4189" s="18" t="str">
        <f t="shared" si="306"/>
        <v>Eintrag 4188</v>
      </c>
      <c r="B4189" s="18">
        <v>100</v>
      </c>
      <c r="C4189" s="19">
        <v>100</v>
      </c>
      <c r="D4189" s="20">
        <v>10</v>
      </c>
      <c r="E4189" s="20">
        <v>10</v>
      </c>
      <c r="F4189" s="20">
        <v>10</v>
      </c>
      <c r="G4189" s="19">
        <f t="shared" si="308"/>
        <v>172</v>
      </c>
      <c r="H4189" s="22">
        <f t="shared" si="305"/>
        <v>4188</v>
      </c>
      <c r="I4189" s="21">
        <f t="shared" ca="1" si="296"/>
        <v>0</v>
      </c>
      <c r="J4189" s="21" t="str">
        <f ca="1">IF(I4189=0,"",COUNTIF($I$2:I4189,"&gt;0"))</f>
        <v/>
      </c>
      <c r="K4189" s="21" t="str">
        <f t="shared" ca="1" si="307"/>
        <v/>
      </c>
    </row>
    <row r="4190" spans="1:11" s="18" customFormat="1" ht="14.25" x14ac:dyDescent="0.2">
      <c r="A4190" s="18" t="str">
        <f t="shared" si="306"/>
        <v>Eintrag 4189</v>
      </c>
      <c r="B4190" s="18">
        <v>100</v>
      </c>
      <c r="C4190" s="19">
        <v>100</v>
      </c>
      <c r="D4190" s="20">
        <v>10</v>
      </c>
      <c r="E4190" s="20">
        <v>10</v>
      </c>
      <c r="F4190" s="20">
        <v>10</v>
      </c>
      <c r="G4190" s="19">
        <f t="shared" si="308"/>
        <v>172</v>
      </c>
      <c r="H4190" s="22">
        <f t="shared" si="305"/>
        <v>4189</v>
      </c>
      <c r="I4190" s="21">
        <f t="shared" ca="1" si="296"/>
        <v>0</v>
      </c>
      <c r="J4190" s="21" t="str">
        <f ca="1">IF(I4190=0,"",COUNTIF($I$2:I4190,"&gt;0"))</f>
        <v/>
      </c>
      <c r="K4190" s="21" t="str">
        <f t="shared" ca="1" si="307"/>
        <v/>
      </c>
    </row>
    <row r="4191" spans="1:11" s="18" customFormat="1" ht="14.25" x14ac:dyDescent="0.2">
      <c r="A4191" s="18" t="str">
        <f t="shared" si="306"/>
        <v>Eintrag 4190</v>
      </c>
      <c r="B4191" s="18">
        <v>100</v>
      </c>
      <c r="C4191" s="19">
        <v>100</v>
      </c>
      <c r="D4191" s="20">
        <v>10</v>
      </c>
      <c r="E4191" s="20">
        <v>10</v>
      </c>
      <c r="F4191" s="20">
        <v>10</v>
      </c>
      <c r="G4191" s="19">
        <f t="shared" si="308"/>
        <v>172</v>
      </c>
      <c r="H4191" s="22">
        <f t="shared" si="305"/>
        <v>4190</v>
      </c>
      <c r="I4191" s="21">
        <f t="shared" ca="1" si="296"/>
        <v>0</v>
      </c>
      <c r="J4191" s="21" t="str">
        <f ca="1">IF(I4191=0,"",COUNTIF($I$2:I4191,"&gt;0"))</f>
        <v/>
      </c>
      <c r="K4191" s="21" t="str">
        <f t="shared" ca="1" si="307"/>
        <v/>
      </c>
    </row>
    <row r="4192" spans="1:11" s="18" customFormat="1" ht="14.25" x14ac:dyDescent="0.2">
      <c r="A4192" s="18" t="str">
        <f t="shared" si="306"/>
        <v>Eintrag 4191</v>
      </c>
      <c r="B4192" s="18">
        <v>100</v>
      </c>
      <c r="C4192" s="19">
        <v>100</v>
      </c>
      <c r="D4192" s="20">
        <v>10</v>
      </c>
      <c r="E4192" s="20">
        <v>10</v>
      </c>
      <c r="F4192" s="20">
        <v>10</v>
      </c>
      <c r="G4192" s="19">
        <f t="shared" si="308"/>
        <v>172</v>
      </c>
      <c r="H4192" s="22">
        <f t="shared" si="305"/>
        <v>4191</v>
      </c>
      <c r="I4192" s="21">
        <f t="shared" ca="1" si="296"/>
        <v>0</v>
      </c>
      <c r="J4192" s="21" t="str">
        <f ca="1">IF(I4192=0,"",COUNTIF($I$2:I4192,"&gt;0"))</f>
        <v/>
      </c>
      <c r="K4192" s="21" t="str">
        <f t="shared" ca="1" si="307"/>
        <v/>
      </c>
    </row>
    <row r="4193" spans="1:11" s="18" customFormat="1" ht="14.25" x14ac:dyDescent="0.2">
      <c r="A4193" s="18" t="str">
        <f t="shared" si="306"/>
        <v>Eintrag 4192</v>
      </c>
      <c r="B4193" s="18">
        <v>100</v>
      </c>
      <c r="C4193" s="19">
        <v>100</v>
      </c>
      <c r="D4193" s="20">
        <v>10</v>
      </c>
      <c r="E4193" s="20">
        <v>10</v>
      </c>
      <c r="F4193" s="20">
        <v>10</v>
      </c>
      <c r="G4193" s="19">
        <f t="shared" si="308"/>
        <v>172</v>
      </c>
      <c r="H4193" s="22">
        <f t="shared" si="305"/>
        <v>4192</v>
      </c>
      <c r="I4193" s="21">
        <f t="shared" ca="1" si="296"/>
        <v>0</v>
      </c>
      <c r="J4193" s="21" t="str">
        <f ca="1">IF(I4193=0,"",COUNTIF($I$2:I4193,"&gt;0"))</f>
        <v/>
      </c>
      <c r="K4193" s="21" t="str">
        <f t="shared" ca="1" si="307"/>
        <v/>
      </c>
    </row>
    <row r="4194" spans="1:11" s="18" customFormat="1" ht="14.25" x14ac:dyDescent="0.2">
      <c r="A4194" s="18" t="str">
        <f t="shared" si="306"/>
        <v>Eintrag 4193</v>
      </c>
      <c r="B4194" s="18">
        <v>100</v>
      </c>
      <c r="C4194" s="19">
        <v>100</v>
      </c>
      <c r="D4194" s="20">
        <v>10</v>
      </c>
      <c r="E4194" s="20">
        <v>10</v>
      </c>
      <c r="F4194" s="20">
        <v>10</v>
      </c>
      <c r="G4194" s="19">
        <f t="shared" si="308"/>
        <v>172</v>
      </c>
      <c r="H4194" s="22">
        <f t="shared" si="305"/>
        <v>4193</v>
      </c>
      <c r="I4194" s="21">
        <f t="shared" ca="1" si="296"/>
        <v>0</v>
      </c>
      <c r="J4194" s="21" t="str">
        <f ca="1">IF(I4194=0,"",COUNTIF($I$2:I4194,"&gt;0"))</f>
        <v/>
      </c>
      <c r="K4194" s="21" t="str">
        <f t="shared" ca="1" si="307"/>
        <v/>
      </c>
    </row>
    <row r="4195" spans="1:11" s="18" customFormat="1" ht="14.25" x14ac:dyDescent="0.2">
      <c r="A4195" s="18" t="str">
        <f t="shared" si="306"/>
        <v>Eintrag 4194</v>
      </c>
      <c r="B4195" s="18">
        <v>100</v>
      </c>
      <c r="C4195" s="19">
        <v>100</v>
      </c>
      <c r="D4195" s="20">
        <v>10</v>
      </c>
      <c r="E4195" s="20">
        <v>10</v>
      </c>
      <c r="F4195" s="20">
        <v>10</v>
      </c>
      <c r="G4195" s="19">
        <f t="shared" si="308"/>
        <v>172</v>
      </c>
      <c r="H4195" s="22">
        <f t="shared" si="305"/>
        <v>4194</v>
      </c>
      <c r="I4195" s="21">
        <f t="shared" ca="1" si="296"/>
        <v>0</v>
      </c>
      <c r="J4195" s="21" t="str">
        <f ca="1">IF(I4195=0,"",COUNTIF($I$2:I4195,"&gt;0"))</f>
        <v/>
      </c>
      <c r="K4195" s="21" t="str">
        <f t="shared" ca="1" si="307"/>
        <v/>
      </c>
    </row>
    <row r="4196" spans="1:11" s="18" customFormat="1" ht="14.25" x14ac:dyDescent="0.2">
      <c r="A4196" s="18" t="str">
        <f t="shared" si="306"/>
        <v>Eintrag 4195</v>
      </c>
      <c r="B4196" s="18">
        <v>100</v>
      </c>
      <c r="C4196" s="19">
        <v>100</v>
      </c>
      <c r="D4196" s="20">
        <v>10</v>
      </c>
      <c r="E4196" s="20">
        <v>10</v>
      </c>
      <c r="F4196" s="20">
        <v>10</v>
      </c>
      <c r="G4196" s="19">
        <f t="shared" si="308"/>
        <v>172</v>
      </c>
      <c r="H4196" s="22">
        <f t="shared" si="305"/>
        <v>4195</v>
      </c>
      <c r="I4196" s="21">
        <f t="shared" ca="1" si="296"/>
        <v>0</v>
      </c>
      <c r="J4196" s="21" t="str">
        <f ca="1">IF(I4196=0,"",COUNTIF($I$2:I4196,"&gt;0"))</f>
        <v/>
      </c>
      <c r="K4196" s="21" t="str">
        <f t="shared" ca="1" si="307"/>
        <v/>
      </c>
    </row>
    <row r="4197" spans="1:11" s="18" customFormat="1" ht="14.25" x14ac:dyDescent="0.2">
      <c r="A4197" s="18" t="str">
        <f t="shared" si="306"/>
        <v>Eintrag 4196</v>
      </c>
      <c r="B4197" s="18">
        <v>100</v>
      </c>
      <c r="C4197" s="19">
        <v>100</v>
      </c>
      <c r="D4197" s="20">
        <v>10</v>
      </c>
      <c r="E4197" s="20">
        <v>10</v>
      </c>
      <c r="F4197" s="20">
        <v>10</v>
      </c>
      <c r="G4197" s="19">
        <f t="shared" si="308"/>
        <v>172</v>
      </c>
      <c r="H4197" s="22">
        <f t="shared" ref="H4197:H4260" si="309">H4196+1</f>
        <v>4196</v>
      </c>
      <c r="I4197" s="21">
        <f t="shared" ca="1" si="296"/>
        <v>0</v>
      </c>
      <c r="J4197" s="21" t="str">
        <f ca="1">IF(I4197=0,"",COUNTIF($I$2:I4197,"&gt;0"))</f>
        <v/>
      </c>
      <c r="K4197" s="21" t="str">
        <f t="shared" ca="1" si="307"/>
        <v/>
      </c>
    </row>
    <row r="4198" spans="1:11" s="18" customFormat="1" ht="14.25" x14ac:dyDescent="0.2">
      <c r="A4198" s="18" t="str">
        <f t="shared" si="306"/>
        <v>Eintrag 4197</v>
      </c>
      <c r="B4198" s="18">
        <v>100</v>
      </c>
      <c r="C4198" s="19">
        <v>100</v>
      </c>
      <c r="D4198" s="20">
        <v>10</v>
      </c>
      <c r="E4198" s="20">
        <v>10</v>
      </c>
      <c r="F4198" s="20">
        <v>10</v>
      </c>
      <c r="G4198" s="19">
        <f t="shared" si="308"/>
        <v>172</v>
      </c>
      <c r="H4198" s="22">
        <f t="shared" si="309"/>
        <v>4197</v>
      </c>
      <c r="I4198" s="21">
        <f t="shared" ca="1" si="296"/>
        <v>0</v>
      </c>
      <c r="J4198" s="21" t="str">
        <f ca="1">IF(I4198=0,"",COUNTIF($I$2:I4198,"&gt;0"))</f>
        <v/>
      </c>
      <c r="K4198" s="21" t="str">
        <f t="shared" ca="1" si="307"/>
        <v/>
      </c>
    </row>
    <row r="4199" spans="1:11" s="18" customFormat="1" ht="14.25" x14ac:dyDescent="0.2">
      <c r="A4199" s="18" t="str">
        <f t="shared" si="306"/>
        <v>Eintrag 4198</v>
      </c>
      <c r="B4199" s="18">
        <v>100</v>
      </c>
      <c r="C4199" s="19">
        <v>100</v>
      </c>
      <c r="D4199" s="20">
        <v>10</v>
      </c>
      <c r="E4199" s="20">
        <v>10</v>
      </c>
      <c r="F4199" s="20">
        <v>10</v>
      </c>
      <c r="G4199" s="19">
        <f t="shared" si="308"/>
        <v>172</v>
      </c>
      <c r="H4199" s="22">
        <f t="shared" si="309"/>
        <v>4198</v>
      </c>
      <c r="I4199" s="21">
        <f t="shared" ca="1" si="296"/>
        <v>0</v>
      </c>
      <c r="J4199" s="21" t="str">
        <f ca="1">IF(I4199=0,"",COUNTIF($I$2:I4199,"&gt;0"))</f>
        <v/>
      </c>
      <c r="K4199" s="21" t="str">
        <f t="shared" ca="1" si="307"/>
        <v/>
      </c>
    </row>
    <row r="4200" spans="1:11" s="18" customFormat="1" ht="14.25" x14ac:dyDescent="0.2">
      <c r="A4200" s="18" t="str">
        <f t="shared" si="306"/>
        <v>Eintrag 4199</v>
      </c>
      <c r="B4200" s="18">
        <v>100</v>
      </c>
      <c r="C4200" s="19">
        <v>100</v>
      </c>
      <c r="D4200" s="20">
        <v>10</v>
      </c>
      <c r="E4200" s="20">
        <v>10</v>
      </c>
      <c r="F4200" s="20">
        <v>10</v>
      </c>
      <c r="G4200" s="19">
        <f t="shared" si="308"/>
        <v>172</v>
      </c>
      <c r="H4200" s="22">
        <f t="shared" si="309"/>
        <v>4199</v>
      </c>
      <c r="I4200" s="21">
        <f t="shared" ca="1" si="296"/>
        <v>0</v>
      </c>
      <c r="J4200" s="21" t="str">
        <f ca="1">IF(I4200=0,"",COUNTIF($I$2:I4200,"&gt;0"))</f>
        <v/>
      </c>
      <c r="K4200" s="21" t="str">
        <f t="shared" ca="1" si="307"/>
        <v/>
      </c>
    </row>
    <row r="4201" spans="1:11" s="18" customFormat="1" ht="14.25" x14ac:dyDescent="0.2">
      <c r="A4201" s="18" t="str">
        <f t="shared" si="306"/>
        <v>Eintrag 4200</v>
      </c>
      <c r="B4201" s="18">
        <v>100</v>
      </c>
      <c r="C4201" s="19">
        <v>100</v>
      </c>
      <c r="D4201" s="20">
        <v>10</v>
      </c>
      <c r="E4201" s="20">
        <v>10</v>
      </c>
      <c r="F4201" s="20">
        <v>10</v>
      </c>
      <c r="G4201" s="19">
        <f t="shared" si="308"/>
        <v>172</v>
      </c>
      <c r="H4201" s="22">
        <f t="shared" si="309"/>
        <v>4200</v>
      </c>
      <c r="I4201" s="21">
        <f t="shared" ca="1" si="296"/>
        <v>0</v>
      </c>
      <c r="J4201" s="21" t="str">
        <f ca="1">IF(I4201=0,"",COUNTIF($I$2:I4201,"&gt;0"))</f>
        <v/>
      </c>
      <c r="K4201" s="21" t="str">
        <f t="shared" ca="1" si="307"/>
        <v/>
      </c>
    </row>
    <row r="4202" spans="1:11" s="18" customFormat="1" ht="14.25" x14ac:dyDescent="0.2">
      <c r="A4202" s="18" t="str">
        <f t="shared" si="306"/>
        <v>Eintrag 4201</v>
      </c>
      <c r="B4202" s="18">
        <v>100</v>
      </c>
      <c r="C4202" s="19">
        <v>100</v>
      </c>
      <c r="D4202" s="20">
        <v>10</v>
      </c>
      <c r="E4202" s="20">
        <v>10</v>
      </c>
      <c r="F4202" s="20">
        <v>10</v>
      </c>
      <c r="G4202" s="19">
        <f t="shared" si="308"/>
        <v>172</v>
      </c>
      <c r="H4202" s="22">
        <f t="shared" si="309"/>
        <v>4201</v>
      </c>
      <c r="I4202" s="21">
        <f t="shared" ca="1" si="296"/>
        <v>0</v>
      </c>
      <c r="J4202" s="21" t="str">
        <f ca="1">IF(I4202=0,"",COUNTIF($I$2:I4202,"&gt;0"))</f>
        <v/>
      </c>
      <c r="K4202" s="21" t="str">
        <f t="shared" ca="1" si="307"/>
        <v/>
      </c>
    </row>
    <row r="4203" spans="1:11" s="18" customFormat="1" ht="14.25" x14ac:dyDescent="0.2">
      <c r="A4203" s="18" t="str">
        <f t="shared" si="306"/>
        <v>Eintrag 4202</v>
      </c>
      <c r="B4203" s="18">
        <v>100</v>
      </c>
      <c r="C4203" s="19">
        <v>100</v>
      </c>
      <c r="D4203" s="20">
        <v>10</v>
      </c>
      <c r="E4203" s="20">
        <v>10</v>
      </c>
      <c r="F4203" s="20">
        <v>10</v>
      </c>
      <c r="G4203" s="19">
        <f t="shared" si="308"/>
        <v>172</v>
      </c>
      <c r="H4203" s="22">
        <f t="shared" si="309"/>
        <v>4202</v>
      </c>
      <c r="I4203" s="21">
        <f t="shared" ca="1" si="296"/>
        <v>0</v>
      </c>
      <c r="J4203" s="21" t="str">
        <f ca="1">IF(I4203=0,"",COUNTIF($I$2:I4203,"&gt;0"))</f>
        <v/>
      </c>
      <c r="K4203" s="21" t="str">
        <f t="shared" ca="1" si="307"/>
        <v/>
      </c>
    </row>
    <row r="4204" spans="1:11" s="18" customFormat="1" ht="14.25" x14ac:dyDescent="0.2">
      <c r="A4204" s="18" t="str">
        <f t="shared" si="306"/>
        <v>Eintrag 4203</v>
      </c>
      <c r="B4204" s="18">
        <v>100</v>
      </c>
      <c r="C4204" s="19">
        <v>100</v>
      </c>
      <c r="D4204" s="20">
        <v>10</v>
      </c>
      <c r="E4204" s="20">
        <v>10</v>
      </c>
      <c r="F4204" s="20">
        <v>10</v>
      </c>
      <c r="G4204" s="19">
        <f t="shared" si="308"/>
        <v>172</v>
      </c>
      <c r="H4204" s="22">
        <f t="shared" si="309"/>
        <v>4203</v>
      </c>
      <c r="I4204" s="21">
        <f t="shared" ca="1" si="296"/>
        <v>0</v>
      </c>
      <c r="J4204" s="21" t="str">
        <f ca="1">IF(I4204=0,"",COUNTIF($I$2:I4204,"&gt;0"))</f>
        <v/>
      </c>
      <c r="K4204" s="21" t="str">
        <f t="shared" ca="1" si="307"/>
        <v/>
      </c>
    </row>
    <row r="4205" spans="1:11" s="18" customFormat="1" ht="14.25" x14ac:dyDescent="0.2">
      <c r="A4205" s="18" t="str">
        <f t="shared" si="306"/>
        <v>Eintrag 4204</v>
      </c>
      <c r="B4205" s="18">
        <v>100</v>
      </c>
      <c r="C4205" s="19">
        <v>100</v>
      </c>
      <c r="D4205" s="20">
        <v>10</v>
      </c>
      <c r="E4205" s="20">
        <v>10</v>
      </c>
      <c r="F4205" s="20">
        <v>10</v>
      </c>
      <c r="G4205" s="19">
        <f t="shared" si="308"/>
        <v>172</v>
      </c>
      <c r="H4205" s="22">
        <f t="shared" si="309"/>
        <v>4204</v>
      </c>
      <c r="I4205" s="21">
        <f t="shared" ca="1" si="296"/>
        <v>0</v>
      </c>
      <c r="J4205" s="21" t="str">
        <f ca="1">IF(I4205=0,"",COUNTIF($I$2:I4205,"&gt;0"))</f>
        <v/>
      </c>
      <c r="K4205" s="21" t="str">
        <f t="shared" ca="1" si="307"/>
        <v/>
      </c>
    </row>
    <row r="4206" spans="1:11" s="18" customFormat="1" ht="14.25" x14ac:dyDescent="0.2">
      <c r="A4206" s="18" t="str">
        <f t="shared" si="306"/>
        <v>Eintrag 4205</v>
      </c>
      <c r="B4206" s="18">
        <v>100</v>
      </c>
      <c r="C4206" s="19">
        <v>100</v>
      </c>
      <c r="D4206" s="20">
        <v>10</v>
      </c>
      <c r="E4206" s="20">
        <v>10</v>
      </c>
      <c r="F4206" s="20">
        <v>10</v>
      </c>
      <c r="G4206" s="19">
        <f t="shared" si="308"/>
        <v>172</v>
      </c>
      <c r="H4206" s="22">
        <f t="shared" si="309"/>
        <v>4205</v>
      </c>
      <c r="I4206" s="21">
        <f t="shared" ca="1" si="296"/>
        <v>0</v>
      </c>
      <c r="J4206" s="21" t="str">
        <f ca="1">IF(I4206=0,"",COUNTIF($I$2:I4206,"&gt;0"))</f>
        <v/>
      </c>
      <c r="K4206" s="21" t="str">
        <f t="shared" ca="1" si="307"/>
        <v/>
      </c>
    </row>
    <row r="4207" spans="1:11" s="18" customFormat="1" ht="14.25" x14ac:dyDescent="0.2">
      <c r="A4207" s="18" t="str">
        <f t="shared" si="306"/>
        <v>Eintrag 4206</v>
      </c>
      <c r="B4207" s="18">
        <v>100</v>
      </c>
      <c r="C4207" s="19">
        <v>100</v>
      </c>
      <c r="D4207" s="20">
        <v>10</v>
      </c>
      <c r="E4207" s="20">
        <v>10</v>
      </c>
      <c r="F4207" s="20">
        <v>10</v>
      </c>
      <c r="G4207" s="19">
        <f t="shared" si="308"/>
        <v>172</v>
      </c>
      <c r="H4207" s="22">
        <f t="shared" si="309"/>
        <v>4206</v>
      </c>
      <c r="I4207" s="21">
        <f t="shared" ca="1" si="296"/>
        <v>0</v>
      </c>
      <c r="J4207" s="21" t="str">
        <f ca="1">IF(I4207=0,"",COUNTIF($I$2:I4207,"&gt;0"))</f>
        <v/>
      </c>
      <c r="K4207" s="21" t="str">
        <f t="shared" ca="1" si="307"/>
        <v/>
      </c>
    </row>
    <row r="4208" spans="1:11" s="18" customFormat="1" ht="14.25" x14ac:dyDescent="0.2">
      <c r="A4208" s="18" t="str">
        <f t="shared" si="306"/>
        <v>Eintrag 4207</v>
      </c>
      <c r="B4208" s="18">
        <v>100</v>
      </c>
      <c r="C4208" s="19">
        <v>100</v>
      </c>
      <c r="D4208" s="20">
        <v>10</v>
      </c>
      <c r="E4208" s="20">
        <v>10</v>
      </c>
      <c r="F4208" s="20">
        <v>10</v>
      </c>
      <c r="G4208" s="19">
        <f t="shared" si="308"/>
        <v>172</v>
      </c>
      <c r="H4208" s="22">
        <f t="shared" si="309"/>
        <v>4207</v>
      </c>
      <c r="I4208" s="21">
        <f t="shared" ca="1" si="296"/>
        <v>0</v>
      </c>
      <c r="J4208" s="21" t="str">
        <f ca="1">IF(I4208=0,"",COUNTIF($I$2:I4208,"&gt;0"))</f>
        <v/>
      </c>
      <c r="K4208" s="21" t="str">
        <f t="shared" ca="1" si="307"/>
        <v/>
      </c>
    </row>
    <row r="4209" spans="1:11" s="18" customFormat="1" ht="14.25" x14ac:dyDescent="0.2">
      <c r="A4209" s="18" t="str">
        <f t="shared" ref="A4209:A4272" si="310">CONCATENATE("Eintrag ",H4209)</f>
        <v>Eintrag 4208</v>
      </c>
      <c r="B4209" s="18">
        <v>100</v>
      </c>
      <c r="C4209" s="19">
        <v>100</v>
      </c>
      <c r="D4209" s="20">
        <v>10</v>
      </c>
      <c r="E4209" s="20">
        <v>10</v>
      </c>
      <c r="F4209" s="20">
        <v>10</v>
      </c>
      <c r="G4209" s="19">
        <f t="shared" si="308"/>
        <v>172</v>
      </c>
      <c r="H4209" s="22">
        <f t="shared" si="309"/>
        <v>4208</v>
      </c>
      <c r="I4209" s="21">
        <f t="shared" ca="1" si="296"/>
        <v>0</v>
      </c>
      <c r="J4209" s="21" t="str">
        <f ca="1">IF(I4209=0,"",COUNTIF($I$2:I4209,"&gt;0"))</f>
        <v/>
      </c>
      <c r="K4209" s="21" t="str">
        <f t="shared" ca="1" si="307"/>
        <v/>
      </c>
    </row>
    <row r="4210" spans="1:11" s="18" customFormat="1" ht="14.25" x14ac:dyDescent="0.2">
      <c r="A4210" s="18" t="str">
        <f t="shared" si="310"/>
        <v>Eintrag 4209</v>
      </c>
      <c r="B4210" s="18">
        <v>100</v>
      </c>
      <c r="C4210" s="19">
        <v>100</v>
      </c>
      <c r="D4210" s="20">
        <v>10</v>
      </c>
      <c r="E4210" s="20">
        <v>10</v>
      </c>
      <c r="F4210" s="20">
        <v>10</v>
      </c>
      <c r="G4210" s="19">
        <f t="shared" si="308"/>
        <v>172</v>
      </c>
      <c r="H4210" s="22">
        <f t="shared" si="309"/>
        <v>4209</v>
      </c>
      <c r="I4210" s="21">
        <f t="shared" ca="1" si="296"/>
        <v>0</v>
      </c>
      <c r="J4210" s="21" t="str">
        <f ca="1">IF(I4210=0,"",COUNTIF($I$2:I4210,"&gt;0"))</f>
        <v/>
      </c>
      <c r="K4210" s="21" t="str">
        <f t="shared" ca="1" si="307"/>
        <v/>
      </c>
    </row>
    <row r="4211" spans="1:11" s="18" customFormat="1" ht="14.25" x14ac:dyDescent="0.2">
      <c r="A4211" s="18" t="str">
        <f t="shared" si="310"/>
        <v>Eintrag 4210</v>
      </c>
      <c r="B4211" s="18">
        <v>100</v>
      </c>
      <c r="C4211" s="19">
        <v>100</v>
      </c>
      <c r="D4211" s="20">
        <v>10</v>
      </c>
      <c r="E4211" s="20">
        <v>10</v>
      </c>
      <c r="F4211" s="20">
        <v>10</v>
      </c>
      <c r="G4211" s="19">
        <f t="shared" si="308"/>
        <v>172</v>
      </c>
      <c r="H4211" s="22">
        <f t="shared" si="309"/>
        <v>4210</v>
      </c>
      <c r="I4211" s="21">
        <f t="shared" ca="1" si="296"/>
        <v>0</v>
      </c>
      <c r="J4211" s="21" t="str">
        <f ca="1">IF(I4211=0,"",COUNTIF($I$2:I4211,"&gt;0"))</f>
        <v/>
      </c>
      <c r="K4211" s="21" t="str">
        <f t="shared" ca="1" si="307"/>
        <v/>
      </c>
    </row>
    <row r="4212" spans="1:11" s="18" customFormat="1" ht="14.25" x14ac:dyDescent="0.2">
      <c r="A4212" s="18" t="str">
        <f t="shared" si="310"/>
        <v>Eintrag 4211</v>
      </c>
      <c r="B4212" s="18">
        <v>100</v>
      </c>
      <c r="C4212" s="19">
        <v>100</v>
      </c>
      <c r="D4212" s="20">
        <v>10</v>
      </c>
      <c r="E4212" s="20">
        <v>10</v>
      </c>
      <c r="F4212" s="20">
        <v>10</v>
      </c>
      <c r="G4212" s="19">
        <f t="shared" si="308"/>
        <v>172</v>
      </c>
      <c r="H4212" s="22">
        <f t="shared" si="309"/>
        <v>4211</v>
      </c>
      <c r="I4212" s="21">
        <f t="shared" ca="1" si="296"/>
        <v>0</v>
      </c>
      <c r="J4212" s="21" t="str">
        <f ca="1">IF(I4212=0,"",COUNTIF($I$2:I4212,"&gt;0"))</f>
        <v/>
      </c>
      <c r="K4212" s="21" t="str">
        <f t="shared" ca="1" si="307"/>
        <v/>
      </c>
    </row>
    <row r="4213" spans="1:11" s="18" customFormat="1" ht="14.25" x14ac:dyDescent="0.2">
      <c r="A4213" s="18" t="str">
        <f t="shared" si="310"/>
        <v>Eintrag 4212</v>
      </c>
      <c r="B4213" s="18">
        <v>100</v>
      </c>
      <c r="C4213" s="19">
        <v>100</v>
      </c>
      <c r="D4213" s="20">
        <v>10</v>
      </c>
      <c r="E4213" s="20">
        <v>10</v>
      </c>
      <c r="F4213" s="20">
        <v>10</v>
      </c>
      <c r="G4213" s="19">
        <f t="shared" si="308"/>
        <v>172</v>
      </c>
      <c r="H4213" s="22">
        <f t="shared" si="309"/>
        <v>4212</v>
      </c>
      <c r="I4213" s="21">
        <f t="shared" ca="1" si="296"/>
        <v>0</v>
      </c>
      <c r="J4213" s="21" t="str">
        <f ca="1">IF(I4213=0,"",COUNTIF($I$2:I4213,"&gt;0"))</f>
        <v/>
      </c>
      <c r="K4213" s="21" t="str">
        <f t="shared" ca="1" si="307"/>
        <v/>
      </c>
    </row>
    <row r="4214" spans="1:11" s="18" customFormat="1" ht="14.25" x14ac:dyDescent="0.2">
      <c r="A4214" s="18" t="str">
        <f t="shared" si="310"/>
        <v>Eintrag 4213</v>
      </c>
      <c r="B4214" s="18">
        <v>100</v>
      </c>
      <c r="C4214" s="19">
        <v>100</v>
      </c>
      <c r="D4214" s="20">
        <v>10</v>
      </c>
      <c r="E4214" s="20">
        <v>10</v>
      </c>
      <c r="F4214" s="20">
        <v>10</v>
      </c>
      <c r="G4214" s="19">
        <f t="shared" si="308"/>
        <v>172</v>
      </c>
      <c r="H4214" s="22">
        <f t="shared" si="309"/>
        <v>4213</v>
      </c>
      <c r="I4214" s="21">
        <f t="shared" ca="1" si="296"/>
        <v>0</v>
      </c>
      <c r="J4214" s="21" t="str">
        <f ca="1">IF(I4214=0,"",COUNTIF($I$2:I4214,"&gt;0"))</f>
        <v/>
      </c>
      <c r="K4214" s="21" t="str">
        <f t="shared" ca="1" si="307"/>
        <v/>
      </c>
    </row>
    <row r="4215" spans="1:11" s="18" customFormat="1" ht="14.25" x14ac:dyDescent="0.2">
      <c r="A4215" s="18" t="str">
        <f t="shared" si="310"/>
        <v>Eintrag 4214</v>
      </c>
      <c r="B4215" s="18">
        <v>100</v>
      </c>
      <c r="C4215" s="19">
        <v>100</v>
      </c>
      <c r="D4215" s="20">
        <v>10</v>
      </c>
      <c r="E4215" s="20">
        <v>10</v>
      </c>
      <c r="F4215" s="20">
        <v>10</v>
      </c>
      <c r="G4215" s="19">
        <f t="shared" si="308"/>
        <v>172</v>
      </c>
      <c r="H4215" s="22">
        <f t="shared" si="309"/>
        <v>4214</v>
      </c>
      <c r="I4215" s="21">
        <f t="shared" ca="1" si="296"/>
        <v>0</v>
      </c>
      <c r="J4215" s="21" t="str">
        <f ca="1">IF(I4215=0,"",COUNTIF($I$2:I4215,"&gt;0"))</f>
        <v/>
      </c>
      <c r="K4215" s="21" t="str">
        <f t="shared" ca="1" si="307"/>
        <v/>
      </c>
    </row>
    <row r="4216" spans="1:11" s="18" customFormat="1" ht="14.25" x14ac:dyDescent="0.2">
      <c r="A4216" s="18" t="str">
        <f t="shared" si="310"/>
        <v>Eintrag 4215</v>
      </c>
      <c r="B4216" s="18">
        <v>100</v>
      </c>
      <c r="C4216" s="19">
        <v>100</v>
      </c>
      <c r="D4216" s="20">
        <v>10</v>
      </c>
      <c r="E4216" s="20">
        <v>10</v>
      </c>
      <c r="F4216" s="20">
        <v>10</v>
      </c>
      <c r="G4216" s="19">
        <f t="shared" si="308"/>
        <v>172</v>
      </c>
      <c r="H4216" s="22">
        <f t="shared" si="309"/>
        <v>4215</v>
      </c>
      <c r="I4216" s="21">
        <f t="shared" ca="1" si="296"/>
        <v>0</v>
      </c>
      <c r="J4216" s="21" t="str">
        <f ca="1">IF(I4216=0,"",COUNTIF($I$2:I4216,"&gt;0"))</f>
        <v/>
      </c>
      <c r="K4216" s="21" t="str">
        <f t="shared" ca="1" si="307"/>
        <v/>
      </c>
    </row>
    <row r="4217" spans="1:11" s="18" customFormat="1" ht="14.25" x14ac:dyDescent="0.2">
      <c r="A4217" s="18" t="str">
        <f t="shared" si="310"/>
        <v>Eintrag 4216</v>
      </c>
      <c r="B4217" s="18">
        <v>100</v>
      </c>
      <c r="C4217" s="19">
        <v>100</v>
      </c>
      <c r="D4217" s="20">
        <v>10</v>
      </c>
      <c r="E4217" s="20">
        <v>10</v>
      </c>
      <c r="F4217" s="20">
        <v>10</v>
      </c>
      <c r="G4217" s="19">
        <f t="shared" si="308"/>
        <v>172</v>
      </c>
      <c r="H4217" s="22">
        <f t="shared" si="309"/>
        <v>4216</v>
      </c>
      <c r="I4217" s="21">
        <f t="shared" ca="1" si="296"/>
        <v>0</v>
      </c>
      <c r="J4217" s="21" t="str">
        <f ca="1">IF(I4217=0,"",COUNTIF($I$2:I4217,"&gt;0"))</f>
        <v/>
      </c>
      <c r="K4217" s="21" t="str">
        <f t="shared" ca="1" si="307"/>
        <v/>
      </c>
    </row>
    <row r="4218" spans="1:11" s="18" customFormat="1" ht="14.25" x14ac:dyDescent="0.2">
      <c r="A4218" s="18" t="str">
        <f t="shared" si="310"/>
        <v>Eintrag 4217</v>
      </c>
      <c r="B4218" s="18">
        <v>100</v>
      </c>
      <c r="C4218" s="19">
        <v>100</v>
      </c>
      <c r="D4218" s="20">
        <v>10</v>
      </c>
      <c r="E4218" s="20">
        <v>10</v>
      </c>
      <c r="F4218" s="20">
        <v>10</v>
      </c>
      <c r="G4218" s="19">
        <f t="shared" si="308"/>
        <v>172</v>
      </c>
      <c r="H4218" s="22">
        <f t="shared" si="309"/>
        <v>4217</v>
      </c>
      <c r="I4218" s="21">
        <f t="shared" ca="1" si="296"/>
        <v>0</v>
      </c>
      <c r="J4218" s="21" t="str">
        <f ca="1">IF(I4218=0,"",COUNTIF($I$2:I4218,"&gt;0"))</f>
        <v/>
      </c>
      <c r="K4218" s="21" t="str">
        <f t="shared" ca="1" si="307"/>
        <v/>
      </c>
    </row>
    <row r="4219" spans="1:11" s="18" customFormat="1" ht="14.25" x14ac:dyDescent="0.2">
      <c r="A4219" s="18" t="str">
        <f t="shared" si="310"/>
        <v>Eintrag 4218</v>
      </c>
      <c r="B4219" s="18">
        <v>100</v>
      </c>
      <c r="C4219" s="19">
        <v>100</v>
      </c>
      <c r="D4219" s="20">
        <v>10</v>
      </c>
      <c r="E4219" s="20">
        <v>10</v>
      </c>
      <c r="F4219" s="20">
        <v>10</v>
      </c>
      <c r="G4219" s="19">
        <f t="shared" si="308"/>
        <v>172</v>
      </c>
      <c r="H4219" s="22">
        <f t="shared" si="309"/>
        <v>4218</v>
      </c>
      <c r="I4219" s="21">
        <f t="shared" ca="1" si="296"/>
        <v>0</v>
      </c>
      <c r="J4219" s="21" t="str">
        <f ca="1">IF(I4219=0,"",COUNTIF($I$2:I4219,"&gt;0"))</f>
        <v/>
      </c>
      <c r="K4219" s="21" t="str">
        <f t="shared" ca="1" si="307"/>
        <v/>
      </c>
    </row>
    <row r="4220" spans="1:11" s="18" customFormat="1" ht="14.25" x14ac:dyDescent="0.2">
      <c r="A4220" s="18" t="str">
        <f t="shared" si="310"/>
        <v>Eintrag 4219</v>
      </c>
      <c r="B4220" s="18">
        <v>100</v>
      </c>
      <c r="C4220" s="19">
        <v>100</v>
      </c>
      <c r="D4220" s="20">
        <v>10</v>
      </c>
      <c r="E4220" s="20">
        <v>10</v>
      </c>
      <c r="F4220" s="20">
        <v>10</v>
      </c>
      <c r="G4220" s="19">
        <f t="shared" si="308"/>
        <v>172</v>
      </c>
      <c r="H4220" s="22">
        <f t="shared" si="309"/>
        <v>4219</v>
      </c>
      <c r="I4220" s="21">
        <f t="shared" ca="1" si="296"/>
        <v>0</v>
      </c>
      <c r="J4220" s="21" t="str">
        <f ca="1">IF(I4220=0,"",COUNTIF($I$2:I4220,"&gt;0"))</f>
        <v/>
      </c>
      <c r="K4220" s="21" t="str">
        <f t="shared" ca="1" si="307"/>
        <v/>
      </c>
    </row>
    <row r="4221" spans="1:11" s="18" customFormat="1" ht="14.25" x14ac:dyDescent="0.2">
      <c r="A4221" s="18" t="str">
        <f t="shared" si="310"/>
        <v>Eintrag 4220</v>
      </c>
      <c r="B4221" s="18">
        <v>100</v>
      </c>
      <c r="C4221" s="19">
        <v>100</v>
      </c>
      <c r="D4221" s="20">
        <v>10</v>
      </c>
      <c r="E4221" s="20">
        <v>10</v>
      </c>
      <c r="F4221" s="20">
        <v>10</v>
      </c>
      <c r="G4221" s="19">
        <f t="shared" si="308"/>
        <v>172</v>
      </c>
      <c r="H4221" s="22">
        <f t="shared" si="309"/>
        <v>4220</v>
      </c>
      <c r="I4221" s="21">
        <f t="shared" ca="1" si="296"/>
        <v>0</v>
      </c>
      <c r="J4221" s="21" t="str">
        <f ca="1">IF(I4221=0,"",COUNTIF($I$2:I4221,"&gt;0"))</f>
        <v/>
      </c>
      <c r="K4221" s="21" t="str">
        <f t="shared" ca="1" si="307"/>
        <v/>
      </c>
    </row>
    <row r="4222" spans="1:11" s="18" customFormat="1" ht="14.25" x14ac:dyDescent="0.2">
      <c r="A4222" s="18" t="str">
        <f t="shared" si="310"/>
        <v>Eintrag 4221</v>
      </c>
      <c r="B4222" s="18">
        <v>100</v>
      </c>
      <c r="C4222" s="19">
        <v>100</v>
      </c>
      <c r="D4222" s="20">
        <v>10</v>
      </c>
      <c r="E4222" s="20">
        <v>10</v>
      </c>
      <c r="F4222" s="20">
        <v>10</v>
      </c>
      <c r="G4222" s="19">
        <f t="shared" si="308"/>
        <v>172</v>
      </c>
      <c r="H4222" s="22">
        <f t="shared" si="309"/>
        <v>4221</v>
      </c>
      <c r="I4222" s="21">
        <f t="shared" ca="1" si="296"/>
        <v>0</v>
      </c>
      <c r="J4222" s="21" t="str">
        <f ca="1">IF(I4222=0,"",COUNTIF($I$2:I4222,"&gt;0"))</f>
        <v/>
      </c>
      <c r="K4222" s="21" t="str">
        <f t="shared" ca="1" si="307"/>
        <v/>
      </c>
    </row>
    <row r="4223" spans="1:11" s="18" customFormat="1" ht="14.25" x14ac:dyDescent="0.2">
      <c r="A4223" s="18" t="str">
        <f t="shared" si="310"/>
        <v>Eintrag 4222</v>
      </c>
      <c r="B4223" s="18">
        <v>100</v>
      </c>
      <c r="C4223" s="19">
        <v>100</v>
      </c>
      <c r="D4223" s="20">
        <v>10</v>
      </c>
      <c r="E4223" s="20">
        <v>10</v>
      </c>
      <c r="F4223" s="20">
        <v>10</v>
      </c>
      <c r="G4223" s="19">
        <f t="shared" si="308"/>
        <v>172</v>
      </c>
      <c r="H4223" s="22">
        <f t="shared" si="309"/>
        <v>4222</v>
      </c>
      <c r="I4223" s="21">
        <f t="shared" ca="1" si="296"/>
        <v>0</v>
      </c>
      <c r="J4223" s="21" t="str">
        <f ca="1">IF(I4223=0,"",COUNTIF($I$2:I4223,"&gt;0"))</f>
        <v/>
      </c>
      <c r="K4223" s="21" t="str">
        <f t="shared" ca="1" si="307"/>
        <v/>
      </c>
    </row>
    <row r="4224" spans="1:11" s="18" customFormat="1" ht="14.25" x14ac:dyDescent="0.2">
      <c r="A4224" s="18" t="str">
        <f t="shared" si="310"/>
        <v>Eintrag 4223</v>
      </c>
      <c r="B4224" s="18">
        <v>100</v>
      </c>
      <c r="C4224" s="19">
        <v>100</v>
      </c>
      <c r="D4224" s="20">
        <v>10</v>
      </c>
      <c r="E4224" s="20">
        <v>10</v>
      </c>
      <c r="F4224" s="20">
        <v>10</v>
      </c>
      <c r="G4224" s="19">
        <f t="shared" si="308"/>
        <v>172</v>
      </c>
      <c r="H4224" s="22">
        <f t="shared" si="309"/>
        <v>4223</v>
      </c>
      <c r="I4224" s="21">
        <f t="shared" ca="1" si="296"/>
        <v>0</v>
      </c>
      <c r="J4224" s="21" t="str">
        <f ca="1">IF(I4224=0,"",COUNTIF($I$2:I4224,"&gt;0"))</f>
        <v/>
      </c>
      <c r="K4224" s="21" t="str">
        <f t="shared" ca="1" si="307"/>
        <v/>
      </c>
    </row>
    <row r="4225" spans="1:11" s="18" customFormat="1" ht="14.25" x14ac:dyDescent="0.2">
      <c r="A4225" s="18" t="str">
        <f t="shared" si="310"/>
        <v>Eintrag 4224</v>
      </c>
      <c r="B4225" s="18">
        <v>100</v>
      </c>
      <c r="C4225" s="19">
        <v>100</v>
      </c>
      <c r="D4225" s="20">
        <v>10</v>
      </c>
      <c r="E4225" s="20">
        <v>10</v>
      </c>
      <c r="F4225" s="20">
        <v>10</v>
      </c>
      <c r="G4225" s="19">
        <f t="shared" si="308"/>
        <v>172</v>
      </c>
      <c r="H4225" s="22">
        <f t="shared" si="309"/>
        <v>4224</v>
      </c>
      <c r="I4225" s="21">
        <f t="shared" ca="1" si="296"/>
        <v>0</v>
      </c>
      <c r="J4225" s="21" t="str">
        <f ca="1">IF(I4225=0,"",COUNTIF($I$2:I4225,"&gt;0"))</f>
        <v/>
      </c>
      <c r="K4225" s="21" t="str">
        <f t="shared" ca="1" si="307"/>
        <v/>
      </c>
    </row>
    <row r="4226" spans="1:11" s="18" customFormat="1" ht="14.25" x14ac:dyDescent="0.2">
      <c r="A4226" s="18" t="str">
        <f t="shared" si="310"/>
        <v>Eintrag 4225</v>
      </c>
      <c r="B4226" s="18">
        <v>100</v>
      </c>
      <c r="C4226" s="19">
        <v>100</v>
      </c>
      <c r="D4226" s="20">
        <v>10</v>
      </c>
      <c r="E4226" s="20">
        <v>10</v>
      </c>
      <c r="F4226" s="20">
        <v>10</v>
      </c>
      <c r="G4226" s="19">
        <f t="shared" si="308"/>
        <v>172</v>
      </c>
      <c r="H4226" s="22">
        <f t="shared" si="309"/>
        <v>4225</v>
      </c>
      <c r="I4226" s="21">
        <f t="shared" ca="1" si="296"/>
        <v>0</v>
      </c>
      <c r="J4226" s="21" t="str">
        <f ca="1">IF(I4226=0,"",COUNTIF($I$2:I4226,"&gt;0"))</f>
        <v/>
      </c>
      <c r="K4226" s="21" t="str">
        <f t="shared" ref="K4226:K4289" ca="1" si="311">IFERROR(INDEX(A:A,MATCH(ROW(I4225),J:J,0)),"")</f>
        <v/>
      </c>
    </row>
    <row r="4227" spans="1:11" s="18" customFormat="1" ht="14.25" x14ac:dyDescent="0.2">
      <c r="A4227" s="18" t="str">
        <f t="shared" si="310"/>
        <v>Eintrag 4226</v>
      </c>
      <c r="B4227" s="18">
        <v>100</v>
      </c>
      <c r="C4227" s="19">
        <v>100</v>
      </c>
      <c r="D4227" s="20">
        <v>10</v>
      </c>
      <c r="E4227" s="20">
        <v>10</v>
      </c>
      <c r="F4227" s="20">
        <v>10</v>
      </c>
      <c r="G4227" s="19">
        <f t="shared" ref="G4227:G4290" si="312">D4227*9+E4227*4.1+F4227*4.1</f>
        <v>172</v>
      </c>
      <c r="H4227" s="22">
        <f t="shared" si="309"/>
        <v>4226</v>
      </c>
      <c r="I4227" s="21">
        <f t="shared" ca="1" si="296"/>
        <v>0</v>
      </c>
      <c r="J4227" s="21" t="str">
        <f ca="1">IF(I4227=0,"",COUNTIF($I$2:I4227,"&gt;0"))</f>
        <v/>
      </c>
      <c r="K4227" s="21" t="str">
        <f t="shared" ca="1" si="311"/>
        <v/>
      </c>
    </row>
    <row r="4228" spans="1:11" s="18" customFormat="1" ht="14.25" x14ac:dyDescent="0.2">
      <c r="A4228" s="18" t="str">
        <f t="shared" si="310"/>
        <v>Eintrag 4227</v>
      </c>
      <c r="B4228" s="18">
        <v>100</v>
      </c>
      <c r="C4228" s="19">
        <v>100</v>
      </c>
      <c r="D4228" s="20">
        <v>10</v>
      </c>
      <c r="E4228" s="20">
        <v>10</v>
      </c>
      <c r="F4228" s="20">
        <v>10</v>
      </c>
      <c r="G4228" s="19">
        <f t="shared" si="312"/>
        <v>172</v>
      </c>
      <c r="H4228" s="22">
        <f t="shared" si="309"/>
        <v>4227</v>
      </c>
      <c r="I4228" s="21">
        <f t="shared" ca="1" si="296"/>
        <v>0</v>
      </c>
      <c r="J4228" s="21" t="str">
        <f ca="1">IF(I4228=0,"",COUNTIF($I$2:I4228,"&gt;0"))</f>
        <v/>
      </c>
      <c r="K4228" s="21" t="str">
        <f t="shared" ca="1" si="311"/>
        <v/>
      </c>
    </row>
    <row r="4229" spans="1:11" s="18" customFormat="1" ht="14.25" x14ac:dyDescent="0.2">
      <c r="A4229" s="18" t="str">
        <f t="shared" si="310"/>
        <v>Eintrag 4228</v>
      </c>
      <c r="B4229" s="18">
        <v>100</v>
      </c>
      <c r="C4229" s="19">
        <v>100</v>
      </c>
      <c r="D4229" s="20">
        <v>10</v>
      </c>
      <c r="E4229" s="20">
        <v>10</v>
      </c>
      <c r="F4229" s="20">
        <v>10</v>
      </c>
      <c r="G4229" s="19">
        <f t="shared" si="312"/>
        <v>172</v>
      </c>
      <c r="H4229" s="22">
        <f t="shared" si="309"/>
        <v>4228</v>
      </c>
      <c r="I4229" s="21">
        <f t="shared" ca="1" si="296"/>
        <v>0</v>
      </c>
      <c r="J4229" s="21" t="str">
        <f ca="1">IF(I4229=0,"",COUNTIF($I$2:I4229,"&gt;0"))</f>
        <v/>
      </c>
      <c r="K4229" s="21" t="str">
        <f t="shared" ca="1" si="311"/>
        <v/>
      </c>
    </row>
    <row r="4230" spans="1:11" s="18" customFormat="1" ht="14.25" x14ac:dyDescent="0.2">
      <c r="A4230" s="18" t="str">
        <f t="shared" si="310"/>
        <v>Eintrag 4229</v>
      </c>
      <c r="B4230" s="18">
        <v>100</v>
      </c>
      <c r="C4230" s="19">
        <v>100</v>
      </c>
      <c r="D4230" s="20">
        <v>10</v>
      </c>
      <c r="E4230" s="20">
        <v>10</v>
      </c>
      <c r="F4230" s="20">
        <v>10</v>
      </c>
      <c r="G4230" s="19">
        <f t="shared" si="312"/>
        <v>172</v>
      </c>
      <c r="H4230" s="22">
        <f t="shared" si="309"/>
        <v>4229</v>
      </c>
      <c r="I4230" s="21">
        <f t="shared" ca="1" si="296"/>
        <v>0</v>
      </c>
      <c r="J4230" s="21" t="str">
        <f ca="1">IF(I4230=0,"",COUNTIF($I$2:I4230,"&gt;0"))</f>
        <v/>
      </c>
      <c r="K4230" s="21" t="str">
        <f t="shared" ca="1" si="311"/>
        <v/>
      </c>
    </row>
    <row r="4231" spans="1:11" s="18" customFormat="1" ht="14.25" x14ac:dyDescent="0.2">
      <c r="A4231" s="18" t="str">
        <f t="shared" si="310"/>
        <v>Eintrag 4230</v>
      </c>
      <c r="B4231" s="18">
        <v>100</v>
      </c>
      <c r="C4231" s="19">
        <v>100</v>
      </c>
      <c r="D4231" s="20">
        <v>10</v>
      </c>
      <c r="E4231" s="20">
        <v>10</v>
      </c>
      <c r="F4231" s="20">
        <v>10</v>
      </c>
      <c r="G4231" s="19">
        <f t="shared" si="312"/>
        <v>172</v>
      </c>
      <c r="H4231" s="22">
        <f t="shared" si="309"/>
        <v>4230</v>
      </c>
      <c r="I4231" s="21">
        <f t="shared" ca="1" si="296"/>
        <v>0</v>
      </c>
      <c r="J4231" s="21" t="str">
        <f ca="1">IF(I4231=0,"",COUNTIF($I$2:I4231,"&gt;0"))</f>
        <v/>
      </c>
      <c r="K4231" s="21" t="str">
        <f t="shared" ca="1" si="311"/>
        <v/>
      </c>
    </row>
    <row r="4232" spans="1:11" s="18" customFormat="1" ht="14.25" x14ac:dyDescent="0.2">
      <c r="A4232" s="18" t="str">
        <f t="shared" si="310"/>
        <v>Eintrag 4231</v>
      </c>
      <c r="B4232" s="18">
        <v>100</v>
      </c>
      <c r="C4232" s="19">
        <v>100</v>
      </c>
      <c r="D4232" s="20">
        <v>10</v>
      </c>
      <c r="E4232" s="20">
        <v>10</v>
      </c>
      <c r="F4232" s="20">
        <v>10</v>
      </c>
      <c r="G4232" s="19">
        <f t="shared" si="312"/>
        <v>172</v>
      </c>
      <c r="H4232" s="22">
        <f t="shared" si="309"/>
        <v>4231</v>
      </c>
      <c r="I4232" s="21">
        <f t="shared" ca="1" si="296"/>
        <v>0</v>
      </c>
      <c r="J4232" s="21" t="str">
        <f ca="1">IF(I4232=0,"",COUNTIF($I$2:I4232,"&gt;0"))</f>
        <v/>
      </c>
      <c r="K4232" s="21" t="str">
        <f t="shared" ca="1" si="311"/>
        <v/>
      </c>
    </row>
    <row r="4233" spans="1:11" s="18" customFormat="1" ht="14.25" x14ac:dyDescent="0.2">
      <c r="A4233" s="18" t="str">
        <f t="shared" si="310"/>
        <v>Eintrag 4232</v>
      </c>
      <c r="B4233" s="18">
        <v>100</v>
      </c>
      <c r="C4233" s="19">
        <v>100</v>
      </c>
      <c r="D4233" s="20">
        <v>10</v>
      </c>
      <c r="E4233" s="20">
        <v>10</v>
      </c>
      <c r="F4233" s="20">
        <v>10</v>
      </c>
      <c r="G4233" s="19">
        <f t="shared" si="312"/>
        <v>172</v>
      </c>
      <c r="H4233" s="22">
        <f t="shared" si="309"/>
        <v>4232</v>
      </c>
      <c r="I4233" s="21">
        <f t="shared" ca="1" si="296"/>
        <v>0</v>
      </c>
      <c r="J4233" s="21" t="str">
        <f ca="1">IF(I4233=0,"",COUNTIF($I$2:I4233,"&gt;0"))</f>
        <v/>
      </c>
      <c r="K4233" s="21" t="str">
        <f t="shared" ca="1" si="311"/>
        <v/>
      </c>
    </row>
    <row r="4234" spans="1:11" s="18" customFormat="1" ht="14.25" x14ac:dyDescent="0.2">
      <c r="A4234" s="18" t="str">
        <f t="shared" si="310"/>
        <v>Eintrag 4233</v>
      </c>
      <c r="B4234" s="18">
        <v>100</v>
      </c>
      <c r="C4234" s="19">
        <v>100</v>
      </c>
      <c r="D4234" s="20">
        <v>10</v>
      </c>
      <c r="E4234" s="20">
        <v>10</v>
      </c>
      <c r="F4234" s="20">
        <v>10</v>
      </c>
      <c r="G4234" s="19">
        <f t="shared" si="312"/>
        <v>172</v>
      </c>
      <c r="H4234" s="22">
        <f t="shared" si="309"/>
        <v>4233</v>
      </c>
      <c r="I4234" s="21">
        <f t="shared" ca="1" si="296"/>
        <v>0</v>
      </c>
      <c r="J4234" s="21" t="str">
        <f ca="1">IF(I4234=0,"",COUNTIF($I$2:I4234,"&gt;0"))</f>
        <v/>
      </c>
      <c r="K4234" s="21" t="str">
        <f t="shared" ca="1" si="311"/>
        <v/>
      </c>
    </row>
    <row r="4235" spans="1:11" s="18" customFormat="1" ht="14.25" x14ac:dyDescent="0.2">
      <c r="A4235" s="18" t="str">
        <f t="shared" si="310"/>
        <v>Eintrag 4234</v>
      </c>
      <c r="B4235" s="18">
        <v>100</v>
      </c>
      <c r="C4235" s="19">
        <v>100</v>
      </c>
      <c r="D4235" s="20">
        <v>10</v>
      </c>
      <c r="E4235" s="20">
        <v>10</v>
      </c>
      <c r="F4235" s="20">
        <v>10</v>
      </c>
      <c r="G4235" s="19">
        <f t="shared" si="312"/>
        <v>172</v>
      </c>
      <c r="H4235" s="22">
        <f t="shared" si="309"/>
        <v>4234</v>
      </c>
      <c r="I4235" s="21">
        <f t="shared" ca="1" si="296"/>
        <v>0</v>
      </c>
      <c r="J4235" s="21" t="str">
        <f ca="1">IF(I4235=0,"",COUNTIF($I$2:I4235,"&gt;0"))</f>
        <v/>
      </c>
      <c r="K4235" s="21" t="str">
        <f t="shared" ca="1" si="311"/>
        <v/>
      </c>
    </row>
    <row r="4236" spans="1:11" s="18" customFormat="1" ht="14.25" x14ac:dyDescent="0.2">
      <c r="A4236" s="18" t="str">
        <f t="shared" si="310"/>
        <v>Eintrag 4235</v>
      </c>
      <c r="B4236" s="18">
        <v>100</v>
      </c>
      <c r="C4236" s="19">
        <v>100</v>
      </c>
      <c r="D4236" s="20">
        <v>10</v>
      </c>
      <c r="E4236" s="20">
        <v>10</v>
      </c>
      <c r="F4236" s="20">
        <v>10</v>
      </c>
      <c r="G4236" s="19">
        <f t="shared" si="312"/>
        <v>172</v>
      </c>
      <c r="H4236" s="22">
        <f t="shared" si="309"/>
        <v>4235</v>
      </c>
      <c r="I4236" s="21">
        <f t="shared" ca="1" si="296"/>
        <v>0</v>
      </c>
      <c r="J4236" s="21" t="str">
        <f ca="1">IF(I4236=0,"",COUNTIF($I$2:I4236,"&gt;0"))</f>
        <v/>
      </c>
      <c r="K4236" s="21" t="str">
        <f t="shared" ca="1" si="311"/>
        <v/>
      </c>
    </row>
    <row r="4237" spans="1:11" s="18" customFormat="1" ht="14.25" x14ac:dyDescent="0.2">
      <c r="A4237" s="18" t="str">
        <f t="shared" si="310"/>
        <v>Eintrag 4236</v>
      </c>
      <c r="B4237" s="18">
        <v>100</v>
      </c>
      <c r="C4237" s="19">
        <v>100</v>
      </c>
      <c r="D4237" s="20">
        <v>10</v>
      </c>
      <c r="E4237" s="20">
        <v>10</v>
      </c>
      <c r="F4237" s="20">
        <v>10</v>
      </c>
      <c r="G4237" s="19">
        <f t="shared" si="312"/>
        <v>172</v>
      </c>
      <c r="H4237" s="22">
        <f t="shared" si="309"/>
        <v>4236</v>
      </c>
      <c r="I4237" s="21">
        <f t="shared" ca="1" si="296"/>
        <v>0</v>
      </c>
      <c r="J4237" s="21" t="str">
        <f ca="1">IF(I4237=0,"",COUNTIF($I$2:I4237,"&gt;0"))</f>
        <v/>
      </c>
      <c r="K4237" s="21" t="str">
        <f t="shared" ca="1" si="311"/>
        <v/>
      </c>
    </row>
    <row r="4238" spans="1:11" s="18" customFormat="1" ht="14.25" x14ac:dyDescent="0.2">
      <c r="A4238" s="18" t="str">
        <f t="shared" si="310"/>
        <v>Eintrag 4237</v>
      </c>
      <c r="B4238" s="18">
        <v>100</v>
      </c>
      <c r="C4238" s="19">
        <v>100</v>
      </c>
      <c r="D4238" s="20">
        <v>10</v>
      </c>
      <c r="E4238" s="20">
        <v>10</v>
      </c>
      <c r="F4238" s="20">
        <v>10</v>
      </c>
      <c r="G4238" s="19">
        <f t="shared" si="312"/>
        <v>172</v>
      </c>
      <c r="H4238" s="22">
        <f t="shared" si="309"/>
        <v>4237</v>
      </c>
      <c r="I4238" s="21">
        <f t="shared" ca="1" si="296"/>
        <v>0</v>
      </c>
      <c r="J4238" s="21" t="str">
        <f ca="1">IF(I4238=0,"",COUNTIF($I$2:I4238,"&gt;0"))</f>
        <v/>
      </c>
      <c r="K4238" s="21" t="str">
        <f t="shared" ca="1" si="311"/>
        <v/>
      </c>
    </row>
    <row r="4239" spans="1:11" s="18" customFormat="1" ht="14.25" x14ac:dyDescent="0.2">
      <c r="A4239" s="18" t="str">
        <f t="shared" si="310"/>
        <v>Eintrag 4238</v>
      </c>
      <c r="B4239" s="18">
        <v>100</v>
      </c>
      <c r="C4239" s="19">
        <v>100</v>
      </c>
      <c r="D4239" s="20">
        <v>10</v>
      </c>
      <c r="E4239" s="20">
        <v>10</v>
      </c>
      <c r="F4239" s="20">
        <v>10</v>
      </c>
      <c r="G4239" s="19">
        <f t="shared" si="312"/>
        <v>172</v>
      </c>
      <c r="H4239" s="22">
        <f t="shared" si="309"/>
        <v>4238</v>
      </c>
      <c r="I4239" s="21">
        <f t="shared" ca="1" si="296"/>
        <v>0</v>
      </c>
      <c r="J4239" s="21" t="str">
        <f ca="1">IF(I4239=0,"",COUNTIF($I$2:I4239,"&gt;0"))</f>
        <v/>
      </c>
      <c r="K4239" s="21" t="str">
        <f t="shared" ca="1" si="311"/>
        <v/>
      </c>
    </row>
    <row r="4240" spans="1:11" s="18" customFormat="1" ht="14.25" x14ac:dyDescent="0.2">
      <c r="A4240" s="18" t="str">
        <f t="shared" si="310"/>
        <v>Eintrag 4239</v>
      </c>
      <c r="B4240" s="18">
        <v>100</v>
      </c>
      <c r="C4240" s="19">
        <v>100</v>
      </c>
      <c r="D4240" s="20">
        <v>10</v>
      </c>
      <c r="E4240" s="20">
        <v>10</v>
      </c>
      <c r="F4240" s="20">
        <v>10</v>
      </c>
      <c r="G4240" s="19">
        <f t="shared" si="312"/>
        <v>172</v>
      </c>
      <c r="H4240" s="22">
        <f t="shared" si="309"/>
        <v>4239</v>
      </c>
      <c r="I4240" s="21">
        <f t="shared" ca="1" si="296"/>
        <v>0</v>
      </c>
      <c r="J4240" s="21" t="str">
        <f ca="1">IF(I4240=0,"",COUNTIF($I$2:I4240,"&gt;0"))</f>
        <v/>
      </c>
      <c r="K4240" s="21" t="str">
        <f t="shared" ca="1" si="311"/>
        <v/>
      </c>
    </row>
    <row r="4241" spans="1:11" s="18" customFormat="1" ht="14.25" x14ac:dyDescent="0.2">
      <c r="A4241" s="18" t="str">
        <f t="shared" si="310"/>
        <v>Eintrag 4240</v>
      </c>
      <c r="B4241" s="18">
        <v>100</v>
      </c>
      <c r="C4241" s="19">
        <v>100</v>
      </c>
      <c r="D4241" s="20">
        <v>10</v>
      </c>
      <c r="E4241" s="20">
        <v>10</v>
      </c>
      <c r="F4241" s="20">
        <v>10</v>
      </c>
      <c r="G4241" s="19">
        <f t="shared" si="312"/>
        <v>172</v>
      </c>
      <c r="H4241" s="22">
        <f t="shared" si="309"/>
        <v>4240</v>
      </c>
      <c r="I4241" s="21">
        <f t="shared" ca="1" si="296"/>
        <v>0</v>
      </c>
      <c r="J4241" s="21" t="str">
        <f ca="1">IF(I4241=0,"",COUNTIF($I$2:I4241,"&gt;0"))</f>
        <v/>
      </c>
      <c r="K4241" s="21" t="str">
        <f t="shared" ca="1" si="311"/>
        <v/>
      </c>
    </row>
    <row r="4242" spans="1:11" s="18" customFormat="1" ht="14.25" x14ac:dyDescent="0.2">
      <c r="A4242" s="18" t="str">
        <f t="shared" si="310"/>
        <v>Eintrag 4241</v>
      </c>
      <c r="B4242" s="18">
        <v>100</v>
      </c>
      <c r="C4242" s="19">
        <v>100</v>
      </c>
      <c r="D4242" s="20">
        <v>10</v>
      </c>
      <c r="E4242" s="20">
        <v>10</v>
      </c>
      <c r="F4242" s="20">
        <v>10</v>
      </c>
      <c r="G4242" s="19">
        <f t="shared" si="312"/>
        <v>172</v>
      </c>
      <c r="H4242" s="22">
        <f t="shared" si="309"/>
        <v>4241</v>
      </c>
      <c r="I4242" s="21">
        <f t="shared" ca="1" si="296"/>
        <v>0</v>
      </c>
      <c r="J4242" s="21" t="str">
        <f ca="1">IF(I4242=0,"",COUNTIF($I$2:I4242,"&gt;0"))</f>
        <v/>
      </c>
      <c r="K4242" s="21" t="str">
        <f t="shared" ca="1" si="311"/>
        <v/>
      </c>
    </row>
    <row r="4243" spans="1:11" s="18" customFormat="1" ht="14.25" x14ac:dyDescent="0.2">
      <c r="A4243" s="18" t="str">
        <f t="shared" si="310"/>
        <v>Eintrag 4242</v>
      </c>
      <c r="B4243" s="18">
        <v>100</v>
      </c>
      <c r="C4243" s="19">
        <v>100</v>
      </c>
      <c r="D4243" s="20">
        <v>10</v>
      </c>
      <c r="E4243" s="20">
        <v>10</v>
      </c>
      <c r="F4243" s="20">
        <v>10</v>
      </c>
      <c r="G4243" s="19">
        <f t="shared" si="312"/>
        <v>172</v>
      </c>
      <c r="H4243" s="22">
        <f t="shared" si="309"/>
        <v>4242</v>
      </c>
      <c r="I4243" s="21">
        <f t="shared" ca="1" si="296"/>
        <v>0</v>
      </c>
      <c r="J4243" s="21" t="str">
        <f ca="1">IF(I4243=0,"",COUNTIF($I$2:I4243,"&gt;0"))</f>
        <v/>
      </c>
      <c r="K4243" s="21" t="str">
        <f t="shared" ca="1" si="311"/>
        <v/>
      </c>
    </row>
    <row r="4244" spans="1:11" s="18" customFormat="1" ht="14.25" x14ac:dyDescent="0.2">
      <c r="A4244" s="18" t="str">
        <f t="shared" si="310"/>
        <v>Eintrag 4243</v>
      </c>
      <c r="B4244" s="18">
        <v>100</v>
      </c>
      <c r="C4244" s="19">
        <v>100</v>
      </c>
      <c r="D4244" s="20">
        <v>10</v>
      </c>
      <c r="E4244" s="20">
        <v>10</v>
      </c>
      <c r="F4244" s="20">
        <v>10</v>
      </c>
      <c r="G4244" s="19">
        <f t="shared" si="312"/>
        <v>172</v>
      </c>
      <c r="H4244" s="22">
        <f t="shared" si="309"/>
        <v>4243</v>
      </c>
      <c r="I4244" s="21">
        <f t="shared" ca="1" si="296"/>
        <v>0</v>
      </c>
      <c r="J4244" s="21" t="str">
        <f ca="1">IF(I4244=0,"",COUNTIF($I$2:I4244,"&gt;0"))</f>
        <v/>
      </c>
      <c r="K4244" s="21" t="str">
        <f t="shared" ca="1" si="311"/>
        <v/>
      </c>
    </row>
    <row r="4245" spans="1:11" s="18" customFormat="1" ht="14.25" x14ac:dyDescent="0.2">
      <c r="A4245" s="18" t="str">
        <f t="shared" si="310"/>
        <v>Eintrag 4244</v>
      </c>
      <c r="B4245" s="18">
        <v>100</v>
      </c>
      <c r="C4245" s="19">
        <v>100</v>
      </c>
      <c r="D4245" s="20">
        <v>10</v>
      </c>
      <c r="E4245" s="20">
        <v>10</v>
      </c>
      <c r="F4245" s="20">
        <v>10</v>
      </c>
      <c r="G4245" s="19">
        <f t="shared" si="312"/>
        <v>172</v>
      </c>
      <c r="H4245" s="22">
        <f t="shared" si="309"/>
        <v>4244</v>
      </c>
      <c r="I4245" s="21">
        <f t="shared" ca="1" si="296"/>
        <v>0</v>
      </c>
      <c r="J4245" s="21" t="str">
        <f ca="1">IF(I4245=0,"",COUNTIF($I$2:I4245,"&gt;0"))</f>
        <v/>
      </c>
      <c r="K4245" s="21" t="str">
        <f t="shared" ca="1" si="311"/>
        <v/>
      </c>
    </row>
    <row r="4246" spans="1:11" s="18" customFormat="1" ht="14.25" x14ac:dyDescent="0.2">
      <c r="A4246" s="18" t="str">
        <f t="shared" si="310"/>
        <v>Eintrag 4245</v>
      </c>
      <c r="B4246" s="18">
        <v>100</v>
      </c>
      <c r="C4246" s="19">
        <v>100</v>
      </c>
      <c r="D4246" s="20">
        <v>10</v>
      </c>
      <c r="E4246" s="20">
        <v>10</v>
      </c>
      <c r="F4246" s="20">
        <v>10</v>
      </c>
      <c r="G4246" s="19">
        <f t="shared" si="312"/>
        <v>172</v>
      </c>
      <c r="H4246" s="22">
        <f t="shared" si="309"/>
        <v>4245</v>
      </c>
      <c r="I4246" s="21">
        <f t="shared" ca="1" si="296"/>
        <v>0</v>
      </c>
      <c r="J4246" s="21" t="str">
        <f ca="1">IF(I4246=0,"",COUNTIF($I$2:I4246,"&gt;0"))</f>
        <v/>
      </c>
      <c r="K4246" s="21" t="str">
        <f t="shared" ca="1" si="311"/>
        <v/>
      </c>
    </row>
    <row r="4247" spans="1:11" s="18" customFormat="1" ht="14.25" x14ac:dyDescent="0.2">
      <c r="A4247" s="18" t="str">
        <f t="shared" si="310"/>
        <v>Eintrag 4246</v>
      </c>
      <c r="B4247" s="18">
        <v>100</v>
      </c>
      <c r="C4247" s="19">
        <v>100</v>
      </c>
      <c r="D4247" s="20">
        <v>10</v>
      </c>
      <c r="E4247" s="20">
        <v>10</v>
      </c>
      <c r="F4247" s="20">
        <v>10</v>
      </c>
      <c r="G4247" s="19">
        <f t="shared" si="312"/>
        <v>172</v>
      </c>
      <c r="H4247" s="22">
        <f t="shared" si="309"/>
        <v>4246</v>
      </c>
      <c r="I4247" s="21">
        <f t="shared" ca="1" si="296"/>
        <v>0</v>
      </c>
      <c r="J4247" s="21" t="str">
        <f ca="1">IF(I4247=0,"",COUNTIF($I$2:I4247,"&gt;0"))</f>
        <v/>
      </c>
      <c r="K4247" s="21" t="str">
        <f t="shared" ca="1" si="311"/>
        <v/>
      </c>
    </row>
    <row r="4248" spans="1:11" s="18" customFormat="1" ht="14.25" x14ac:dyDescent="0.2">
      <c r="A4248" s="18" t="str">
        <f t="shared" si="310"/>
        <v>Eintrag 4247</v>
      </c>
      <c r="B4248" s="18">
        <v>100</v>
      </c>
      <c r="C4248" s="19">
        <v>100</v>
      </c>
      <c r="D4248" s="20">
        <v>10</v>
      </c>
      <c r="E4248" s="20">
        <v>10</v>
      </c>
      <c r="F4248" s="20">
        <v>10</v>
      </c>
      <c r="G4248" s="19">
        <f t="shared" si="312"/>
        <v>172</v>
      </c>
      <c r="H4248" s="22">
        <f t="shared" si="309"/>
        <v>4247</v>
      </c>
      <c r="I4248" s="21">
        <f t="shared" ca="1" si="296"/>
        <v>0</v>
      </c>
      <c r="J4248" s="21" t="str">
        <f ca="1">IF(I4248=0,"",COUNTIF($I$2:I4248,"&gt;0"))</f>
        <v/>
      </c>
      <c r="K4248" s="21" t="str">
        <f t="shared" ca="1" si="311"/>
        <v/>
      </c>
    </row>
    <row r="4249" spans="1:11" s="18" customFormat="1" ht="14.25" x14ac:dyDescent="0.2">
      <c r="A4249" s="18" t="str">
        <f t="shared" si="310"/>
        <v>Eintrag 4248</v>
      </c>
      <c r="B4249" s="18">
        <v>100</v>
      </c>
      <c r="C4249" s="19">
        <v>100</v>
      </c>
      <c r="D4249" s="20">
        <v>10</v>
      </c>
      <c r="E4249" s="20">
        <v>10</v>
      </c>
      <c r="F4249" s="20">
        <v>10</v>
      </c>
      <c r="G4249" s="19">
        <f t="shared" si="312"/>
        <v>172</v>
      </c>
      <c r="H4249" s="22">
        <f t="shared" si="309"/>
        <v>4248</v>
      </c>
      <c r="I4249" s="21">
        <f t="shared" ca="1" si="296"/>
        <v>0</v>
      </c>
      <c r="J4249" s="21" t="str">
        <f ca="1">IF(I4249=0,"",COUNTIF($I$2:I4249,"&gt;0"))</f>
        <v/>
      </c>
      <c r="K4249" s="21" t="str">
        <f t="shared" ca="1" si="311"/>
        <v/>
      </c>
    </row>
    <row r="4250" spans="1:11" s="18" customFormat="1" ht="14.25" x14ac:dyDescent="0.2">
      <c r="A4250" s="18" t="str">
        <f t="shared" si="310"/>
        <v>Eintrag 4249</v>
      </c>
      <c r="B4250" s="18">
        <v>100</v>
      </c>
      <c r="C4250" s="19">
        <v>100</v>
      </c>
      <c r="D4250" s="20">
        <v>10</v>
      </c>
      <c r="E4250" s="20">
        <v>10</v>
      </c>
      <c r="F4250" s="20">
        <v>10</v>
      </c>
      <c r="G4250" s="19">
        <f t="shared" si="312"/>
        <v>172</v>
      </c>
      <c r="H4250" s="22">
        <f t="shared" si="309"/>
        <v>4249</v>
      </c>
      <c r="I4250" s="21">
        <f t="shared" ca="1" si="296"/>
        <v>0</v>
      </c>
      <c r="J4250" s="21" t="str">
        <f ca="1">IF(I4250=0,"",COUNTIF($I$2:I4250,"&gt;0"))</f>
        <v/>
      </c>
      <c r="K4250" s="21" t="str">
        <f t="shared" ca="1" si="311"/>
        <v/>
      </c>
    </row>
    <row r="4251" spans="1:11" s="18" customFormat="1" ht="14.25" x14ac:dyDescent="0.2">
      <c r="A4251" s="18" t="str">
        <f t="shared" si="310"/>
        <v>Eintrag 4250</v>
      </c>
      <c r="B4251" s="18">
        <v>100</v>
      </c>
      <c r="C4251" s="19">
        <v>100</v>
      </c>
      <c r="D4251" s="20">
        <v>10</v>
      </c>
      <c r="E4251" s="20">
        <v>10</v>
      </c>
      <c r="F4251" s="20">
        <v>10</v>
      </c>
      <c r="G4251" s="19">
        <f t="shared" si="312"/>
        <v>172</v>
      </c>
      <c r="H4251" s="22">
        <f t="shared" si="309"/>
        <v>4250</v>
      </c>
      <c r="I4251" s="21">
        <f t="shared" ca="1" si="296"/>
        <v>0</v>
      </c>
      <c r="J4251" s="21" t="str">
        <f ca="1">IF(I4251=0,"",COUNTIF($I$2:I4251,"&gt;0"))</f>
        <v/>
      </c>
      <c r="K4251" s="21" t="str">
        <f t="shared" ca="1" si="311"/>
        <v/>
      </c>
    </row>
    <row r="4252" spans="1:11" s="18" customFormat="1" ht="14.25" x14ac:dyDescent="0.2">
      <c r="A4252" s="18" t="str">
        <f t="shared" si="310"/>
        <v>Eintrag 4251</v>
      </c>
      <c r="B4252" s="18">
        <v>100</v>
      </c>
      <c r="C4252" s="19">
        <v>100</v>
      </c>
      <c r="D4252" s="20">
        <v>10</v>
      </c>
      <c r="E4252" s="20">
        <v>10</v>
      </c>
      <c r="F4252" s="20">
        <v>10</v>
      </c>
      <c r="G4252" s="19">
        <f t="shared" si="312"/>
        <v>172</v>
      </c>
      <c r="H4252" s="22">
        <f t="shared" si="309"/>
        <v>4251</v>
      </c>
      <c r="I4252" s="21">
        <f t="shared" ca="1" si="296"/>
        <v>0</v>
      </c>
      <c r="J4252" s="21" t="str">
        <f ca="1">IF(I4252=0,"",COUNTIF($I$2:I4252,"&gt;0"))</f>
        <v/>
      </c>
      <c r="K4252" s="21" t="str">
        <f t="shared" ca="1" si="311"/>
        <v/>
      </c>
    </row>
    <row r="4253" spans="1:11" s="18" customFormat="1" ht="14.25" x14ac:dyDescent="0.2">
      <c r="A4253" s="18" t="str">
        <f t="shared" si="310"/>
        <v>Eintrag 4252</v>
      </c>
      <c r="B4253" s="18">
        <v>100</v>
      </c>
      <c r="C4253" s="19">
        <v>100</v>
      </c>
      <c r="D4253" s="20">
        <v>10</v>
      </c>
      <c r="E4253" s="20">
        <v>10</v>
      </c>
      <c r="F4253" s="20">
        <v>10</v>
      </c>
      <c r="G4253" s="19">
        <f t="shared" si="312"/>
        <v>172</v>
      </c>
      <c r="H4253" s="22">
        <f t="shared" si="309"/>
        <v>4252</v>
      </c>
      <c r="I4253" s="21">
        <f t="shared" ca="1" si="296"/>
        <v>0</v>
      </c>
      <c r="J4253" s="21" t="str">
        <f ca="1">IF(I4253=0,"",COUNTIF($I$2:I4253,"&gt;0"))</f>
        <v/>
      </c>
      <c r="K4253" s="21" t="str">
        <f t="shared" ca="1" si="311"/>
        <v/>
      </c>
    </row>
    <row r="4254" spans="1:11" s="18" customFormat="1" ht="14.25" x14ac:dyDescent="0.2">
      <c r="A4254" s="18" t="str">
        <f t="shared" si="310"/>
        <v>Eintrag 4253</v>
      </c>
      <c r="B4254" s="18">
        <v>100</v>
      </c>
      <c r="C4254" s="19">
        <v>100</v>
      </c>
      <c r="D4254" s="20">
        <v>10</v>
      </c>
      <c r="E4254" s="20">
        <v>10</v>
      </c>
      <c r="F4254" s="20">
        <v>10</v>
      </c>
      <c r="G4254" s="19">
        <f t="shared" si="312"/>
        <v>172</v>
      </c>
      <c r="H4254" s="22">
        <f t="shared" si="309"/>
        <v>4253</v>
      </c>
      <c r="I4254" s="21">
        <f t="shared" ca="1" si="296"/>
        <v>0</v>
      </c>
      <c r="J4254" s="21" t="str">
        <f ca="1">IF(I4254=0,"",COUNTIF($I$2:I4254,"&gt;0"))</f>
        <v/>
      </c>
      <c r="K4254" s="21" t="str">
        <f t="shared" ca="1" si="311"/>
        <v/>
      </c>
    </row>
    <row r="4255" spans="1:11" s="18" customFormat="1" ht="14.25" x14ac:dyDescent="0.2">
      <c r="A4255" s="18" t="str">
        <f t="shared" si="310"/>
        <v>Eintrag 4254</v>
      </c>
      <c r="B4255" s="18">
        <v>100</v>
      </c>
      <c r="C4255" s="19">
        <v>100</v>
      </c>
      <c r="D4255" s="20">
        <v>10</v>
      </c>
      <c r="E4255" s="20">
        <v>10</v>
      </c>
      <c r="F4255" s="20">
        <v>10</v>
      </c>
      <c r="G4255" s="19">
        <f t="shared" si="312"/>
        <v>172</v>
      </c>
      <c r="H4255" s="22">
        <f t="shared" si="309"/>
        <v>4254</v>
      </c>
      <c r="I4255" s="21">
        <f t="shared" ca="1" si="296"/>
        <v>0</v>
      </c>
      <c r="J4255" s="21" t="str">
        <f ca="1">IF(I4255=0,"",COUNTIF($I$2:I4255,"&gt;0"))</f>
        <v/>
      </c>
      <c r="K4255" s="21" t="str">
        <f t="shared" ca="1" si="311"/>
        <v/>
      </c>
    </row>
    <row r="4256" spans="1:11" s="18" customFormat="1" ht="14.25" x14ac:dyDescent="0.2">
      <c r="A4256" s="18" t="str">
        <f t="shared" si="310"/>
        <v>Eintrag 4255</v>
      </c>
      <c r="B4256" s="18">
        <v>100</v>
      </c>
      <c r="C4256" s="19">
        <v>100</v>
      </c>
      <c r="D4256" s="20">
        <v>10</v>
      </c>
      <c r="E4256" s="20">
        <v>10</v>
      </c>
      <c r="F4256" s="20">
        <v>10</v>
      </c>
      <c r="G4256" s="19">
        <f t="shared" si="312"/>
        <v>172</v>
      </c>
      <c r="H4256" s="22">
        <f t="shared" si="309"/>
        <v>4255</v>
      </c>
      <c r="I4256" s="21">
        <f t="shared" ref="I4256:I4510" ca="1" si="313">IFERROR(SEARCH(INDIRECT(CELL("address")),A4256),0)</f>
        <v>0</v>
      </c>
      <c r="J4256" s="21" t="str">
        <f ca="1">IF(I4256=0,"",COUNTIF($I$2:I4256,"&gt;0"))</f>
        <v/>
      </c>
      <c r="K4256" s="21" t="str">
        <f t="shared" ca="1" si="311"/>
        <v/>
      </c>
    </row>
    <row r="4257" spans="1:11" s="18" customFormat="1" ht="14.25" x14ac:dyDescent="0.2">
      <c r="A4257" s="18" t="str">
        <f t="shared" si="310"/>
        <v>Eintrag 4256</v>
      </c>
      <c r="B4257" s="18">
        <v>100</v>
      </c>
      <c r="C4257" s="19">
        <v>100</v>
      </c>
      <c r="D4257" s="20">
        <v>10</v>
      </c>
      <c r="E4257" s="20">
        <v>10</v>
      </c>
      <c r="F4257" s="20">
        <v>10</v>
      </c>
      <c r="G4257" s="19">
        <f t="shared" si="312"/>
        <v>172</v>
      </c>
      <c r="H4257" s="22">
        <f t="shared" si="309"/>
        <v>4256</v>
      </c>
      <c r="I4257" s="21">
        <f t="shared" ca="1" si="313"/>
        <v>0</v>
      </c>
      <c r="J4257" s="21" t="str">
        <f ca="1">IF(I4257=0,"",COUNTIF($I$2:I4257,"&gt;0"))</f>
        <v/>
      </c>
      <c r="K4257" s="21" t="str">
        <f t="shared" ca="1" si="311"/>
        <v/>
      </c>
    </row>
    <row r="4258" spans="1:11" s="18" customFormat="1" ht="14.25" x14ac:dyDescent="0.2">
      <c r="A4258" s="18" t="str">
        <f t="shared" si="310"/>
        <v>Eintrag 4257</v>
      </c>
      <c r="B4258" s="18">
        <v>100</v>
      </c>
      <c r="C4258" s="19">
        <v>100</v>
      </c>
      <c r="D4258" s="20">
        <v>10</v>
      </c>
      <c r="E4258" s="20">
        <v>10</v>
      </c>
      <c r="F4258" s="20">
        <v>10</v>
      </c>
      <c r="G4258" s="19">
        <f t="shared" si="312"/>
        <v>172</v>
      </c>
      <c r="H4258" s="22">
        <f t="shared" si="309"/>
        <v>4257</v>
      </c>
      <c r="I4258" s="21">
        <f t="shared" ca="1" si="313"/>
        <v>0</v>
      </c>
      <c r="J4258" s="21" t="str">
        <f ca="1">IF(I4258=0,"",COUNTIF($I$2:I4258,"&gt;0"))</f>
        <v/>
      </c>
      <c r="K4258" s="21" t="str">
        <f t="shared" ca="1" si="311"/>
        <v/>
      </c>
    </row>
    <row r="4259" spans="1:11" s="18" customFormat="1" ht="14.25" x14ac:dyDescent="0.2">
      <c r="A4259" s="18" t="str">
        <f t="shared" si="310"/>
        <v>Eintrag 4258</v>
      </c>
      <c r="B4259" s="18">
        <v>100</v>
      </c>
      <c r="C4259" s="19">
        <v>100</v>
      </c>
      <c r="D4259" s="20">
        <v>10</v>
      </c>
      <c r="E4259" s="20">
        <v>10</v>
      </c>
      <c r="F4259" s="20">
        <v>10</v>
      </c>
      <c r="G4259" s="19">
        <f t="shared" si="312"/>
        <v>172</v>
      </c>
      <c r="H4259" s="22">
        <f t="shared" si="309"/>
        <v>4258</v>
      </c>
      <c r="I4259" s="21">
        <f t="shared" ca="1" si="313"/>
        <v>0</v>
      </c>
      <c r="J4259" s="21" t="str">
        <f ca="1">IF(I4259=0,"",COUNTIF($I$2:I4259,"&gt;0"))</f>
        <v/>
      </c>
      <c r="K4259" s="21" t="str">
        <f t="shared" ca="1" si="311"/>
        <v/>
      </c>
    </row>
    <row r="4260" spans="1:11" s="18" customFormat="1" ht="14.25" x14ac:dyDescent="0.2">
      <c r="A4260" s="18" t="str">
        <f t="shared" si="310"/>
        <v>Eintrag 4259</v>
      </c>
      <c r="B4260" s="18">
        <v>100</v>
      </c>
      <c r="C4260" s="19">
        <v>100</v>
      </c>
      <c r="D4260" s="20">
        <v>10</v>
      </c>
      <c r="E4260" s="20">
        <v>10</v>
      </c>
      <c r="F4260" s="20">
        <v>10</v>
      </c>
      <c r="G4260" s="19">
        <f t="shared" si="312"/>
        <v>172</v>
      </c>
      <c r="H4260" s="22">
        <f t="shared" si="309"/>
        <v>4259</v>
      </c>
      <c r="I4260" s="21">
        <f t="shared" ca="1" si="313"/>
        <v>0</v>
      </c>
      <c r="J4260" s="21" t="str">
        <f ca="1">IF(I4260=0,"",COUNTIF($I$2:I4260,"&gt;0"))</f>
        <v/>
      </c>
      <c r="K4260" s="21" t="str">
        <f t="shared" ca="1" si="311"/>
        <v/>
      </c>
    </row>
    <row r="4261" spans="1:11" s="18" customFormat="1" ht="14.25" x14ac:dyDescent="0.2">
      <c r="A4261" s="18" t="str">
        <f t="shared" si="310"/>
        <v>Eintrag 4260</v>
      </c>
      <c r="B4261" s="18">
        <v>100</v>
      </c>
      <c r="C4261" s="19">
        <v>100</v>
      </c>
      <c r="D4261" s="20">
        <v>10</v>
      </c>
      <c r="E4261" s="20">
        <v>10</v>
      </c>
      <c r="F4261" s="20">
        <v>10</v>
      </c>
      <c r="G4261" s="19">
        <f t="shared" si="312"/>
        <v>172</v>
      </c>
      <c r="H4261" s="22">
        <f t="shared" ref="H4261:H4324" si="314">H4260+1</f>
        <v>4260</v>
      </c>
      <c r="I4261" s="21">
        <f t="shared" ca="1" si="313"/>
        <v>0</v>
      </c>
      <c r="J4261" s="21" t="str">
        <f ca="1">IF(I4261=0,"",COUNTIF($I$2:I4261,"&gt;0"))</f>
        <v/>
      </c>
      <c r="K4261" s="21" t="str">
        <f t="shared" ca="1" si="311"/>
        <v/>
      </c>
    </row>
    <row r="4262" spans="1:11" s="18" customFormat="1" ht="14.25" x14ac:dyDescent="0.2">
      <c r="A4262" s="18" t="str">
        <f t="shared" si="310"/>
        <v>Eintrag 4261</v>
      </c>
      <c r="B4262" s="18">
        <v>100</v>
      </c>
      <c r="C4262" s="19">
        <v>100</v>
      </c>
      <c r="D4262" s="20">
        <v>10</v>
      </c>
      <c r="E4262" s="20">
        <v>10</v>
      </c>
      <c r="F4262" s="20">
        <v>10</v>
      </c>
      <c r="G4262" s="19">
        <f t="shared" si="312"/>
        <v>172</v>
      </c>
      <c r="H4262" s="22">
        <f t="shared" si="314"/>
        <v>4261</v>
      </c>
      <c r="I4262" s="21">
        <f t="shared" ca="1" si="313"/>
        <v>0</v>
      </c>
      <c r="J4262" s="21" t="str">
        <f ca="1">IF(I4262=0,"",COUNTIF($I$2:I4262,"&gt;0"))</f>
        <v/>
      </c>
      <c r="K4262" s="21" t="str">
        <f t="shared" ca="1" si="311"/>
        <v/>
      </c>
    </row>
    <row r="4263" spans="1:11" s="18" customFormat="1" ht="14.25" x14ac:dyDescent="0.2">
      <c r="A4263" s="18" t="str">
        <f t="shared" si="310"/>
        <v>Eintrag 4262</v>
      </c>
      <c r="B4263" s="18">
        <v>100</v>
      </c>
      <c r="C4263" s="19">
        <v>100</v>
      </c>
      <c r="D4263" s="20">
        <v>10</v>
      </c>
      <c r="E4263" s="20">
        <v>10</v>
      </c>
      <c r="F4263" s="20">
        <v>10</v>
      </c>
      <c r="G4263" s="19">
        <f t="shared" si="312"/>
        <v>172</v>
      </c>
      <c r="H4263" s="22">
        <f t="shared" si="314"/>
        <v>4262</v>
      </c>
      <c r="I4263" s="21">
        <f t="shared" ca="1" si="313"/>
        <v>0</v>
      </c>
      <c r="J4263" s="21" t="str">
        <f ca="1">IF(I4263=0,"",COUNTIF($I$2:I4263,"&gt;0"))</f>
        <v/>
      </c>
      <c r="K4263" s="21" t="str">
        <f t="shared" ca="1" si="311"/>
        <v/>
      </c>
    </row>
    <row r="4264" spans="1:11" s="18" customFormat="1" ht="14.25" x14ac:dyDescent="0.2">
      <c r="A4264" s="18" t="str">
        <f t="shared" si="310"/>
        <v>Eintrag 4263</v>
      </c>
      <c r="B4264" s="18">
        <v>100</v>
      </c>
      <c r="C4264" s="19">
        <v>100</v>
      </c>
      <c r="D4264" s="20">
        <v>10</v>
      </c>
      <c r="E4264" s="20">
        <v>10</v>
      </c>
      <c r="F4264" s="20">
        <v>10</v>
      </c>
      <c r="G4264" s="19">
        <f t="shared" si="312"/>
        <v>172</v>
      </c>
      <c r="H4264" s="22">
        <f t="shared" si="314"/>
        <v>4263</v>
      </c>
      <c r="I4264" s="21">
        <f t="shared" ca="1" si="313"/>
        <v>0</v>
      </c>
      <c r="J4264" s="21" t="str">
        <f ca="1">IF(I4264=0,"",COUNTIF($I$2:I4264,"&gt;0"))</f>
        <v/>
      </c>
      <c r="K4264" s="21" t="str">
        <f t="shared" ca="1" si="311"/>
        <v/>
      </c>
    </row>
    <row r="4265" spans="1:11" s="18" customFormat="1" ht="14.25" x14ac:dyDescent="0.2">
      <c r="A4265" s="18" t="str">
        <f t="shared" si="310"/>
        <v>Eintrag 4264</v>
      </c>
      <c r="B4265" s="18">
        <v>100</v>
      </c>
      <c r="C4265" s="19">
        <v>100</v>
      </c>
      <c r="D4265" s="20">
        <v>10</v>
      </c>
      <c r="E4265" s="20">
        <v>10</v>
      </c>
      <c r="F4265" s="20">
        <v>10</v>
      </c>
      <c r="G4265" s="19">
        <f t="shared" si="312"/>
        <v>172</v>
      </c>
      <c r="H4265" s="22">
        <f t="shared" si="314"/>
        <v>4264</v>
      </c>
      <c r="I4265" s="21">
        <f t="shared" ca="1" si="313"/>
        <v>0</v>
      </c>
      <c r="J4265" s="21" t="str">
        <f ca="1">IF(I4265=0,"",COUNTIF($I$2:I4265,"&gt;0"))</f>
        <v/>
      </c>
      <c r="K4265" s="21" t="str">
        <f t="shared" ca="1" si="311"/>
        <v/>
      </c>
    </row>
    <row r="4266" spans="1:11" s="18" customFormat="1" ht="14.25" x14ac:dyDescent="0.2">
      <c r="A4266" s="18" t="str">
        <f t="shared" si="310"/>
        <v>Eintrag 4265</v>
      </c>
      <c r="B4266" s="18">
        <v>100</v>
      </c>
      <c r="C4266" s="19">
        <v>100</v>
      </c>
      <c r="D4266" s="20">
        <v>10</v>
      </c>
      <c r="E4266" s="20">
        <v>10</v>
      </c>
      <c r="F4266" s="20">
        <v>10</v>
      </c>
      <c r="G4266" s="19">
        <f t="shared" si="312"/>
        <v>172</v>
      </c>
      <c r="H4266" s="22">
        <f t="shared" si="314"/>
        <v>4265</v>
      </c>
      <c r="I4266" s="21">
        <f t="shared" ca="1" si="313"/>
        <v>0</v>
      </c>
      <c r="J4266" s="21" t="str">
        <f ca="1">IF(I4266=0,"",COUNTIF($I$2:I4266,"&gt;0"))</f>
        <v/>
      </c>
      <c r="K4266" s="21" t="str">
        <f t="shared" ca="1" si="311"/>
        <v/>
      </c>
    </row>
    <row r="4267" spans="1:11" s="18" customFormat="1" ht="14.25" x14ac:dyDescent="0.2">
      <c r="A4267" s="18" t="str">
        <f t="shared" si="310"/>
        <v>Eintrag 4266</v>
      </c>
      <c r="B4267" s="18">
        <v>100</v>
      </c>
      <c r="C4267" s="19">
        <v>100</v>
      </c>
      <c r="D4267" s="20">
        <v>10</v>
      </c>
      <c r="E4267" s="20">
        <v>10</v>
      </c>
      <c r="F4267" s="20">
        <v>10</v>
      </c>
      <c r="G4267" s="19">
        <f t="shared" si="312"/>
        <v>172</v>
      </c>
      <c r="H4267" s="22">
        <f t="shared" si="314"/>
        <v>4266</v>
      </c>
      <c r="I4267" s="21">
        <f t="shared" ca="1" si="313"/>
        <v>0</v>
      </c>
      <c r="J4267" s="21" t="str">
        <f ca="1">IF(I4267=0,"",COUNTIF($I$2:I4267,"&gt;0"))</f>
        <v/>
      </c>
      <c r="K4267" s="21" t="str">
        <f t="shared" ca="1" si="311"/>
        <v/>
      </c>
    </row>
    <row r="4268" spans="1:11" s="18" customFormat="1" ht="14.25" x14ac:dyDescent="0.2">
      <c r="A4268" s="18" t="str">
        <f t="shared" si="310"/>
        <v>Eintrag 4267</v>
      </c>
      <c r="B4268" s="18">
        <v>100</v>
      </c>
      <c r="C4268" s="19">
        <v>100</v>
      </c>
      <c r="D4268" s="20">
        <v>10</v>
      </c>
      <c r="E4268" s="20">
        <v>10</v>
      </c>
      <c r="F4268" s="20">
        <v>10</v>
      </c>
      <c r="G4268" s="19">
        <f t="shared" si="312"/>
        <v>172</v>
      </c>
      <c r="H4268" s="22">
        <f t="shared" si="314"/>
        <v>4267</v>
      </c>
      <c r="I4268" s="21">
        <f t="shared" ca="1" si="313"/>
        <v>0</v>
      </c>
      <c r="J4268" s="21" t="str">
        <f ca="1">IF(I4268=0,"",COUNTIF($I$2:I4268,"&gt;0"))</f>
        <v/>
      </c>
      <c r="K4268" s="21" t="str">
        <f t="shared" ca="1" si="311"/>
        <v/>
      </c>
    </row>
    <row r="4269" spans="1:11" s="18" customFormat="1" ht="14.25" x14ac:dyDescent="0.2">
      <c r="A4269" s="18" t="str">
        <f t="shared" si="310"/>
        <v>Eintrag 4268</v>
      </c>
      <c r="B4269" s="18">
        <v>100</v>
      </c>
      <c r="C4269" s="19">
        <v>100</v>
      </c>
      <c r="D4269" s="20">
        <v>10</v>
      </c>
      <c r="E4269" s="20">
        <v>10</v>
      </c>
      <c r="F4269" s="20">
        <v>10</v>
      </c>
      <c r="G4269" s="19">
        <f t="shared" si="312"/>
        <v>172</v>
      </c>
      <c r="H4269" s="22">
        <f t="shared" si="314"/>
        <v>4268</v>
      </c>
      <c r="I4269" s="21">
        <f t="shared" ca="1" si="313"/>
        <v>0</v>
      </c>
      <c r="J4269" s="21" t="str">
        <f ca="1">IF(I4269=0,"",COUNTIF($I$2:I4269,"&gt;0"))</f>
        <v/>
      </c>
      <c r="K4269" s="21" t="str">
        <f t="shared" ca="1" si="311"/>
        <v/>
      </c>
    </row>
    <row r="4270" spans="1:11" s="18" customFormat="1" ht="14.25" x14ac:dyDescent="0.2">
      <c r="A4270" s="18" t="str">
        <f t="shared" si="310"/>
        <v>Eintrag 4269</v>
      </c>
      <c r="B4270" s="18">
        <v>100</v>
      </c>
      <c r="C4270" s="19">
        <v>100</v>
      </c>
      <c r="D4270" s="20">
        <v>10</v>
      </c>
      <c r="E4270" s="20">
        <v>10</v>
      </c>
      <c r="F4270" s="20">
        <v>10</v>
      </c>
      <c r="G4270" s="19">
        <f t="shared" si="312"/>
        <v>172</v>
      </c>
      <c r="H4270" s="22">
        <f t="shared" si="314"/>
        <v>4269</v>
      </c>
      <c r="I4270" s="21">
        <f t="shared" ca="1" si="313"/>
        <v>0</v>
      </c>
      <c r="J4270" s="21" t="str">
        <f ca="1">IF(I4270=0,"",COUNTIF($I$2:I4270,"&gt;0"))</f>
        <v/>
      </c>
      <c r="K4270" s="21" t="str">
        <f t="shared" ca="1" si="311"/>
        <v/>
      </c>
    </row>
    <row r="4271" spans="1:11" s="18" customFormat="1" ht="14.25" x14ac:dyDescent="0.2">
      <c r="A4271" s="18" t="str">
        <f t="shared" si="310"/>
        <v>Eintrag 4270</v>
      </c>
      <c r="B4271" s="18">
        <v>100</v>
      </c>
      <c r="C4271" s="19">
        <v>100</v>
      </c>
      <c r="D4271" s="20">
        <v>10</v>
      </c>
      <c r="E4271" s="20">
        <v>10</v>
      </c>
      <c r="F4271" s="20">
        <v>10</v>
      </c>
      <c r="G4271" s="19">
        <f t="shared" si="312"/>
        <v>172</v>
      </c>
      <c r="H4271" s="22">
        <f t="shared" si="314"/>
        <v>4270</v>
      </c>
      <c r="I4271" s="21">
        <f t="shared" ca="1" si="313"/>
        <v>0</v>
      </c>
      <c r="J4271" s="21" t="str">
        <f ca="1">IF(I4271=0,"",COUNTIF($I$2:I4271,"&gt;0"))</f>
        <v/>
      </c>
      <c r="K4271" s="21" t="str">
        <f t="shared" ca="1" si="311"/>
        <v/>
      </c>
    </row>
    <row r="4272" spans="1:11" s="18" customFormat="1" ht="14.25" x14ac:dyDescent="0.2">
      <c r="A4272" s="18" t="str">
        <f t="shared" si="310"/>
        <v>Eintrag 4271</v>
      </c>
      <c r="B4272" s="18">
        <v>100</v>
      </c>
      <c r="C4272" s="19">
        <v>100</v>
      </c>
      <c r="D4272" s="20">
        <v>10</v>
      </c>
      <c r="E4272" s="20">
        <v>10</v>
      </c>
      <c r="F4272" s="20">
        <v>10</v>
      </c>
      <c r="G4272" s="19">
        <f t="shared" si="312"/>
        <v>172</v>
      </c>
      <c r="H4272" s="22">
        <f t="shared" si="314"/>
        <v>4271</v>
      </c>
      <c r="I4272" s="21">
        <f t="shared" ca="1" si="313"/>
        <v>0</v>
      </c>
      <c r="J4272" s="21" t="str">
        <f ca="1">IF(I4272=0,"",COUNTIF($I$2:I4272,"&gt;0"))</f>
        <v/>
      </c>
      <c r="K4272" s="21" t="str">
        <f t="shared" ca="1" si="311"/>
        <v/>
      </c>
    </row>
    <row r="4273" spans="1:11" s="18" customFormat="1" ht="14.25" x14ac:dyDescent="0.2">
      <c r="A4273" s="18" t="str">
        <f t="shared" ref="A4273:A4436" si="315">CONCATENATE("Eintrag ",H4273)</f>
        <v>Eintrag 4272</v>
      </c>
      <c r="B4273" s="18">
        <v>100</v>
      </c>
      <c r="C4273" s="19">
        <v>100</v>
      </c>
      <c r="D4273" s="20">
        <v>10</v>
      </c>
      <c r="E4273" s="20">
        <v>10</v>
      </c>
      <c r="F4273" s="20">
        <v>10</v>
      </c>
      <c r="G4273" s="19">
        <f t="shared" si="312"/>
        <v>172</v>
      </c>
      <c r="H4273" s="22">
        <f t="shared" si="314"/>
        <v>4272</v>
      </c>
      <c r="I4273" s="21">
        <f t="shared" ca="1" si="313"/>
        <v>0</v>
      </c>
      <c r="J4273" s="21" t="str">
        <f ca="1">IF(I4273=0,"",COUNTIF($I$2:I4273,"&gt;0"))</f>
        <v/>
      </c>
      <c r="K4273" s="21" t="str">
        <f t="shared" ca="1" si="311"/>
        <v/>
      </c>
    </row>
    <row r="4274" spans="1:11" s="18" customFormat="1" ht="14.25" x14ac:dyDescent="0.2">
      <c r="A4274" s="18" t="str">
        <f t="shared" si="315"/>
        <v>Eintrag 4273</v>
      </c>
      <c r="B4274" s="18">
        <v>100</v>
      </c>
      <c r="C4274" s="19">
        <v>100</v>
      </c>
      <c r="D4274" s="20">
        <v>10</v>
      </c>
      <c r="E4274" s="20">
        <v>10</v>
      </c>
      <c r="F4274" s="20">
        <v>10</v>
      </c>
      <c r="G4274" s="19">
        <f t="shared" si="312"/>
        <v>172</v>
      </c>
      <c r="H4274" s="22">
        <f t="shared" si="314"/>
        <v>4273</v>
      </c>
      <c r="I4274" s="21">
        <f t="shared" ca="1" si="313"/>
        <v>0</v>
      </c>
      <c r="J4274" s="21" t="str">
        <f ca="1">IF(I4274=0,"",COUNTIF($I$2:I4274,"&gt;0"))</f>
        <v/>
      </c>
      <c r="K4274" s="21" t="str">
        <f t="shared" ca="1" si="311"/>
        <v/>
      </c>
    </row>
    <row r="4275" spans="1:11" s="18" customFormat="1" ht="14.25" x14ac:dyDescent="0.2">
      <c r="A4275" s="18" t="str">
        <f t="shared" si="315"/>
        <v>Eintrag 4274</v>
      </c>
      <c r="B4275" s="18">
        <v>100</v>
      </c>
      <c r="C4275" s="19">
        <v>100</v>
      </c>
      <c r="D4275" s="20">
        <v>10</v>
      </c>
      <c r="E4275" s="20">
        <v>10</v>
      </c>
      <c r="F4275" s="20">
        <v>10</v>
      </c>
      <c r="G4275" s="19">
        <f t="shared" si="312"/>
        <v>172</v>
      </c>
      <c r="H4275" s="22">
        <f t="shared" si="314"/>
        <v>4274</v>
      </c>
      <c r="I4275" s="21">
        <f t="shared" ca="1" si="313"/>
        <v>0</v>
      </c>
      <c r="J4275" s="21" t="str">
        <f ca="1">IF(I4275=0,"",COUNTIF($I$2:I4275,"&gt;0"))</f>
        <v/>
      </c>
      <c r="K4275" s="21" t="str">
        <f t="shared" ca="1" si="311"/>
        <v/>
      </c>
    </row>
    <row r="4276" spans="1:11" s="18" customFormat="1" ht="14.25" x14ac:dyDescent="0.2">
      <c r="A4276" s="18" t="str">
        <f t="shared" si="315"/>
        <v>Eintrag 4275</v>
      </c>
      <c r="B4276" s="18">
        <v>100</v>
      </c>
      <c r="C4276" s="19">
        <v>100</v>
      </c>
      <c r="D4276" s="20">
        <v>10</v>
      </c>
      <c r="E4276" s="20">
        <v>10</v>
      </c>
      <c r="F4276" s="20">
        <v>10</v>
      </c>
      <c r="G4276" s="19">
        <f t="shared" si="312"/>
        <v>172</v>
      </c>
      <c r="H4276" s="22">
        <f t="shared" si="314"/>
        <v>4275</v>
      </c>
      <c r="I4276" s="21">
        <f t="shared" ca="1" si="313"/>
        <v>0</v>
      </c>
      <c r="J4276" s="21" t="str">
        <f ca="1">IF(I4276=0,"",COUNTIF($I$2:I4276,"&gt;0"))</f>
        <v/>
      </c>
      <c r="K4276" s="21" t="str">
        <f t="shared" ca="1" si="311"/>
        <v/>
      </c>
    </row>
    <row r="4277" spans="1:11" s="18" customFormat="1" ht="14.25" x14ac:dyDescent="0.2">
      <c r="A4277" s="18" t="str">
        <f t="shared" si="315"/>
        <v>Eintrag 4276</v>
      </c>
      <c r="B4277" s="18">
        <v>100</v>
      </c>
      <c r="C4277" s="19">
        <v>100</v>
      </c>
      <c r="D4277" s="20">
        <v>10</v>
      </c>
      <c r="E4277" s="20">
        <v>10</v>
      </c>
      <c r="F4277" s="20">
        <v>10</v>
      </c>
      <c r="G4277" s="19">
        <f t="shared" si="312"/>
        <v>172</v>
      </c>
      <c r="H4277" s="22">
        <f t="shared" si="314"/>
        <v>4276</v>
      </c>
      <c r="I4277" s="21">
        <f t="shared" ca="1" si="313"/>
        <v>0</v>
      </c>
      <c r="J4277" s="21" t="str">
        <f ca="1">IF(I4277=0,"",COUNTIF($I$2:I4277,"&gt;0"))</f>
        <v/>
      </c>
      <c r="K4277" s="21" t="str">
        <f t="shared" ca="1" si="311"/>
        <v/>
      </c>
    </row>
    <row r="4278" spans="1:11" s="18" customFormat="1" ht="14.25" x14ac:dyDescent="0.2">
      <c r="A4278" s="18" t="str">
        <f t="shared" si="315"/>
        <v>Eintrag 4277</v>
      </c>
      <c r="B4278" s="18">
        <v>100</v>
      </c>
      <c r="C4278" s="19">
        <v>100</v>
      </c>
      <c r="D4278" s="20">
        <v>10</v>
      </c>
      <c r="E4278" s="20">
        <v>10</v>
      </c>
      <c r="F4278" s="20">
        <v>10</v>
      </c>
      <c r="G4278" s="19">
        <f t="shared" si="312"/>
        <v>172</v>
      </c>
      <c r="H4278" s="22">
        <f t="shared" si="314"/>
        <v>4277</v>
      </c>
      <c r="I4278" s="21">
        <f t="shared" ca="1" si="313"/>
        <v>0</v>
      </c>
      <c r="J4278" s="21" t="str">
        <f ca="1">IF(I4278=0,"",COUNTIF($I$2:I4278,"&gt;0"))</f>
        <v/>
      </c>
      <c r="K4278" s="21" t="str">
        <f t="shared" ca="1" si="311"/>
        <v/>
      </c>
    </row>
    <row r="4279" spans="1:11" s="18" customFormat="1" ht="14.25" x14ac:dyDescent="0.2">
      <c r="A4279" s="18" t="str">
        <f t="shared" si="315"/>
        <v>Eintrag 4278</v>
      </c>
      <c r="B4279" s="18">
        <v>100</v>
      </c>
      <c r="C4279" s="19">
        <v>100</v>
      </c>
      <c r="D4279" s="20">
        <v>10</v>
      </c>
      <c r="E4279" s="20">
        <v>10</v>
      </c>
      <c r="F4279" s="20">
        <v>10</v>
      </c>
      <c r="G4279" s="19">
        <f t="shared" si="312"/>
        <v>172</v>
      </c>
      <c r="H4279" s="22">
        <f t="shared" si="314"/>
        <v>4278</v>
      </c>
      <c r="I4279" s="21">
        <f t="shared" ca="1" si="313"/>
        <v>0</v>
      </c>
      <c r="J4279" s="21" t="str">
        <f ca="1">IF(I4279=0,"",COUNTIF($I$2:I4279,"&gt;0"))</f>
        <v/>
      </c>
      <c r="K4279" s="21" t="str">
        <f t="shared" ca="1" si="311"/>
        <v/>
      </c>
    </row>
    <row r="4280" spans="1:11" s="18" customFormat="1" ht="14.25" x14ac:dyDescent="0.2">
      <c r="A4280" s="18" t="str">
        <f t="shared" si="315"/>
        <v>Eintrag 4279</v>
      </c>
      <c r="B4280" s="18">
        <v>100</v>
      </c>
      <c r="C4280" s="19">
        <v>100</v>
      </c>
      <c r="D4280" s="20">
        <v>10</v>
      </c>
      <c r="E4280" s="20">
        <v>10</v>
      </c>
      <c r="F4280" s="20">
        <v>10</v>
      </c>
      <c r="G4280" s="19">
        <f t="shared" si="312"/>
        <v>172</v>
      </c>
      <c r="H4280" s="22">
        <f t="shared" si="314"/>
        <v>4279</v>
      </c>
      <c r="I4280" s="21">
        <f t="shared" ca="1" si="313"/>
        <v>0</v>
      </c>
      <c r="J4280" s="21" t="str">
        <f ca="1">IF(I4280=0,"",COUNTIF($I$2:I4280,"&gt;0"))</f>
        <v/>
      </c>
      <c r="K4280" s="21" t="str">
        <f t="shared" ca="1" si="311"/>
        <v/>
      </c>
    </row>
    <row r="4281" spans="1:11" s="18" customFormat="1" ht="14.25" x14ac:dyDescent="0.2">
      <c r="A4281" s="18" t="str">
        <f t="shared" si="315"/>
        <v>Eintrag 4280</v>
      </c>
      <c r="B4281" s="18">
        <v>100</v>
      </c>
      <c r="C4281" s="19">
        <v>100</v>
      </c>
      <c r="D4281" s="20">
        <v>10</v>
      </c>
      <c r="E4281" s="20">
        <v>10</v>
      </c>
      <c r="F4281" s="20">
        <v>10</v>
      </c>
      <c r="G4281" s="19">
        <f t="shared" si="312"/>
        <v>172</v>
      </c>
      <c r="H4281" s="22">
        <f t="shared" si="314"/>
        <v>4280</v>
      </c>
      <c r="I4281" s="21">
        <f t="shared" ca="1" si="313"/>
        <v>0</v>
      </c>
      <c r="J4281" s="21" t="str">
        <f ca="1">IF(I4281=0,"",COUNTIF($I$2:I4281,"&gt;0"))</f>
        <v/>
      </c>
      <c r="K4281" s="21" t="str">
        <f t="shared" ca="1" si="311"/>
        <v/>
      </c>
    </row>
    <row r="4282" spans="1:11" s="18" customFormat="1" ht="14.25" x14ac:dyDescent="0.2">
      <c r="A4282" s="18" t="str">
        <f t="shared" si="315"/>
        <v>Eintrag 4281</v>
      </c>
      <c r="B4282" s="18">
        <v>100</v>
      </c>
      <c r="C4282" s="19">
        <v>100</v>
      </c>
      <c r="D4282" s="20">
        <v>10</v>
      </c>
      <c r="E4282" s="20">
        <v>10</v>
      </c>
      <c r="F4282" s="20">
        <v>10</v>
      </c>
      <c r="G4282" s="19">
        <f t="shared" si="312"/>
        <v>172</v>
      </c>
      <c r="H4282" s="22">
        <f t="shared" si="314"/>
        <v>4281</v>
      </c>
      <c r="I4282" s="21">
        <f t="shared" ca="1" si="313"/>
        <v>0</v>
      </c>
      <c r="J4282" s="21" t="str">
        <f ca="1">IF(I4282=0,"",COUNTIF($I$2:I4282,"&gt;0"))</f>
        <v/>
      </c>
      <c r="K4282" s="21" t="str">
        <f t="shared" ca="1" si="311"/>
        <v/>
      </c>
    </row>
    <row r="4283" spans="1:11" s="18" customFormat="1" ht="14.25" x14ac:dyDescent="0.2">
      <c r="A4283" s="18" t="str">
        <f t="shared" si="315"/>
        <v>Eintrag 4282</v>
      </c>
      <c r="B4283" s="18">
        <v>100</v>
      </c>
      <c r="C4283" s="19">
        <v>100</v>
      </c>
      <c r="D4283" s="20">
        <v>10</v>
      </c>
      <c r="E4283" s="20">
        <v>10</v>
      </c>
      <c r="F4283" s="20">
        <v>10</v>
      </c>
      <c r="G4283" s="19">
        <f t="shared" si="312"/>
        <v>172</v>
      </c>
      <c r="H4283" s="22">
        <f t="shared" si="314"/>
        <v>4282</v>
      </c>
      <c r="I4283" s="21">
        <f t="shared" ca="1" si="313"/>
        <v>0</v>
      </c>
      <c r="J4283" s="21" t="str">
        <f ca="1">IF(I4283=0,"",COUNTIF($I$2:I4283,"&gt;0"))</f>
        <v/>
      </c>
      <c r="K4283" s="21" t="str">
        <f t="shared" ca="1" si="311"/>
        <v/>
      </c>
    </row>
    <row r="4284" spans="1:11" s="18" customFormat="1" ht="14.25" x14ac:dyDescent="0.2">
      <c r="A4284" s="18" t="str">
        <f t="shared" si="315"/>
        <v>Eintrag 4283</v>
      </c>
      <c r="B4284" s="18">
        <v>100</v>
      </c>
      <c r="C4284" s="19">
        <v>100</v>
      </c>
      <c r="D4284" s="20">
        <v>10</v>
      </c>
      <c r="E4284" s="20">
        <v>10</v>
      </c>
      <c r="F4284" s="20">
        <v>10</v>
      </c>
      <c r="G4284" s="19">
        <f t="shared" si="312"/>
        <v>172</v>
      </c>
      <c r="H4284" s="22">
        <f t="shared" si="314"/>
        <v>4283</v>
      </c>
      <c r="I4284" s="21">
        <f t="shared" ca="1" si="313"/>
        <v>0</v>
      </c>
      <c r="J4284" s="21" t="str">
        <f ca="1">IF(I4284=0,"",COUNTIF($I$2:I4284,"&gt;0"))</f>
        <v/>
      </c>
      <c r="K4284" s="21" t="str">
        <f t="shared" ca="1" si="311"/>
        <v/>
      </c>
    </row>
    <row r="4285" spans="1:11" s="18" customFormat="1" ht="14.25" x14ac:dyDescent="0.2">
      <c r="A4285" s="18" t="str">
        <f t="shared" si="315"/>
        <v>Eintrag 4284</v>
      </c>
      <c r="B4285" s="18">
        <v>100</v>
      </c>
      <c r="C4285" s="19">
        <v>100</v>
      </c>
      <c r="D4285" s="20">
        <v>10</v>
      </c>
      <c r="E4285" s="20">
        <v>10</v>
      </c>
      <c r="F4285" s="20">
        <v>10</v>
      </c>
      <c r="G4285" s="19">
        <f t="shared" si="312"/>
        <v>172</v>
      </c>
      <c r="H4285" s="22">
        <f t="shared" si="314"/>
        <v>4284</v>
      </c>
      <c r="I4285" s="21">
        <f t="shared" ca="1" si="313"/>
        <v>0</v>
      </c>
      <c r="J4285" s="21" t="str">
        <f ca="1">IF(I4285=0,"",COUNTIF($I$2:I4285,"&gt;0"))</f>
        <v/>
      </c>
      <c r="K4285" s="21" t="str">
        <f t="shared" ca="1" si="311"/>
        <v/>
      </c>
    </row>
    <row r="4286" spans="1:11" s="18" customFormat="1" ht="14.25" x14ac:dyDescent="0.2">
      <c r="A4286" s="18" t="str">
        <f t="shared" si="315"/>
        <v>Eintrag 4285</v>
      </c>
      <c r="B4286" s="18">
        <v>100</v>
      </c>
      <c r="C4286" s="19">
        <v>100</v>
      </c>
      <c r="D4286" s="20">
        <v>10</v>
      </c>
      <c r="E4286" s="20">
        <v>10</v>
      </c>
      <c r="F4286" s="20">
        <v>10</v>
      </c>
      <c r="G4286" s="19">
        <f t="shared" si="312"/>
        <v>172</v>
      </c>
      <c r="H4286" s="22">
        <f t="shared" si="314"/>
        <v>4285</v>
      </c>
      <c r="I4286" s="21">
        <f t="shared" ca="1" si="313"/>
        <v>0</v>
      </c>
      <c r="J4286" s="21" t="str">
        <f ca="1">IF(I4286=0,"",COUNTIF($I$2:I4286,"&gt;0"))</f>
        <v/>
      </c>
      <c r="K4286" s="21" t="str">
        <f t="shared" ca="1" si="311"/>
        <v/>
      </c>
    </row>
    <row r="4287" spans="1:11" s="18" customFormat="1" ht="14.25" x14ac:dyDescent="0.2">
      <c r="A4287" s="18" t="str">
        <f t="shared" si="315"/>
        <v>Eintrag 4286</v>
      </c>
      <c r="B4287" s="18">
        <v>100</v>
      </c>
      <c r="C4287" s="19">
        <v>100</v>
      </c>
      <c r="D4287" s="20">
        <v>10</v>
      </c>
      <c r="E4287" s="20">
        <v>10</v>
      </c>
      <c r="F4287" s="20">
        <v>10</v>
      </c>
      <c r="G4287" s="19">
        <f t="shared" si="312"/>
        <v>172</v>
      </c>
      <c r="H4287" s="22">
        <f t="shared" si="314"/>
        <v>4286</v>
      </c>
      <c r="I4287" s="21">
        <f t="shared" ca="1" si="313"/>
        <v>0</v>
      </c>
      <c r="J4287" s="21" t="str">
        <f ca="1">IF(I4287=0,"",COUNTIF($I$2:I4287,"&gt;0"))</f>
        <v/>
      </c>
      <c r="K4287" s="21" t="str">
        <f t="shared" ca="1" si="311"/>
        <v/>
      </c>
    </row>
    <row r="4288" spans="1:11" s="18" customFormat="1" ht="14.25" x14ac:dyDescent="0.2">
      <c r="A4288" s="18" t="str">
        <f t="shared" si="315"/>
        <v>Eintrag 4287</v>
      </c>
      <c r="B4288" s="18">
        <v>100</v>
      </c>
      <c r="C4288" s="19">
        <v>100</v>
      </c>
      <c r="D4288" s="20">
        <v>10</v>
      </c>
      <c r="E4288" s="20">
        <v>10</v>
      </c>
      <c r="F4288" s="20">
        <v>10</v>
      </c>
      <c r="G4288" s="19">
        <f t="shared" si="312"/>
        <v>172</v>
      </c>
      <c r="H4288" s="22">
        <f t="shared" si="314"/>
        <v>4287</v>
      </c>
      <c r="I4288" s="21">
        <f t="shared" ca="1" si="313"/>
        <v>0</v>
      </c>
      <c r="J4288" s="21" t="str">
        <f ca="1">IF(I4288=0,"",COUNTIF($I$2:I4288,"&gt;0"))</f>
        <v/>
      </c>
      <c r="K4288" s="21" t="str">
        <f t="shared" ca="1" si="311"/>
        <v/>
      </c>
    </row>
    <row r="4289" spans="1:11" s="18" customFormat="1" ht="14.25" x14ac:dyDescent="0.2">
      <c r="A4289" s="18" t="str">
        <f t="shared" si="315"/>
        <v>Eintrag 4288</v>
      </c>
      <c r="B4289" s="18">
        <v>100</v>
      </c>
      <c r="C4289" s="19">
        <v>100</v>
      </c>
      <c r="D4289" s="20">
        <v>10</v>
      </c>
      <c r="E4289" s="20">
        <v>10</v>
      </c>
      <c r="F4289" s="20">
        <v>10</v>
      </c>
      <c r="G4289" s="19">
        <f t="shared" si="312"/>
        <v>172</v>
      </c>
      <c r="H4289" s="22">
        <f t="shared" si="314"/>
        <v>4288</v>
      </c>
      <c r="I4289" s="21">
        <f t="shared" ca="1" si="313"/>
        <v>0</v>
      </c>
      <c r="J4289" s="21" t="str">
        <f ca="1">IF(I4289=0,"",COUNTIF($I$2:I4289,"&gt;0"))</f>
        <v/>
      </c>
      <c r="K4289" s="21" t="str">
        <f t="shared" ca="1" si="311"/>
        <v/>
      </c>
    </row>
    <row r="4290" spans="1:11" s="18" customFormat="1" ht="14.25" x14ac:dyDescent="0.2">
      <c r="A4290" s="18" t="str">
        <f t="shared" si="315"/>
        <v>Eintrag 4289</v>
      </c>
      <c r="B4290" s="18">
        <v>100</v>
      </c>
      <c r="C4290" s="19">
        <v>100</v>
      </c>
      <c r="D4290" s="20">
        <v>10</v>
      </c>
      <c r="E4290" s="20">
        <v>10</v>
      </c>
      <c r="F4290" s="20">
        <v>10</v>
      </c>
      <c r="G4290" s="19">
        <f t="shared" si="312"/>
        <v>172</v>
      </c>
      <c r="H4290" s="22">
        <f t="shared" si="314"/>
        <v>4289</v>
      </c>
      <c r="I4290" s="21">
        <f t="shared" ca="1" si="313"/>
        <v>0</v>
      </c>
      <c r="J4290" s="21" t="str">
        <f ca="1">IF(I4290=0,"",COUNTIF($I$2:I4290,"&gt;0"))</f>
        <v/>
      </c>
      <c r="K4290" s="21" t="str">
        <f t="shared" ref="K4290:K4353" ca="1" si="316">IFERROR(INDEX(A:A,MATCH(ROW(I4289),J:J,0)),"")</f>
        <v/>
      </c>
    </row>
    <row r="4291" spans="1:11" s="18" customFormat="1" ht="14.25" x14ac:dyDescent="0.2">
      <c r="A4291" s="18" t="str">
        <f t="shared" si="315"/>
        <v>Eintrag 4290</v>
      </c>
      <c r="B4291" s="18">
        <v>100</v>
      </c>
      <c r="C4291" s="19">
        <v>100</v>
      </c>
      <c r="D4291" s="20">
        <v>10</v>
      </c>
      <c r="E4291" s="20">
        <v>10</v>
      </c>
      <c r="F4291" s="20">
        <v>10</v>
      </c>
      <c r="G4291" s="19">
        <f t="shared" ref="G4291:G4354" si="317">D4291*9+E4291*4.1+F4291*4.1</f>
        <v>172</v>
      </c>
      <c r="H4291" s="22">
        <f t="shared" si="314"/>
        <v>4290</v>
      </c>
      <c r="I4291" s="21">
        <f t="shared" ca="1" si="313"/>
        <v>0</v>
      </c>
      <c r="J4291" s="21" t="str">
        <f ca="1">IF(I4291=0,"",COUNTIF($I$2:I4291,"&gt;0"))</f>
        <v/>
      </c>
      <c r="K4291" s="21" t="str">
        <f t="shared" ca="1" si="316"/>
        <v/>
      </c>
    </row>
    <row r="4292" spans="1:11" s="18" customFormat="1" ht="14.25" x14ac:dyDescent="0.2">
      <c r="A4292" s="18" t="str">
        <f t="shared" si="315"/>
        <v>Eintrag 4291</v>
      </c>
      <c r="B4292" s="18">
        <v>100</v>
      </c>
      <c r="C4292" s="19">
        <v>100</v>
      </c>
      <c r="D4292" s="20">
        <v>10</v>
      </c>
      <c r="E4292" s="20">
        <v>10</v>
      </c>
      <c r="F4292" s="20">
        <v>10</v>
      </c>
      <c r="G4292" s="19">
        <f t="shared" si="317"/>
        <v>172</v>
      </c>
      <c r="H4292" s="22">
        <f t="shared" si="314"/>
        <v>4291</v>
      </c>
      <c r="I4292" s="21">
        <f t="shared" ca="1" si="313"/>
        <v>0</v>
      </c>
      <c r="J4292" s="21" t="str">
        <f ca="1">IF(I4292=0,"",COUNTIF($I$2:I4292,"&gt;0"))</f>
        <v/>
      </c>
      <c r="K4292" s="21" t="str">
        <f t="shared" ca="1" si="316"/>
        <v/>
      </c>
    </row>
    <row r="4293" spans="1:11" s="18" customFormat="1" ht="14.25" x14ac:dyDescent="0.2">
      <c r="A4293" s="18" t="str">
        <f t="shared" si="315"/>
        <v>Eintrag 4292</v>
      </c>
      <c r="B4293" s="18">
        <v>100</v>
      </c>
      <c r="C4293" s="19">
        <v>100</v>
      </c>
      <c r="D4293" s="20">
        <v>10</v>
      </c>
      <c r="E4293" s="20">
        <v>10</v>
      </c>
      <c r="F4293" s="20">
        <v>10</v>
      </c>
      <c r="G4293" s="19">
        <f t="shared" si="317"/>
        <v>172</v>
      </c>
      <c r="H4293" s="22">
        <f t="shared" si="314"/>
        <v>4292</v>
      </c>
      <c r="I4293" s="21">
        <f t="shared" ca="1" si="313"/>
        <v>0</v>
      </c>
      <c r="J4293" s="21" t="str">
        <f ca="1">IF(I4293=0,"",COUNTIF($I$2:I4293,"&gt;0"))</f>
        <v/>
      </c>
      <c r="K4293" s="21" t="str">
        <f t="shared" ca="1" si="316"/>
        <v/>
      </c>
    </row>
    <row r="4294" spans="1:11" s="18" customFormat="1" ht="14.25" x14ac:dyDescent="0.2">
      <c r="A4294" s="18" t="str">
        <f t="shared" si="315"/>
        <v>Eintrag 4293</v>
      </c>
      <c r="B4294" s="18">
        <v>100</v>
      </c>
      <c r="C4294" s="19">
        <v>100</v>
      </c>
      <c r="D4294" s="20">
        <v>10</v>
      </c>
      <c r="E4294" s="20">
        <v>10</v>
      </c>
      <c r="F4294" s="20">
        <v>10</v>
      </c>
      <c r="G4294" s="19">
        <f t="shared" si="317"/>
        <v>172</v>
      </c>
      <c r="H4294" s="22">
        <f t="shared" si="314"/>
        <v>4293</v>
      </c>
      <c r="I4294" s="21">
        <f t="shared" ca="1" si="313"/>
        <v>0</v>
      </c>
      <c r="J4294" s="21" t="str">
        <f ca="1">IF(I4294=0,"",COUNTIF($I$2:I4294,"&gt;0"))</f>
        <v/>
      </c>
      <c r="K4294" s="21" t="str">
        <f t="shared" ca="1" si="316"/>
        <v/>
      </c>
    </row>
    <row r="4295" spans="1:11" s="18" customFormat="1" ht="14.25" x14ac:dyDescent="0.2">
      <c r="A4295" s="18" t="str">
        <f t="shared" si="315"/>
        <v>Eintrag 4294</v>
      </c>
      <c r="B4295" s="18">
        <v>100</v>
      </c>
      <c r="C4295" s="19">
        <v>100</v>
      </c>
      <c r="D4295" s="20">
        <v>10</v>
      </c>
      <c r="E4295" s="20">
        <v>10</v>
      </c>
      <c r="F4295" s="20">
        <v>10</v>
      </c>
      <c r="G4295" s="19">
        <f t="shared" si="317"/>
        <v>172</v>
      </c>
      <c r="H4295" s="22">
        <f t="shared" si="314"/>
        <v>4294</v>
      </c>
      <c r="I4295" s="21">
        <f t="shared" ca="1" si="313"/>
        <v>0</v>
      </c>
      <c r="J4295" s="21" t="str">
        <f ca="1">IF(I4295=0,"",COUNTIF($I$2:I4295,"&gt;0"))</f>
        <v/>
      </c>
      <c r="K4295" s="21" t="str">
        <f t="shared" ca="1" si="316"/>
        <v/>
      </c>
    </row>
    <row r="4296" spans="1:11" s="18" customFormat="1" ht="14.25" x14ac:dyDescent="0.2">
      <c r="A4296" s="18" t="str">
        <f t="shared" si="315"/>
        <v>Eintrag 4295</v>
      </c>
      <c r="B4296" s="18">
        <v>100</v>
      </c>
      <c r="C4296" s="19">
        <v>100</v>
      </c>
      <c r="D4296" s="20">
        <v>10</v>
      </c>
      <c r="E4296" s="20">
        <v>10</v>
      </c>
      <c r="F4296" s="20">
        <v>10</v>
      </c>
      <c r="G4296" s="19">
        <f t="shared" si="317"/>
        <v>172</v>
      </c>
      <c r="H4296" s="22">
        <f t="shared" si="314"/>
        <v>4295</v>
      </c>
      <c r="I4296" s="21">
        <f t="shared" ca="1" si="313"/>
        <v>0</v>
      </c>
      <c r="J4296" s="21" t="str">
        <f ca="1">IF(I4296=0,"",COUNTIF($I$2:I4296,"&gt;0"))</f>
        <v/>
      </c>
      <c r="K4296" s="21" t="str">
        <f t="shared" ca="1" si="316"/>
        <v/>
      </c>
    </row>
    <row r="4297" spans="1:11" s="18" customFormat="1" ht="14.25" x14ac:dyDescent="0.2">
      <c r="A4297" s="18" t="str">
        <f t="shared" si="315"/>
        <v>Eintrag 4296</v>
      </c>
      <c r="B4297" s="18">
        <v>100</v>
      </c>
      <c r="C4297" s="19">
        <v>100</v>
      </c>
      <c r="D4297" s="20">
        <v>10</v>
      </c>
      <c r="E4297" s="20">
        <v>10</v>
      </c>
      <c r="F4297" s="20">
        <v>10</v>
      </c>
      <c r="G4297" s="19">
        <f t="shared" si="317"/>
        <v>172</v>
      </c>
      <c r="H4297" s="22">
        <f t="shared" si="314"/>
        <v>4296</v>
      </c>
      <c r="I4297" s="21">
        <f t="shared" ca="1" si="313"/>
        <v>0</v>
      </c>
      <c r="J4297" s="21" t="str">
        <f ca="1">IF(I4297=0,"",COUNTIF($I$2:I4297,"&gt;0"))</f>
        <v/>
      </c>
      <c r="K4297" s="21" t="str">
        <f t="shared" ca="1" si="316"/>
        <v/>
      </c>
    </row>
    <row r="4298" spans="1:11" s="18" customFormat="1" ht="14.25" x14ac:dyDescent="0.2">
      <c r="A4298" s="18" t="str">
        <f t="shared" si="315"/>
        <v>Eintrag 4297</v>
      </c>
      <c r="B4298" s="18">
        <v>100</v>
      </c>
      <c r="C4298" s="19">
        <v>100</v>
      </c>
      <c r="D4298" s="20">
        <v>10</v>
      </c>
      <c r="E4298" s="20">
        <v>10</v>
      </c>
      <c r="F4298" s="20">
        <v>10</v>
      </c>
      <c r="G4298" s="19">
        <f t="shared" si="317"/>
        <v>172</v>
      </c>
      <c r="H4298" s="22">
        <f t="shared" si="314"/>
        <v>4297</v>
      </c>
      <c r="I4298" s="21">
        <f t="shared" ca="1" si="313"/>
        <v>0</v>
      </c>
      <c r="J4298" s="21" t="str">
        <f ca="1">IF(I4298=0,"",COUNTIF($I$2:I4298,"&gt;0"))</f>
        <v/>
      </c>
      <c r="K4298" s="21" t="str">
        <f t="shared" ca="1" si="316"/>
        <v/>
      </c>
    </row>
    <row r="4299" spans="1:11" s="18" customFormat="1" ht="14.25" x14ac:dyDescent="0.2">
      <c r="A4299" s="18" t="str">
        <f t="shared" si="315"/>
        <v>Eintrag 4298</v>
      </c>
      <c r="B4299" s="18">
        <v>100</v>
      </c>
      <c r="C4299" s="19">
        <v>100</v>
      </c>
      <c r="D4299" s="20">
        <v>10</v>
      </c>
      <c r="E4299" s="20">
        <v>10</v>
      </c>
      <c r="F4299" s="20">
        <v>10</v>
      </c>
      <c r="G4299" s="19">
        <f t="shared" si="317"/>
        <v>172</v>
      </c>
      <c r="H4299" s="22">
        <f t="shared" si="314"/>
        <v>4298</v>
      </c>
      <c r="I4299" s="21">
        <f t="shared" ca="1" si="313"/>
        <v>0</v>
      </c>
      <c r="J4299" s="21" t="str">
        <f ca="1">IF(I4299=0,"",COUNTIF($I$2:I4299,"&gt;0"))</f>
        <v/>
      </c>
      <c r="K4299" s="21" t="str">
        <f t="shared" ca="1" si="316"/>
        <v/>
      </c>
    </row>
    <row r="4300" spans="1:11" s="18" customFormat="1" ht="14.25" x14ac:dyDescent="0.2">
      <c r="A4300" s="18" t="str">
        <f t="shared" si="315"/>
        <v>Eintrag 4299</v>
      </c>
      <c r="B4300" s="18">
        <v>100</v>
      </c>
      <c r="C4300" s="19">
        <v>100</v>
      </c>
      <c r="D4300" s="20">
        <v>10</v>
      </c>
      <c r="E4300" s="20">
        <v>10</v>
      </c>
      <c r="F4300" s="20">
        <v>10</v>
      </c>
      <c r="G4300" s="19">
        <f t="shared" si="317"/>
        <v>172</v>
      </c>
      <c r="H4300" s="22">
        <f t="shared" si="314"/>
        <v>4299</v>
      </c>
      <c r="I4300" s="21">
        <f t="shared" ca="1" si="313"/>
        <v>0</v>
      </c>
      <c r="J4300" s="21" t="str">
        <f ca="1">IF(I4300=0,"",COUNTIF($I$2:I4300,"&gt;0"))</f>
        <v/>
      </c>
      <c r="K4300" s="21" t="str">
        <f t="shared" ca="1" si="316"/>
        <v/>
      </c>
    </row>
    <row r="4301" spans="1:11" s="18" customFormat="1" ht="14.25" x14ac:dyDescent="0.2">
      <c r="A4301" s="18" t="str">
        <f t="shared" si="315"/>
        <v>Eintrag 4300</v>
      </c>
      <c r="B4301" s="18">
        <v>100</v>
      </c>
      <c r="C4301" s="19">
        <v>100</v>
      </c>
      <c r="D4301" s="20">
        <v>10</v>
      </c>
      <c r="E4301" s="20">
        <v>10</v>
      </c>
      <c r="F4301" s="20">
        <v>10</v>
      </c>
      <c r="G4301" s="19">
        <f t="shared" si="317"/>
        <v>172</v>
      </c>
      <c r="H4301" s="22">
        <f t="shared" si="314"/>
        <v>4300</v>
      </c>
      <c r="I4301" s="21">
        <f t="shared" ca="1" si="313"/>
        <v>0</v>
      </c>
      <c r="J4301" s="21" t="str">
        <f ca="1">IF(I4301=0,"",COUNTIF($I$2:I4301,"&gt;0"))</f>
        <v/>
      </c>
      <c r="K4301" s="21" t="str">
        <f t="shared" ca="1" si="316"/>
        <v/>
      </c>
    </row>
    <row r="4302" spans="1:11" s="18" customFormat="1" ht="14.25" x14ac:dyDescent="0.2">
      <c r="A4302" s="18" t="str">
        <f t="shared" si="315"/>
        <v>Eintrag 4301</v>
      </c>
      <c r="B4302" s="18">
        <v>100</v>
      </c>
      <c r="C4302" s="19">
        <v>100</v>
      </c>
      <c r="D4302" s="20">
        <v>10</v>
      </c>
      <c r="E4302" s="20">
        <v>10</v>
      </c>
      <c r="F4302" s="20">
        <v>10</v>
      </c>
      <c r="G4302" s="19">
        <f t="shared" si="317"/>
        <v>172</v>
      </c>
      <c r="H4302" s="22">
        <f t="shared" si="314"/>
        <v>4301</v>
      </c>
      <c r="I4302" s="21">
        <f t="shared" ca="1" si="313"/>
        <v>0</v>
      </c>
      <c r="J4302" s="21" t="str">
        <f ca="1">IF(I4302=0,"",COUNTIF($I$2:I4302,"&gt;0"))</f>
        <v/>
      </c>
      <c r="K4302" s="21" t="str">
        <f t="shared" ca="1" si="316"/>
        <v/>
      </c>
    </row>
    <row r="4303" spans="1:11" s="18" customFormat="1" ht="14.25" x14ac:dyDescent="0.2">
      <c r="A4303" s="18" t="str">
        <f t="shared" si="315"/>
        <v>Eintrag 4302</v>
      </c>
      <c r="B4303" s="18">
        <v>100</v>
      </c>
      <c r="C4303" s="19">
        <v>100</v>
      </c>
      <c r="D4303" s="20">
        <v>10</v>
      </c>
      <c r="E4303" s="20">
        <v>10</v>
      </c>
      <c r="F4303" s="20">
        <v>10</v>
      </c>
      <c r="G4303" s="19">
        <f t="shared" si="317"/>
        <v>172</v>
      </c>
      <c r="H4303" s="22">
        <f t="shared" si="314"/>
        <v>4302</v>
      </c>
      <c r="I4303" s="21">
        <f t="shared" ca="1" si="313"/>
        <v>0</v>
      </c>
      <c r="J4303" s="21" t="str">
        <f ca="1">IF(I4303=0,"",COUNTIF($I$2:I4303,"&gt;0"))</f>
        <v/>
      </c>
      <c r="K4303" s="21" t="str">
        <f t="shared" ca="1" si="316"/>
        <v/>
      </c>
    </row>
    <row r="4304" spans="1:11" s="18" customFormat="1" ht="14.25" x14ac:dyDescent="0.2">
      <c r="A4304" s="18" t="str">
        <f t="shared" si="315"/>
        <v>Eintrag 4303</v>
      </c>
      <c r="B4304" s="18">
        <v>100</v>
      </c>
      <c r="C4304" s="19">
        <v>100</v>
      </c>
      <c r="D4304" s="20">
        <v>10</v>
      </c>
      <c r="E4304" s="20">
        <v>10</v>
      </c>
      <c r="F4304" s="20">
        <v>10</v>
      </c>
      <c r="G4304" s="19">
        <f t="shared" si="317"/>
        <v>172</v>
      </c>
      <c r="H4304" s="22">
        <f t="shared" si="314"/>
        <v>4303</v>
      </c>
      <c r="I4304" s="21">
        <f t="shared" ca="1" si="313"/>
        <v>0</v>
      </c>
      <c r="J4304" s="21" t="str">
        <f ca="1">IF(I4304=0,"",COUNTIF($I$2:I4304,"&gt;0"))</f>
        <v/>
      </c>
      <c r="K4304" s="21" t="str">
        <f t="shared" ca="1" si="316"/>
        <v/>
      </c>
    </row>
    <row r="4305" spans="1:11" s="18" customFormat="1" ht="14.25" x14ac:dyDescent="0.2">
      <c r="A4305" s="18" t="str">
        <f t="shared" si="315"/>
        <v>Eintrag 4304</v>
      </c>
      <c r="B4305" s="18">
        <v>100</v>
      </c>
      <c r="C4305" s="19">
        <v>100</v>
      </c>
      <c r="D4305" s="20">
        <v>10</v>
      </c>
      <c r="E4305" s="20">
        <v>10</v>
      </c>
      <c r="F4305" s="20">
        <v>10</v>
      </c>
      <c r="G4305" s="19">
        <f t="shared" si="317"/>
        <v>172</v>
      </c>
      <c r="H4305" s="22">
        <f t="shared" si="314"/>
        <v>4304</v>
      </c>
      <c r="I4305" s="21">
        <f t="shared" ca="1" si="313"/>
        <v>0</v>
      </c>
      <c r="J4305" s="21" t="str">
        <f ca="1">IF(I4305=0,"",COUNTIF($I$2:I4305,"&gt;0"))</f>
        <v/>
      </c>
      <c r="K4305" s="21" t="str">
        <f t="shared" ca="1" si="316"/>
        <v/>
      </c>
    </row>
    <row r="4306" spans="1:11" s="18" customFormat="1" ht="14.25" x14ac:dyDescent="0.2">
      <c r="A4306" s="18" t="str">
        <f t="shared" si="315"/>
        <v>Eintrag 4305</v>
      </c>
      <c r="B4306" s="18">
        <v>100</v>
      </c>
      <c r="C4306" s="19">
        <v>100</v>
      </c>
      <c r="D4306" s="20">
        <v>10</v>
      </c>
      <c r="E4306" s="20">
        <v>10</v>
      </c>
      <c r="F4306" s="20">
        <v>10</v>
      </c>
      <c r="G4306" s="19">
        <f t="shared" si="317"/>
        <v>172</v>
      </c>
      <c r="H4306" s="22">
        <f t="shared" si="314"/>
        <v>4305</v>
      </c>
      <c r="I4306" s="21">
        <f t="shared" ca="1" si="313"/>
        <v>0</v>
      </c>
      <c r="J4306" s="21" t="str">
        <f ca="1">IF(I4306=0,"",COUNTIF($I$2:I4306,"&gt;0"))</f>
        <v/>
      </c>
      <c r="K4306" s="21" t="str">
        <f t="shared" ca="1" si="316"/>
        <v/>
      </c>
    </row>
    <row r="4307" spans="1:11" s="18" customFormat="1" ht="14.25" x14ac:dyDescent="0.2">
      <c r="A4307" s="18" t="str">
        <f t="shared" si="315"/>
        <v>Eintrag 4306</v>
      </c>
      <c r="B4307" s="18">
        <v>100</v>
      </c>
      <c r="C4307" s="19">
        <v>100</v>
      </c>
      <c r="D4307" s="20">
        <v>10</v>
      </c>
      <c r="E4307" s="20">
        <v>10</v>
      </c>
      <c r="F4307" s="20">
        <v>10</v>
      </c>
      <c r="G4307" s="19">
        <f t="shared" si="317"/>
        <v>172</v>
      </c>
      <c r="H4307" s="22">
        <f t="shared" si="314"/>
        <v>4306</v>
      </c>
      <c r="I4307" s="21">
        <f t="shared" ca="1" si="313"/>
        <v>0</v>
      </c>
      <c r="J4307" s="21" t="str">
        <f ca="1">IF(I4307=0,"",COUNTIF($I$2:I4307,"&gt;0"))</f>
        <v/>
      </c>
      <c r="K4307" s="21" t="str">
        <f t="shared" ca="1" si="316"/>
        <v/>
      </c>
    </row>
    <row r="4308" spans="1:11" s="18" customFormat="1" ht="14.25" x14ac:dyDescent="0.2">
      <c r="A4308" s="18" t="str">
        <f t="shared" si="315"/>
        <v>Eintrag 4307</v>
      </c>
      <c r="B4308" s="18">
        <v>100</v>
      </c>
      <c r="C4308" s="19">
        <v>100</v>
      </c>
      <c r="D4308" s="20">
        <v>10</v>
      </c>
      <c r="E4308" s="20">
        <v>10</v>
      </c>
      <c r="F4308" s="20">
        <v>10</v>
      </c>
      <c r="G4308" s="19">
        <f t="shared" si="317"/>
        <v>172</v>
      </c>
      <c r="H4308" s="22">
        <f t="shared" si="314"/>
        <v>4307</v>
      </c>
      <c r="I4308" s="21">
        <f t="shared" ca="1" si="313"/>
        <v>0</v>
      </c>
      <c r="J4308" s="21" t="str">
        <f ca="1">IF(I4308=0,"",COUNTIF($I$2:I4308,"&gt;0"))</f>
        <v/>
      </c>
      <c r="K4308" s="21" t="str">
        <f t="shared" ca="1" si="316"/>
        <v/>
      </c>
    </row>
    <row r="4309" spans="1:11" s="18" customFormat="1" ht="14.25" x14ac:dyDescent="0.2">
      <c r="A4309" s="18" t="str">
        <f t="shared" si="315"/>
        <v>Eintrag 4308</v>
      </c>
      <c r="B4309" s="18">
        <v>100</v>
      </c>
      <c r="C4309" s="19">
        <v>100</v>
      </c>
      <c r="D4309" s="20">
        <v>10</v>
      </c>
      <c r="E4309" s="20">
        <v>10</v>
      </c>
      <c r="F4309" s="20">
        <v>10</v>
      </c>
      <c r="G4309" s="19">
        <f t="shared" si="317"/>
        <v>172</v>
      </c>
      <c r="H4309" s="22">
        <f t="shared" si="314"/>
        <v>4308</v>
      </c>
      <c r="I4309" s="21">
        <f t="shared" ca="1" si="313"/>
        <v>0</v>
      </c>
      <c r="J4309" s="21" t="str">
        <f ca="1">IF(I4309=0,"",COUNTIF($I$2:I4309,"&gt;0"))</f>
        <v/>
      </c>
      <c r="K4309" s="21" t="str">
        <f t="shared" ca="1" si="316"/>
        <v/>
      </c>
    </row>
    <row r="4310" spans="1:11" s="18" customFormat="1" ht="14.25" x14ac:dyDescent="0.2">
      <c r="A4310" s="18" t="str">
        <f t="shared" si="315"/>
        <v>Eintrag 4309</v>
      </c>
      <c r="B4310" s="18">
        <v>100</v>
      </c>
      <c r="C4310" s="19">
        <v>100</v>
      </c>
      <c r="D4310" s="20">
        <v>10</v>
      </c>
      <c r="E4310" s="20">
        <v>10</v>
      </c>
      <c r="F4310" s="20">
        <v>10</v>
      </c>
      <c r="G4310" s="19">
        <f t="shared" si="317"/>
        <v>172</v>
      </c>
      <c r="H4310" s="22">
        <f t="shared" si="314"/>
        <v>4309</v>
      </c>
      <c r="I4310" s="21">
        <f t="shared" ca="1" si="313"/>
        <v>0</v>
      </c>
      <c r="J4310" s="21" t="str">
        <f ca="1">IF(I4310=0,"",COUNTIF($I$2:I4310,"&gt;0"))</f>
        <v/>
      </c>
      <c r="K4310" s="21" t="str">
        <f t="shared" ca="1" si="316"/>
        <v/>
      </c>
    </row>
    <row r="4311" spans="1:11" s="18" customFormat="1" ht="14.25" x14ac:dyDescent="0.2">
      <c r="A4311" s="18" t="str">
        <f t="shared" si="315"/>
        <v>Eintrag 4310</v>
      </c>
      <c r="B4311" s="18">
        <v>100</v>
      </c>
      <c r="C4311" s="19">
        <v>100</v>
      </c>
      <c r="D4311" s="20">
        <v>10</v>
      </c>
      <c r="E4311" s="20">
        <v>10</v>
      </c>
      <c r="F4311" s="20">
        <v>10</v>
      </c>
      <c r="G4311" s="19">
        <f t="shared" si="317"/>
        <v>172</v>
      </c>
      <c r="H4311" s="22">
        <f t="shared" si="314"/>
        <v>4310</v>
      </c>
      <c r="I4311" s="21">
        <f t="shared" ca="1" si="313"/>
        <v>0</v>
      </c>
      <c r="J4311" s="21" t="str">
        <f ca="1">IF(I4311=0,"",COUNTIF($I$2:I4311,"&gt;0"))</f>
        <v/>
      </c>
      <c r="K4311" s="21" t="str">
        <f t="shared" ca="1" si="316"/>
        <v/>
      </c>
    </row>
    <row r="4312" spans="1:11" s="18" customFormat="1" ht="14.25" x14ac:dyDescent="0.2">
      <c r="A4312" s="18" t="str">
        <f t="shared" si="315"/>
        <v>Eintrag 4311</v>
      </c>
      <c r="B4312" s="18">
        <v>100</v>
      </c>
      <c r="C4312" s="19">
        <v>100</v>
      </c>
      <c r="D4312" s="20">
        <v>10</v>
      </c>
      <c r="E4312" s="20">
        <v>10</v>
      </c>
      <c r="F4312" s="20">
        <v>10</v>
      </c>
      <c r="G4312" s="19">
        <f t="shared" si="317"/>
        <v>172</v>
      </c>
      <c r="H4312" s="22">
        <f t="shared" si="314"/>
        <v>4311</v>
      </c>
      <c r="I4312" s="21">
        <f t="shared" ca="1" si="313"/>
        <v>0</v>
      </c>
      <c r="J4312" s="21" t="str">
        <f ca="1">IF(I4312=0,"",COUNTIF($I$2:I4312,"&gt;0"))</f>
        <v/>
      </c>
      <c r="K4312" s="21" t="str">
        <f t="shared" ca="1" si="316"/>
        <v/>
      </c>
    </row>
    <row r="4313" spans="1:11" s="18" customFormat="1" ht="14.25" x14ac:dyDescent="0.2">
      <c r="A4313" s="18" t="str">
        <f t="shared" si="315"/>
        <v>Eintrag 4312</v>
      </c>
      <c r="B4313" s="18">
        <v>100</v>
      </c>
      <c r="C4313" s="19">
        <v>100</v>
      </c>
      <c r="D4313" s="20">
        <v>10</v>
      </c>
      <c r="E4313" s="20">
        <v>10</v>
      </c>
      <c r="F4313" s="20">
        <v>10</v>
      </c>
      <c r="G4313" s="19">
        <f t="shared" si="317"/>
        <v>172</v>
      </c>
      <c r="H4313" s="22">
        <f t="shared" si="314"/>
        <v>4312</v>
      </c>
      <c r="I4313" s="21">
        <f t="shared" ca="1" si="313"/>
        <v>0</v>
      </c>
      <c r="J4313" s="21" t="str">
        <f ca="1">IF(I4313=0,"",COUNTIF($I$2:I4313,"&gt;0"))</f>
        <v/>
      </c>
      <c r="K4313" s="21" t="str">
        <f t="shared" ca="1" si="316"/>
        <v/>
      </c>
    </row>
    <row r="4314" spans="1:11" s="18" customFormat="1" ht="14.25" x14ac:dyDescent="0.2">
      <c r="A4314" s="18" t="str">
        <f t="shared" si="315"/>
        <v>Eintrag 4313</v>
      </c>
      <c r="B4314" s="18">
        <v>100</v>
      </c>
      <c r="C4314" s="19">
        <v>100</v>
      </c>
      <c r="D4314" s="20">
        <v>10</v>
      </c>
      <c r="E4314" s="20">
        <v>10</v>
      </c>
      <c r="F4314" s="20">
        <v>10</v>
      </c>
      <c r="G4314" s="19">
        <f t="shared" si="317"/>
        <v>172</v>
      </c>
      <c r="H4314" s="22">
        <f t="shared" si="314"/>
        <v>4313</v>
      </c>
      <c r="I4314" s="21">
        <f t="shared" ca="1" si="313"/>
        <v>0</v>
      </c>
      <c r="J4314" s="21" t="str">
        <f ca="1">IF(I4314=0,"",COUNTIF($I$2:I4314,"&gt;0"))</f>
        <v/>
      </c>
      <c r="K4314" s="21" t="str">
        <f t="shared" ca="1" si="316"/>
        <v/>
      </c>
    </row>
    <row r="4315" spans="1:11" s="18" customFormat="1" ht="14.25" x14ac:dyDescent="0.2">
      <c r="A4315" s="18" t="str">
        <f t="shared" si="315"/>
        <v>Eintrag 4314</v>
      </c>
      <c r="B4315" s="18">
        <v>100</v>
      </c>
      <c r="C4315" s="19">
        <v>100</v>
      </c>
      <c r="D4315" s="20">
        <v>10</v>
      </c>
      <c r="E4315" s="20">
        <v>10</v>
      </c>
      <c r="F4315" s="20">
        <v>10</v>
      </c>
      <c r="G4315" s="19">
        <f t="shared" si="317"/>
        <v>172</v>
      </c>
      <c r="H4315" s="22">
        <f t="shared" si="314"/>
        <v>4314</v>
      </c>
      <c r="I4315" s="21">
        <f t="shared" ca="1" si="313"/>
        <v>0</v>
      </c>
      <c r="J4315" s="21" t="str">
        <f ca="1">IF(I4315=0,"",COUNTIF($I$2:I4315,"&gt;0"))</f>
        <v/>
      </c>
      <c r="K4315" s="21" t="str">
        <f t="shared" ca="1" si="316"/>
        <v/>
      </c>
    </row>
    <row r="4316" spans="1:11" s="18" customFormat="1" ht="14.25" x14ac:dyDescent="0.2">
      <c r="A4316" s="18" t="str">
        <f t="shared" si="315"/>
        <v>Eintrag 4315</v>
      </c>
      <c r="B4316" s="18">
        <v>100</v>
      </c>
      <c r="C4316" s="19">
        <v>100</v>
      </c>
      <c r="D4316" s="20">
        <v>10</v>
      </c>
      <c r="E4316" s="20">
        <v>10</v>
      </c>
      <c r="F4316" s="20">
        <v>10</v>
      </c>
      <c r="G4316" s="19">
        <f t="shared" si="317"/>
        <v>172</v>
      </c>
      <c r="H4316" s="22">
        <f t="shared" si="314"/>
        <v>4315</v>
      </c>
      <c r="I4316" s="21">
        <f t="shared" ca="1" si="313"/>
        <v>0</v>
      </c>
      <c r="J4316" s="21" t="str">
        <f ca="1">IF(I4316=0,"",COUNTIF($I$2:I4316,"&gt;0"))</f>
        <v/>
      </c>
      <c r="K4316" s="21" t="str">
        <f t="shared" ca="1" si="316"/>
        <v/>
      </c>
    </row>
    <row r="4317" spans="1:11" s="18" customFormat="1" ht="14.25" x14ac:dyDescent="0.2">
      <c r="A4317" s="18" t="str">
        <f t="shared" si="315"/>
        <v>Eintrag 4316</v>
      </c>
      <c r="B4317" s="18">
        <v>100</v>
      </c>
      <c r="C4317" s="19">
        <v>100</v>
      </c>
      <c r="D4317" s="20">
        <v>10</v>
      </c>
      <c r="E4317" s="20">
        <v>10</v>
      </c>
      <c r="F4317" s="20">
        <v>10</v>
      </c>
      <c r="G4317" s="19">
        <f t="shared" si="317"/>
        <v>172</v>
      </c>
      <c r="H4317" s="22">
        <f t="shared" si="314"/>
        <v>4316</v>
      </c>
      <c r="I4317" s="21">
        <f t="shared" ca="1" si="313"/>
        <v>0</v>
      </c>
      <c r="J4317" s="21" t="str">
        <f ca="1">IF(I4317=0,"",COUNTIF($I$2:I4317,"&gt;0"))</f>
        <v/>
      </c>
      <c r="K4317" s="21" t="str">
        <f t="shared" ca="1" si="316"/>
        <v/>
      </c>
    </row>
    <row r="4318" spans="1:11" s="18" customFormat="1" ht="14.25" x14ac:dyDescent="0.2">
      <c r="A4318" s="18" t="str">
        <f t="shared" si="315"/>
        <v>Eintrag 4317</v>
      </c>
      <c r="B4318" s="18">
        <v>100</v>
      </c>
      <c r="C4318" s="19">
        <v>100</v>
      </c>
      <c r="D4318" s="20">
        <v>10</v>
      </c>
      <c r="E4318" s="20">
        <v>10</v>
      </c>
      <c r="F4318" s="20">
        <v>10</v>
      </c>
      <c r="G4318" s="19">
        <f t="shared" si="317"/>
        <v>172</v>
      </c>
      <c r="H4318" s="22">
        <f t="shared" si="314"/>
        <v>4317</v>
      </c>
      <c r="I4318" s="21">
        <f t="shared" ca="1" si="313"/>
        <v>0</v>
      </c>
      <c r="J4318" s="21" t="str">
        <f ca="1">IF(I4318=0,"",COUNTIF($I$2:I4318,"&gt;0"))</f>
        <v/>
      </c>
      <c r="K4318" s="21" t="str">
        <f t="shared" ca="1" si="316"/>
        <v/>
      </c>
    </row>
    <row r="4319" spans="1:11" s="18" customFormat="1" ht="14.25" x14ac:dyDescent="0.2">
      <c r="A4319" s="18" t="str">
        <f t="shared" si="315"/>
        <v>Eintrag 4318</v>
      </c>
      <c r="B4319" s="18">
        <v>100</v>
      </c>
      <c r="C4319" s="19">
        <v>100</v>
      </c>
      <c r="D4319" s="20">
        <v>10</v>
      </c>
      <c r="E4319" s="20">
        <v>10</v>
      </c>
      <c r="F4319" s="20">
        <v>10</v>
      </c>
      <c r="G4319" s="19">
        <f t="shared" si="317"/>
        <v>172</v>
      </c>
      <c r="H4319" s="22">
        <f t="shared" si="314"/>
        <v>4318</v>
      </c>
      <c r="I4319" s="21">
        <f t="shared" ca="1" si="313"/>
        <v>0</v>
      </c>
      <c r="J4319" s="21" t="str">
        <f ca="1">IF(I4319=0,"",COUNTIF($I$2:I4319,"&gt;0"))</f>
        <v/>
      </c>
      <c r="K4319" s="21" t="str">
        <f t="shared" ca="1" si="316"/>
        <v/>
      </c>
    </row>
    <row r="4320" spans="1:11" s="18" customFormat="1" ht="14.25" x14ac:dyDescent="0.2">
      <c r="A4320" s="18" t="str">
        <f t="shared" si="315"/>
        <v>Eintrag 4319</v>
      </c>
      <c r="B4320" s="18">
        <v>100</v>
      </c>
      <c r="C4320" s="19">
        <v>100</v>
      </c>
      <c r="D4320" s="20">
        <v>10</v>
      </c>
      <c r="E4320" s="20">
        <v>10</v>
      </c>
      <c r="F4320" s="20">
        <v>10</v>
      </c>
      <c r="G4320" s="19">
        <f t="shared" si="317"/>
        <v>172</v>
      </c>
      <c r="H4320" s="22">
        <f t="shared" si="314"/>
        <v>4319</v>
      </c>
      <c r="I4320" s="21">
        <f t="shared" ca="1" si="313"/>
        <v>0</v>
      </c>
      <c r="J4320" s="21" t="str">
        <f ca="1">IF(I4320=0,"",COUNTIF($I$2:I4320,"&gt;0"))</f>
        <v/>
      </c>
      <c r="K4320" s="21" t="str">
        <f t="shared" ca="1" si="316"/>
        <v/>
      </c>
    </row>
    <row r="4321" spans="1:11" s="18" customFormat="1" ht="14.25" x14ac:dyDescent="0.2">
      <c r="A4321" s="18" t="str">
        <f t="shared" si="315"/>
        <v>Eintrag 4320</v>
      </c>
      <c r="B4321" s="18">
        <v>100</v>
      </c>
      <c r="C4321" s="19">
        <v>100</v>
      </c>
      <c r="D4321" s="20">
        <v>10</v>
      </c>
      <c r="E4321" s="20">
        <v>10</v>
      </c>
      <c r="F4321" s="20">
        <v>10</v>
      </c>
      <c r="G4321" s="19">
        <f t="shared" si="317"/>
        <v>172</v>
      </c>
      <c r="H4321" s="22">
        <f t="shared" si="314"/>
        <v>4320</v>
      </c>
      <c r="I4321" s="21">
        <f t="shared" ca="1" si="313"/>
        <v>0</v>
      </c>
      <c r="J4321" s="21" t="str">
        <f ca="1">IF(I4321=0,"",COUNTIF($I$2:I4321,"&gt;0"))</f>
        <v/>
      </c>
      <c r="K4321" s="21" t="str">
        <f t="shared" ca="1" si="316"/>
        <v/>
      </c>
    </row>
    <row r="4322" spans="1:11" s="18" customFormat="1" ht="14.25" x14ac:dyDescent="0.2">
      <c r="A4322" s="18" t="str">
        <f t="shared" si="315"/>
        <v>Eintrag 4321</v>
      </c>
      <c r="B4322" s="18">
        <v>100</v>
      </c>
      <c r="C4322" s="19">
        <v>100</v>
      </c>
      <c r="D4322" s="20">
        <v>10</v>
      </c>
      <c r="E4322" s="20">
        <v>10</v>
      </c>
      <c r="F4322" s="20">
        <v>10</v>
      </c>
      <c r="G4322" s="19">
        <f t="shared" si="317"/>
        <v>172</v>
      </c>
      <c r="H4322" s="22">
        <f t="shared" si="314"/>
        <v>4321</v>
      </c>
      <c r="I4322" s="21">
        <f t="shared" ca="1" si="313"/>
        <v>0</v>
      </c>
      <c r="J4322" s="21" t="str">
        <f ca="1">IF(I4322=0,"",COUNTIF($I$2:I4322,"&gt;0"))</f>
        <v/>
      </c>
      <c r="K4322" s="21" t="str">
        <f t="shared" ca="1" si="316"/>
        <v/>
      </c>
    </row>
    <row r="4323" spans="1:11" s="18" customFormat="1" ht="14.25" x14ac:dyDescent="0.2">
      <c r="A4323" s="18" t="str">
        <f t="shared" si="315"/>
        <v>Eintrag 4322</v>
      </c>
      <c r="B4323" s="18">
        <v>100</v>
      </c>
      <c r="C4323" s="19">
        <v>100</v>
      </c>
      <c r="D4323" s="20">
        <v>10</v>
      </c>
      <c r="E4323" s="20">
        <v>10</v>
      </c>
      <c r="F4323" s="20">
        <v>10</v>
      </c>
      <c r="G4323" s="19">
        <f t="shared" si="317"/>
        <v>172</v>
      </c>
      <c r="H4323" s="22">
        <f t="shared" si="314"/>
        <v>4322</v>
      </c>
      <c r="I4323" s="21">
        <f t="shared" ca="1" si="313"/>
        <v>0</v>
      </c>
      <c r="J4323" s="21" t="str">
        <f ca="1">IF(I4323=0,"",COUNTIF($I$2:I4323,"&gt;0"))</f>
        <v/>
      </c>
      <c r="K4323" s="21" t="str">
        <f t="shared" ca="1" si="316"/>
        <v/>
      </c>
    </row>
    <row r="4324" spans="1:11" s="18" customFormat="1" ht="14.25" x14ac:dyDescent="0.2">
      <c r="A4324" s="18" t="str">
        <f t="shared" si="315"/>
        <v>Eintrag 4323</v>
      </c>
      <c r="B4324" s="18">
        <v>100</v>
      </c>
      <c r="C4324" s="19">
        <v>100</v>
      </c>
      <c r="D4324" s="20">
        <v>10</v>
      </c>
      <c r="E4324" s="20">
        <v>10</v>
      </c>
      <c r="F4324" s="20">
        <v>10</v>
      </c>
      <c r="G4324" s="19">
        <f t="shared" si="317"/>
        <v>172</v>
      </c>
      <c r="H4324" s="22">
        <f t="shared" si="314"/>
        <v>4323</v>
      </c>
      <c r="I4324" s="21">
        <f t="shared" ca="1" si="313"/>
        <v>0</v>
      </c>
      <c r="J4324" s="21" t="str">
        <f ca="1">IF(I4324=0,"",COUNTIF($I$2:I4324,"&gt;0"))</f>
        <v/>
      </c>
      <c r="K4324" s="21" t="str">
        <f t="shared" ca="1" si="316"/>
        <v/>
      </c>
    </row>
    <row r="4325" spans="1:11" s="18" customFormat="1" ht="14.25" x14ac:dyDescent="0.2">
      <c r="A4325" s="18" t="str">
        <f t="shared" si="315"/>
        <v>Eintrag 4324</v>
      </c>
      <c r="B4325" s="18">
        <v>100</v>
      </c>
      <c r="C4325" s="19">
        <v>100</v>
      </c>
      <c r="D4325" s="20">
        <v>10</v>
      </c>
      <c r="E4325" s="20">
        <v>10</v>
      </c>
      <c r="F4325" s="20">
        <v>10</v>
      </c>
      <c r="G4325" s="19">
        <f t="shared" si="317"/>
        <v>172</v>
      </c>
      <c r="H4325" s="22">
        <f t="shared" ref="H4325:H4388" si="318">H4324+1</f>
        <v>4324</v>
      </c>
      <c r="I4325" s="21">
        <f t="shared" ca="1" si="313"/>
        <v>0</v>
      </c>
      <c r="J4325" s="21" t="str">
        <f ca="1">IF(I4325=0,"",COUNTIF($I$2:I4325,"&gt;0"))</f>
        <v/>
      </c>
      <c r="K4325" s="21" t="str">
        <f t="shared" ca="1" si="316"/>
        <v/>
      </c>
    </row>
    <row r="4326" spans="1:11" s="18" customFormat="1" ht="14.25" x14ac:dyDescent="0.2">
      <c r="A4326" s="18" t="str">
        <f t="shared" si="315"/>
        <v>Eintrag 4325</v>
      </c>
      <c r="B4326" s="18">
        <v>100</v>
      </c>
      <c r="C4326" s="19">
        <v>100</v>
      </c>
      <c r="D4326" s="20">
        <v>10</v>
      </c>
      <c r="E4326" s="20">
        <v>10</v>
      </c>
      <c r="F4326" s="20">
        <v>10</v>
      </c>
      <c r="G4326" s="19">
        <f t="shared" si="317"/>
        <v>172</v>
      </c>
      <c r="H4326" s="22">
        <f t="shared" si="318"/>
        <v>4325</v>
      </c>
      <c r="I4326" s="21">
        <f t="shared" ca="1" si="313"/>
        <v>0</v>
      </c>
      <c r="J4326" s="21" t="str">
        <f ca="1">IF(I4326=0,"",COUNTIF($I$2:I4326,"&gt;0"))</f>
        <v/>
      </c>
      <c r="K4326" s="21" t="str">
        <f t="shared" ca="1" si="316"/>
        <v/>
      </c>
    </row>
    <row r="4327" spans="1:11" s="18" customFormat="1" ht="14.25" x14ac:dyDescent="0.2">
      <c r="A4327" s="18" t="str">
        <f t="shared" si="315"/>
        <v>Eintrag 4326</v>
      </c>
      <c r="B4327" s="18">
        <v>100</v>
      </c>
      <c r="C4327" s="19">
        <v>100</v>
      </c>
      <c r="D4327" s="20">
        <v>10</v>
      </c>
      <c r="E4327" s="20">
        <v>10</v>
      </c>
      <c r="F4327" s="20">
        <v>10</v>
      </c>
      <c r="G4327" s="19">
        <f t="shared" si="317"/>
        <v>172</v>
      </c>
      <c r="H4327" s="22">
        <f t="shared" si="318"/>
        <v>4326</v>
      </c>
      <c r="I4327" s="21">
        <f t="shared" ca="1" si="313"/>
        <v>0</v>
      </c>
      <c r="J4327" s="21" t="str">
        <f ca="1">IF(I4327=0,"",COUNTIF($I$2:I4327,"&gt;0"))</f>
        <v/>
      </c>
      <c r="K4327" s="21" t="str">
        <f t="shared" ca="1" si="316"/>
        <v/>
      </c>
    </row>
    <row r="4328" spans="1:11" s="18" customFormat="1" ht="14.25" x14ac:dyDescent="0.2">
      <c r="A4328" s="18" t="str">
        <f t="shared" si="315"/>
        <v>Eintrag 4327</v>
      </c>
      <c r="B4328" s="18">
        <v>100</v>
      </c>
      <c r="C4328" s="19">
        <v>100</v>
      </c>
      <c r="D4328" s="20">
        <v>10</v>
      </c>
      <c r="E4328" s="20">
        <v>10</v>
      </c>
      <c r="F4328" s="20">
        <v>10</v>
      </c>
      <c r="G4328" s="19">
        <f t="shared" si="317"/>
        <v>172</v>
      </c>
      <c r="H4328" s="22">
        <f t="shared" si="318"/>
        <v>4327</v>
      </c>
      <c r="I4328" s="21">
        <f t="shared" ca="1" si="313"/>
        <v>0</v>
      </c>
      <c r="J4328" s="21" t="str">
        <f ca="1">IF(I4328=0,"",COUNTIF($I$2:I4328,"&gt;0"))</f>
        <v/>
      </c>
      <c r="K4328" s="21" t="str">
        <f t="shared" ca="1" si="316"/>
        <v/>
      </c>
    </row>
    <row r="4329" spans="1:11" s="18" customFormat="1" ht="14.25" x14ac:dyDescent="0.2">
      <c r="A4329" s="18" t="str">
        <f t="shared" si="315"/>
        <v>Eintrag 4328</v>
      </c>
      <c r="B4329" s="18">
        <v>100</v>
      </c>
      <c r="C4329" s="19">
        <v>100</v>
      </c>
      <c r="D4329" s="20">
        <v>10</v>
      </c>
      <c r="E4329" s="20">
        <v>10</v>
      </c>
      <c r="F4329" s="20">
        <v>10</v>
      </c>
      <c r="G4329" s="19">
        <f t="shared" si="317"/>
        <v>172</v>
      </c>
      <c r="H4329" s="22">
        <f t="shared" si="318"/>
        <v>4328</v>
      </c>
      <c r="I4329" s="21">
        <f t="shared" ca="1" si="313"/>
        <v>0</v>
      </c>
      <c r="J4329" s="21" t="str">
        <f ca="1">IF(I4329=0,"",COUNTIF($I$2:I4329,"&gt;0"))</f>
        <v/>
      </c>
      <c r="K4329" s="21" t="str">
        <f t="shared" ca="1" si="316"/>
        <v/>
      </c>
    </row>
    <row r="4330" spans="1:11" s="18" customFormat="1" ht="14.25" x14ac:dyDescent="0.2">
      <c r="A4330" s="18" t="str">
        <f t="shared" si="315"/>
        <v>Eintrag 4329</v>
      </c>
      <c r="B4330" s="18">
        <v>100</v>
      </c>
      <c r="C4330" s="19">
        <v>100</v>
      </c>
      <c r="D4330" s="20">
        <v>10</v>
      </c>
      <c r="E4330" s="20">
        <v>10</v>
      </c>
      <c r="F4330" s="20">
        <v>10</v>
      </c>
      <c r="G4330" s="19">
        <f t="shared" si="317"/>
        <v>172</v>
      </c>
      <c r="H4330" s="22">
        <f t="shared" si="318"/>
        <v>4329</v>
      </c>
      <c r="I4330" s="21">
        <f t="shared" ca="1" si="313"/>
        <v>0</v>
      </c>
      <c r="J4330" s="21" t="str">
        <f ca="1">IF(I4330=0,"",COUNTIF($I$2:I4330,"&gt;0"))</f>
        <v/>
      </c>
      <c r="K4330" s="21" t="str">
        <f t="shared" ca="1" si="316"/>
        <v/>
      </c>
    </row>
    <row r="4331" spans="1:11" s="18" customFormat="1" ht="14.25" x14ac:dyDescent="0.2">
      <c r="A4331" s="18" t="str">
        <f t="shared" si="315"/>
        <v>Eintrag 4330</v>
      </c>
      <c r="B4331" s="18">
        <v>100</v>
      </c>
      <c r="C4331" s="19">
        <v>100</v>
      </c>
      <c r="D4331" s="20">
        <v>10</v>
      </c>
      <c r="E4331" s="20">
        <v>10</v>
      </c>
      <c r="F4331" s="20">
        <v>10</v>
      </c>
      <c r="G4331" s="19">
        <f t="shared" si="317"/>
        <v>172</v>
      </c>
      <c r="H4331" s="22">
        <f t="shared" si="318"/>
        <v>4330</v>
      </c>
      <c r="I4331" s="21">
        <f t="shared" ca="1" si="313"/>
        <v>0</v>
      </c>
      <c r="J4331" s="21" t="str">
        <f ca="1">IF(I4331=0,"",COUNTIF($I$2:I4331,"&gt;0"))</f>
        <v/>
      </c>
      <c r="K4331" s="21" t="str">
        <f t="shared" ca="1" si="316"/>
        <v/>
      </c>
    </row>
    <row r="4332" spans="1:11" s="18" customFormat="1" ht="14.25" x14ac:dyDescent="0.2">
      <c r="A4332" s="18" t="str">
        <f t="shared" si="315"/>
        <v>Eintrag 4331</v>
      </c>
      <c r="B4332" s="18">
        <v>100</v>
      </c>
      <c r="C4332" s="19">
        <v>100</v>
      </c>
      <c r="D4332" s="20">
        <v>10</v>
      </c>
      <c r="E4332" s="20">
        <v>10</v>
      </c>
      <c r="F4332" s="20">
        <v>10</v>
      </c>
      <c r="G4332" s="19">
        <f t="shared" si="317"/>
        <v>172</v>
      </c>
      <c r="H4332" s="22">
        <f t="shared" si="318"/>
        <v>4331</v>
      </c>
      <c r="I4332" s="21">
        <f t="shared" ca="1" si="313"/>
        <v>0</v>
      </c>
      <c r="J4332" s="21" t="str">
        <f ca="1">IF(I4332=0,"",COUNTIF($I$2:I4332,"&gt;0"))</f>
        <v/>
      </c>
      <c r="K4332" s="21" t="str">
        <f t="shared" ca="1" si="316"/>
        <v/>
      </c>
    </row>
    <row r="4333" spans="1:11" s="18" customFormat="1" ht="14.25" x14ac:dyDescent="0.2">
      <c r="A4333" s="18" t="str">
        <f t="shared" si="315"/>
        <v>Eintrag 4332</v>
      </c>
      <c r="B4333" s="18">
        <v>100</v>
      </c>
      <c r="C4333" s="19">
        <v>100</v>
      </c>
      <c r="D4333" s="20">
        <v>10</v>
      </c>
      <c r="E4333" s="20">
        <v>10</v>
      </c>
      <c r="F4333" s="20">
        <v>10</v>
      </c>
      <c r="G4333" s="19">
        <f t="shared" si="317"/>
        <v>172</v>
      </c>
      <c r="H4333" s="22">
        <f t="shared" si="318"/>
        <v>4332</v>
      </c>
      <c r="I4333" s="21">
        <f t="shared" ca="1" si="313"/>
        <v>0</v>
      </c>
      <c r="J4333" s="21" t="str">
        <f ca="1">IF(I4333=0,"",COUNTIF($I$2:I4333,"&gt;0"))</f>
        <v/>
      </c>
      <c r="K4333" s="21" t="str">
        <f t="shared" ca="1" si="316"/>
        <v/>
      </c>
    </row>
    <row r="4334" spans="1:11" s="18" customFormat="1" ht="14.25" x14ac:dyDescent="0.2">
      <c r="A4334" s="18" t="str">
        <f t="shared" si="315"/>
        <v>Eintrag 4333</v>
      </c>
      <c r="B4334" s="18">
        <v>100</v>
      </c>
      <c r="C4334" s="19">
        <v>100</v>
      </c>
      <c r="D4334" s="20">
        <v>10</v>
      </c>
      <c r="E4334" s="20">
        <v>10</v>
      </c>
      <c r="F4334" s="20">
        <v>10</v>
      </c>
      <c r="G4334" s="19">
        <f t="shared" si="317"/>
        <v>172</v>
      </c>
      <c r="H4334" s="22">
        <f t="shared" si="318"/>
        <v>4333</v>
      </c>
      <c r="I4334" s="21">
        <f t="shared" ca="1" si="313"/>
        <v>0</v>
      </c>
      <c r="J4334" s="21" t="str">
        <f ca="1">IF(I4334=0,"",COUNTIF($I$2:I4334,"&gt;0"))</f>
        <v/>
      </c>
      <c r="K4334" s="21" t="str">
        <f t="shared" ca="1" si="316"/>
        <v/>
      </c>
    </row>
    <row r="4335" spans="1:11" s="18" customFormat="1" ht="14.25" x14ac:dyDescent="0.2">
      <c r="A4335" s="18" t="str">
        <f t="shared" si="315"/>
        <v>Eintrag 4334</v>
      </c>
      <c r="B4335" s="18">
        <v>100</v>
      </c>
      <c r="C4335" s="19">
        <v>100</v>
      </c>
      <c r="D4335" s="20">
        <v>10</v>
      </c>
      <c r="E4335" s="20">
        <v>10</v>
      </c>
      <c r="F4335" s="20">
        <v>10</v>
      </c>
      <c r="G4335" s="19">
        <f t="shared" si="317"/>
        <v>172</v>
      </c>
      <c r="H4335" s="22">
        <f t="shared" si="318"/>
        <v>4334</v>
      </c>
      <c r="I4335" s="21">
        <f t="shared" ca="1" si="313"/>
        <v>0</v>
      </c>
      <c r="J4335" s="21" t="str">
        <f ca="1">IF(I4335=0,"",COUNTIF($I$2:I4335,"&gt;0"))</f>
        <v/>
      </c>
      <c r="K4335" s="21" t="str">
        <f t="shared" ca="1" si="316"/>
        <v/>
      </c>
    </row>
    <row r="4336" spans="1:11" s="18" customFormat="1" ht="14.25" x14ac:dyDescent="0.2">
      <c r="A4336" s="18" t="str">
        <f t="shared" si="315"/>
        <v>Eintrag 4335</v>
      </c>
      <c r="B4336" s="18">
        <v>100</v>
      </c>
      <c r="C4336" s="19">
        <v>100</v>
      </c>
      <c r="D4336" s="20">
        <v>10</v>
      </c>
      <c r="E4336" s="20">
        <v>10</v>
      </c>
      <c r="F4336" s="20">
        <v>10</v>
      </c>
      <c r="G4336" s="19">
        <f t="shared" si="317"/>
        <v>172</v>
      </c>
      <c r="H4336" s="22">
        <f t="shared" si="318"/>
        <v>4335</v>
      </c>
      <c r="I4336" s="21">
        <f t="shared" ca="1" si="313"/>
        <v>0</v>
      </c>
      <c r="J4336" s="21" t="str">
        <f ca="1">IF(I4336=0,"",COUNTIF($I$2:I4336,"&gt;0"))</f>
        <v/>
      </c>
      <c r="K4336" s="21" t="str">
        <f t="shared" ca="1" si="316"/>
        <v/>
      </c>
    </row>
    <row r="4337" spans="1:11" s="18" customFormat="1" ht="14.25" x14ac:dyDescent="0.2">
      <c r="A4337" s="18" t="str">
        <f t="shared" si="315"/>
        <v>Eintrag 4336</v>
      </c>
      <c r="B4337" s="18">
        <v>100</v>
      </c>
      <c r="C4337" s="19">
        <v>100</v>
      </c>
      <c r="D4337" s="20">
        <v>10</v>
      </c>
      <c r="E4337" s="20">
        <v>10</v>
      </c>
      <c r="F4337" s="20">
        <v>10</v>
      </c>
      <c r="G4337" s="19">
        <f t="shared" si="317"/>
        <v>172</v>
      </c>
      <c r="H4337" s="22">
        <f t="shared" si="318"/>
        <v>4336</v>
      </c>
      <c r="I4337" s="21">
        <f t="shared" ca="1" si="313"/>
        <v>0</v>
      </c>
      <c r="J4337" s="21" t="str">
        <f ca="1">IF(I4337=0,"",COUNTIF($I$2:I4337,"&gt;0"))</f>
        <v/>
      </c>
      <c r="K4337" s="21" t="str">
        <f t="shared" ca="1" si="316"/>
        <v/>
      </c>
    </row>
    <row r="4338" spans="1:11" s="18" customFormat="1" ht="14.25" x14ac:dyDescent="0.2">
      <c r="A4338" s="18" t="str">
        <f t="shared" si="315"/>
        <v>Eintrag 4337</v>
      </c>
      <c r="B4338" s="18">
        <v>100</v>
      </c>
      <c r="C4338" s="19">
        <v>100</v>
      </c>
      <c r="D4338" s="20">
        <v>10</v>
      </c>
      <c r="E4338" s="20">
        <v>10</v>
      </c>
      <c r="F4338" s="20">
        <v>10</v>
      </c>
      <c r="G4338" s="19">
        <f t="shared" si="317"/>
        <v>172</v>
      </c>
      <c r="H4338" s="22">
        <f t="shared" si="318"/>
        <v>4337</v>
      </c>
      <c r="I4338" s="21">
        <f t="shared" ca="1" si="313"/>
        <v>0</v>
      </c>
      <c r="J4338" s="21" t="str">
        <f ca="1">IF(I4338=0,"",COUNTIF($I$2:I4338,"&gt;0"))</f>
        <v/>
      </c>
      <c r="K4338" s="21" t="str">
        <f t="shared" ca="1" si="316"/>
        <v/>
      </c>
    </row>
    <row r="4339" spans="1:11" s="18" customFormat="1" ht="14.25" x14ac:dyDescent="0.2">
      <c r="A4339" s="18" t="str">
        <f t="shared" si="315"/>
        <v>Eintrag 4338</v>
      </c>
      <c r="B4339" s="18">
        <v>100</v>
      </c>
      <c r="C4339" s="19">
        <v>100</v>
      </c>
      <c r="D4339" s="20">
        <v>10</v>
      </c>
      <c r="E4339" s="20">
        <v>10</v>
      </c>
      <c r="F4339" s="20">
        <v>10</v>
      </c>
      <c r="G4339" s="19">
        <f t="shared" si="317"/>
        <v>172</v>
      </c>
      <c r="H4339" s="22">
        <f t="shared" si="318"/>
        <v>4338</v>
      </c>
      <c r="I4339" s="21">
        <f t="shared" ca="1" si="313"/>
        <v>0</v>
      </c>
      <c r="J4339" s="21" t="str">
        <f ca="1">IF(I4339=0,"",COUNTIF($I$2:I4339,"&gt;0"))</f>
        <v/>
      </c>
      <c r="K4339" s="21" t="str">
        <f t="shared" ca="1" si="316"/>
        <v/>
      </c>
    </row>
    <row r="4340" spans="1:11" s="18" customFormat="1" ht="14.25" x14ac:dyDescent="0.2">
      <c r="A4340" s="18" t="str">
        <f t="shared" si="315"/>
        <v>Eintrag 4339</v>
      </c>
      <c r="B4340" s="18">
        <v>100</v>
      </c>
      <c r="C4340" s="19">
        <v>100</v>
      </c>
      <c r="D4340" s="20">
        <v>10</v>
      </c>
      <c r="E4340" s="20">
        <v>10</v>
      </c>
      <c r="F4340" s="20">
        <v>10</v>
      </c>
      <c r="G4340" s="19">
        <f t="shared" si="317"/>
        <v>172</v>
      </c>
      <c r="H4340" s="22">
        <f t="shared" si="318"/>
        <v>4339</v>
      </c>
      <c r="I4340" s="21">
        <f t="shared" ca="1" si="313"/>
        <v>0</v>
      </c>
      <c r="J4340" s="21" t="str">
        <f ca="1">IF(I4340=0,"",COUNTIF($I$2:I4340,"&gt;0"))</f>
        <v/>
      </c>
      <c r="K4340" s="21" t="str">
        <f t="shared" ca="1" si="316"/>
        <v/>
      </c>
    </row>
    <row r="4341" spans="1:11" s="18" customFormat="1" ht="14.25" x14ac:dyDescent="0.2">
      <c r="A4341" s="18" t="str">
        <f t="shared" si="315"/>
        <v>Eintrag 4340</v>
      </c>
      <c r="B4341" s="18">
        <v>100</v>
      </c>
      <c r="C4341" s="19">
        <v>100</v>
      </c>
      <c r="D4341" s="20">
        <v>10</v>
      </c>
      <c r="E4341" s="20">
        <v>10</v>
      </c>
      <c r="F4341" s="20">
        <v>10</v>
      </c>
      <c r="G4341" s="19">
        <f t="shared" si="317"/>
        <v>172</v>
      </c>
      <c r="H4341" s="22">
        <f t="shared" si="318"/>
        <v>4340</v>
      </c>
      <c r="I4341" s="21">
        <f t="shared" ca="1" si="313"/>
        <v>0</v>
      </c>
      <c r="J4341" s="21" t="str">
        <f ca="1">IF(I4341=0,"",COUNTIF($I$2:I4341,"&gt;0"))</f>
        <v/>
      </c>
      <c r="K4341" s="21" t="str">
        <f t="shared" ca="1" si="316"/>
        <v/>
      </c>
    </row>
    <row r="4342" spans="1:11" s="18" customFormat="1" ht="14.25" x14ac:dyDescent="0.2">
      <c r="A4342" s="18" t="str">
        <f t="shared" si="315"/>
        <v>Eintrag 4341</v>
      </c>
      <c r="B4342" s="18">
        <v>100</v>
      </c>
      <c r="C4342" s="19">
        <v>100</v>
      </c>
      <c r="D4342" s="20">
        <v>10</v>
      </c>
      <c r="E4342" s="20">
        <v>10</v>
      </c>
      <c r="F4342" s="20">
        <v>10</v>
      </c>
      <c r="G4342" s="19">
        <f t="shared" si="317"/>
        <v>172</v>
      </c>
      <c r="H4342" s="22">
        <f t="shared" si="318"/>
        <v>4341</v>
      </c>
      <c r="I4342" s="21">
        <f t="shared" ca="1" si="313"/>
        <v>0</v>
      </c>
      <c r="J4342" s="21" t="str">
        <f ca="1">IF(I4342=0,"",COUNTIF($I$2:I4342,"&gt;0"))</f>
        <v/>
      </c>
      <c r="K4342" s="21" t="str">
        <f t="shared" ca="1" si="316"/>
        <v/>
      </c>
    </row>
    <row r="4343" spans="1:11" s="18" customFormat="1" ht="14.25" x14ac:dyDescent="0.2">
      <c r="A4343" s="18" t="str">
        <f t="shared" si="315"/>
        <v>Eintrag 4342</v>
      </c>
      <c r="B4343" s="18">
        <v>100</v>
      </c>
      <c r="C4343" s="19">
        <v>100</v>
      </c>
      <c r="D4343" s="20">
        <v>10</v>
      </c>
      <c r="E4343" s="20">
        <v>10</v>
      </c>
      <c r="F4343" s="20">
        <v>10</v>
      </c>
      <c r="G4343" s="19">
        <f t="shared" si="317"/>
        <v>172</v>
      </c>
      <c r="H4343" s="22">
        <f t="shared" si="318"/>
        <v>4342</v>
      </c>
      <c r="I4343" s="21">
        <f t="shared" ca="1" si="313"/>
        <v>0</v>
      </c>
      <c r="J4343" s="21" t="str">
        <f ca="1">IF(I4343=0,"",COUNTIF($I$2:I4343,"&gt;0"))</f>
        <v/>
      </c>
      <c r="K4343" s="21" t="str">
        <f t="shared" ca="1" si="316"/>
        <v/>
      </c>
    </row>
    <row r="4344" spans="1:11" s="18" customFormat="1" ht="14.25" x14ac:dyDescent="0.2">
      <c r="A4344" s="18" t="str">
        <f t="shared" si="315"/>
        <v>Eintrag 4343</v>
      </c>
      <c r="B4344" s="18">
        <v>100</v>
      </c>
      <c r="C4344" s="19">
        <v>100</v>
      </c>
      <c r="D4344" s="20">
        <v>10</v>
      </c>
      <c r="E4344" s="20">
        <v>10</v>
      </c>
      <c r="F4344" s="20">
        <v>10</v>
      </c>
      <c r="G4344" s="19">
        <f t="shared" si="317"/>
        <v>172</v>
      </c>
      <c r="H4344" s="22">
        <f t="shared" si="318"/>
        <v>4343</v>
      </c>
      <c r="I4344" s="21">
        <f t="shared" ca="1" si="313"/>
        <v>0</v>
      </c>
      <c r="J4344" s="21" t="str">
        <f ca="1">IF(I4344=0,"",COUNTIF($I$2:I4344,"&gt;0"))</f>
        <v/>
      </c>
      <c r="K4344" s="21" t="str">
        <f t="shared" ca="1" si="316"/>
        <v/>
      </c>
    </row>
    <row r="4345" spans="1:11" s="18" customFormat="1" ht="14.25" x14ac:dyDescent="0.2">
      <c r="A4345" s="18" t="str">
        <f t="shared" si="315"/>
        <v>Eintrag 4344</v>
      </c>
      <c r="B4345" s="18">
        <v>100</v>
      </c>
      <c r="C4345" s="19">
        <v>100</v>
      </c>
      <c r="D4345" s="20">
        <v>10</v>
      </c>
      <c r="E4345" s="20">
        <v>10</v>
      </c>
      <c r="F4345" s="20">
        <v>10</v>
      </c>
      <c r="G4345" s="19">
        <f t="shared" si="317"/>
        <v>172</v>
      </c>
      <c r="H4345" s="22">
        <f t="shared" si="318"/>
        <v>4344</v>
      </c>
      <c r="I4345" s="21">
        <f t="shared" ca="1" si="313"/>
        <v>0</v>
      </c>
      <c r="J4345" s="21" t="str">
        <f ca="1">IF(I4345=0,"",COUNTIF($I$2:I4345,"&gt;0"))</f>
        <v/>
      </c>
      <c r="K4345" s="21" t="str">
        <f t="shared" ca="1" si="316"/>
        <v/>
      </c>
    </row>
    <row r="4346" spans="1:11" s="18" customFormat="1" ht="14.25" x14ac:dyDescent="0.2">
      <c r="A4346" s="18" t="str">
        <f t="shared" si="315"/>
        <v>Eintrag 4345</v>
      </c>
      <c r="B4346" s="18">
        <v>100</v>
      </c>
      <c r="C4346" s="19">
        <v>100</v>
      </c>
      <c r="D4346" s="20">
        <v>10</v>
      </c>
      <c r="E4346" s="20">
        <v>10</v>
      </c>
      <c r="F4346" s="20">
        <v>10</v>
      </c>
      <c r="G4346" s="19">
        <f t="shared" si="317"/>
        <v>172</v>
      </c>
      <c r="H4346" s="22">
        <f t="shared" si="318"/>
        <v>4345</v>
      </c>
      <c r="I4346" s="21">
        <f t="shared" ca="1" si="313"/>
        <v>0</v>
      </c>
      <c r="J4346" s="21" t="str">
        <f ca="1">IF(I4346=0,"",COUNTIF($I$2:I4346,"&gt;0"))</f>
        <v/>
      </c>
      <c r="K4346" s="21" t="str">
        <f t="shared" ca="1" si="316"/>
        <v/>
      </c>
    </row>
    <row r="4347" spans="1:11" s="18" customFormat="1" ht="14.25" x14ac:dyDescent="0.2">
      <c r="A4347" s="18" t="str">
        <f t="shared" si="315"/>
        <v>Eintrag 4346</v>
      </c>
      <c r="B4347" s="18">
        <v>100</v>
      </c>
      <c r="C4347" s="19">
        <v>100</v>
      </c>
      <c r="D4347" s="20">
        <v>10</v>
      </c>
      <c r="E4347" s="20">
        <v>10</v>
      </c>
      <c r="F4347" s="20">
        <v>10</v>
      </c>
      <c r="G4347" s="19">
        <f t="shared" si="317"/>
        <v>172</v>
      </c>
      <c r="H4347" s="22">
        <f t="shared" si="318"/>
        <v>4346</v>
      </c>
      <c r="I4347" s="21">
        <f t="shared" ca="1" si="313"/>
        <v>0</v>
      </c>
      <c r="J4347" s="21" t="str">
        <f ca="1">IF(I4347=0,"",COUNTIF($I$2:I4347,"&gt;0"))</f>
        <v/>
      </c>
      <c r="K4347" s="21" t="str">
        <f t="shared" ca="1" si="316"/>
        <v/>
      </c>
    </row>
    <row r="4348" spans="1:11" s="18" customFormat="1" ht="14.25" x14ac:dyDescent="0.2">
      <c r="A4348" s="18" t="str">
        <f t="shared" si="315"/>
        <v>Eintrag 4347</v>
      </c>
      <c r="B4348" s="18">
        <v>100</v>
      </c>
      <c r="C4348" s="19">
        <v>100</v>
      </c>
      <c r="D4348" s="20">
        <v>10</v>
      </c>
      <c r="E4348" s="20">
        <v>10</v>
      </c>
      <c r="F4348" s="20">
        <v>10</v>
      </c>
      <c r="G4348" s="19">
        <f t="shared" si="317"/>
        <v>172</v>
      </c>
      <c r="H4348" s="22">
        <f t="shared" si="318"/>
        <v>4347</v>
      </c>
      <c r="I4348" s="21">
        <f t="shared" ca="1" si="313"/>
        <v>0</v>
      </c>
      <c r="J4348" s="21" t="str">
        <f ca="1">IF(I4348=0,"",COUNTIF($I$2:I4348,"&gt;0"))</f>
        <v/>
      </c>
      <c r="K4348" s="21" t="str">
        <f t="shared" ca="1" si="316"/>
        <v/>
      </c>
    </row>
    <row r="4349" spans="1:11" s="18" customFormat="1" ht="14.25" x14ac:dyDescent="0.2">
      <c r="A4349" s="18" t="str">
        <f t="shared" si="315"/>
        <v>Eintrag 4348</v>
      </c>
      <c r="B4349" s="18">
        <v>100</v>
      </c>
      <c r="C4349" s="19">
        <v>100</v>
      </c>
      <c r="D4349" s="20">
        <v>10</v>
      </c>
      <c r="E4349" s="20">
        <v>10</v>
      </c>
      <c r="F4349" s="20">
        <v>10</v>
      </c>
      <c r="G4349" s="19">
        <f t="shared" si="317"/>
        <v>172</v>
      </c>
      <c r="H4349" s="22">
        <f t="shared" si="318"/>
        <v>4348</v>
      </c>
      <c r="I4349" s="21">
        <f t="shared" ca="1" si="313"/>
        <v>0</v>
      </c>
      <c r="J4349" s="21" t="str">
        <f ca="1">IF(I4349=0,"",COUNTIF($I$2:I4349,"&gt;0"))</f>
        <v/>
      </c>
      <c r="K4349" s="21" t="str">
        <f t="shared" ca="1" si="316"/>
        <v/>
      </c>
    </row>
    <row r="4350" spans="1:11" s="18" customFormat="1" ht="14.25" x14ac:dyDescent="0.2">
      <c r="A4350" s="18" t="str">
        <f t="shared" si="315"/>
        <v>Eintrag 4349</v>
      </c>
      <c r="B4350" s="18">
        <v>100</v>
      </c>
      <c r="C4350" s="19">
        <v>100</v>
      </c>
      <c r="D4350" s="20">
        <v>10</v>
      </c>
      <c r="E4350" s="20">
        <v>10</v>
      </c>
      <c r="F4350" s="20">
        <v>10</v>
      </c>
      <c r="G4350" s="19">
        <f t="shared" si="317"/>
        <v>172</v>
      </c>
      <c r="H4350" s="22">
        <f t="shared" si="318"/>
        <v>4349</v>
      </c>
      <c r="I4350" s="21">
        <f t="shared" ca="1" si="313"/>
        <v>0</v>
      </c>
      <c r="J4350" s="21" t="str">
        <f ca="1">IF(I4350=0,"",COUNTIF($I$2:I4350,"&gt;0"))</f>
        <v/>
      </c>
      <c r="K4350" s="21" t="str">
        <f t="shared" ca="1" si="316"/>
        <v/>
      </c>
    </row>
    <row r="4351" spans="1:11" s="18" customFormat="1" ht="14.25" x14ac:dyDescent="0.2">
      <c r="A4351" s="18" t="str">
        <f t="shared" si="315"/>
        <v>Eintrag 4350</v>
      </c>
      <c r="B4351" s="18">
        <v>100</v>
      </c>
      <c r="C4351" s="19">
        <v>100</v>
      </c>
      <c r="D4351" s="20">
        <v>10</v>
      </c>
      <c r="E4351" s="20">
        <v>10</v>
      </c>
      <c r="F4351" s="20">
        <v>10</v>
      </c>
      <c r="G4351" s="19">
        <f t="shared" si="317"/>
        <v>172</v>
      </c>
      <c r="H4351" s="22">
        <f t="shared" si="318"/>
        <v>4350</v>
      </c>
      <c r="I4351" s="21">
        <f t="shared" ca="1" si="313"/>
        <v>0</v>
      </c>
      <c r="J4351" s="21" t="str">
        <f ca="1">IF(I4351=0,"",COUNTIF($I$2:I4351,"&gt;0"))</f>
        <v/>
      </c>
      <c r="K4351" s="21" t="str">
        <f t="shared" ca="1" si="316"/>
        <v/>
      </c>
    </row>
    <row r="4352" spans="1:11" s="18" customFormat="1" ht="14.25" x14ac:dyDescent="0.2">
      <c r="A4352" s="18" t="str">
        <f t="shared" si="315"/>
        <v>Eintrag 4351</v>
      </c>
      <c r="B4352" s="18">
        <v>100</v>
      </c>
      <c r="C4352" s="19">
        <v>100</v>
      </c>
      <c r="D4352" s="20">
        <v>10</v>
      </c>
      <c r="E4352" s="20">
        <v>10</v>
      </c>
      <c r="F4352" s="20">
        <v>10</v>
      </c>
      <c r="G4352" s="19">
        <f t="shared" si="317"/>
        <v>172</v>
      </c>
      <c r="H4352" s="22">
        <f t="shared" si="318"/>
        <v>4351</v>
      </c>
      <c r="I4352" s="21">
        <f t="shared" ca="1" si="313"/>
        <v>0</v>
      </c>
      <c r="J4352" s="21" t="str">
        <f ca="1">IF(I4352=0,"",COUNTIF($I$2:I4352,"&gt;0"))</f>
        <v/>
      </c>
      <c r="K4352" s="21" t="str">
        <f t="shared" ca="1" si="316"/>
        <v/>
      </c>
    </row>
    <row r="4353" spans="1:11" s="18" customFormat="1" ht="14.25" x14ac:dyDescent="0.2">
      <c r="A4353" s="18" t="str">
        <f t="shared" si="315"/>
        <v>Eintrag 4352</v>
      </c>
      <c r="B4353" s="18">
        <v>100</v>
      </c>
      <c r="C4353" s="19">
        <v>100</v>
      </c>
      <c r="D4353" s="20">
        <v>10</v>
      </c>
      <c r="E4353" s="20">
        <v>10</v>
      </c>
      <c r="F4353" s="20">
        <v>10</v>
      </c>
      <c r="G4353" s="19">
        <f t="shared" si="317"/>
        <v>172</v>
      </c>
      <c r="H4353" s="22">
        <f t="shared" si="318"/>
        <v>4352</v>
      </c>
      <c r="I4353" s="21">
        <f t="shared" ca="1" si="313"/>
        <v>0</v>
      </c>
      <c r="J4353" s="21" t="str">
        <f ca="1">IF(I4353=0,"",COUNTIF($I$2:I4353,"&gt;0"))</f>
        <v/>
      </c>
      <c r="K4353" s="21" t="str">
        <f t="shared" ca="1" si="316"/>
        <v/>
      </c>
    </row>
    <row r="4354" spans="1:11" s="18" customFormat="1" ht="14.25" x14ac:dyDescent="0.2">
      <c r="A4354" s="18" t="str">
        <f t="shared" si="315"/>
        <v>Eintrag 4353</v>
      </c>
      <c r="B4354" s="18">
        <v>100</v>
      </c>
      <c r="C4354" s="19">
        <v>100</v>
      </c>
      <c r="D4354" s="20">
        <v>10</v>
      </c>
      <c r="E4354" s="20">
        <v>10</v>
      </c>
      <c r="F4354" s="20">
        <v>10</v>
      </c>
      <c r="G4354" s="19">
        <f t="shared" si="317"/>
        <v>172</v>
      </c>
      <c r="H4354" s="22">
        <f t="shared" si="318"/>
        <v>4353</v>
      </c>
      <c r="I4354" s="21">
        <f t="shared" ca="1" si="313"/>
        <v>0</v>
      </c>
      <c r="J4354" s="21" t="str">
        <f ca="1">IF(I4354=0,"",COUNTIF($I$2:I4354,"&gt;0"))</f>
        <v/>
      </c>
      <c r="K4354" s="21" t="str">
        <f t="shared" ref="K4354:K4417" ca="1" si="319">IFERROR(INDEX(A:A,MATCH(ROW(I4353),J:J,0)),"")</f>
        <v/>
      </c>
    </row>
    <row r="4355" spans="1:11" s="18" customFormat="1" ht="14.25" x14ac:dyDescent="0.2">
      <c r="A4355" s="18" t="str">
        <f t="shared" si="315"/>
        <v>Eintrag 4354</v>
      </c>
      <c r="B4355" s="18">
        <v>100</v>
      </c>
      <c r="C4355" s="19">
        <v>100</v>
      </c>
      <c r="D4355" s="20">
        <v>10</v>
      </c>
      <c r="E4355" s="20">
        <v>10</v>
      </c>
      <c r="F4355" s="20">
        <v>10</v>
      </c>
      <c r="G4355" s="19">
        <f t="shared" ref="G4355:G4418" si="320">D4355*9+E4355*4.1+F4355*4.1</f>
        <v>172</v>
      </c>
      <c r="H4355" s="22">
        <f t="shared" si="318"/>
        <v>4354</v>
      </c>
      <c r="I4355" s="21">
        <f t="shared" ca="1" si="313"/>
        <v>0</v>
      </c>
      <c r="J4355" s="21" t="str">
        <f ca="1">IF(I4355=0,"",COUNTIF($I$2:I4355,"&gt;0"))</f>
        <v/>
      </c>
      <c r="K4355" s="21" t="str">
        <f t="shared" ca="1" si="319"/>
        <v/>
      </c>
    </row>
    <row r="4356" spans="1:11" s="18" customFormat="1" ht="14.25" x14ac:dyDescent="0.2">
      <c r="A4356" s="18" t="str">
        <f t="shared" si="315"/>
        <v>Eintrag 4355</v>
      </c>
      <c r="B4356" s="18">
        <v>100</v>
      </c>
      <c r="C4356" s="19">
        <v>100</v>
      </c>
      <c r="D4356" s="20">
        <v>10</v>
      </c>
      <c r="E4356" s="20">
        <v>10</v>
      </c>
      <c r="F4356" s="20">
        <v>10</v>
      </c>
      <c r="G4356" s="19">
        <f t="shared" si="320"/>
        <v>172</v>
      </c>
      <c r="H4356" s="22">
        <f t="shared" si="318"/>
        <v>4355</v>
      </c>
      <c r="I4356" s="21">
        <f t="shared" ca="1" si="313"/>
        <v>0</v>
      </c>
      <c r="J4356" s="21" t="str">
        <f ca="1">IF(I4356=0,"",COUNTIF($I$2:I4356,"&gt;0"))</f>
        <v/>
      </c>
      <c r="K4356" s="21" t="str">
        <f t="shared" ca="1" si="319"/>
        <v/>
      </c>
    </row>
    <row r="4357" spans="1:11" s="18" customFormat="1" ht="14.25" x14ac:dyDescent="0.2">
      <c r="A4357" s="18" t="str">
        <f t="shared" si="315"/>
        <v>Eintrag 4356</v>
      </c>
      <c r="B4357" s="18">
        <v>100</v>
      </c>
      <c r="C4357" s="19">
        <v>100</v>
      </c>
      <c r="D4357" s="20">
        <v>10</v>
      </c>
      <c r="E4357" s="20">
        <v>10</v>
      </c>
      <c r="F4357" s="20">
        <v>10</v>
      </c>
      <c r="G4357" s="19">
        <f t="shared" si="320"/>
        <v>172</v>
      </c>
      <c r="H4357" s="22">
        <f t="shared" si="318"/>
        <v>4356</v>
      </c>
      <c r="I4357" s="21">
        <f t="shared" ca="1" si="313"/>
        <v>0</v>
      </c>
      <c r="J4357" s="21" t="str">
        <f ca="1">IF(I4357=0,"",COUNTIF($I$2:I4357,"&gt;0"))</f>
        <v/>
      </c>
      <c r="K4357" s="21" t="str">
        <f t="shared" ca="1" si="319"/>
        <v/>
      </c>
    </row>
    <row r="4358" spans="1:11" s="18" customFormat="1" ht="14.25" x14ac:dyDescent="0.2">
      <c r="A4358" s="18" t="str">
        <f t="shared" si="315"/>
        <v>Eintrag 4357</v>
      </c>
      <c r="B4358" s="18">
        <v>100</v>
      </c>
      <c r="C4358" s="19">
        <v>100</v>
      </c>
      <c r="D4358" s="20">
        <v>10</v>
      </c>
      <c r="E4358" s="20">
        <v>10</v>
      </c>
      <c r="F4358" s="20">
        <v>10</v>
      </c>
      <c r="G4358" s="19">
        <f t="shared" si="320"/>
        <v>172</v>
      </c>
      <c r="H4358" s="22">
        <f t="shared" si="318"/>
        <v>4357</v>
      </c>
      <c r="I4358" s="21">
        <f t="shared" ca="1" si="313"/>
        <v>0</v>
      </c>
      <c r="J4358" s="21" t="str">
        <f ca="1">IF(I4358=0,"",COUNTIF($I$2:I4358,"&gt;0"))</f>
        <v/>
      </c>
      <c r="K4358" s="21" t="str">
        <f t="shared" ca="1" si="319"/>
        <v/>
      </c>
    </row>
    <row r="4359" spans="1:11" s="18" customFormat="1" ht="14.25" x14ac:dyDescent="0.2">
      <c r="A4359" s="18" t="str">
        <f t="shared" si="315"/>
        <v>Eintrag 4358</v>
      </c>
      <c r="B4359" s="18">
        <v>100</v>
      </c>
      <c r="C4359" s="19">
        <v>100</v>
      </c>
      <c r="D4359" s="20">
        <v>10</v>
      </c>
      <c r="E4359" s="20">
        <v>10</v>
      </c>
      <c r="F4359" s="20">
        <v>10</v>
      </c>
      <c r="G4359" s="19">
        <f t="shared" si="320"/>
        <v>172</v>
      </c>
      <c r="H4359" s="22">
        <f t="shared" si="318"/>
        <v>4358</v>
      </c>
      <c r="I4359" s="21">
        <f t="shared" ca="1" si="313"/>
        <v>0</v>
      </c>
      <c r="J4359" s="21" t="str">
        <f ca="1">IF(I4359=0,"",COUNTIF($I$2:I4359,"&gt;0"))</f>
        <v/>
      </c>
      <c r="K4359" s="21" t="str">
        <f t="shared" ca="1" si="319"/>
        <v/>
      </c>
    </row>
    <row r="4360" spans="1:11" s="18" customFormat="1" ht="14.25" x14ac:dyDescent="0.2">
      <c r="A4360" s="18" t="str">
        <f t="shared" si="315"/>
        <v>Eintrag 4359</v>
      </c>
      <c r="B4360" s="18">
        <v>100</v>
      </c>
      <c r="C4360" s="19">
        <v>100</v>
      </c>
      <c r="D4360" s="20">
        <v>10</v>
      </c>
      <c r="E4360" s="20">
        <v>10</v>
      </c>
      <c r="F4360" s="20">
        <v>10</v>
      </c>
      <c r="G4360" s="19">
        <f t="shared" si="320"/>
        <v>172</v>
      </c>
      <c r="H4360" s="22">
        <f t="shared" si="318"/>
        <v>4359</v>
      </c>
      <c r="I4360" s="21">
        <f t="shared" ca="1" si="313"/>
        <v>0</v>
      </c>
      <c r="J4360" s="21" t="str">
        <f ca="1">IF(I4360=0,"",COUNTIF($I$2:I4360,"&gt;0"))</f>
        <v/>
      </c>
      <c r="K4360" s="21" t="str">
        <f t="shared" ca="1" si="319"/>
        <v/>
      </c>
    </row>
    <row r="4361" spans="1:11" s="18" customFormat="1" ht="14.25" x14ac:dyDescent="0.2">
      <c r="A4361" s="18" t="str">
        <f t="shared" si="315"/>
        <v>Eintrag 4360</v>
      </c>
      <c r="B4361" s="18">
        <v>100</v>
      </c>
      <c r="C4361" s="19">
        <v>100</v>
      </c>
      <c r="D4361" s="20">
        <v>10</v>
      </c>
      <c r="E4361" s="20">
        <v>10</v>
      </c>
      <c r="F4361" s="20">
        <v>10</v>
      </c>
      <c r="G4361" s="19">
        <f t="shared" si="320"/>
        <v>172</v>
      </c>
      <c r="H4361" s="22">
        <f t="shared" si="318"/>
        <v>4360</v>
      </c>
      <c r="I4361" s="21">
        <f t="shared" ca="1" si="313"/>
        <v>0</v>
      </c>
      <c r="J4361" s="21" t="str">
        <f ca="1">IF(I4361=0,"",COUNTIF($I$2:I4361,"&gt;0"))</f>
        <v/>
      </c>
      <c r="K4361" s="21" t="str">
        <f t="shared" ca="1" si="319"/>
        <v/>
      </c>
    </row>
    <row r="4362" spans="1:11" s="18" customFormat="1" ht="14.25" x14ac:dyDescent="0.2">
      <c r="A4362" s="18" t="str">
        <f t="shared" si="315"/>
        <v>Eintrag 4361</v>
      </c>
      <c r="B4362" s="18">
        <v>100</v>
      </c>
      <c r="C4362" s="19">
        <v>100</v>
      </c>
      <c r="D4362" s="20">
        <v>10</v>
      </c>
      <c r="E4362" s="20">
        <v>10</v>
      </c>
      <c r="F4362" s="20">
        <v>10</v>
      </c>
      <c r="G4362" s="19">
        <f t="shared" si="320"/>
        <v>172</v>
      </c>
      <c r="H4362" s="22">
        <f t="shared" si="318"/>
        <v>4361</v>
      </c>
      <c r="I4362" s="21">
        <f t="shared" ca="1" si="313"/>
        <v>0</v>
      </c>
      <c r="J4362" s="21" t="str">
        <f ca="1">IF(I4362=0,"",COUNTIF($I$2:I4362,"&gt;0"))</f>
        <v/>
      </c>
      <c r="K4362" s="21" t="str">
        <f t="shared" ca="1" si="319"/>
        <v/>
      </c>
    </row>
    <row r="4363" spans="1:11" s="18" customFormat="1" ht="14.25" x14ac:dyDescent="0.2">
      <c r="A4363" s="18" t="str">
        <f t="shared" si="315"/>
        <v>Eintrag 4362</v>
      </c>
      <c r="B4363" s="18">
        <v>100</v>
      </c>
      <c r="C4363" s="19">
        <v>100</v>
      </c>
      <c r="D4363" s="20">
        <v>10</v>
      </c>
      <c r="E4363" s="20">
        <v>10</v>
      </c>
      <c r="F4363" s="20">
        <v>10</v>
      </c>
      <c r="G4363" s="19">
        <f t="shared" si="320"/>
        <v>172</v>
      </c>
      <c r="H4363" s="22">
        <f t="shared" si="318"/>
        <v>4362</v>
      </c>
      <c r="I4363" s="21">
        <f t="shared" ca="1" si="313"/>
        <v>0</v>
      </c>
      <c r="J4363" s="21" t="str">
        <f ca="1">IF(I4363=0,"",COUNTIF($I$2:I4363,"&gt;0"))</f>
        <v/>
      </c>
      <c r="K4363" s="21" t="str">
        <f t="shared" ca="1" si="319"/>
        <v/>
      </c>
    </row>
    <row r="4364" spans="1:11" s="18" customFormat="1" ht="14.25" x14ac:dyDescent="0.2">
      <c r="A4364" s="18" t="str">
        <f t="shared" si="315"/>
        <v>Eintrag 4363</v>
      </c>
      <c r="B4364" s="18">
        <v>100</v>
      </c>
      <c r="C4364" s="19">
        <v>100</v>
      </c>
      <c r="D4364" s="20">
        <v>10</v>
      </c>
      <c r="E4364" s="20">
        <v>10</v>
      </c>
      <c r="F4364" s="20">
        <v>10</v>
      </c>
      <c r="G4364" s="19">
        <f t="shared" si="320"/>
        <v>172</v>
      </c>
      <c r="H4364" s="22">
        <f t="shared" si="318"/>
        <v>4363</v>
      </c>
      <c r="I4364" s="21">
        <f t="shared" ca="1" si="313"/>
        <v>0</v>
      </c>
      <c r="J4364" s="21" t="str">
        <f ca="1">IF(I4364=0,"",COUNTIF($I$2:I4364,"&gt;0"))</f>
        <v/>
      </c>
      <c r="K4364" s="21" t="str">
        <f t="shared" ca="1" si="319"/>
        <v/>
      </c>
    </row>
    <row r="4365" spans="1:11" s="18" customFormat="1" ht="14.25" x14ac:dyDescent="0.2">
      <c r="A4365" s="18" t="str">
        <f t="shared" si="315"/>
        <v>Eintrag 4364</v>
      </c>
      <c r="B4365" s="18">
        <v>100</v>
      </c>
      <c r="C4365" s="19">
        <v>100</v>
      </c>
      <c r="D4365" s="20">
        <v>10</v>
      </c>
      <c r="E4365" s="20">
        <v>10</v>
      </c>
      <c r="F4365" s="20">
        <v>10</v>
      </c>
      <c r="G4365" s="19">
        <f t="shared" si="320"/>
        <v>172</v>
      </c>
      <c r="H4365" s="22">
        <f t="shared" si="318"/>
        <v>4364</v>
      </c>
      <c r="I4365" s="21">
        <f t="shared" ca="1" si="313"/>
        <v>0</v>
      </c>
      <c r="J4365" s="21" t="str">
        <f ca="1">IF(I4365=0,"",COUNTIF($I$2:I4365,"&gt;0"))</f>
        <v/>
      </c>
      <c r="K4365" s="21" t="str">
        <f t="shared" ca="1" si="319"/>
        <v/>
      </c>
    </row>
    <row r="4366" spans="1:11" s="18" customFormat="1" ht="14.25" x14ac:dyDescent="0.2">
      <c r="A4366" s="18" t="str">
        <f t="shared" si="315"/>
        <v>Eintrag 4365</v>
      </c>
      <c r="B4366" s="18">
        <v>100</v>
      </c>
      <c r="C4366" s="19">
        <v>100</v>
      </c>
      <c r="D4366" s="20">
        <v>10</v>
      </c>
      <c r="E4366" s="20">
        <v>10</v>
      </c>
      <c r="F4366" s="20">
        <v>10</v>
      </c>
      <c r="G4366" s="19">
        <f t="shared" si="320"/>
        <v>172</v>
      </c>
      <c r="H4366" s="22">
        <f t="shared" si="318"/>
        <v>4365</v>
      </c>
      <c r="I4366" s="21">
        <f t="shared" ca="1" si="313"/>
        <v>0</v>
      </c>
      <c r="J4366" s="21" t="str">
        <f ca="1">IF(I4366=0,"",COUNTIF($I$2:I4366,"&gt;0"))</f>
        <v/>
      </c>
      <c r="K4366" s="21" t="str">
        <f t="shared" ca="1" si="319"/>
        <v/>
      </c>
    </row>
    <row r="4367" spans="1:11" s="18" customFormat="1" ht="14.25" x14ac:dyDescent="0.2">
      <c r="A4367" s="18" t="str">
        <f t="shared" si="315"/>
        <v>Eintrag 4366</v>
      </c>
      <c r="B4367" s="18">
        <v>100</v>
      </c>
      <c r="C4367" s="19">
        <v>100</v>
      </c>
      <c r="D4367" s="20">
        <v>10</v>
      </c>
      <c r="E4367" s="20">
        <v>10</v>
      </c>
      <c r="F4367" s="20">
        <v>10</v>
      </c>
      <c r="G4367" s="19">
        <f t="shared" si="320"/>
        <v>172</v>
      </c>
      <c r="H4367" s="22">
        <f t="shared" si="318"/>
        <v>4366</v>
      </c>
      <c r="I4367" s="21">
        <f t="shared" ca="1" si="313"/>
        <v>0</v>
      </c>
      <c r="J4367" s="21" t="str">
        <f ca="1">IF(I4367=0,"",COUNTIF($I$2:I4367,"&gt;0"))</f>
        <v/>
      </c>
      <c r="K4367" s="21" t="str">
        <f t="shared" ca="1" si="319"/>
        <v/>
      </c>
    </row>
    <row r="4368" spans="1:11" s="18" customFormat="1" ht="14.25" x14ac:dyDescent="0.2">
      <c r="A4368" s="18" t="str">
        <f t="shared" si="315"/>
        <v>Eintrag 4367</v>
      </c>
      <c r="B4368" s="18">
        <v>100</v>
      </c>
      <c r="C4368" s="19">
        <v>100</v>
      </c>
      <c r="D4368" s="20">
        <v>10</v>
      </c>
      <c r="E4368" s="20">
        <v>10</v>
      </c>
      <c r="F4368" s="20">
        <v>10</v>
      </c>
      <c r="G4368" s="19">
        <f t="shared" si="320"/>
        <v>172</v>
      </c>
      <c r="H4368" s="22">
        <f t="shared" si="318"/>
        <v>4367</v>
      </c>
      <c r="I4368" s="21">
        <f t="shared" ca="1" si="313"/>
        <v>0</v>
      </c>
      <c r="J4368" s="21" t="str">
        <f ca="1">IF(I4368=0,"",COUNTIF($I$2:I4368,"&gt;0"))</f>
        <v/>
      </c>
      <c r="K4368" s="21" t="str">
        <f t="shared" ca="1" si="319"/>
        <v/>
      </c>
    </row>
    <row r="4369" spans="1:11" s="18" customFormat="1" ht="14.25" x14ac:dyDescent="0.2">
      <c r="A4369" s="18" t="str">
        <f t="shared" si="315"/>
        <v>Eintrag 4368</v>
      </c>
      <c r="B4369" s="18">
        <v>100</v>
      </c>
      <c r="C4369" s="19">
        <v>100</v>
      </c>
      <c r="D4369" s="20">
        <v>10</v>
      </c>
      <c r="E4369" s="20">
        <v>10</v>
      </c>
      <c r="F4369" s="20">
        <v>10</v>
      </c>
      <c r="G4369" s="19">
        <f t="shared" si="320"/>
        <v>172</v>
      </c>
      <c r="H4369" s="22">
        <f t="shared" si="318"/>
        <v>4368</v>
      </c>
      <c r="I4369" s="21">
        <f t="shared" ca="1" si="313"/>
        <v>0</v>
      </c>
      <c r="J4369" s="21" t="str">
        <f ca="1">IF(I4369=0,"",COUNTIF($I$2:I4369,"&gt;0"))</f>
        <v/>
      </c>
      <c r="K4369" s="21" t="str">
        <f t="shared" ca="1" si="319"/>
        <v/>
      </c>
    </row>
    <row r="4370" spans="1:11" s="18" customFormat="1" ht="14.25" x14ac:dyDescent="0.2">
      <c r="A4370" s="18" t="str">
        <f t="shared" si="315"/>
        <v>Eintrag 4369</v>
      </c>
      <c r="B4370" s="18">
        <v>100</v>
      </c>
      <c r="C4370" s="19">
        <v>100</v>
      </c>
      <c r="D4370" s="20">
        <v>10</v>
      </c>
      <c r="E4370" s="20">
        <v>10</v>
      </c>
      <c r="F4370" s="20">
        <v>10</v>
      </c>
      <c r="G4370" s="19">
        <f t="shared" si="320"/>
        <v>172</v>
      </c>
      <c r="H4370" s="22">
        <f t="shared" si="318"/>
        <v>4369</v>
      </c>
      <c r="I4370" s="21">
        <f t="shared" ca="1" si="313"/>
        <v>0</v>
      </c>
      <c r="J4370" s="21" t="str">
        <f ca="1">IF(I4370=0,"",COUNTIF($I$2:I4370,"&gt;0"))</f>
        <v/>
      </c>
      <c r="K4370" s="21" t="str">
        <f t="shared" ca="1" si="319"/>
        <v/>
      </c>
    </row>
    <row r="4371" spans="1:11" s="18" customFormat="1" ht="14.25" x14ac:dyDescent="0.2">
      <c r="A4371" s="18" t="str">
        <f t="shared" si="315"/>
        <v>Eintrag 4370</v>
      </c>
      <c r="B4371" s="18">
        <v>100</v>
      </c>
      <c r="C4371" s="19">
        <v>100</v>
      </c>
      <c r="D4371" s="20">
        <v>10</v>
      </c>
      <c r="E4371" s="20">
        <v>10</v>
      </c>
      <c r="F4371" s="20">
        <v>10</v>
      </c>
      <c r="G4371" s="19">
        <f t="shared" si="320"/>
        <v>172</v>
      </c>
      <c r="H4371" s="22">
        <f t="shared" si="318"/>
        <v>4370</v>
      </c>
      <c r="I4371" s="21">
        <f t="shared" ca="1" si="313"/>
        <v>0</v>
      </c>
      <c r="J4371" s="21" t="str">
        <f ca="1">IF(I4371=0,"",COUNTIF($I$2:I4371,"&gt;0"))</f>
        <v/>
      </c>
      <c r="K4371" s="21" t="str">
        <f t="shared" ca="1" si="319"/>
        <v/>
      </c>
    </row>
    <row r="4372" spans="1:11" s="18" customFormat="1" ht="14.25" x14ac:dyDescent="0.2">
      <c r="A4372" s="18" t="str">
        <f t="shared" si="315"/>
        <v>Eintrag 4371</v>
      </c>
      <c r="B4372" s="18">
        <v>100</v>
      </c>
      <c r="C4372" s="19">
        <v>100</v>
      </c>
      <c r="D4372" s="20">
        <v>10</v>
      </c>
      <c r="E4372" s="20">
        <v>10</v>
      </c>
      <c r="F4372" s="20">
        <v>10</v>
      </c>
      <c r="G4372" s="19">
        <f t="shared" si="320"/>
        <v>172</v>
      </c>
      <c r="H4372" s="22">
        <f t="shared" si="318"/>
        <v>4371</v>
      </c>
      <c r="I4372" s="21">
        <f t="shared" ca="1" si="313"/>
        <v>0</v>
      </c>
      <c r="J4372" s="21" t="str">
        <f ca="1">IF(I4372=0,"",COUNTIF($I$2:I4372,"&gt;0"))</f>
        <v/>
      </c>
      <c r="K4372" s="21" t="str">
        <f t="shared" ca="1" si="319"/>
        <v/>
      </c>
    </row>
    <row r="4373" spans="1:11" s="18" customFormat="1" ht="14.25" x14ac:dyDescent="0.2">
      <c r="A4373" s="18" t="str">
        <f t="shared" si="315"/>
        <v>Eintrag 4372</v>
      </c>
      <c r="B4373" s="18">
        <v>100</v>
      </c>
      <c r="C4373" s="19">
        <v>100</v>
      </c>
      <c r="D4373" s="20">
        <v>10</v>
      </c>
      <c r="E4373" s="20">
        <v>10</v>
      </c>
      <c r="F4373" s="20">
        <v>10</v>
      </c>
      <c r="G4373" s="19">
        <f t="shared" si="320"/>
        <v>172</v>
      </c>
      <c r="H4373" s="22">
        <f t="shared" si="318"/>
        <v>4372</v>
      </c>
      <c r="I4373" s="21">
        <f t="shared" ca="1" si="313"/>
        <v>0</v>
      </c>
      <c r="J4373" s="21" t="str">
        <f ca="1">IF(I4373=0,"",COUNTIF($I$2:I4373,"&gt;0"))</f>
        <v/>
      </c>
      <c r="K4373" s="21" t="str">
        <f t="shared" ca="1" si="319"/>
        <v/>
      </c>
    </row>
    <row r="4374" spans="1:11" s="18" customFormat="1" ht="14.25" x14ac:dyDescent="0.2">
      <c r="A4374" s="18" t="str">
        <f t="shared" si="315"/>
        <v>Eintrag 4373</v>
      </c>
      <c r="B4374" s="18">
        <v>100</v>
      </c>
      <c r="C4374" s="19">
        <v>100</v>
      </c>
      <c r="D4374" s="20">
        <v>10</v>
      </c>
      <c r="E4374" s="20">
        <v>10</v>
      </c>
      <c r="F4374" s="20">
        <v>10</v>
      </c>
      <c r="G4374" s="19">
        <f t="shared" si="320"/>
        <v>172</v>
      </c>
      <c r="H4374" s="22">
        <f t="shared" si="318"/>
        <v>4373</v>
      </c>
      <c r="I4374" s="21">
        <f t="shared" ca="1" si="313"/>
        <v>0</v>
      </c>
      <c r="J4374" s="21" t="str">
        <f ca="1">IF(I4374=0,"",COUNTIF($I$2:I4374,"&gt;0"))</f>
        <v/>
      </c>
      <c r="K4374" s="21" t="str">
        <f t="shared" ca="1" si="319"/>
        <v/>
      </c>
    </row>
    <row r="4375" spans="1:11" s="18" customFormat="1" ht="14.25" x14ac:dyDescent="0.2">
      <c r="A4375" s="18" t="str">
        <f t="shared" si="315"/>
        <v>Eintrag 4374</v>
      </c>
      <c r="B4375" s="18">
        <v>100</v>
      </c>
      <c r="C4375" s="19">
        <v>100</v>
      </c>
      <c r="D4375" s="20">
        <v>10</v>
      </c>
      <c r="E4375" s="20">
        <v>10</v>
      </c>
      <c r="F4375" s="20">
        <v>10</v>
      </c>
      <c r="G4375" s="19">
        <f t="shared" si="320"/>
        <v>172</v>
      </c>
      <c r="H4375" s="22">
        <f t="shared" si="318"/>
        <v>4374</v>
      </c>
      <c r="I4375" s="21">
        <f t="shared" ca="1" si="313"/>
        <v>0</v>
      </c>
      <c r="J4375" s="21" t="str">
        <f ca="1">IF(I4375=0,"",COUNTIF($I$2:I4375,"&gt;0"))</f>
        <v/>
      </c>
      <c r="K4375" s="21" t="str">
        <f t="shared" ca="1" si="319"/>
        <v/>
      </c>
    </row>
    <row r="4376" spans="1:11" s="18" customFormat="1" ht="14.25" x14ac:dyDescent="0.2">
      <c r="A4376" s="18" t="str">
        <f t="shared" si="315"/>
        <v>Eintrag 4375</v>
      </c>
      <c r="B4376" s="18">
        <v>100</v>
      </c>
      <c r="C4376" s="19">
        <v>100</v>
      </c>
      <c r="D4376" s="20">
        <v>10</v>
      </c>
      <c r="E4376" s="20">
        <v>10</v>
      </c>
      <c r="F4376" s="20">
        <v>10</v>
      </c>
      <c r="G4376" s="19">
        <f t="shared" si="320"/>
        <v>172</v>
      </c>
      <c r="H4376" s="22">
        <f t="shared" si="318"/>
        <v>4375</v>
      </c>
      <c r="I4376" s="21">
        <f t="shared" ca="1" si="313"/>
        <v>0</v>
      </c>
      <c r="J4376" s="21" t="str">
        <f ca="1">IF(I4376=0,"",COUNTIF($I$2:I4376,"&gt;0"))</f>
        <v/>
      </c>
      <c r="K4376" s="21" t="str">
        <f t="shared" ca="1" si="319"/>
        <v/>
      </c>
    </row>
    <row r="4377" spans="1:11" s="18" customFormat="1" ht="14.25" x14ac:dyDescent="0.2">
      <c r="A4377" s="18" t="str">
        <f t="shared" si="315"/>
        <v>Eintrag 4376</v>
      </c>
      <c r="B4377" s="18">
        <v>100</v>
      </c>
      <c r="C4377" s="19">
        <v>100</v>
      </c>
      <c r="D4377" s="20">
        <v>10</v>
      </c>
      <c r="E4377" s="20">
        <v>10</v>
      </c>
      <c r="F4377" s="20">
        <v>10</v>
      </c>
      <c r="G4377" s="19">
        <f t="shared" si="320"/>
        <v>172</v>
      </c>
      <c r="H4377" s="22">
        <f t="shared" si="318"/>
        <v>4376</v>
      </c>
      <c r="I4377" s="21">
        <f t="shared" ca="1" si="313"/>
        <v>0</v>
      </c>
      <c r="J4377" s="21" t="str">
        <f ca="1">IF(I4377=0,"",COUNTIF($I$2:I4377,"&gt;0"))</f>
        <v/>
      </c>
      <c r="K4377" s="21" t="str">
        <f t="shared" ca="1" si="319"/>
        <v/>
      </c>
    </row>
    <row r="4378" spans="1:11" s="18" customFormat="1" ht="14.25" x14ac:dyDescent="0.2">
      <c r="A4378" s="18" t="str">
        <f t="shared" si="315"/>
        <v>Eintrag 4377</v>
      </c>
      <c r="B4378" s="18">
        <v>100</v>
      </c>
      <c r="C4378" s="19">
        <v>100</v>
      </c>
      <c r="D4378" s="20">
        <v>10</v>
      </c>
      <c r="E4378" s="20">
        <v>10</v>
      </c>
      <c r="F4378" s="20">
        <v>10</v>
      </c>
      <c r="G4378" s="19">
        <f t="shared" si="320"/>
        <v>172</v>
      </c>
      <c r="H4378" s="22">
        <f t="shared" si="318"/>
        <v>4377</v>
      </c>
      <c r="I4378" s="21">
        <f t="shared" ca="1" si="313"/>
        <v>0</v>
      </c>
      <c r="J4378" s="21" t="str">
        <f ca="1">IF(I4378=0,"",COUNTIF($I$2:I4378,"&gt;0"))</f>
        <v/>
      </c>
      <c r="K4378" s="21" t="str">
        <f t="shared" ca="1" si="319"/>
        <v/>
      </c>
    </row>
    <row r="4379" spans="1:11" s="18" customFormat="1" ht="14.25" x14ac:dyDescent="0.2">
      <c r="A4379" s="18" t="str">
        <f t="shared" si="315"/>
        <v>Eintrag 4378</v>
      </c>
      <c r="B4379" s="18">
        <v>100</v>
      </c>
      <c r="C4379" s="19">
        <v>100</v>
      </c>
      <c r="D4379" s="20">
        <v>10</v>
      </c>
      <c r="E4379" s="20">
        <v>10</v>
      </c>
      <c r="F4379" s="20">
        <v>10</v>
      </c>
      <c r="G4379" s="19">
        <f t="shared" si="320"/>
        <v>172</v>
      </c>
      <c r="H4379" s="22">
        <f t="shared" si="318"/>
        <v>4378</v>
      </c>
      <c r="I4379" s="21">
        <f t="shared" ca="1" si="313"/>
        <v>0</v>
      </c>
      <c r="J4379" s="21" t="str">
        <f ca="1">IF(I4379=0,"",COUNTIF($I$2:I4379,"&gt;0"))</f>
        <v/>
      </c>
      <c r="K4379" s="21" t="str">
        <f t="shared" ca="1" si="319"/>
        <v/>
      </c>
    </row>
    <row r="4380" spans="1:11" s="18" customFormat="1" ht="14.25" x14ac:dyDescent="0.2">
      <c r="A4380" s="18" t="str">
        <f t="shared" si="315"/>
        <v>Eintrag 4379</v>
      </c>
      <c r="B4380" s="18">
        <v>100</v>
      </c>
      <c r="C4380" s="19">
        <v>100</v>
      </c>
      <c r="D4380" s="20">
        <v>10</v>
      </c>
      <c r="E4380" s="20">
        <v>10</v>
      </c>
      <c r="F4380" s="20">
        <v>10</v>
      </c>
      <c r="G4380" s="19">
        <f t="shared" si="320"/>
        <v>172</v>
      </c>
      <c r="H4380" s="22">
        <f t="shared" si="318"/>
        <v>4379</v>
      </c>
      <c r="I4380" s="21">
        <f t="shared" ca="1" si="313"/>
        <v>0</v>
      </c>
      <c r="J4380" s="21" t="str">
        <f ca="1">IF(I4380=0,"",COUNTIF($I$2:I4380,"&gt;0"))</f>
        <v/>
      </c>
      <c r="K4380" s="21" t="str">
        <f t="shared" ca="1" si="319"/>
        <v/>
      </c>
    </row>
    <row r="4381" spans="1:11" s="18" customFormat="1" ht="14.25" x14ac:dyDescent="0.2">
      <c r="A4381" s="18" t="str">
        <f t="shared" si="315"/>
        <v>Eintrag 4380</v>
      </c>
      <c r="B4381" s="18">
        <v>100</v>
      </c>
      <c r="C4381" s="19">
        <v>100</v>
      </c>
      <c r="D4381" s="20">
        <v>10</v>
      </c>
      <c r="E4381" s="20">
        <v>10</v>
      </c>
      <c r="F4381" s="20">
        <v>10</v>
      </c>
      <c r="G4381" s="19">
        <f t="shared" si="320"/>
        <v>172</v>
      </c>
      <c r="H4381" s="22">
        <f t="shared" si="318"/>
        <v>4380</v>
      </c>
      <c r="I4381" s="21">
        <f t="shared" ca="1" si="313"/>
        <v>0</v>
      </c>
      <c r="J4381" s="21" t="str">
        <f ca="1">IF(I4381=0,"",COUNTIF($I$2:I4381,"&gt;0"))</f>
        <v/>
      </c>
      <c r="K4381" s="21" t="str">
        <f t="shared" ca="1" si="319"/>
        <v/>
      </c>
    </row>
    <row r="4382" spans="1:11" s="18" customFormat="1" ht="14.25" x14ac:dyDescent="0.2">
      <c r="A4382" s="18" t="str">
        <f t="shared" si="315"/>
        <v>Eintrag 4381</v>
      </c>
      <c r="B4382" s="18">
        <v>100</v>
      </c>
      <c r="C4382" s="19">
        <v>100</v>
      </c>
      <c r="D4382" s="20">
        <v>10</v>
      </c>
      <c r="E4382" s="20">
        <v>10</v>
      </c>
      <c r="F4382" s="20">
        <v>10</v>
      </c>
      <c r="G4382" s="19">
        <f t="shared" si="320"/>
        <v>172</v>
      </c>
      <c r="H4382" s="22">
        <f t="shared" si="318"/>
        <v>4381</v>
      </c>
      <c r="I4382" s="21">
        <f t="shared" ca="1" si="313"/>
        <v>0</v>
      </c>
      <c r="J4382" s="21" t="str">
        <f ca="1">IF(I4382=0,"",COUNTIF($I$2:I4382,"&gt;0"))</f>
        <v/>
      </c>
      <c r="K4382" s="21" t="str">
        <f t="shared" ca="1" si="319"/>
        <v/>
      </c>
    </row>
    <row r="4383" spans="1:11" s="18" customFormat="1" ht="14.25" x14ac:dyDescent="0.2">
      <c r="A4383" s="18" t="str">
        <f t="shared" si="315"/>
        <v>Eintrag 4382</v>
      </c>
      <c r="B4383" s="18">
        <v>100</v>
      </c>
      <c r="C4383" s="19">
        <v>100</v>
      </c>
      <c r="D4383" s="20">
        <v>10</v>
      </c>
      <c r="E4383" s="20">
        <v>10</v>
      </c>
      <c r="F4383" s="20">
        <v>10</v>
      </c>
      <c r="G4383" s="19">
        <f t="shared" si="320"/>
        <v>172</v>
      </c>
      <c r="H4383" s="22">
        <f t="shared" si="318"/>
        <v>4382</v>
      </c>
      <c r="I4383" s="21">
        <f t="shared" ca="1" si="313"/>
        <v>0</v>
      </c>
      <c r="J4383" s="21" t="str">
        <f ca="1">IF(I4383=0,"",COUNTIF($I$2:I4383,"&gt;0"))</f>
        <v/>
      </c>
      <c r="K4383" s="21" t="str">
        <f t="shared" ca="1" si="319"/>
        <v/>
      </c>
    </row>
    <row r="4384" spans="1:11" s="18" customFormat="1" ht="14.25" x14ac:dyDescent="0.2">
      <c r="A4384" s="18" t="str">
        <f t="shared" si="315"/>
        <v>Eintrag 4383</v>
      </c>
      <c r="B4384" s="18">
        <v>100</v>
      </c>
      <c r="C4384" s="19">
        <v>100</v>
      </c>
      <c r="D4384" s="20">
        <v>10</v>
      </c>
      <c r="E4384" s="20">
        <v>10</v>
      </c>
      <c r="F4384" s="20">
        <v>10</v>
      </c>
      <c r="G4384" s="19">
        <f t="shared" si="320"/>
        <v>172</v>
      </c>
      <c r="H4384" s="22">
        <f t="shared" si="318"/>
        <v>4383</v>
      </c>
      <c r="I4384" s="21">
        <f t="shared" ca="1" si="313"/>
        <v>0</v>
      </c>
      <c r="J4384" s="21" t="str">
        <f ca="1">IF(I4384=0,"",COUNTIF($I$2:I4384,"&gt;0"))</f>
        <v/>
      </c>
      <c r="K4384" s="21" t="str">
        <f t="shared" ca="1" si="319"/>
        <v/>
      </c>
    </row>
    <row r="4385" spans="1:11" s="18" customFormat="1" ht="14.25" x14ac:dyDescent="0.2">
      <c r="A4385" s="18" t="str">
        <f t="shared" si="315"/>
        <v>Eintrag 4384</v>
      </c>
      <c r="B4385" s="18">
        <v>100</v>
      </c>
      <c r="C4385" s="19">
        <v>100</v>
      </c>
      <c r="D4385" s="20">
        <v>10</v>
      </c>
      <c r="E4385" s="20">
        <v>10</v>
      </c>
      <c r="F4385" s="20">
        <v>10</v>
      </c>
      <c r="G4385" s="19">
        <f t="shared" si="320"/>
        <v>172</v>
      </c>
      <c r="H4385" s="22">
        <f t="shared" si="318"/>
        <v>4384</v>
      </c>
      <c r="I4385" s="21">
        <f t="shared" ca="1" si="313"/>
        <v>0</v>
      </c>
      <c r="J4385" s="21" t="str">
        <f ca="1">IF(I4385=0,"",COUNTIF($I$2:I4385,"&gt;0"))</f>
        <v/>
      </c>
      <c r="K4385" s="21" t="str">
        <f t="shared" ca="1" si="319"/>
        <v/>
      </c>
    </row>
    <row r="4386" spans="1:11" s="18" customFormat="1" ht="14.25" x14ac:dyDescent="0.2">
      <c r="A4386" s="18" t="str">
        <f t="shared" si="315"/>
        <v>Eintrag 4385</v>
      </c>
      <c r="B4386" s="18">
        <v>100</v>
      </c>
      <c r="C4386" s="19">
        <v>100</v>
      </c>
      <c r="D4386" s="20">
        <v>10</v>
      </c>
      <c r="E4386" s="20">
        <v>10</v>
      </c>
      <c r="F4386" s="20">
        <v>10</v>
      </c>
      <c r="G4386" s="19">
        <f t="shared" si="320"/>
        <v>172</v>
      </c>
      <c r="H4386" s="22">
        <f t="shared" si="318"/>
        <v>4385</v>
      </c>
      <c r="I4386" s="21">
        <f t="shared" ca="1" si="313"/>
        <v>0</v>
      </c>
      <c r="J4386" s="21" t="str">
        <f ca="1">IF(I4386=0,"",COUNTIF($I$2:I4386,"&gt;0"))</f>
        <v/>
      </c>
      <c r="K4386" s="21" t="str">
        <f t="shared" ca="1" si="319"/>
        <v/>
      </c>
    </row>
    <row r="4387" spans="1:11" s="18" customFormat="1" ht="14.25" x14ac:dyDescent="0.2">
      <c r="A4387" s="18" t="str">
        <f t="shared" si="315"/>
        <v>Eintrag 4386</v>
      </c>
      <c r="B4387" s="18">
        <v>100</v>
      </c>
      <c r="C4387" s="19">
        <v>100</v>
      </c>
      <c r="D4387" s="20">
        <v>10</v>
      </c>
      <c r="E4387" s="20">
        <v>10</v>
      </c>
      <c r="F4387" s="20">
        <v>10</v>
      </c>
      <c r="G4387" s="19">
        <f t="shared" si="320"/>
        <v>172</v>
      </c>
      <c r="H4387" s="22">
        <f t="shared" si="318"/>
        <v>4386</v>
      </c>
      <c r="I4387" s="21">
        <f t="shared" ca="1" si="313"/>
        <v>0</v>
      </c>
      <c r="J4387" s="21" t="str">
        <f ca="1">IF(I4387=0,"",COUNTIF($I$2:I4387,"&gt;0"))</f>
        <v/>
      </c>
      <c r="K4387" s="21" t="str">
        <f t="shared" ca="1" si="319"/>
        <v/>
      </c>
    </row>
    <row r="4388" spans="1:11" s="18" customFormat="1" ht="14.25" x14ac:dyDescent="0.2">
      <c r="A4388" s="18" t="str">
        <f t="shared" si="315"/>
        <v>Eintrag 4387</v>
      </c>
      <c r="B4388" s="18">
        <v>100</v>
      </c>
      <c r="C4388" s="19">
        <v>100</v>
      </c>
      <c r="D4388" s="20">
        <v>10</v>
      </c>
      <c r="E4388" s="20">
        <v>10</v>
      </c>
      <c r="F4388" s="20">
        <v>10</v>
      </c>
      <c r="G4388" s="19">
        <f t="shared" si="320"/>
        <v>172</v>
      </c>
      <c r="H4388" s="22">
        <f t="shared" si="318"/>
        <v>4387</v>
      </c>
      <c r="I4388" s="21">
        <f t="shared" ca="1" si="313"/>
        <v>0</v>
      </c>
      <c r="J4388" s="21" t="str">
        <f ca="1">IF(I4388=0,"",COUNTIF($I$2:I4388,"&gt;0"))</f>
        <v/>
      </c>
      <c r="K4388" s="21" t="str">
        <f t="shared" ca="1" si="319"/>
        <v/>
      </c>
    </row>
    <row r="4389" spans="1:11" s="18" customFormat="1" ht="14.25" x14ac:dyDescent="0.2">
      <c r="A4389" s="18" t="str">
        <f t="shared" si="315"/>
        <v>Eintrag 4388</v>
      </c>
      <c r="B4389" s="18">
        <v>100</v>
      </c>
      <c r="C4389" s="19">
        <v>100</v>
      </c>
      <c r="D4389" s="20">
        <v>10</v>
      </c>
      <c r="E4389" s="20">
        <v>10</v>
      </c>
      <c r="F4389" s="20">
        <v>10</v>
      </c>
      <c r="G4389" s="19">
        <f t="shared" si="320"/>
        <v>172</v>
      </c>
      <c r="H4389" s="22">
        <f t="shared" ref="H4389:H4452" si="321">H4388+1</f>
        <v>4388</v>
      </c>
      <c r="I4389" s="21">
        <f t="shared" ca="1" si="313"/>
        <v>0</v>
      </c>
      <c r="J4389" s="21" t="str">
        <f ca="1">IF(I4389=0,"",COUNTIF($I$2:I4389,"&gt;0"))</f>
        <v/>
      </c>
      <c r="K4389" s="21" t="str">
        <f t="shared" ca="1" si="319"/>
        <v/>
      </c>
    </row>
    <row r="4390" spans="1:11" s="18" customFormat="1" ht="14.25" x14ac:dyDescent="0.2">
      <c r="A4390" s="18" t="str">
        <f t="shared" si="315"/>
        <v>Eintrag 4389</v>
      </c>
      <c r="B4390" s="18">
        <v>100</v>
      </c>
      <c r="C4390" s="19">
        <v>100</v>
      </c>
      <c r="D4390" s="20">
        <v>10</v>
      </c>
      <c r="E4390" s="20">
        <v>10</v>
      </c>
      <c r="F4390" s="20">
        <v>10</v>
      </c>
      <c r="G4390" s="19">
        <f t="shared" si="320"/>
        <v>172</v>
      </c>
      <c r="H4390" s="22">
        <f t="shared" si="321"/>
        <v>4389</v>
      </c>
      <c r="I4390" s="21">
        <f t="shared" ca="1" si="313"/>
        <v>0</v>
      </c>
      <c r="J4390" s="21" t="str">
        <f ca="1">IF(I4390=0,"",COUNTIF($I$2:I4390,"&gt;0"))</f>
        <v/>
      </c>
      <c r="K4390" s="21" t="str">
        <f t="shared" ca="1" si="319"/>
        <v/>
      </c>
    </row>
    <row r="4391" spans="1:11" s="18" customFormat="1" ht="14.25" x14ac:dyDescent="0.2">
      <c r="A4391" s="18" t="str">
        <f t="shared" si="315"/>
        <v>Eintrag 4390</v>
      </c>
      <c r="B4391" s="18">
        <v>100</v>
      </c>
      <c r="C4391" s="19">
        <v>100</v>
      </c>
      <c r="D4391" s="20">
        <v>10</v>
      </c>
      <c r="E4391" s="20">
        <v>10</v>
      </c>
      <c r="F4391" s="20">
        <v>10</v>
      </c>
      <c r="G4391" s="19">
        <f t="shared" si="320"/>
        <v>172</v>
      </c>
      <c r="H4391" s="22">
        <f t="shared" si="321"/>
        <v>4390</v>
      </c>
      <c r="I4391" s="21">
        <f t="shared" ca="1" si="313"/>
        <v>0</v>
      </c>
      <c r="J4391" s="21" t="str">
        <f ca="1">IF(I4391=0,"",COUNTIF($I$2:I4391,"&gt;0"))</f>
        <v/>
      </c>
      <c r="K4391" s="21" t="str">
        <f t="shared" ca="1" si="319"/>
        <v/>
      </c>
    </row>
    <row r="4392" spans="1:11" s="18" customFormat="1" ht="14.25" x14ac:dyDescent="0.2">
      <c r="A4392" s="18" t="str">
        <f t="shared" si="315"/>
        <v>Eintrag 4391</v>
      </c>
      <c r="B4392" s="18">
        <v>100</v>
      </c>
      <c r="C4392" s="19">
        <v>100</v>
      </c>
      <c r="D4392" s="20">
        <v>10</v>
      </c>
      <c r="E4392" s="20">
        <v>10</v>
      </c>
      <c r="F4392" s="20">
        <v>10</v>
      </c>
      <c r="G4392" s="19">
        <f t="shared" si="320"/>
        <v>172</v>
      </c>
      <c r="H4392" s="22">
        <f t="shared" si="321"/>
        <v>4391</v>
      </c>
      <c r="I4392" s="21">
        <f t="shared" ca="1" si="313"/>
        <v>0</v>
      </c>
      <c r="J4392" s="21" t="str">
        <f ca="1">IF(I4392=0,"",COUNTIF($I$2:I4392,"&gt;0"))</f>
        <v/>
      </c>
      <c r="K4392" s="21" t="str">
        <f t="shared" ca="1" si="319"/>
        <v/>
      </c>
    </row>
    <row r="4393" spans="1:11" s="18" customFormat="1" ht="14.25" x14ac:dyDescent="0.2">
      <c r="A4393" s="18" t="str">
        <f t="shared" si="315"/>
        <v>Eintrag 4392</v>
      </c>
      <c r="B4393" s="18">
        <v>100</v>
      </c>
      <c r="C4393" s="19">
        <v>100</v>
      </c>
      <c r="D4393" s="20">
        <v>10</v>
      </c>
      <c r="E4393" s="20">
        <v>10</v>
      </c>
      <c r="F4393" s="20">
        <v>10</v>
      </c>
      <c r="G4393" s="19">
        <f t="shared" si="320"/>
        <v>172</v>
      </c>
      <c r="H4393" s="22">
        <f t="shared" si="321"/>
        <v>4392</v>
      </c>
      <c r="I4393" s="21">
        <f t="shared" ca="1" si="313"/>
        <v>0</v>
      </c>
      <c r="J4393" s="21" t="str">
        <f ca="1">IF(I4393=0,"",COUNTIF($I$2:I4393,"&gt;0"))</f>
        <v/>
      </c>
      <c r="K4393" s="21" t="str">
        <f t="shared" ca="1" si="319"/>
        <v/>
      </c>
    </row>
    <row r="4394" spans="1:11" s="18" customFormat="1" ht="14.25" x14ac:dyDescent="0.2">
      <c r="A4394" s="18" t="str">
        <f t="shared" si="315"/>
        <v>Eintrag 4393</v>
      </c>
      <c r="B4394" s="18">
        <v>100</v>
      </c>
      <c r="C4394" s="19">
        <v>100</v>
      </c>
      <c r="D4394" s="20">
        <v>10</v>
      </c>
      <c r="E4394" s="20">
        <v>10</v>
      </c>
      <c r="F4394" s="20">
        <v>10</v>
      </c>
      <c r="G4394" s="19">
        <f t="shared" si="320"/>
        <v>172</v>
      </c>
      <c r="H4394" s="22">
        <f t="shared" si="321"/>
        <v>4393</v>
      </c>
      <c r="I4394" s="21">
        <f t="shared" ca="1" si="313"/>
        <v>0</v>
      </c>
      <c r="J4394" s="21" t="str">
        <f ca="1">IF(I4394=0,"",COUNTIF($I$2:I4394,"&gt;0"))</f>
        <v/>
      </c>
      <c r="K4394" s="21" t="str">
        <f t="shared" ca="1" si="319"/>
        <v/>
      </c>
    </row>
    <row r="4395" spans="1:11" s="18" customFormat="1" ht="14.25" x14ac:dyDescent="0.2">
      <c r="A4395" s="18" t="str">
        <f t="shared" si="315"/>
        <v>Eintrag 4394</v>
      </c>
      <c r="B4395" s="18">
        <v>100</v>
      </c>
      <c r="C4395" s="19">
        <v>100</v>
      </c>
      <c r="D4395" s="20">
        <v>10</v>
      </c>
      <c r="E4395" s="20">
        <v>10</v>
      </c>
      <c r="F4395" s="20">
        <v>10</v>
      </c>
      <c r="G4395" s="19">
        <f t="shared" si="320"/>
        <v>172</v>
      </c>
      <c r="H4395" s="22">
        <f t="shared" si="321"/>
        <v>4394</v>
      </c>
      <c r="I4395" s="21">
        <f t="shared" ca="1" si="313"/>
        <v>0</v>
      </c>
      <c r="J4395" s="21" t="str">
        <f ca="1">IF(I4395=0,"",COUNTIF($I$2:I4395,"&gt;0"))</f>
        <v/>
      </c>
      <c r="K4395" s="21" t="str">
        <f t="shared" ca="1" si="319"/>
        <v/>
      </c>
    </row>
    <row r="4396" spans="1:11" s="18" customFormat="1" ht="14.25" x14ac:dyDescent="0.2">
      <c r="A4396" s="18" t="str">
        <f t="shared" si="315"/>
        <v>Eintrag 4395</v>
      </c>
      <c r="B4396" s="18">
        <v>100</v>
      </c>
      <c r="C4396" s="19">
        <v>100</v>
      </c>
      <c r="D4396" s="20">
        <v>10</v>
      </c>
      <c r="E4396" s="20">
        <v>10</v>
      </c>
      <c r="F4396" s="20">
        <v>10</v>
      </c>
      <c r="G4396" s="19">
        <f t="shared" si="320"/>
        <v>172</v>
      </c>
      <c r="H4396" s="22">
        <f t="shared" si="321"/>
        <v>4395</v>
      </c>
      <c r="I4396" s="21">
        <f t="shared" ca="1" si="313"/>
        <v>0</v>
      </c>
      <c r="J4396" s="21" t="str">
        <f ca="1">IF(I4396=0,"",COUNTIF($I$2:I4396,"&gt;0"))</f>
        <v/>
      </c>
      <c r="K4396" s="21" t="str">
        <f t="shared" ca="1" si="319"/>
        <v/>
      </c>
    </row>
    <row r="4397" spans="1:11" s="18" customFormat="1" ht="14.25" x14ac:dyDescent="0.2">
      <c r="A4397" s="18" t="str">
        <f t="shared" si="315"/>
        <v>Eintrag 4396</v>
      </c>
      <c r="B4397" s="18">
        <v>100</v>
      </c>
      <c r="C4397" s="19">
        <v>100</v>
      </c>
      <c r="D4397" s="20">
        <v>10</v>
      </c>
      <c r="E4397" s="20">
        <v>10</v>
      </c>
      <c r="F4397" s="20">
        <v>10</v>
      </c>
      <c r="G4397" s="19">
        <f t="shared" si="320"/>
        <v>172</v>
      </c>
      <c r="H4397" s="22">
        <f t="shared" si="321"/>
        <v>4396</v>
      </c>
      <c r="I4397" s="21">
        <f t="shared" ca="1" si="313"/>
        <v>0</v>
      </c>
      <c r="J4397" s="21" t="str">
        <f ca="1">IF(I4397=0,"",COUNTIF($I$2:I4397,"&gt;0"))</f>
        <v/>
      </c>
      <c r="K4397" s="21" t="str">
        <f t="shared" ca="1" si="319"/>
        <v/>
      </c>
    </row>
    <row r="4398" spans="1:11" s="18" customFormat="1" ht="14.25" x14ac:dyDescent="0.2">
      <c r="A4398" s="18" t="str">
        <f t="shared" si="315"/>
        <v>Eintrag 4397</v>
      </c>
      <c r="B4398" s="18">
        <v>100</v>
      </c>
      <c r="C4398" s="19">
        <v>100</v>
      </c>
      <c r="D4398" s="20">
        <v>10</v>
      </c>
      <c r="E4398" s="20">
        <v>10</v>
      </c>
      <c r="F4398" s="20">
        <v>10</v>
      </c>
      <c r="G4398" s="19">
        <f t="shared" si="320"/>
        <v>172</v>
      </c>
      <c r="H4398" s="22">
        <f t="shared" si="321"/>
        <v>4397</v>
      </c>
      <c r="I4398" s="21">
        <f t="shared" ca="1" si="313"/>
        <v>0</v>
      </c>
      <c r="J4398" s="21" t="str">
        <f ca="1">IF(I4398=0,"",COUNTIF($I$2:I4398,"&gt;0"))</f>
        <v/>
      </c>
      <c r="K4398" s="21" t="str">
        <f t="shared" ca="1" si="319"/>
        <v/>
      </c>
    </row>
    <row r="4399" spans="1:11" s="18" customFormat="1" ht="14.25" x14ac:dyDescent="0.2">
      <c r="A4399" s="18" t="str">
        <f t="shared" si="315"/>
        <v>Eintrag 4398</v>
      </c>
      <c r="B4399" s="18">
        <v>100</v>
      </c>
      <c r="C4399" s="19">
        <v>100</v>
      </c>
      <c r="D4399" s="20">
        <v>10</v>
      </c>
      <c r="E4399" s="20">
        <v>10</v>
      </c>
      <c r="F4399" s="20">
        <v>10</v>
      </c>
      <c r="G4399" s="19">
        <f t="shared" si="320"/>
        <v>172</v>
      </c>
      <c r="H4399" s="22">
        <f t="shared" si="321"/>
        <v>4398</v>
      </c>
      <c r="I4399" s="21">
        <f t="shared" ca="1" si="313"/>
        <v>0</v>
      </c>
      <c r="J4399" s="21" t="str">
        <f ca="1">IF(I4399=0,"",COUNTIF($I$2:I4399,"&gt;0"))</f>
        <v/>
      </c>
      <c r="K4399" s="21" t="str">
        <f t="shared" ca="1" si="319"/>
        <v/>
      </c>
    </row>
    <row r="4400" spans="1:11" s="18" customFormat="1" ht="14.25" x14ac:dyDescent="0.2">
      <c r="A4400" s="18" t="str">
        <f t="shared" si="315"/>
        <v>Eintrag 4399</v>
      </c>
      <c r="B4400" s="18">
        <v>100</v>
      </c>
      <c r="C4400" s="19">
        <v>100</v>
      </c>
      <c r="D4400" s="20">
        <v>10</v>
      </c>
      <c r="E4400" s="20">
        <v>10</v>
      </c>
      <c r="F4400" s="20">
        <v>10</v>
      </c>
      <c r="G4400" s="19">
        <f t="shared" si="320"/>
        <v>172</v>
      </c>
      <c r="H4400" s="22">
        <f t="shared" si="321"/>
        <v>4399</v>
      </c>
      <c r="I4400" s="21">
        <f t="shared" ca="1" si="313"/>
        <v>0</v>
      </c>
      <c r="J4400" s="21" t="str">
        <f ca="1">IF(I4400=0,"",COUNTIF($I$2:I4400,"&gt;0"))</f>
        <v/>
      </c>
      <c r="K4400" s="21" t="str">
        <f t="shared" ca="1" si="319"/>
        <v/>
      </c>
    </row>
    <row r="4401" spans="1:11" s="18" customFormat="1" ht="14.25" x14ac:dyDescent="0.2">
      <c r="A4401" s="18" t="str">
        <f t="shared" si="315"/>
        <v>Eintrag 4400</v>
      </c>
      <c r="B4401" s="18">
        <v>100</v>
      </c>
      <c r="C4401" s="19">
        <v>100</v>
      </c>
      <c r="D4401" s="20">
        <v>10</v>
      </c>
      <c r="E4401" s="20">
        <v>10</v>
      </c>
      <c r="F4401" s="20">
        <v>10</v>
      </c>
      <c r="G4401" s="19">
        <f t="shared" si="320"/>
        <v>172</v>
      </c>
      <c r="H4401" s="22">
        <f t="shared" si="321"/>
        <v>4400</v>
      </c>
      <c r="I4401" s="21">
        <f t="shared" ca="1" si="313"/>
        <v>0</v>
      </c>
      <c r="J4401" s="21" t="str">
        <f ca="1">IF(I4401=0,"",COUNTIF($I$2:I4401,"&gt;0"))</f>
        <v/>
      </c>
      <c r="K4401" s="21" t="str">
        <f t="shared" ca="1" si="319"/>
        <v/>
      </c>
    </row>
    <row r="4402" spans="1:11" s="18" customFormat="1" ht="14.25" x14ac:dyDescent="0.2">
      <c r="A4402" s="18" t="str">
        <f t="shared" si="315"/>
        <v>Eintrag 4401</v>
      </c>
      <c r="B4402" s="18">
        <v>100</v>
      </c>
      <c r="C4402" s="19">
        <v>100</v>
      </c>
      <c r="D4402" s="20">
        <v>10</v>
      </c>
      <c r="E4402" s="20">
        <v>10</v>
      </c>
      <c r="F4402" s="20">
        <v>10</v>
      </c>
      <c r="G4402" s="19">
        <f t="shared" si="320"/>
        <v>172</v>
      </c>
      <c r="H4402" s="22">
        <f t="shared" si="321"/>
        <v>4401</v>
      </c>
      <c r="I4402" s="21">
        <f t="shared" ca="1" si="313"/>
        <v>0</v>
      </c>
      <c r="J4402" s="21" t="str">
        <f ca="1">IF(I4402=0,"",COUNTIF($I$2:I4402,"&gt;0"))</f>
        <v/>
      </c>
      <c r="K4402" s="21" t="str">
        <f t="shared" ca="1" si="319"/>
        <v/>
      </c>
    </row>
    <row r="4403" spans="1:11" s="18" customFormat="1" ht="14.25" x14ac:dyDescent="0.2">
      <c r="A4403" s="18" t="str">
        <f t="shared" si="315"/>
        <v>Eintrag 4402</v>
      </c>
      <c r="B4403" s="18">
        <v>100</v>
      </c>
      <c r="C4403" s="19">
        <v>100</v>
      </c>
      <c r="D4403" s="20">
        <v>10</v>
      </c>
      <c r="E4403" s="20">
        <v>10</v>
      </c>
      <c r="F4403" s="20">
        <v>10</v>
      </c>
      <c r="G4403" s="19">
        <f t="shared" si="320"/>
        <v>172</v>
      </c>
      <c r="H4403" s="22">
        <f t="shared" si="321"/>
        <v>4402</v>
      </c>
      <c r="I4403" s="21">
        <f t="shared" ca="1" si="313"/>
        <v>0</v>
      </c>
      <c r="J4403" s="21" t="str">
        <f ca="1">IF(I4403=0,"",COUNTIF($I$2:I4403,"&gt;0"))</f>
        <v/>
      </c>
      <c r="K4403" s="21" t="str">
        <f t="shared" ca="1" si="319"/>
        <v/>
      </c>
    </row>
    <row r="4404" spans="1:11" s="18" customFormat="1" ht="14.25" x14ac:dyDescent="0.2">
      <c r="A4404" s="18" t="str">
        <f t="shared" si="315"/>
        <v>Eintrag 4403</v>
      </c>
      <c r="B4404" s="18">
        <v>100</v>
      </c>
      <c r="C4404" s="19">
        <v>100</v>
      </c>
      <c r="D4404" s="20">
        <v>10</v>
      </c>
      <c r="E4404" s="20">
        <v>10</v>
      </c>
      <c r="F4404" s="20">
        <v>10</v>
      </c>
      <c r="G4404" s="19">
        <f t="shared" si="320"/>
        <v>172</v>
      </c>
      <c r="H4404" s="22">
        <f t="shared" si="321"/>
        <v>4403</v>
      </c>
      <c r="I4404" s="21">
        <f t="shared" ca="1" si="313"/>
        <v>0</v>
      </c>
      <c r="J4404" s="21" t="str">
        <f ca="1">IF(I4404=0,"",COUNTIF($I$2:I4404,"&gt;0"))</f>
        <v/>
      </c>
      <c r="K4404" s="21" t="str">
        <f t="shared" ca="1" si="319"/>
        <v/>
      </c>
    </row>
    <row r="4405" spans="1:11" s="18" customFormat="1" ht="14.25" x14ac:dyDescent="0.2">
      <c r="A4405" s="18" t="str">
        <f t="shared" si="315"/>
        <v>Eintrag 4404</v>
      </c>
      <c r="B4405" s="18">
        <v>100</v>
      </c>
      <c r="C4405" s="19">
        <v>100</v>
      </c>
      <c r="D4405" s="20">
        <v>10</v>
      </c>
      <c r="E4405" s="20">
        <v>10</v>
      </c>
      <c r="F4405" s="20">
        <v>10</v>
      </c>
      <c r="G4405" s="19">
        <f t="shared" si="320"/>
        <v>172</v>
      </c>
      <c r="H4405" s="22">
        <f t="shared" si="321"/>
        <v>4404</v>
      </c>
      <c r="I4405" s="21">
        <f t="shared" ca="1" si="313"/>
        <v>0</v>
      </c>
      <c r="J4405" s="21" t="str">
        <f ca="1">IF(I4405=0,"",COUNTIF($I$2:I4405,"&gt;0"))</f>
        <v/>
      </c>
      <c r="K4405" s="21" t="str">
        <f t="shared" ca="1" si="319"/>
        <v/>
      </c>
    </row>
    <row r="4406" spans="1:11" s="18" customFormat="1" ht="14.25" x14ac:dyDescent="0.2">
      <c r="A4406" s="18" t="str">
        <f t="shared" si="315"/>
        <v>Eintrag 4405</v>
      </c>
      <c r="B4406" s="18">
        <v>100</v>
      </c>
      <c r="C4406" s="19">
        <v>100</v>
      </c>
      <c r="D4406" s="20">
        <v>10</v>
      </c>
      <c r="E4406" s="20">
        <v>10</v>
      </c>
      <c r="F4406" s="20">
        <v>10</v>
      </c>
      <c r="G4406" s="19">
        <f t="shared" si="320"/>
        <v>172</v>
      </c>
      <c r="H4406" s="22">
        <f t="shared" si="321"/>
        <v>4405</v>
      </c>
      <c r="I4406" s="21">
        <f t="shared" ca="1" si="313"/>
        <v>0</v>
      </c>
      <c r="J4406" s="21" t="str">
        <f ca="1">IF(I4406=0,"",COUNTIF($I$2:I4406,"&gt;0"))</f>
        <v/>
      </c>
      <c r="K4406" s="21" t="str">
        <f t="shared" ca="1" si="319"/>
        <v/>
      </c>
    </row>
    <row r="4407" spans="1:11" s="18" customFormat="1" ht="14.25" x14ac:dyDescent="0.2">
      <c r="A4407" s="18" t="str">
        <f t="shared" si="315"/>
        <v>Eintrag 4406</v>
      </c>
      <c r="B4407" s="18">
        <v>100</v>
      </c>
      <c r="C4407" s="19">
        <v>100</v>
      </c>
      <c r="D4407" s="20">
        <v>10</v>
      </c>
      <c r="E4407" s="20">
        <v>10</v>
      </c>
      <c r="F4407" s="20">
        <v>10</v>
      </c>
      <c r="G4407" s="19">
        <f t="shared" si="320"/>
        <v>172</v>
      </c>
      <c r="H4407" s="22">
        <f t="shared" si="321"/>
        <v>4406</v>
      </c>
      <c r="I4407" s="21">
        <f t="shared" ca="1" si="313"/>
        <v>0</v>
      </c>
      <c r="J4407" s="21" t="str">
        <f ca="1">IF(I4407=0,"",COUNTIF($I$2:I4407,"&gt;0"))</f>
        <v/>
      </c>
      <c r="K4407" s="21" t="str">
        <f t="shared" ca="1" si="319"/>
        <v/>
      </c>
    </row>
    <row r="4408" spans="1:11" s="18" customFormat="1" ht="14.25" x14ac:dyDescent="0.2">
      <c r="A4408" s="18" t="str">
        <f t="shared" si="315"/>
        <v>Eintrag 4407</v>
      </c>
      <c r="B4408" s="18">
        <v>100</v>
      </c>
      <c r="C4408" s="19">
        <v>100</v>
      </c>
      <c r="D4408" s="20">
        <v>10</v>
      </c>
      <c r="E4408" s="20">
        <v>10</v>
      </c>
      <c r="F4408" s="20">
        <v>10</v>
      </c>
      <c r="G4408" s="19">
        <f t="shared" si="320"/>
        <v>172</v>
      </c>
      <c r="H4408" s="22">
        <f t="shared" si="321"/>
        <v>4407</v>
      </c>
      <c r="I4408" s="21">
        <f t="shared" ca="1" si="313"/>
        <v>0</v>
      </c>
      <c r="J4408" s="21" t="str">
        <f ca="1">IF(I4408=0,"",COUNTIF($I$2:I4408,"&gt;0"))</f>
        <v/>
      </c>
      <c r="K4408" s="21" t="str">
        <f t="shared" ca="1" si="319"/>
        <v/>
      </c>
    </row>
    <row r="4409" spans="1:11" s="18" customFormat="1" ht="14.25" x14ac:dyDescent="0.2">
      <c r="A4409" s="18" t="str">
        <f t="shared" si="315"/>
        <v>Eintrag 4408</v>
      </c>
      <c r="B4409" s="18">
        <v>100</v>
      </c>
      <c r="C4409" s="19">
        <v>100</v>
      </c>
      <c r="D4409" s="20">
        <v>10</v>
      </c>
      <c r="E4409" s="20">
        <v>10</v>
      </c>
      <c r="F4409" s="20">
        <v>10</v>
      </c>
      <c r="G4409" s="19">
        <f t="shared" si="320"/>
        <v>172</v>
      </c>
      <c r="H4409" s="22">
        <f t="shared" si="321"/>
        <v>4408</v>
      </c>
      <c r="I4409" s="21">
        <f t="shared" ca="1" si="313"/>
        <v>0</v>
      </c>
      <c r="J4409" s="21" t="str">
        <f ca="1">IF(I4409=0,"",COUNTIF($I$2:I4409,"&gt;0"))</f>
        <v/>
      </c>
      <c r="K4409" s="21" t="str">
        <f t="shared" ca="1" si="319"/>
        <v/>
      </c>
    </row>
    <row r="4410" spans="1:11" s="18" customFormat="1" ht="14.25" x14ac:dyDescent="0.2">
      <c r="A4410" s="18" t="str">
        <f t="shared" si="315"/>
        <v>Eintrag 4409</v>
      </c>
      <c r="B4410" s="18">
        <v>100</v>
      </c>
      <c r="C4410" s="19">
        <v>100</v>
      </c>
      <c r="D4410" s="20">
        <v>10</v>
      </c>
      <c r="E4410" s="20">
        <v>10</v>
      </c>
      <c r="F4410" s="20">
        <v>10</v>
      </c>
      <c r="G4410" s="19">
        <f t="shared" si="320"/>
        <v>172</v>
      </c>
      <c r="H4410" s="22">
        <f t="shared" si="321"/>
        <v>4409</v>
      </c>
      <c r="I4410" s="21">
        <f t="shared" ca="1" si="313"/>
        <v>0</v>
      </c>
      <c r="J4410" s="21" t="str">
        <f ca="1">IF(I4410=0,"",COUNTIF($I$2:I4410,"&gt;0"))</f>
        <v/>
      </c>
      <c r="K4410" s="21" t="str">
        <f t="shared" ca="1" si="319"/>
        <v/>
      </c>
    </row>
    <row r="4411" spans="1:11" s="18" customFormat="1" ht="14.25" x14ac:dyDescent="0.2">
      <c r="A4411" s="18" t="str">
        <f t="shared" si="315"/>
        <v>Eintrag 4410</v>
      </c>
      <c r="B4411" s="18">
        <v>100</v>
      </c>
      <c r="C4411" s="19">
        <v>100</v>
      </c>
      <c r="D4411" s="20">
        <v>10</v>
      </c>
      <c r="E4411" s="20">
        <v>10</v>
      </c>
      <c r="F4411" s="20">
        <v>10</v>
      </c>
      <c r="G4411" s="19">
        <f t="shared" si="320"/>
        <v>172</v>
      </c>
      <c r="H4411" s="22">
        <f t="shared" si="321"/>
        <v>4410</v>
      </c>
      <c r="I4411" s="21">
        <f t="shared" ca="1" si="313"/>
        <v>0</v>
      </c>
      <c r="J4411" s="21" t="str">
        <f ca="1">IF(I4411=0,"",COUNTIF($I$2:I4411,"&gt;0"))</f>
        <v/>
      </c>
      <c r="K4411" s="21" t="str">
        <f t="shared" ca="1" si="319"/>
        <v/>
      </c>
    </row>
    <row r="4412" spans="1:11" s="18" customFormat="1" ht="14.25" x14ac:dyDescent="0.2">
      <c r="A4412" s="18" t="str">
        <f t="shared" si="315"/>
        <v>Eintrag 4411</v>
      </c>
      <c r="B4412" s="18">
        <v>100</v>
      </c>
      <c r="C4412" s="19">
        <v>100</v>
      </c>
      <c r="D4412" s="20">
        <v>10</v>
      </c>
      <c r="E4412" s="20">
        <v>10</v>
      </c>
      <c r="F4412" s="20">
        <v>10</v>
      </c>
      <c r="G4412" s="19">
        <f t="shared" si="320"/>
        <v>172</v>
      </c>
      <c r="H4412" s="22">
        <f t="shared" si="321"/>
        <v>4411</v>
      </c>
      <c r="I4412" s="21">
        <f t="shared" ca="1" si="313"/>
        <v>0</v>
      </c>
      <c r="J4412" s="21" t="str">
        <f ca="1">IF(I4412=0,"",COUNTIF($I$2:I4412,"&gt;0"))</f>
        <v/>
      </c>
      <c r="K4412" s="21" t="str">
        <f t="shared" ca="1" si="319"/>
        <v/>
      </c>
    </row>
    <row r="4413" spans="1:11" s="18" customFormat="1" ht="14.25" x14ac:dyDescent="0.2">
      <c r="A4413" s="18" t="str">
        <f t="shared" si="315"/>
        <v>Eintrag 4412</v>
      </c>
      <c r="B4413" s="18">
        <v>100</v>
      </c>
      <c r="C4413" s="19">
        <v>100</v>
      </c>
      <c r="D4413" s="20">
        <v>10</v>
      </c>
      <c r="E4413" s="20">
        <v>10</v>
      </c>
      <c r="F4413" s="20">
        <v>10</v>
      </c>
      <c r="G4413" s="19">
        <f t="shared" si="320"/>
        <v>172</v>
      </c>
      <c r="H4413" s="22">
        <f t="shared" si="321"/>
        <v>4412</v>
      </c>
      <c r="I4413" s="21">
        <f t="shared" ca="1" si="313"/>
        <v>0</v>
      </c>
      <c r="J4413" s="21" t="str">
        <f ca="1">IF(I4413=0,"",COUNTIF($I$2:I4413,"&gt;0"))</f>
        <v/>
      </c>
      <c r="K4413" s="21" t="str">
        <f t="shared" ca="1" si="319"/>
        <v/>
      </c>
    </row>
    <row r="4414" spans="1:11" s="18" customFormat="1" ht="14.25" x14ac:dyDescent="0.2">
      <c r="A4414" s="18" t="str">
        <f t="shared" si="315"/>
        <v>Eintrag 4413</v>
      </c>
      <c r="B4414" s="18">
        <v>100</v>
      </c>
      <c r="C4414" s="19">
        <v>100</v>
      </c>
      <c r="D4414" s="20">
        <v>10</v>
      </c>
      <c r="E4414" s="20">
        <v>10</v>
      </c>
      <c r="F4414" s="20">
        <v>10</v>
      </c>
      <c r="G4414" s="19">
        <f t="shared" si="320"/>
        <v>172</v>
      </c>
      <c r="H4414" s="22">
        <f t="shared" si="321"/>
        <v>4413</v>
      </c>
      <c r="I4414" s="21">
        <f t="shared" ca="1" si="313"/>
        <v>0</v>
      </c>
      <c r="J4414" s="21" t="str">
        <f ca="1">IF(I4414=0,"",COUNTIF($I$2:I4414,"&gt;0"))</f>
        <v/>
      </c>
      <c r="K4414" s="21" t="str">
        <f t="shared" ca="1" si="319"/>
        <v/>
      </c>
    </row>
    <row r="4415" spans="1:11" s="18" customFormat="1" ht="14.25" x14ac:dyDescent="0.2">
      <c r="A4415" s="18" t="str">
        <f t="shared" si="315"/>
        <v>Eintrag 4414</v>
      </c>
      <c r="B4415" s="18">
        <v>100</v>
      </c>
      <c r="C4415" s="19">
        <v>100</v>
      </c>
      <c r="D4415" s="20">
        <v>10</v>
      </c>
      <c r="E4415" s="20">
        <v>10</v>
      </c>
      <c r="F4415" s="20">
        <v>10</v>
      </c>
      <c r="G4415" s="19">
        <f t="shared" si="320"/>
        <v>172</v>
      </c>
      <c r="H4415" s="22">
        <f t="shared" si="321"/>
        <v>4414</v>
      </c>
      <c r="I4415" s="21">
        <f t="shared" ca="1" si="313"/>
        <v>0</v>
      </c>
      <c r="J4415" s="21" t="str">
        <f ca="1">IF(I4415=0,"",COUNTIF($I$2:I4415,"&gt;0"))</f>
        <v/>
      </c>
      <c r="K4415" s="21" t="str">
        <f t="shared" ca="1" si="319"/>
        <v/>
      </c>
    </row>
    <row r="4416" spans="1:11" s="18" customFormat="1" ht="14.25" x14ac:dyDescent="0.2">
      <c r="A4416" s="18" t="str">
        <f t="shared" si="315"/>
        <v>Eintrag 4415</v>
      </c>
      <c r="B4416" s="18">
        <v>100</v>
      </c>
      <c r="C4416" s="19">
        <v>100</v>
      </c>
      <c r="D4416" s="20">
        <v>10</v>
      </c>
      <c r="E4416" s="20">
        <v>10</v>
      </c>
      <c r="F4416" s="20">
        <v>10</v>
      </c>
      <c r="G4416" s="19">
        <f t="shared" si="320"/>
        <v>172</v>
      </c>
      <c r="H4416" s="22">
        <f t="shared" si="321"/>
        <v>4415</v>
      </c>
      <c r="I4416" s="21">
        <f t="shared" ca="1" si="313"/>
        <v>0</v>
      </c>
      <c r="J4416" s="21" t="str">
        <f ca="1">IF(I4416=0,"",COUNTIF($I$2:I4416,"&gt;0"))</f>
        <v/>
      </c>
      <c r="K4416" s="21" t="str">
        <f t="shared" ca="1" si="319"/>
        <v/>
      </c>
    </row>
    <row r="4417" spans="1:11" s="18" customFormat="1" ht="14.25" x14ac:dyDescent="0.2">
      <c r="A4417" s="18" t="str">
        <f t="shared" si="315"/>
        <v>Eintrag 4416</v>
      </c>
      <c r="B4417" s="18">
        <v>100</v>
      </c>
      <c r="C4417" s="19">
        <v>100</v>
      </c>
      <c r="D4417" s="20">
        <v>10</v>
      </c>
      <c r="E4417" s="20">
        <v>10</v>
      </c>
      <c r="F4417" s="20">
        <v>10</v>
      </c>
      <c r="G4417" s="19">
        <f t="shared" si="320"/>
        <v>172</v>
      </c>
      <c r="H4417" s="22">
        <f t="shared" si="321"/>
        <v>4416</v>
      </c>
      <c r="I4417" s="21">
        <f t="shared" ca="1" si="313"/>
        <v>0</v>
      </c>
      <c r="J4417" s="21" t="str">
        <f ca="1">IF(I4417=0,"",COUNTIF($I$2:I4417,"&gt;0"))</f>
        <v/>
      </c>
      <c r="K4417" s="21" t="str">
        <f t="shared" ca="1" si="319"/>
        <v/>
      </c>
    </row>
    <row r="4418" spans="1:11" s="18" customFormat="1" ht="14.25" x14ac:dyDescent="0.2">
      <c r="A4418" s="18" t="str">
        <f t="shared" si="315"/>
        <v>Eintrag 4417</v>
      </c>
      <c r="B4418" s="18">
        <v>100</v>
      </c>
      <c r="C4418" s="19">
        <v>100</v>
      </c>
      <c r="D4418" s="20">
        <v>10</v>
      </c>
      <c r="E4418" s="20">
        <v>10</v>
      </c>
      <c r="F4418" s="20">
        <v>10</v>
      </c>
      <c r="G4418" s="19">
        <f t="shared" si="320"/>
        <v>172</v>
      </c>
      <c r="H4418" s="22">
        <f t="shared" si="321"/>
        <v>4417</v>
      </c>
      <c r="I4418" s="21">
        <f t="shared" ca="1" si="313"/>
        <v>0</v>
      </c>
      <c r="J4418" s="21" t="str">
        <f ca="1">IF(I4418=0,"",COUNTIF($I$2:I4418,"&gt;0"))</f>
        <v/>
      </c>
      <c r="K4418" s="21" t="str">
        <f t="shared" ref="K4418:K4481" ca="1" si="322">IFERROR(INDEX(A:A,MATCH(ROW(I4417),J:J,0)),"")</f>
        <v/>
      </c>
    </row>
    <row r="4419" spans="1:11" s="18" customFormat="1" ht="14.25" x14ac:dyDescent="0.2">
      <c r="A4419" s="18" t="str">
        <f t="shared" si="315"/>
        <v>Eintrag 4418</v>
      </c>
      <c r="B4419" s="18">
        <v>100</v>
      </c>
      <c r="C4419" s="19">
        <v>100</v>
      </c>
      <c r="D4419" s="20">
        <v>10</v>
      </c>
      <c r="E4419" s="20">
        <v>10</v>
      </c>
      <c r="F4419" s="20">
        <v>10</v>
      </c>
      <c r="G4419" s="19">
        <f t="shared" ref="G4419:G4482" si="323">D4419*9+E4419*4.1+F4419*4.1</f>
        <v>172</v>
      </c>
      <c r="H4419" s="22">
        <f t="shared" si="321"/>
        <v>4418</v>
      </c>
      <c r="I4419" s="21">
        <f t="shared" ca="1" si="313"/>
        <v>0</v>
      </c>
      <c r="J4419" s="21" t="str">
        <f ca="1">IF(I4419=0,"",COUNTIF($I$2:I4419,"&gt;0"))</f>
        <v/>
      </c>
      <c r="K4419" s="21" t="str">
        <f t="shared" ca="1" si="322"/>
        <v/>
      </c>
    </row>
    <row r="4420" spans="1:11" s="18" customFormat="1" ht="14.25" x14ac:dyDescent="0.2">
      <c r="A4420" s="18" t="str">
        <f t="shared" si="315"/>
        <v>Eintrag 4419</v>
      </c>
      <c r="B4420" s="18">
        <v>100</v>
      </c>
      <c r="C4420" s="19">
        <v>100</v>
      </c>
      <c r="D4420" s="20">
        <v>10</v>
      </c>
      <c r="E4420" s="20">
        <v>10</v>
      </c>
      <c r="F4420" s="20">
        <v>10</v>
      </c>
      <c r="G4420" s="19">
        <f t="shared" si="323"/>
        <v>172</v>
      </c>
      <c r="H4420" s="22">
        <f t="shared" si="321"/>
        <v>4419</v>
      </c>
      <c r="I4420" s="21">
        <f t="shared" ca="1" si="313"/>
        <v>0</v>
      </c>
      <c r="J4420" s="21" t="str">
        <f ca="1">IF(I4420=0,"",COUNTIF($I$2:I4420,"&gt;0"))</f>
        <v/>
      </c>
      <c r="K4420" s="21" t="str">
        <f t="shared" ca="1" si="322"/>
        <v/>
      </c>
    </row>
    <row r="4421" spans="1:11" s="18" customFormat="1" ht="14.25" x14ac:dyDescent="0.2">
      <c r="A4421" s="18" t="str">
        <f t="shared" si="315"/>
        <v>Eintrag 4420</v>
      </c>
      <c r="B4421" s="18">
        <v>100</v>
      </c>
      <c r="C4421" s="19">
        <v>100</v>
      </c>
      <c r="D4421" s="20">
        <v>10</v>
      </c>
      <c r="E4421" s="20">
        <v>10</v>
      </c>
      <c r="F4421" s="20">
        <v>10</v>
      </c>
      <c r="G4421" s="19">
        <f t="shared" si="323"/>
        <v>172</v>
      </c>
      <c r="H4421" s="22">
        <f t="shared" si="321"/>
        <v>4420</v>
      </c>
      <c r="I4421" s="21">
        <f t="shared" ca="1" si="313"/>
        <v>0</v>
      </c>
      <c r="J4421" s="21" t="str">
        <f ca="1">IF(I4421=0,"",COUNTIF($I$2:I4421,"&gt;0"))</f>
        <v/>
      </c>
      <c r="K4421" s="21" t="str">
        <f t="shared" ca="1" si="322"/>
        <v/>
      </c>
    </row>
    <row r="4422" spans="1:11" s="18" customFormat="1" ht="14.25" x14ac:dyDescent="0.2">
      <c r="A4422" s="18" t="str">
        <f t="shared" si="315"/>
        <v>Eintrag 4421</v>
      </c>
      <c r="B4422" s="18">
        <v>100</v>
      </c>
      <c r="C4422" s="19">
        <v>100</v>
      </c>
      <c r="D4422" s="20">
        <v>10</v>
      </c>
      <c r="E4422" s="20">
        <v>10</v>
      </c>
      <c r="F4422" s="20">
        <v>10</v>
      </c>
      <c r="G4422" s="19">
        <f t="shared" si="323"/>
        <v>172</v>
      </c>
      <c r="H4422" s="22">
        <f t="shared" si="321"/>
        <v>4421</v>
      </c>
      <c r="I4422" s="21">
        <f t="shared" ca="1" si="313"/>
        <v>0</v>
      </c>
      <c r="J4422" s="21" t="str">
        <f ca="1">IF(I4422=0,"",COUNTIF($I$2:I4422,"&gt;0"))</f>
        <v/>
      </c>
      <c r="K4422" s="21" t="str">
        <f t="shared" ca="1" si="322"/>
        <v/>
      </c>
    </row>
    <row r="4423" spans="1:11" s="18" customFormat="1" ht="14.25" x14ac:dyDescent="0.2">
      <c r="A4423" s="18" t="str">
        <f t="shared" si="315"/>
        <v>Eintrag 4422</v>
      </c>
      <c r="B4423" s="18">
        <v>100</v>
      </c>
      <c r="C4423" s="19">
        <v>100</v>
      </c>
      <c r="D4423" s="20">
        <v>10</v>
      </c>
      <c r="E4423" s="20">
        <v>10</v>
      </c>
      <c r="F4423" s="20">
        <v>10</v>
      </c>
      <c r="G4423" s="19">
        <f t="shared" si="323"/>
        <v>172</v>
      </c>
      <c r="H4423" s="22">
        <f t="shared" si="321"/>
        <v>4422</v>
      </c>
      <c r="I4423" s="21">
        <f t="shared" ca="1" si="313"/>
        <v>0</v>
      </c>
      <c r="J4423" s="21" t="str">
        <f ca="1">IF(I4423=0,"",COUNTIF($I$2:I4423,"&gt;0"))</f>
        <v/>
      </c>
      <c r="K4423" s="21" t="str">
        <f t="shared" ca="1" si="322"/>
        <v/>
      </c>
    </row>
    <row r="4424" spans="1:11" s="18" customFormat="1" ht="14.25" x14ac:dyDescent="0.2">
      <c r="A4424" s="18" t="str">
        <f t="shared" si="315"/>
        <v>Eintrag 4423</v>
      </c>
      <c r="B4424" s="18">
        <v>100</v>
      </c>
      <c r="C4424" s="19">
        <v>100</v>
      </c>
      <c r="D4424" s="20">
        <v>10</v>
      </c>
      <c r="E4424" s="20">
        <v>10</v>
      </c>
      <c r="F4424" s="20">
        <v>10</v>
      </c>
      <c r="G4424" s="19">
        <f t="shared" si="323"/>
        <v>172</v>
      </c>
      <c r="H4424" s="22">
        <f t="shared" si="321"/>
        <v>4423</v>
      </c>
      <c r="I4424" s="21">
        <f t="shared" ca="1" si="313"/>
        <v>0</v>
      </c>
      <c r="J4424" s="21" t="str">
        <f ca="1">IF(I4424=0,"",COUNTIF($I$2:I4424,"&gt;0"))</f>
        <v/>
      </c>
      <c r="K4424" s="21" t="str">
        <f t="shared" ca="1" si="322"/>
        <v/>
      </c>
    </row>
    <row r="4425" spans="1:11" s="18" customFormat="1" ht="14.25" x14ac:dyDescent="0.2">
      <c r="A4425" s="18" t="str">
        <f t="shared" si="315"/>
        <v>Eintrag 4424</v>
      </c>
      <c r="B4425" s="18">
        <v>100</v>
      </c>
      <c r="C4425" s="19">
        <v>100</v>
      </c>
      <c r="D4425" s="20">
        <v>10</v>
      </c>
      <c r="E4425" s="20">
        <v>10</v>
      </c>
      <c r="F4425" s="20">
        <v>10</v>
      </c>
      <c r="G4425" s="19">
        <f t="shared" si="323"/>
        <v>172</v>
      </c>
      <c r="H4425" s="22">
        <f t="shared" si="321"/>
        <v>4424</v>
      </c>
      <c r="I4425" s="21">
        <f t="shared" ca="1" si="313"/>
        <v>0</v>
      </c>
      <c r="J4425" s="21" t="str">
        <f ca="1">IF(I4425=0,"",COUNTIF($I$2:I4425,"&gt;0"))</f>
        <v/>
      </c>
      <c r="K4425" s="21" t="str">
        <f t="shared" ca="1" si="322"/>
        <v/>
      </c>
    </row>
    <row r="4426" spans="1:11" s="18" customFormat="1" ht="14.25" x14ac:dyDescent="0.2">
      <c r="A4426" s="18" t="str">
        <f t="shared" si="315"/>
        <v>Eintrag 4425</v>
      </c>
      <c r="B4426" s="18">
        <v>100</v>
      </c>
      <c r="C4426" s="19">
        <v>100</v>
      </c>
      <c r="D4426" s="20">
        <v>10</v>
      </c>
      <c r="E4426" s="20">
        <v>10</v>
      </c>
      <c r="F4426" s="20">
        <v>10</v>
      </c>
      <c r="G4426" s="19">
        <f t="shared" si="323"/>
        <v>172</v>
      </c>
      <c r="H4426" s="22">
        <f t="shared" si="321"/>
        <v>4425</v>
      </c>
      <c r="I4426" s="21">
        <f t="shared" ca="1" si="313"/>
        <v>0</v>
      </c>
      <c r="J4426" s="21" t="str">
        <f ca="1">IF(I4426=0,"",COUNTIF($I$2:I4426,"&gt;0"))</f>
        <v/>
      </c>
      <c r="K4426" s="21" t="str">
        <f t="shared" ca="1" si="322"/>
        <v/>
      </c>
    </row>
    <row r="4427" spans="1:11" s="18" customFormat="1" ht="14.25" x14ac:dyDescent="0.2">
      <c r="A4427" s="18" t="str">
        <f t="shared" si="315"/>
        <v>Eintrag 4426</v>
      </c>
      <c r="B4427" s="18">
        <v>100</v>
      </c>
      <c r="C4427" s="19">
        <v>100</v>
      </c>
      <c r="D4427" s="20">
        <v>10</v>
      </c>
      <c r="E4427" s="20">
        <v>10</v>
      </c>
      <c r="F4427" s="20">
        <v>10</v>
      </c>
      <c r="G4427" s="19">
        <f t="shared" si="323"/>
        <v>172</v>
      </c>
      <c r="H4427" s="22">
        <f t="shared" si="321"/>
        <v>4426</v>
      </c>
      <c r="I4427" s="21">
        <f t="shared" ca="1" si="313"/>
        <v>0</v>
      </c>
      <c r="J4427" s="21" t="str">
        <f ca="1">IF(I4427=0,"",COUNTIF($I$2:I4427,"&gt;0"))</f>
        <v/>
      </c>
      <c r="K4427" s="21" t="str">
        <f t="shared" ca="1" si="322"/>
        <v/>
      </c>
    </row>
    <row r="4428" spans="1:11" s="18" customFormat="1" ht="14.25" x14ac:dyDescent="0.2">
      <c r="A4428" s="18" t="str">
        <f t="shared" si="315"/>
        <v>Eintrag 4427</v>
      </c>
      <c r="B4428" s="18">
        <v>100</v>
      </c>
      <c r="C4428" s="19">
        <v>100</v>
      </c>
      <c r="D4428" s="20">
        <v>10</v>
      </c>
      <c r="E4428" s="20">
        <v>10</v>
      </c>
      <c r="F4428" s="20">
        <v>10</v>
      </c>
      <c r="G4428" s="19">
        <f t="shared" si="323"/>
        <v>172</v>
      </c>
      <c r="H4428" s="22">
        <f t="shared" si="321"/>
        <v>4427</v>
      </c>
      <c r="I4428" s="21">
        <f t="shared" ca="1" si="313"/>
        <v>0</v>
      </c>
      <c r="J4428" s="21" t="str">
        <f ca="1">IF(I4428=0,"",COUNTIF($I$2:I4428,"&gt;0"))</f>
        <v/>
      </c>
      <c r="K4428" s="21" t="str">
        <f t="shared" ca="1" si="322"/>
        <v/>
      </c>
    </row>
    <row r="4429" spans="1:11" s="18" customFormat="1" ht="14.25" x14ac:dyDescent="0.2">
      <c r="A4429" s="18" t="str">
        <f t="shared" si="315"/>
        <v>Eintrag 4428</v>
      </c>
      <c r="B4429" s="18">
        <v>100</v>
      </c>
      <c r="C4429" s="19">
        <v>100</v>
      </c>
      <c r="D4429" s="20">
        <v>10</v>
      </c>
      <c r="E4429" s="20">
        <v>10</v>
      </c>
      <c r="F4429" s="20">
        <v>10</v>
      </c>
      <c r="G4429" s="19">
        <f t="shared" si="323"/>
        <v>172</v>
      </c>
      <c r="H4429" s="22">
        <f t="shared" si="321"/>
        <v>4428</v>
      </c>
      <c r="I4429" s="21">
        <f t="shared" ca="1" si="313"/>
        <v>0</v>
      </c>
      <c r="J4429" s="21" t="str">
        <f ca="1">IF(I4429=0,"",COUNTIF($I$2:I4429,"&gt;0"))</f>
        <v/>
      </c>
      <c r="K4429" s="21" t="str">
        <f t="shared" ca="1" si="322"/>
        <v/>
      </c>
    </row>
    <row r="4430" spans="1:11" s="18" customFormat="1" ht="14.25" x14ac:dyDescent="0.2">
      <c r="A4430" s="18" t="str">
        <f t="shared" si="315"/>
        <v>Eintrag 4429</v>
      </c>
      <c r="B4430" s="18">
        <v>100</v>
      </c>
      <c r="C4430" s="19">
        <v>100</v>
      </c>
      <c r="D4430" s="20">
        <v>10</v>
      </c>
      <c r="E4430" s="20">
        <v>10</v>
      </c>
      <c r="F4430" s="20">
        <v>10</v>
      </c>
      <c r="G4430" s="19">
        <f t="shared" si="323"/>
        <v>172</v>
      </c>
      <c r="H4430" s="22">
        <f t="shared" si="321"/>
        <v>4429</v>
      </c>
      <c r="I4430" s="21">
        <f t="shared" ca="1" si="313"/>
        <v>0</v>
      </c>
      <c r="J4430" s="21" t="str">
        <f ca="1">IF(I4430=0,"",COUNTIF($I$2:I4430,"&gt;0"))</f>
        <v/>
      </c>
      <c r="K4430" s="21" t="str">
        <f t="shared" ca="1" si="322"/>
        <v/>
      </c>
    </row>
    <row r="4431" spans="1:11" s="18" customFormat="1" ht="14.25" x14ac:dyDescent="0.2">
      <c r="A4431" s="18" t="str">
        <f t="shared" si="315"/>
        <v>Eintrag 4430</v>
      </c>
      <c r="B4431" s="18">
        <v>100</v>
      </c>
      <c r="C4431" s="19">
        <v>100</v>
      </c>
      <c r="D4431" s="20">
        <v>10</v>
      </c>
      <c r="E4431" s="20">
        <v>10</v>
      </c>
      <c r="F4431" s="20">
        <v>10</v>
      </c>
      <c r="G4431" s="19">
        <f t="shared" si="323"/>
        <v>172</v>
      </c>
      <c r="H4431" s="22">
        <f t="shared" si="321"/>
        <v>4430</v>
      </c>
      <c r="I4431" s="21">
        <f t="shared" ca="1" si="313"/>
        <v>0</v>
      </c>
      <c r="J4431" s="21" t="str">
        <f ca="1">IF(I4431=0,"",COUNTIF($I$2:I4431,"&gt;0"))</f>
        <v/>
      </c>
      <c r="K4431" s="21" t="str">
        <f t="shared" ca="1" si="322"/>
        <v/>
      </c>
    </row>
    <row r="4432" spans="1:11" s="18" customFormat="1" ht="14.25" x14ac:dyDescent="0.2">
      <c r="A4432" s="18" t="str">
        <f t="shared" si="315"/>
        <v>Eintrag 4431</v>
      </c>
      <c r="B4432" s="18">
        <v>100</v>
      </c>
      <c r="C4432" s="19">
        <v>100</v>
      </c>
      <c r="D4432" s="20">
        <v>10</v>
      </c>
      <c r="E4432" s="20">
        <v>10</v>
      </c>
      <c r="F4432" s="20">
        <v>10</v>
      </c>
      <c r="G4432" s="19">
        <f t="shared" si="323"/>
        <v>172</v>
      </c>
      <c r="H4432" s="22">
        <f t="shared" si="321"/>
        <v>4431</v>
      </c>
      <c r="I4432" s="21">
        <f t="shared" ca="1" si="313"/>
        <v>0</v>
      </c>
      <c r="J4432" s="21" t="str">
        <f ca="1">IF(I4432=0,"",COUNTIF($I$2:I4432,"&gt;0"))</f>
        <v/>
      </c>
      <c r="K4432" s="21" t="str">
        <f t="shared" ca="1" si="322"/>
        <v/>
      </c>
    </row>
    <row r="4433" spans="1:11" s="18" customFormat="1" ht="14.25" x14ac:dyDescent="0.2">
      <c r="A4433" s="18" t="str">
        <f t="shared" si="315"/>
        <v>Eintrag 4432</v>
      </c>
      <c r="B4433" s="18">
        <v>100</v>
      </c>
      <c r="C4433" s="19">
        <v>100</v>
      </c>
      <c r="D4433" s="20">
        <v>10</v>
      </c>
      <c r="E4433" s="20">
        <v>10</v>
      </c>
      <c r="F4433" s="20">
        <v>10</v>
      </c>
      <c r="G4433" s="19">
        <f t="shared" si="323"/>
        <v>172</v>
      </c>
      <c r="H4433" s="22">
        <f t="shared" si="321"/>
        <v>4432</v>
      </c>
      <c r="I4433" s="21">
        <f t="shared" ca="1" si="313"/>
        <v>0</v>
      </c>
      <c r="J4433" s="21" t="str">
        <f ca="1">IF(I4433=0,"",COUNTIF($I$2:I4433,"&gt;0"))</f>
        <v/>
      </c>
      <c r="K4433" s="21" t="str">
        <f t="shared" ca="1" si="322"/>
        <v/>
      </c>
    </row>
    <row r="4434" spans="1:11" s="18" customFormat="1" ht="14.25" x14ac:dyDescent="0.2">
      <c r="A4434" s="18" t="str">
        <f t="shared" si="315"/>
        <v>Eintrag 4433</v>
      </c>
      <c r="B4434" s="18">
        <v>100</v>
      </c>
      <c r="C4434" s="19">
        <v>100</v>
      </c>
      <c r="D4434" s="20">
        <v>10</v>
      </c>
      <c r="E4434" s="20">
        <v>10</v>
      </c>
      <c r="F4434" s="20">
        <v>10</v>
      </c>
      <c r="G4434" s="19">
        <f t="shared" si="323"/>
        <v>172</v>
      </c>
      <c r="H4434" s="22">
        <f t="shared" si="321"/>
        <v>4433</v>
      </c>
      <c r="I4434" s="21">
        <f t="shared" ca="1" si="313"/>
        <v>0</v>
      </c>
      <c r="J4434" s="21" t="str">
        <f ca="1">IF(I4434=0,"",COUNTIF($I$2:I4434,"&gt;0"))</f>
        <v/>
      </c>
      <c r="K4434" s="21" t="str">
        <f t="shared" ca="1" si="322"/>
        <v/>
      </c>
    </row>
    <row r="4435" spans="1:11" s="18" customFormat="1" ht="14.25" x14ac:dyDescent="0.2">
      <c r="A4435" s="18" t="str">
        <f t="shared" si="315"/>
        <v>Eintrag 4434</v>
      </c>
      <c r="B4435" s="18">
        <v>100</v>
      </c>
      <c r="C4435" s="19">
        <v>100</v>
      </c>
      <c r="D4435" s="20">
        <v>10</v>
      </c>
      <c r="E4435" s="20">
        <v>10</v>
      </c>
      <c r="F4435" s="20">
        <v>10</v>
      </c>
      <c r="G4435" s="19">
        <f t="shared" si="323"/>
        <v>172</v>
      </c>
      <c r="H4435" s="22">
        <f t="shared" si="321"/>
        <v>4434</v>
      </c>
      <c r="I4435" s="21">
        <f t="shared" ca="1" si="313"/>
        <v>0</v>
      </c>
      <c r="J4435" s="21" t="str">
        <f ca="1">IF(I4435=0,"",COUNTIF($I$2:I4435,"&gt;0"))</f>
        <v/>
      </c>
      <c r="K4435" s="21" t="str">
        <f t="shared" ca="1" si="322"/>
        <v/>
      </c>
    </row>
    <row r="4436" spans="1:11" s="18" customFormat="1" ht="14.25" x14ac:dyDescent="0.2">
      <c r="A4436" s="18" t="str">
        <f t="shared" si="315"/>
        <v>Eintrag 4435</v>
      </c>
      <c r="B4436" s="18">
        <v>100</v>
      </c>
      <c r="C4436" s="19">
        <v>100</v>
      </c>
      <c r="D4436" s="20">
        <v>10</v>
      </c>
      <c r="E4436" s="20">
        <v>10</v>
      </c>
      <c r="F4436" s="20">
        <v>10</v>
      </c>
      <c r="G4436" s="19">
        <f t="shared" si="323"/>
        <v>172</v>
      </c>
      <c r="H4436" s="22">
        <f t="shared" si="321"/>
        <v>4435</v>
      </c>
      <c r="I4436" s="21">
        <f t="shared" ca="1" si="313"/>
        <v>0</v>
      </c>
      <c r="J4436" s="21" t="str">
        <f ca="1">IF(I4436=0,"",COUNTIF($I$2:I4436,"&gt;0"))</f>
        <v/>
      </c>
      <c r="K4436" s="21" t="str">
        <f t="shared" ca="1" si="322"/>
        <v/>
      </c>
    </row>
    <row r="4437" spans="1:11" s="18" customFormat="1" ht="14.25" x14ac:dyDescent="0.2">
      <c r="A4437" s="18" t="str">
        <f t="shared" ref="A4437:A4500" si="324">CONCATENATE("Eintrag ",H4437)</f>
        <v>Eintrag 4436</v>
      </c>
      <c r="B4437" s="18">
        <v>100</v>
      </c>
      <c r="C4437" s="19">
        <v>100</v>
      </c>
      <c r="D4437" s="20">
        <v>10</v>
      </c>
      <c r="E4437" s="20">
        <v>10</v>
      </c>
      <c r="F4437" s="20">
        <v>10</v>
      </c>
      <c r="G4437" s="19">
        <f t="shared" si="323"/>
        <v>172</v>
      </c>
      <c r="H4437" s="22">
        <f t="shared" si="321"/>
        <v>4436</v>
      </c>
      <c r="I4437" s="21">
        <f t="shared" ca="1" si="313"/>
        <v>0</v>
      </c>
      <c r="J4437" s="21" t="str">
        <f ca="1">IF(I4437=0,"",COUNTIF($I$2:I4437,"&gt;0"))</f>
        <v/>
      </c>
      <c r="K4437" s="21" t="str">
        <f t="shared" ca="1" si="322"/>
        <v/>
      </c>
    </row>
    <row r="4438" spans="1:11" s="18" customFormat="1" ht="14.25" x14ac:dyDescent="0.2">
      <c r="A4438" s="18" t="str">
        <f t="shared" si="324"/>
        <v>Eintrag 4437</v>
      </c>
      <c r="B4438" s="18">
        <v>100</v>
      </c>
      <c r="C4438" s="19">
        <v>100</v>
      </c>
      <c r="D4438" s="20">
        <v>10</v>
      </c>
      <c r="E4438" s="20">
        <v>10</v>
      </c>
      <c r="F4438" s="20">
        <v>10</v>
      </c>
      <c r="G4438" s="19">
        <f t="shared" si="323"/>
        <v>172</v>
      </c>
      <c r="H4438" s="22">
        <f t="shared" si="321"/>
        <v>4437</v>
      </c>
      <c r="I4438" s="21">
        <f t="shared" ca="1" si="313"/>
        <v>0</v>
      </c>
      <c r="J4438" s="21" t="str">
        <f ca="1">IF(I4438=0,"",COUNTIF($I$2:I4438,"&gt;0"))</f>
        <v/>
      </c>
      <c r="K4438" s="21" t="str">
        <f t="shared" ca="1" si="322"/>
        <v/>
      </c>
    </row>
    <row r="4439" spans="1:11" s="18" customFormat="1" ht="14.25" x14ac:dyDescent="0.2">
      <c r="A4439" s="18" t="str">
        <f t="shared" si="324"/>
        <v>Eintrag 4438</v>
      </c>
      <c r="B4439" s="18">
        <v>100</v>
      </c>
      <c r="C4439" s="19">
        <v>100</v>
      </c>
      <c r="D4439" s="20">
        <v>10</v>
      </c>
      <c r="E4439" s="20">
        <v>10</v>
      </c>
      <c r="F4439" s="20">
        <v>10</v>
      </c>
      <c r="G4439" s="19">
        <f t="shared" si="323"/>
        <v>172</v>
      </c>
      <c r="H4439" s="22">
        <f t="shared" si="321"/>
        <v>4438</v>
      </c>
      <c r="I4439" s="21">
        <f t="shared" ca="1" si="313"/>
        <v>0</v>
      </c>
      <c r="J4439" s="21" t="str">
        <f ca="1">IF(I4439=0,"",COUNTIF($I$2:I4439,"&gt;0"))</f>
        <v/>
      </c>
      <c r="K4439" s="21" t="str">
        <f t="shared" ca="1" si="322"/>
        <v/>
      </c>
    </row>
    <row r="4440" spans="1:11" s="18" customFormat="1" ht="14.25" x14ac:dyDescent="0.2">
      <c r="A4440" s="18" t="str">
        <f t="shared" si="324"/>
        <v>Eintrag 4439</v>
      </c>
      <c r="B4440" s="18">
        <v>100</v>
      </c>
      <c r="C4440" s="19">
        <v>100</v>
      </c>
      <c r="D4440" s="20">
        <v>10</v>
      </c>
      <c r="E4440" s="20">
        <v>10</v>
      </c>
      <c r="F4440" s="20">
        <v>10</v>
      </c>
      <c r="G4440" s="19">
        <f t="shared" si="323"/>
        <v>172</v>
      </c>
      <c r="H4440" s="22">
        <f t="shared" si="321"/>
        <v>4439</v>
      </c>
      <c r="I4440" s="21">
        <f t="shared" ca="1" si="313"/>
        <v>0</v>
      </c>
      <c r="J4440" s="21" t="str">
        <f ca="1">IF(I4440=0,"",COUNTIF($I$2:I4440,"&gt;0"))</f>
        <v/>
      </c>
      <c r="K4440" s="21" t="str">
        <f t="shared" ca="1" si="322"/>
        <v/>
      </c>
    </row>
    <row r="4441" spans="1:11" s="18" customFormat="1" ht="14.25" x14ac:dyDescent="0.2">
      <c r="A4441" s="18" t="str">
        <f t="shared" si="324"/>
        <v>Eintrag 4440</v>
      </c>
      <c r="B4441" s="18">
        <v>100</v>
      </c>
      <c r="C4441" s="19">
        <v>100</v>
      </c>
      <c r="D4441" s="20">
        <v>10</v>
      </c>
      <c r="E4441" s="20">
        <v>10</v>
      </c>
      <c r="F4441" s="20">
        <v>10</v>
      </c>
      <c r="G4441" s="19">
        <f t="shared" si="323"/>
        <v>172</v>
      </c>
      <c r="H4441" s="22">
        <f t="shared" si="321"/>
        <v>4440</v>
      </c>
      <c r="I4441" s="21">
        <f t="shared" ca="1" si="313"/>
        <v>0</v>
      </c>
      <c r="J4441" s="21" t="str">
        <f ca="1">IF(I4441=0,"",COUNTIF($I$2:I4441,"&gt;0"))</f>
        <v/>
      </c>
      <c r="K4441" s="21" t="str">
        <f t="shared" ca="1" si="322"/>
        <v/>
      </c>
    </row>
    <row r="4442" spans="1:11" s="18" customFormat="1" ht="14.25" x14ac:dyDescent="0.2">
      <c r="A4442" s="18" t="str">
        <f t="shared" si="324"/>
        <v>Eintrag 4441</v>
      </c>
      <c r="B4442" s="18">
        <v>100</v>
      </c>
      <c r="C4442" s="19">
        <v>100</v>
      </c>
      <c r="D4442" s="20">
        <v>10</v>
      </c>
      <c r="E4442" s="20">
        <v>10</v>
      </c>
      <c r="F4442" s="20">
        <v>10</v>
      </c>
      <c r="G4442" s="19">
        <f t="shared" si="323"/>
        <v>172</v>
      </c>
      <c r="H4442" s="22">
        <f t="shared" si="321"/>
        <v>4441</v>
      </c>
      <c r="I4442" s="21">
        <f t="shared" ca="1" si="313"/>
        <v>0</v>
      </c>
      <c r="J4442" s="21" t="str">
        <f ca="1">IF(I4442=0,"",COUNTIF($I$2:I4442,"&gt;0"))</f>
        <v/>
      </c>
      <c r="K4442" s="21" t="str">
        <f t="shared" ca="1" si="322"/>
        <v/>
      </c>
    </row>
    <row r="4443" spans="1:11" s="18" customFormat="1" ht="14.25" x14ac:dyDescent="0.2">
      <c r="A4443" s="18" t="str">
        <f t="shared" si="324"/>
        <v>Eintrag 4442</v>
      </c>
      <c r="B4443" s="18">
        <v>100</v>
      </c>
      <c r="C4443" s="19">
        <v>100</v>
      </c>
      <c r="D4443" s="20">
        <v>10</v>
      </c>
      <c r="E4443" s="20">
        <v>10</v>
      </c>
      <c r="F4443" s="20">
        <v>10</v>
      </c>
      <c r="G4443" s="19">
        <f t="shared" si="323"/>
        <v>172</v>
      </c>
      <c r="H4443" s="22">
        <f t="shared" si="321"/>
        <v>4442</v>
      </c>
      <c r="I4443" s="21">
        <f t="shared" ca="1" si="313"/>
        <v>0</v>
      </c>
      <c r="J4443" s="21" t="str">
        <f ca="1">IF(I4443=0,"",COUNTIF($I$2:I4443,"&gt;0"))</f>
        <v/>
      </c>
      <c r="K4443" s="21" t="str">
        <f t="shared" ca="1" si="322"/>
        <v/>
      </c>
    </row>
    <row r="4444" spans="1:11" s="18" customFormat="1" ht="14.25" x14ac:dyDescent="0.2">
      <c r="A4444" s="18" t="str">
        <f t="shared" si="324"/>
        <v>Eintrag 4443</v>
      </c>
      <c r="B4444" s="18">
        <v>100</v>
      </c>
      <c r="C4444" s="19">
        <v>100</v>
      </c>
      <c r="D4444" s="20">
        <v>10</v>
      </c>
      <c r="E4444" s="20">
        <v>10</v>
      </c>
      <c r="F4444" s="20">
        <v>10</v>
      </c>
      <c r="G4444" s="19">
        <f t="shared" si="323"/>
        <v>172</v>
      </c>
      <c r="H4444" s="22">
        <f t="shared" si="321"/>
        <v>4443</v>
      </c>
      <c r="I4444" s="21">
        <f t="shared" ca="1" si="313"/>
        <v>0</v>
      </c>
      <c r="J4444" s="21" t="str">
        <f ca="1">IF(I4444=0,"",COUNTIF($I$2:I4444,"&gt;0"))</f>
        <v/>
      </c>
      <c r="K4444" s="21" t="str">
        <f t="shared" ca="1" si="322"/>
        <v/>
      </c>
    </row>
    <row r="4445" spans="1:11" s="18" customFormat="1" ht="14.25" x14ac:dyDescent="0.2">
      <c r="A4445" s="18" t="str">
        <f t="shared" si="324"/>
        <v>Eintrag 4444</v>
      </c>
      <c r="B4445" s="18">
        <v>100</v>
      </c>
      <c r="C4445" s="19">
        <v>100</v>
      </c>
      <c r="D4445" s="20">
        <v>10</v>
      </c>
      <c r="E4445" s="20">
        <v>10</v>
      </c>
      <c r="F4445" s="20">
        <v>10</v>
      </c>
      <c r="G4445" s="19">
        <f t="shared" si="323"/>
        <v>172</v>
      </c>
      <c r="H4445" s="22">
        <f t="shared" si="321"/>
        <v>4444</v>
      </c>
      <c r="I4445" s="21">
        <f t="shared" ca="1" si="313"/>
        <v>0</v>
      </c>
      <c r="J4445" s="21" t="str">
        <f ca="1">IF(I4445=0,"",COUNTIF($I$2:I4445,"&gt;0"))</f>
        <v/>
      </c>
      <c r="K4445" s="21" t="str">
        <f t="shared" ca="1" si="322"/>
        <v/>
      </c>
    </row>
    <row r="4446" spans="1:11" s="18" customFormat="1" ht="14.25" x14ac:dyDescent="0.2">
      <c r="A4446" s="18" t="str">
        <f t="shared" si="324"/>
        <v>Eintrag 4445</v>
      </c>
      <c r="B4446" s="18">
        <v>100</v>
      </c>
      <c r="C4446" s="19">
        <v>100</v>
      </c>
      <c r="D4446" s="20">
        <v>10</v>
      </c>
      <c r="E4446" s="20">
        <v>10</v>
      </c>
      <c r="F4446" s="20">
        <v>10</v>
      </c>
      <c r="G4446" s="19">
        <f t="shared" si="323"/>
        <v>172</v>
      </c>
      <c r="H4446" s="22">
        <f t="shared" si="321"/>
        <v>4445</v>
      </c>
      <c r="I4446" s="21">
        <f t="shared" ca="1" si="313"/>
        <v>0</v>
      </c>
      <c r="J4446" s="21" t="str">
        <f ca="1">IF(I4446=0,"",COUNTIF($I$2:I4446,"&gt;0"))</f>
        <v/>
      </c>
      <c r="K4446" s="21" t="str">
        <f t="shared" ca="1" si="322"/>
        <v/>
      </c>
    </row>
    <row r="4447" spans="1:11" s="18" customFormat="1" ht="14.25" x14ac:dyDescent="0.2">
      <c r="A4447" s="18" t="str">
        <f t="shared" si="324"/>
        <v>Eintrag 4446</v>
      </c>
      <c r="B4447" s="18">
        <v>100</v>
      </c>
      <c r="C4447" s="19">
        <v>100</v>
      </c>
      <c r="D4447" s="20">
        <v>10</v>
      </c>
      <c r="E4447" s="20">
        <v>10</v>
      </c>
      <c r="F4447" s="20">
        <v>10</v>
      </c>
      <c r="G4447" s="19">
        <f t="shared" si="323"/>
        <v>172</v>
      </c>
      <c r="H4447" s="22">
        <f t="shared" si="321"/>
        <v>4446</v>
      </c>
      <c r="I4447" s="21">
        <f t="shared" ca="1" si="313"/>
        <v>0</v>
      </c>
      <c r="J4447" s="21" t="str">
        <f ca="1">IF(I4447=0,"",COUNTIF($I$2:I4447,"&gt;0"))</f>
        <v/>
      </c>
      <c r="K4447" s="21" t="str">
        <f t="shared" ca="1" si="322"/>
        <v/>
      </c>
    </row>
    <row r="4448" spans="1:11" s="18" customFormat="1" ht="14.25" x14ac:dyDescent="0.2">
      <c r="A4448" s="18" t="str">
        <f t="shared" si="324"/>
        <v>Eintrag 4447</v>
      </c>
      <c r="B4448" s="18">
        <v>100</v>
      </c>
      <c r="C4448" s="19">
        <v>100</v>
      </c>
      <c r="D4448" s="20">
        <v>10</v>
      </c>
      <c r="E4448" s="20">
        <v>10</v>
      </c>
      <c r="F4448" s="20">
        <v>10</v>
      </c>
      <c r="G4448" s="19">
        <f t="shared" si="323"/>
        <v>172</v>
      </c>
      <c r="H4448" s="22">
        <f t="shared" si="321"/>
        <v>4447</v>
      </c>
      <c r="I4448" s="21">
        <f t="shared" ca="1" si="313"/>
        <v>0</v>
      </c>
      <c r="J4448" s="21" t="str">
        <f ca="1">IF(I4448=0,"",COUNTIF($I$2:I4448,"&gt;0"))</f>
        <v/>
      </c>
      <c r="K4448" s="21" t="str">
        <f t="shared" ca="1" si="322"/>
        <v/>
      </c>
    </row>
    <row r="4449" spans="1:11" s="18" customFormat="1" ht="14.25" x14ac:dyDescent="0.2">
      <c r="A4449" s="18" t="str">
        <f t="shared" si="324"/>
        <v>Eintrag 4448</v>
      </c>
      <c r="B4449" s="18">
        <v>100</v>
      </c>
      <c r="C4449" s="19">
        <v>100</v>
      </c>
      <c r="D4449" s="20">
        <v>10</v>
      </c>
      <c r="E4449" s="20">
        <v>10</v>
      </c>
      <c r="F4449" s="20">
        <v>10</v>
      </c>
      <c r="G4449" s="19">
        <f t="shared" si="323"/>
        <v>172</v>
      </c>
      <c r="H4449" s="22">
        <f t="shared" si="321"/>
        <v>4448</v>
      </c>
      <c r="I4449" s="21">
        <f t="shared" ca="1" si="313"/>
        <v>0</v>
      </c>
      <c r="J4449" s="21" t="str">
        <f ca="1">IF(I4449=0,"",COUNTIF($I$2:I4449,"&gt;0"))</f>
        <v/>
      </c>
      <c r="K4449" s="21" t="str">
        <f t="shared" ca="1" si="322"/>
        <v/>
      </c>
    </row>
    <row r="4450" spans="1:11" s="18" customFormat="1" ht="14.25" x14ac:dyDescent="0.2">
      <c r="A4450" s="18" t="str">
        <f t="shared" si="324"/>
        <v>Eintrag 4449</v>
      </c>
      <c r="B4450" s="18">
        <v>100</v>
      </c>
      <c r="C4450" s="19">
        <v>100</v>
      </c>
      <c r="D4450" s="20">
        <v>10</v>
      </c>
      <c r="E4450" s="20">
        <v>10</v>
      </c>
      <c r="F4450" s="20">
        <v>10</v>
      </c>
      <c r="G4450" s="19">
        <f t="shared" si="323"/>
        <v>172</v>
      </c>
      <c r="H4450" s="22">
        <f t="shared" si="321"/>
        <v>4449</v>
      </c>
      <c r="I4450" s="21">
        <f t="shared" ca="1" si="313"/>
        <v>0</v>
      </c>
      <c r="J4450" s="21" t="str">
        <f ca="1">IF(I4450=0,"",COUNTIF($I$2:I4450,"&gt;0"))</f>
        <v/>
      </c>
      <c r="K4450" s="21" t="str">
        <f t="shared" ca="1" si="322"/>
        <v/>
      </c>
    </row>
    <row r="4451" spans="1:11" s="18" customFormat="1" ht="14.25" x14ac:dyDescent="0.2">
      <c r="A4451" s="18" t="str">
        <f t="shared" si="324"/>
        <v>Eintrag 4450</v>
      </c>
      <c r="B4451" s="18">
        <v>100</v>
      </c>
      <c r="C4451" s="19">
        <v>100</v>
      </c>
      <c r="D4451" s="20">
        <v>10</v>
      </c>
      <c r="E4451" s="20">
        <v>10</v>
      </c>
      <c r="F4451" s="20">
        <v>10</v>
      </c>
      <c r="G4451" s="19">
        <f t="shared" si="323"/>
        <v>172</v>
      </c>
      <c r="H4451" s="22">
        <f t="shared" si="321"/>
        <v>4450</v>
      </c>
      <c r="I4451" s="21">
        <f t="shared" ca="1" si="313"/>
        <v>0</v>
      </c>
      <c r="J4451" s="21" t="str">
        <f ca="1">IF(I4451=0,"",COUNTIF($I$2:I4451,"&gt;0"))</f>
        <v/>
      </c>
      <c r="K4451" s="21" t="str">
        <f t="shared" ca="1" si="322"/>
        <v/>
      </c>
    </row>
    <row r="4452" spans="1:11" s="18" customFormat="1" ht="14.25" x14ac:dyDescent="0.2">
      <c r="A4452" s="18" t="str">
        <f t="shared" si="324"/>
        <v>Eintrag 4451</v>
      </c>
      <c r="B4452" s="18">
        <v>100</v>
      </c>
      <c r="C4452" s="19">
        <v>100</v>
      </c>
      <c r="D4452" s="20">
        <v>10</v>
      </c>
      <c r="E4452" s="20">
        <v>10</v>
      </c>
      <c r="F4452" s="20">
        <v>10</v>
      </c>
      <c r="G4452" s="19">
        <f t="shared" si="323"/>
        <v>172</v>
      </c>
      <c r="H4452" s="22">
        <f t="shared" si="321"/>
        <v>4451</v>
      </c>
      <c r="I4452" s="21">
        <f t="shared" ca="1" si="313"/>
        <v>0</v>
      </c>
      <c r="J4452" s="21" t="str">
        <f ca="1">IF(I4452=0,"",COUNTIF($I$2:I4452,"&gt;0"))</f>
        <v/>
      </c>
      <c r="K4452" s="21" t="str">
        <f t="shared" ca="1" si="322"/>
        <v/>
      </c>
    </row>
    <row r="4453" spans="1:11" s="18" customFormat="1" ht="14.25" x14ac:dyDescent="0.2">
      <c r="A4453" s="18" t="str">
        <f t="shared" si="324"/>
        <v>Eintrag 4452</v>
      </c>
      <c r="B4453" s="18">
        <v>100</v>
      </c>
      <c r="C4453" s="19">
        <v>100</v>
      </c>
      <c r="D4453" s="20">
        <v>10</v>
      </c>
      <c r="E4453" s="20">
        <v>10</v>
      </c>
      <c r="F4453" s="20">
        <v>10</v>
      </c>
      <c r="G4453" s="19">
        <f t="shared" si="323"/>
        <v>172</v>
      </c>
      <c r="H4453" s="22">
        <f t="shared" ref="H4453:H4516" si="325">H4452+1</f>
        <v>4452</v>
      </c>
      <c r="I4453" s="21">
        <f t="shared" ca="1" si="313"/>
        <v>0</v>
      </c>
      <c r="J4453" s="21" t="str">
        <f ca="1">IF(I4453=0,"",COUNTIF($I$2:I4453,"&gt;0"))</f>
        <v/>
      </c>
      <c r="K4453" s="21" t="str">
        <f t="shared" ca="1" si="322"/>
        <v/>
      </c>
    </row>
    <row r="4454" spans="1:11" s="18" customFormat="1" ht="14.25" x14ac:dyDescent="0.2">
      <c r="A4454" s="18" t="str">
        <f t="shared" si="324"/>
        <v>Eintrag 4453</v>
      </c>
      <c r="B4454" s="18">
        <v>100</v>
      </c>
      <c r="C4454" s="19">
        <v>100</v>
      </c>
      <c r="D4454" s="20">
        <v>10</v>
      </c>
      <c r="E4454" s="20">
        <v>10</v>
      </c>
      <c r="F4454" s="20">
        <v>10</v>
      </c>
      <c r="G4454" s="19">
        <f t="shared" si="323"/>
        <v>172</v>
      </c>
      <c r="H4454" s="22">
        <f t="shared" si="325"/>
        <v>4453</v>
      </c>
      <c r="I4454" s="21">
        <f t="shared" ca="1" si="313"/>
        <v>0</v>
      </c>
      <c r="J4454" s="21" t="str">
        <f ca="1">IF(I4454=0,"",COUNTIF($I$2:I4454,"&gt;0"))</f>
        <v/>
      </c>
      <c r="K4454" s="21" t="str">
        <f t="shared" ca="1" si="322"/>
        <v/>
      </c>
    </row>
    <row r="4455" spans="1:11" s="18" customFormat="1" ht="14.25" x14ac:dyDescent="0.2">
      <c r="A4455" s="18" t="str">
        <f t="shared" si="324"/>
        <v>Eintrag 4454</v>
      </c>
      <c r="B4455" s="18">
        <v>100</v>
      </c>
      <c r="C4455" s="19">
        <v>100</v>
      </c>
      <c r="D4455" s="20">
        <v>10</v>
      </c>
      <c r="E4455" s="20">
        <v>10</v>
      </c>
      <c r="F4455" s="20">
        <v>10</v>
      </c>
      <c r="G4455" s="19">
        <f t="shared" si="323"/>
        <v>172</v>
      </c>
      <c r="H4455" s="22">
        <f t="shared" si="325"/>
        <v>4454</v>
      </c>
      <c r="I4455" s="21">
        <f t="shared" ca="1" si="313"/>
        <v>0</v>
      </c>
      <c r="J4455" s="21" t="str">
        <f ca="1">IF(I4455=0,"",COUNTIF($I$2:I4455,"&gt;0"))</f>
        <v/>
      </c>
      <c r="K4455" s="21" t="str">
        <f t="shared" ca="1" si="322"/>
        <v/>
      </c>
    </row>
    <row r="4456" spans="1:11" s="18" customFormat="1" ht="14.25" x14ac:dyDescent="0.2">
      <c r="A4456" s="18" t="str">
        <f t="shared" si="324"/>
        <v>Eintrag 4455</v>
      </c>
      <c r="B4456" s="18">
        <v>100</v>
      </c>
      <c r="C4456" s="19">
        <v>100</v>
      </c>
      <c r="D4456" s="20">
        <v>10</v>
      </c>
      <c r="E4456" s="20">
        <v>10</v>
      </c>
      <c r="F4456" s="20">
        <v>10</v>
      </c>
      <c r="G4456" s="19">
        <f t="shared" si="323"/>
        <v>172</v>
      </c>
      <c r="H4456" s="22">
        <f t="shared" si="325"/>
        <v>4455</v>
      </c>
      <c r="I4456" s="21">
        <f t="shared" ca="1" si="313"/>
        <v>0</v>
      </c>
      <c r="J4456" s="21" t="str">
        <f ca="1">IF(I4456=0,"",COUNTIF($I$2:I4456,"&gt;0"))</f>
        <v/>
      </c>
      <c r="K4456" s="21" t="str">
        <f t="shared" ca="1" si="322"/>
        <v/>
      </c>
    </row>
    <row r="4457" spans="1:11" s="18" customFormat="1" ht="14.25" x14ac:dyDescent="0.2">
      <c r="A4457" s="18" t="str">
        <f t="shared" si="324"/>
        <v>Eintrag 4456</v>
      </c>
      <c r="B4457" s="18">
        <v>100</v>
      </c>
      <c r="C4457" s="19">
        <v>100</v>
      </c>
      <c r="D4457" s="20">
        <v>10</v>
      </c>
      <c r="E4457" s="20">
        <v>10</v>
      </c>
      <c r="F4457" s="20">
        <v>10</v>
      </c>
      <c r="G4457" s="19">
        <f t="shared" si="323"/>
        <v>172</v>
      </c>
      <c r="H4457" s="22">
        <f t="shared" si="325"/>
        <v>4456</v>
      </c>
      <c r="I4457" s="21">
        <f t="shared" ca="1" si="313"/>
        <v>0</v>
      </c>
      <c r="J4457" s="21" t="str">
        <f ca="1">IF(I4457=0,"",COUNTIF($I$2:I4457,"&gt;0"))</f>
        <v/>
      </c>
      <c r="K4457" s="21" t="str">
        <f t="shared" ca="1" si="322"/>
        <v/>
      </c>
    </row>
    <row r="4458" spans="1:11" s="18" customFormat="1" ht="14.25" x14ac:dyDescent="0.2">
      <c r="A4458" s="18" t="str">
        <f t="shared" si="324"/>
        <v>Eintrag 4457</v>
      </c>
      <c r="B4458" s="18">
        <v>100</v>
      </c>
      <c r="C4458" s="19">
        <v>100</v>
      </c>
      <c r="D4458" s="20">
        <v>10</v>
      </c>
      <c r="E4458" s="20">
        <v>10</v>
      </c>
      <c r="F4458" s="20">
        <v>10</v>
      </c>
      <c r="G4458" s="19">
        <f t="shared" si="323"/>
        <v>172</v>
      </c>
      <c r="H4458" s="22">
        <f t="shared" si="325"/>
        <v>4457</v>
      </c>
      <c r="I4458" s="21">
        <f t="shared" ca="1" si="313"/>
        <v>0</v>
      </c>
      <c r="J4458" s="21" t="str">
        <f ca="1">IF(I4458=0,"",COUNTIF($I$2:I4458,"&gt;0"))</f>
        <v/>
      </c>
      <c r="K4458" s="21" t="str">
        <f t="shared" ca="1" si="322"/>
        <v/>
      </c>
    </row>
    <row r="4459" spans="1:11" s="18" customFormat="1" ht="14.25" x14ac:dyDescent="0.2">
      <c r="A4459" s="18" t="str">
        <f t="shared" si="324"/>
        <v>Eintrag 4458</v>
      </c>
      <c r="B4459" s="18">
        <v>100</v>
      </c>
      <c r="C4459" s="19">
        <v>100</v>
      </c>
      <c r="D4459" s="20">
        <v>10</v>
      </c>
      <c r="E4459" s="20">
        <v>10</v>
      </c>
      <c r="F4459" s="20">
        <v>10</v>
      </c>
      <c r="G4459" s="19">
        <f t="shared" si="323"/>
        <v>172</v>
      </c>
      <c r="H4459" s="22">
        <f t="shared" si="325"/>
        <v>4458</v>
      </c>
      <c r="I4459" s="21">
        <f t="shared" ca="1" si="313"/>
        <v>0</v>
      </c>
      <c r="J4459" s="21" t="str">
        <f ca="1">IF(I4459=0,"",COUNTIF($I$2:I4459,"&gt;0"))</f>
        <v/>
      </c>
      <c r="K4459" s="21" t="str">
        <f t="shared" ca="1" si="322"/>
        <v/>
      </c>
    </row>
    <row r="4460" spans="1:11" s="18" customFormat="1" ht="14.25" x14ac:dyDescent="0.2">
      <c r="A4460" s="18" t="str">
        <f t="shared" si="324"/>
        <v>Eintrag 4459</v>
      </c>
      <c r="B4460" s="18">
        <v>100</v>
      </c>
      <c r="C4460" s="19">
        <v>100</v>
      </c>
      <c r="D4460" s="20">
        <v>10</v>
      </c>
      <c r="E4460" s="20">
        <v>10</v>
      </c>
      <c r="F4460" s="20">
        <v>10</v>
      </c>
      <c r="G4460" s="19">
        <f t="shared" si="323"/>
        <v>172</v>
      </c>
      <c r="H4460" s="22">
        <f t="shared" si="325"/>
        <v>4459</v>
      </c>
      <c r="I4460" s="21">
        <f t="shared" ca="1" si="313"/>
        <v>0</v>
      </c>
      <c r="J4460" s="21" t="str">
        <f ca="1">IF(I4460=0,"",COUNTIF($I$2:I4460,"&gt;0"))</f>
        <v/>
      </c>
      <c r="K4460" s="21" t="str">
        <f t="shared" ca="1" si="322"/>
        <v/>
      </c>
    </row>
    <row r="4461" spans="1:11" s="18" customFormat="1" ht="14.25" x14ac:dyDescent="0.2">
      <c r="A4461" s="18" t="str">
        <f t="shared" si="324"/>
        <v>Eintrag 4460</v>
      </c>
      <c r="B4461" s="18">
        <v>100</v>
      </c>
      <c r="C4461" s="19">
        <v>100</v>
      </c>
      <c r="D4461" s="20">
        <v>10</v>
      </c>
      <c r="E4461" s="20">
        <v>10</v>
      </c>
      <c r="F4461" s="20">
        <v>10</v>
      </c>
      <c r="G4461" s="19">
        <f t="shared" si="323"/>
        <v>172</v>
      </c>
      <c r="H4461" s="22">
        <f t="shared" si="325"/>
        <v>4460</v>
      </c>
      <c r="I4461" s="21">
        <f t="shared" ca="1" si="313"/>
        <v>0</v>
      </c>
      <c r="J4461" s="21" t="str">
        <f ca="1">IF(I4461=0,"",COUNTIF($I$2:I4461,"&gt;0"))</f>
        <v/>
      </c>
      <c r="K4461" s="21" t="str">
        <f t="shared" ca="1" si="322"/>
        <v/>
      </c>
    </row>
    <row r="4462" spans="1:11" s="18" customFormat="1" ht="14.25" x14ac:dyDescent="0.2">
      <c r="A4462" s="18" t="str">
        <f t="shared" si="324"/>
        <v>Eintrag 4461</v>
      </c>
      <c r="B4462" s="18">
        <v>100</v>
      </c>
      <c r="C4462" s="19">
        <v>100</v>
      </c>
      <c r="D4462" s="20">
        <v>10</v>
      </c>
      <c r="E4462" s="20">
        <v>10</v>
      </c>
      <c r="F4462" s="20">
        <v>10</v>
      </c>
      <c r="G4462" s="19">
        <f t="shared" si="323"/>
        <v>172</v>
      </c>
      <c r="H4462" s="22">
        <f t="shared" si="325"/>
        <v>4461</v>
      </c>
      <c r="I4462" s="21">
        <f t="shared" ca="1" si="313"/>
        <v>0</v>
      </c>
      <c r="J4462" s="21" t="str">
        <f ca="1">IF(I4462=0,"",COUNTIF($I$2:I4462,"&gt;0"))</f>
        <v/>
      </c>
      <c r="K4462" s="21" t="str">
        <f t="shared" ca="1" si="322"/>
        <v/>
      </c>
    </row>
    <row r="4463" spans="1:11" s="18" customFormat="1" ht="14.25" x14ac:dyDescent="0.2">
      <c r="A4463" s="18" t="str">
        <f t="shared" si="324"/>
        <v>Eintrag 4462</v>
      </c>
      <c r="B4463" s="18">
        <v>100</v>
      </c>
      <c r="C4463" s="19">
        <v>100</v>
      </c>
      <c r="D4463" s="20">
        <v>10</v>
      </c>
      <c r="E4463" s="20">
        <v>10</v>
      </c>
      <c r="F4463" s="20">
        <v>10</v>
      </c>
      <c r="G4463" s="19">
        <f t="shared" si="323"/>
        <v>172</v>
      </c>
      <c r="H4463" s="22">
        <f t="shared" si="325"/>
        <v>4462</v>
      </c>
      <c r="I4463" s="21">
        <f t="shared" ca="1" si="313"/>
        <v>0</v>
      </c>
      <c r="J4463" s="21" t="str">
        <f ca="1">IF(I4463=0,"",COUNTIF($I$2:I4463,"&gt;0"))</f>
        <v/>
      </c>
      <c r="K4463" s="21" t="str">
        <f t="shared" ca="1" si="322"/>
        <v/>
      </c>
    </row>
    <row r="4464" spans="1:11" s="18" customFormat="1" ht="14.25" x14ac:dyDescent="0.2">
      <c r="A4464" s="18" t="str">
        <f t="shared" si="324"/>
        <v>Eintrag 4463</v>
      </c>
      <c r="B4464" s="18">
        <v>100</v>
      </c>
      <c r="C4464" s="19">
        <v>100</v>
      </c>
      <c r="D4464" s="20">
        <v>10</v>
      </c>
      <c r="E4464" s="20">
        <v>10</v>
      </c>
      <c r="F4464" s="20">
        <v>10</v>
      </c>
      <c r="G4464" s="19">
        <f t="shared" si="323"/>
        <v>172</v>
      </c>
      <c r="H4464" s="22">
        <f t="shared" si="325"/>
        <v>4463</v>
      </c>
      <c r="I4464" s="21">
        <f t="shared" ca="1" si="313"/>
        <v>0</v>
      </c>
      <c r="J4464" s="21" t="str">
        <f ca="1">IF(I4464=0,"",COUNTIF($I$2:I4464,"&gt;0"))</f>
        <v/>
      </c>
      <c r="K4464" s="21" t="str">
        <f t="shared" ca="1" si="322"/>
        <v/>
      </c>
    </row>
    <row r="4465" spans="1:11" s="18" customFormat="1" ht="14.25" x14ac:dyDescent="0.2">
      <c r="A4465" s="18" t="str">
        <f t="shared" si="324"/>
        <v>Eintrag 4464</v>
      </c>
      <c r="B4465" s="18">
        <v>100</v>
      </c>
      <c r="C4465" s="19">
        <v>100</v>
      </c>
      <c r="D4465" s="20">
        <v>10</v>
      </c>
      <c r="E4465" s="20">
        <v>10</v>
      </c>
      <c r="F4465" s="20">
        <v>10</v>
      </c>
      <c r="G4465" s="19">
        <f t="shared" si="323"/>
        <v>172</v>
      </c>
      <c r="H4465" s="22">
        <f t="shared" si="325"/>
        <v>4464</v>
      </c>
      <c r="I4465" s="21">
        <f t="shared" ca="1" si="313"/>
        <v>0</v>
      </c>
      <c r="J4465" s="21" t="str">
        <f ca="1">IF(I4465=0,"",COUNTIF($I$2:I4465,"&gt;0"))</f>
        <v/>
      </c>
      <c r="K4465" s="21" t="str">
        <f t="shared" ca="1" si="322"/>
        <v/>
      </c>
    </row>
    <row r="4466" spans="1:11" s="18" customFormat="1" ht="14.25" x14ac:dyDescent="0.2">
      <c r="A4466" s="18" t="str">
        <f t="shared" si="324"/>
        <v>Eintrag 4465</v>
      </c>
      <c r="B4466" s="18">
        <v>100</v>
      </c>
      <c r="C4466" s="19">
        <v>100</v>
      </c>
      <c r="D4466" s="20">
        <v>10</v>
      </c>
      <c r="E4466" s="20">
        <v>10</v>
      </c>
      <c r="F4466" s="20">
        <v>10</v>
      </c>
      <c r="G4466" s="19">
        <f t="shared" si="323"/>
        <v>172</v>
      </c>
      <c r="H4466" s="22">
        <f t="shared" si="325"/>
        <v>4465</v>
      </c>
      <c r="I4466" s="21">
        <f t="shared" ca="1" si="313"/>
        <v>0</v>
      </c>
      <c r="J4466" s="21" t="str">
        <f ca="1">IF(I4466=0,"",COUNTIF($I$2:I4466,"&gt;0"))</f>
        <v/>
      </c>
      <c r="K4466" s="21" t="str">
        <f t="shared" ca="1" si="322"/>
        <v/>
      </c>
    </row>
    <row r="4467" spans="1:11" s="18" customFormat="1" ht="14.25" x14ac:dyDescent="0.2">
      <c r="A4467" s="18" t="str">
        <f t="shared" si="324"/>
        <v>Eintrag 4466</v>
      </c>
      <c r="B4467" s="18">
        <v>100</v>
      </c>
      <c r="C4467" s="19">
        <v>100</v>
      </c>
      <c r="D4467" s="20">
        <v>10</v>
      </c>
      <c r="E4467" s="20">
        <v>10</v>
      </c>
      <c r="F4467" s="20">
        <v>10</v>
      </c>
      <c r="G4467" s="19">
        <f t="shared" si="323"/>
        <v>172</v>
      </c>
      <c r="H4467" s="22">
        <f t="shared" si="325"/>
        <v>4466</v>
      </c>
      <c r="I4467" s="21">
        <f t="shared" ca="1" si="313"/>
        <v>0</v>
      </c>
      <c r="J4467" s="21" t="str">
        <f ca="1">IF(I4467=0,"",COUNTIF($I$2:I4467,"&gt;0"))</f>
        <v/>
      </c>
      <c r="K4467" s="21" t="str">
        <f t="shared" ca="1" si="322"/>
        <v/>
      </c>
    </row>
    <row r="4468" spans="1:11" s="18" customFormat="1" ht="14.25" x14ac:dyDescent="0.2">
      <c r="A4468" s="18" t="str">
        <f t="shared" si="324"/>
        <v>Eintrag 4467</v>
      </c>
      <c r="B4468" s="18">
        <v>100</v>
      </c>
      <c r="C4468" s="19">
        <v>100</v>
      </c>
      <c r="D4468" s="20">
        <v>10</v>
      </c>
      <c r="E4468" s="20">
        <v>10</v>
      </c>
      <c r="F4468" s="20">
        <v>10</v>
      </c>
      <c r="G4468" s="19">
        <f t="shared" si="323"/>
        <v>172</v>
      </c>
      <c r="H4468" s="22">
        <f t="shared" si="325"/>
        <v>4467</v>
      </c>
      <c r="I4468" s="21">
        <f t="shared" ca="1" si="313"/>
        <v>0</v>
      </c>
      <c r="J4468" s="21" t="str">
        <f ca="1">IF(I4468=0,"",COUNTIF($I$2:I4468,"&gt;0"))</f>
        <v/>
      </c>
      <c r="K4468" s="21" t="str">
        <f t="shared" ca="1" si="322"/>
        <v/>
      </c>
    </row>
    <row r="4469" spans="1:11" s="18" customFormat="1" ht="14.25" x14ac:dyDescent="0.2">
      <c r="A4469" s="18" t="str">
        <f t="shared" si="324"/>
        <v>Eintrag 4468</v>
      </c>
      <c r="B4469" s="18">
        <v>100</v>
      </c>
      <c r="C4469" s="19">
        <v>100</v>
      </c>
      <c r="D4469" s="20">
        <v>10</v>
      </c>
      <c r="E4469" s="20">
        <v>10</v>
      </c>
      <c r="F4469" s="20">
        <v>10</v>
      </c>
      <c r="G4469" s="19">
        <f t="shared" si="323"/>
        <v>172</v>
      </c>
      <c r="H4469" s="22">
        <f t="shared" si="325"/>
        <v>4468</v>
      </c>
      <c r="I4469" s="21">
        <f t="shared" ca="1" si="313"/>
        <v>0</v>
      </c>
      <c r="J4469" s="21" t="str">
        <f ca="1">IF(I4469=0,"",COUNTIF($I$2:I4469,"&gt;0"))</f>
        <v/>
      </c>
      <c r="K4469" s="21" t="str">
        <f t="shared" ca="1" si="322"/>
        <v/>
      </c>
    </row>
    <row r="4470" spans="1:11" s="18" customFormat="1" ht="14.25" x14ac:dyDescent="0.2">
      <c r="A4470" s="18" t="str">
        <f t="shared" si="324"/>
        <v>Eintrag 4469</v>
      </c>
      <c r="B4470" s="18">
        <v>100</v>
      </c>
      <c r="C4470" s="19">
        <v>100</v>
      </c>
      <c r="D4470" s="20">
        <v>10</v>
      </c>
      <c r="E4470" s="20">
        <v>10</v>
      </c>
      <c r="F4470" s="20">
        <v>10</v>
      </c>
      <c r="G4470" s="19">
        <f t="shared" si="323"/>
        <v>172</v>
      </c>
      <c r="H4470" s="22">
        <f t="shared" si="325"/>
        <v>4469</v>
      </c>
      <c r="I4470" s="21">
        <f t="shared" ca="1" si="313"/>
        <v>0</v>
      </c>
      <c r="J4470" s="21" t="str">
        <f ca="1">IF(I4470=0,"",COUNTIF($I$2:I4470,"&gt;0"))</f>
        <v/>
      </c>
      <c r="K4470" s="21" t="str">
        <f t="shared" ca="1" si="322"/>
        <v/>
      </c>
    </row>
    <row r="4471" spans="1:11" s="18" customFormat="1" ht="14.25" x14ac:dyDescent="0.2">
      <c r="A4471" s="18" t="str">
        <f t="shared" si="324"/>
        <v>Eintrag 4470</v>
      </c>
      <c r="B4471" s="18">
        <v>100</v>
      </c>
      <c r="C4471" s="19">
        <v>100</v>
      </c>
      <c r="D4471" s="20">
        <v>10</v>
      </c>
      <c r="E4471" s="20">
        <v>10</v>
      </c>
      <c r="F4471" s="20">
        <v>10</v>
      </c>
      <c r="G4471" s="19">
        <f t="shared" si="323"/>
        <v>172</v>
      </c>
      <c r="H4471" s="22">
        <f t="shared" si="325"/>
        <v>4470</v>
      </c>
      <c r="I4471" s="21">
        <f t="shared" ca="1" si="313"/>
        <v>0</v>
      </c>
      <c r="J4471" s="21" t="str">
        <f ca="1">IF(I4471=0,"",COUNTIF($I$2:I4471,"&gt;0"))</f>
        <v/>
      </c>
      <c r="K4471" s="21" t="str">
        <f t="shared" ca="1" si="322"/>
        <v/>
      </c>
    </row>
    <row r="4472" spans="1:11" s="18" customFormat="1" ht="14.25" x14ac:dyDescent="0.2">
      <c r="A4472" s="18" t="str">
        <f t="shared" si="324"/>
        <v>Eintrag 4471</v>
      </c>
      <c r="B4472" s="18">
        <v>100</v>
      </c>
      <c r="C4472" s="19">
        <v>100</v>
      </c>
      <c r="D4472" s="20">
        <v>10</v>
      </c>
      <c r="E4472" s="20">
        <v>10</v>
      </c>
      <c r="F4472" s="20">
        <v>10</v>
      </c>
      <c r="G4472" s="19">
        <f t="shared" si="323"/>
        <v>172</v>
      </c>
      <c r="H4472" s="22">
        <f t="shared" si="325"/>
        <v>4471</v>
      </c>
      <c r="I4472" s="21">
        <f t="shared" ca="1" si="313"/>
        <v>0</v>
      </c>
      <c r="J4472" s="21" t="str">
        <f ca="1">IF(I4472=0,"",COUNTIF($I$2:I4472,"&gt;0"))</f>
        <v/>
      </c>
      <c r="K4472" s="21" t="str">
        <f t="shared" ca="1" si="322"/>
        <v/>
      </c>
    </row>
    <row r="4473" spans="1:11" s="18" customFormat="1" ht="14.25" x14ac:dyDescent="0.2">
      <c r="A4473" s="18" t="str">
        <f t="shared" si="324"/>
        <v>Eintrag 4472</v>
      </c>
      <c r="B4473" s="18">
        <v>100</v>
      </c>
      <c r="C4473" s="19">
        <v>100</v>
      </c>
      <c r="D4473" s="20">
        <v>10</v>
      </c>
      <c r="E4473" s="20">
        <v>10</v>
      </c>
      <c r="F4473" s="20">
        <v>10</v>
      </c>
      <c r="G4473" s="19">
        <f t="shared" si="323"/>
        <v>172</v>
      </c>
      <c r="H4473" s="22">
        <f t="shared" si="325"/>
        <v>4472</v>
      </c>
      <c r="I4473" s="21">
        <f t="shared" ca="1" si="313"/>
        <v>0</v>
      </c>
      <c r="J4473" s="21" t="str">
        <f ca="1">IF(I4473=0,"",COUNTIF($I$2:I4473,"&gt;0"))</f>
        <v/>
      </c>
      <c r="K4473" s="21" t="str">
        <f t="shared" ca="1" si="322"/>
        <v/>
      </c>
    </row>
    <row r="4474" spans="1:11" s="18" customFormat="1" ht="14.25" x14ac:dyDescent="0.2">
      <c r="A4474" s="18" t="str">
        <f t="shared" si="324"/>
        <v>Eintrag 4473</v>
      </c>
      <c r="B4474" s="18">
        <v>100</v>
      </c>
      <c r="C4474" s="19">
        <v>100</v>
      </c>
      <c r="D4474" s="20">
        <v>10</v>
      </c>
      <c r="E4474" s="20">
        <v>10</v>
      </c>
      <c r="F4474" s="20">
        <v>10</v>
      </c>
      <c r="G4474" s="19">
        <f t="shared" si="323"/>
        <v>172</v>
      </c>
      <c r="H4474" s="22">
        <f t="shared" si="325"/>
        <v>4473</v>
      </c>
      <c r="I4474" s="21">
        <f t="shared" ca="1" si="313"/>
        <v>0</v>
      </c>
      <c r="J4474" s="21" t="str">
        <f ca="1">IF(I4474=0,"",COUNTIF($I$2:I4474,"&gt;0"))</f>
        <v/>
      </c>
      <c r="K4474" s="21" t="str">
        <f t="shared" ca="1" si="322"/>
        <v/>
      </c>
    </row>
    <row r="4475" spans="1:11" s="18" customFormat="1" ht="14.25" x14ac:dyDescent="0.2">
      <c r="A4475" s="18" t="str">
        <f t="shared" si="324"/>
        <v>Eintrag 4474</v>
      </c>
      <c r="B4475" s="18">
        <v>100</v>
      </c>
      <c r="C4475" s="19">
        <v>100</v>
      </c>
      <c r="D4475" s="20">
        <v>10</v>
      </c>
      <c r="E4475" s="20">
        <v>10</v>
      </c>
      <c r="F4475" s="20">
        <v>10</v>
      </c>
      <c r="G4475" s="19">
        <f t="shared" si="323"/>
        <v>172</v>
      </c>
      <c r="H4475" s="22">
        <f t="shared" si="325"/>
        <v>4474</v>
      </c>
      <c r="I4475" s="21">
        <f t="shared" ca="1" si="313"/>
        <v>0</v>
      </c>
      <c r="J4475" s="21" t="str">
        <f ca="1">IF(I4475=0,"",COUNTIF($I$2:I4475,"&gt;0"))</f>
        <v/>
      </c>
      <c r="K4475" s="21" t="str">
        <f t="shared" ca="1" si="322"/>
        <v/>
      </c>
    </row>
    <row r="4476" spans="1:11" s="18" customFormat="1" ht="14.25" x14ac:dyDescent="0.2">
      <c r="A4476" s="18" t="str">
        <f t="shared" si="324"/>
        <v>Eintrag 4475</v>
      </c>
      <c r="B4476" s="18">
        <v>100</v>
      </c>
      <c r="C4476" s="19">
        <v>100</v>
      </c>
      <c r="D4476" s="20">
        <v>10</v>
      </c>
      <c r="E4476" s="20">
        <v>10</v>
      </c>
      <c r="F4476" s="20">
        <v>10</v>
      </c>
      <c r="G4476" s="19">
        <f t="shared" si="323"/>
        <v>172</v>
      </c>
      <c r="H4476" s="22">
        <f t="shared" si="325"/>
        <v>4475</v>
      </c>
      <c r="I4476" s="21">
        <f t="shared" ca="1" si="313"/>
        <v>0</v>
      </c>
      <c r="J4476" s="21" t="str">
        <f ca="1">IF(I4476=0,"",COUNTIF($I$2:I4476,"&gt;0"))</f>
        <v/>
      </c>
      <c r="K4476" s="21" t="str">
        <f t="shared" ca="1" si="322"/>
        <v/>
      </c>
    </row>
    <row r="4477" spans="1:11" s="18" customFormat="1" ht="14.25" x14ac:dyDescent="0.2">
      <c r="A4477" s="18" t="str">
        <f t="shared" si="324"/>
        <v>Eintrag 4476</v>
      </c>
      <c r="B4477" s="18">
        <v>100</v>
      </c>
      <c r="C4477" s="19">
        <v>100</v>
      </c>
      <c r="D4477" s="20">
        <v>10</v>
      </c>
      <c r="E4477" s="20">
        <v>10</v>
      </c>
      <c r="F4477" s="20">
        <v>10</v>
      </c>
      <c r="G4477" s="19">
        <f t="shared" si="323"/>
        <v>172</v>
      </c>
      <c r="H4477" s="22">
        <f t="shared" si="325"/>
        <v>4476</v>
      </c>
      <c r="I4477" s="21">
        <f t="shared" ca="1" si="313"/>
        <v>0</v>
      </c>
      <c r="J4477" s="21" t="str">
        <f ca="1">IF(I4477=0,"",COUNTIF($I$2:I4477,"&gt;0"))</f>
        <v/>
      </c>
      <c r="K4477" s="21" t="str">
        <f t="shared" ca="1" si="322"/>
        <v/>
      </c>
    </row>
    <row r="4478" spans="1:11" s="18" customFormat="1" ht="14.25" x14ac:dyDescent="0.2">
      <c r="A4478" s="18" t="str">
        <f t="shared" si="324"/>
        <v>Eintrag 4477</v>
      </c>
      <c r="B4478" s="18">
        <v>100</v>
      </c>
      <c r="C4478" s="19">
        <v>100</v>
      </c>
      <c r="D4478" s="20">
        <v>10</v>
      </c>
      <c r="E4478" s="20">
        <v>10</v>
      </c>
      <c r="F4478" s="20">
        <v>10</v>
      </c>
      <c r="G4478" s="19">
        <f t="shared" si="323"/>
        <v>172</v>
      </c>
      <c r="H4478" s="22">
        <f t="shared" si="325"/>
        <v>4477</v>
      </c>
      <c r="I4478" s="21">
        <f t="shared" ca="1" si="313"/>
        <v>0</v>
      </c>
      <c r="J4478" s="21" t="str">
        <f ca="1">IF(I4478=0,"",COUNTIF($I$2:I4478,"&gt;0"))</f>
        <v/>
      </c>
      <c r="K4478" s="21" t="str">
        <f t="shared" ca="1" si="322"/>
        <v/>
      </c>
    </row>
    <row r="4479" spans="1:11" s="18" customFormat="1" ht="14.25" x14ac:dyDescent="0.2">
      <c r="A4479" s="18" t="str">
        <f t="shared" si="324"/>
        <v>Eintrag 4478</v>
      </c>
      <c r="B4479" s="18">
        <v>100</v>
      </c>
      <c r="C4479" s="19">
        <v>100</v>
      </c>
      <c r="D4479" s="20">
        <v>10</v>
      </c>
      <c r="E4479" s="20">
        <v>10</v>
      </c>
      <c r="F4479" s="20">
        <v>10</v>
      </c>
      <c r="G4479" s="19">
        <f t="shared" si="323"/>
        <v>172</v>
      </c>
      <c r="H4479" s="22">
        <f t="shared" si="325"/>
        <v>4478</v>
      </c>
      <c r="I4479" s="21">
        <f t="shared" ca="1" si="313"/>
        <v>0</v>
      </c>
      <c r="J4479" s="21" t="str">
        <f ca="1">IF(I4479=0,"",COUNTIF($I$2:I4479,"&gt;0"))</f>
        <v/>
      </c>
      <c r="K4479" s="21" t="str">
        <f t="shared" ca="1" si="322"/>
        <v/>
      </c>
    </row>
    <row r="4480" spans="1:11" s="18" customFormat="1" ht="14.25" x14ac:dyDescent="0.2">
      <c r="A4480" s="18" t="str">
        <f t="shared" si="324"/>
        <v>Eintrag 4479</v>
      </c>
      <c r="B4480" s="18">
        <v>100</v>
      </c>
      <c r="C4480" s="19">
        <v>100</v>
      </c>
      <c r="D4480" s="20">
        <v>10</v>
      </c>
      <c r="E4480" s="20">
        <v>10</v>
      </c>
      <c r="F4480" s="20">
        <v>10</v>
      </c>
      <c r="G4480" s="19">
        <f t="shared" si="323"/>
        <v>172</v>
      </c>
      <c r="H4480" s="22">
        <f t="shared" si="325"/>
        <v>4479</v>
      </c>
      <c r="I4480" s="21">
        <f t="shared" ca="1" si="313"/>
        <v>0</v>
      </c>
      <c r="J4480" s="21" t="str">
        <f ca="1">IF(I4480=0,"",COUNTIF($I$2:I4480,"&gt;0"))</f>
        <v/>
      </c>
      <c r="K4480" s="21" t="str">
        <f t="shared" ca="1" si="322"/>
        <v/>
      </c>
    </row>
    <row r="4481" spans="1:11" s="18" customFormat="1" ht="14.25" x14ac:dyDescent="0.2">
      <c r="A4481" s="18" t="str">
        <f t="shared" si="324"/>
        <v>Eintrag 4480</v>
      </c>
      <c r="B4481" s="18">
        <v>100</v>
      </c>
      <c r="C4481" s="19">
        <v>100</v>
      </c>
      <c r="D4481" s="20">
        <v>10</v>
      </c>
      <c r="E4481" s="20">
        <v>10</v>
      </c>
      <c r="F4481" s="20">
        <v>10</v>
      </c>
      <c r="G4481" s="19">
        <f t="shared" si="323"/>
        <v>172</v>
      </c>
      <c r="H4481" s="22">
        <f t="shared" si="325"/>
        <v>4480</v>
      </c>
      <c r="I4481" s="21">
        <f t="shared" ca="1" si="313"/>
        <v>0</v>
      </c>
      <c r="J4481" s="21" t="str">
        <f ca="1">IF(I4481=0,"",COUNTIF($I$2:I4481,"&gt;0"))</f>
        <v/>
      </c>
      <c r="K4481" s="21" t="str">
        <f t="shared" ca="1" si="322"/>
        <v/>
      </c>
    </row>
    <row r="4482" spans="1:11" s="18" customFormat="1" ht="14.25" x14ac:dyDescent="0.2">
      <c r="A4482" s="18" t="str">
        <f t="shared" si="324"/>
        <v>Eintrag 4481</v>
      </c>
      <c r="B4482" s="18">
        <v>100</v>
      </c>
      <c r="C4482" s="19">
        <v>100</v>
      </c>
      <c r="D4482" s="20">
        <v>10</v>
      </c>
      <c r="E4482" s="20">
        <v>10</v>
      </c>
      <c r="F4482" s="20">
        <v>10</v>
      </c>
      <c r="G4482" s="19">
        <f t="shared" si="323"/>
        <v>172</v>
      </c>
      <c r="H4482" s="22">
        <f t="shared" si="325"/>
        <v>4481</v>
      </c>
      <c r="I4482" s="21">
        <f t="shared" ca="1" si="313"/>
        <v>0</v>
      </c>
      <c r="J4482" s="21" t="str">
        <f ca="1">IF(I4482=0,"",COUNTIF($I$2:I4482,"&gt;0"))</f>
        <v/>
      </c>
      <c r="K4482" s="21" t="str">
        <f t="shared" ref="K4482:K4545" ca="1" si="326">IFERROR(INDEX(A:A,MATCH(ROW(I4481),J:J,0)),"")</f>
        <v/>
      </c>
    </row>
    <row r="4483" spans="1:11" s="18" customFormat="1" ht="14.25" x14ac:dyDescent="0.2">
      <c r="A4483" s="18" t="str">
        <f t="shared" si="324"/>
        <v>Eintrag 4482</v>
      </c>
      <c r="B4483" s="18">
        <v>100</v>
      </c>
      <c r="C4483" s="19">
        <v>100</v>
      </c>
      <c r="D4483" s="20">
        <v>10</v>
      </c>
      <c r="E4483" s="20">
        <v>10</v>
      </c>
      <c r="F4483" s="20">
        <v>10</v>
      </c>
      <c r="G4483" s="19">
        <f t="shared" ref="G4483:G4546" si="327">D4483*9+E4483*4.1+F4483*4.1</f>
        <v>172</v>
      </c>
      <c r="H4483" s="22">
        <f t="shared" si="325"/>
        <v>4482</v>
      </c>
      <c r="I4483" s="21">
        <f t="shared" ca="1" si="313"/>
        <v>0</v>
      </c>
      <c r="J4483" s="21" t="str">
        <f ca="1">IF(I4483=0,"",COUNTIF($I$2:I4483,"&gt;0"))</f>
        <v/>
      </c>
      <c r="K4483" s="21" t="str">
        <f t="shared" ca="1" si="326"/>
        <v/>
      </c>
    </row>
    <row r="4484" spans="1:11" s="18" customFormat="1" ht="14.25" x14ac:dyDescent="0.2">
      <c r="A4484" s="18" t="str">
        <f t="shared" si="324"/>
        <v>Eintrag 4483</v>
      </c>
      <c r="B4484" s="18">
        <v>100</v>
      </c>
      <c r="C4484" s="19">
        <v>100</v>
      </c>
      <c r="D4484" s="20">
        <v>10</v>
      </c>
      <c r="E4484" s="20">
        <v>10</v>
      </c>
      <c r="F4484" s="20">
        <v>10</v>
      </c>
      <c r="G4484" s="19">
        <f t="shared" si="327"/>
        <v>172</v>
      </c>
      <c r="H4484" s="22">
        <f t="shared" si="325"/>
        <v>4483</v>
      </c>
      <c r="I4484" s="21">
        <f t="shared" ca="1" si="313"/>
        <v>0</v>
      </c>
      <c r="J4484" s="21" t="str">
        <f ca="1">IF(I4484=0,"",COUNTIF($I$2:I4484,"&gt;0"))</f>
        <v/>
      </c>
      <c r="K4484" s="21" t="str">
        <f t="shared" ca="1" si="326"/>
        <v/>
      </c>
    </row>
    <row r="4485" spans="1:11" s="18" customFormat="1" ht="14.25" x14ac:dyDescent="0.2">
      <c r="A4485" s="18" t="str">
        <f t="shared" si="324"/>
        <v>Eintrag 4484</v>
      </c>
      <c r="B4485" s="18">
        <v>100</v>
      </c>
      <c r="C4485" s="19">
        <v>100</v>
      </c>
      <c r="D4485" s="20">
        <v>10</v>
      </c>
      <c r="E4485" s="20">
        <v>10</v>
      </c>
      <c r="F4485" s="20">
        <v>10</v>
      </c>
      <c r="G4485" s="19">
        <f t="shared" si="327"/>
        <v>172</v>
      </c>
      <c r="H4485" s="22">
        <f t="shared" si="325"/>
        <v>4484</v>
      </c>
      <c r="I4485" s="21">
        <f t="shared" ca="1" si="313"/>
        <v>0</v>
      </c>
      <c r="J4485" s="21" t="str">
        <f ca="1">IF(I4485=0,"",COUNTIF($I$2:I4485,"&gt;0"))</f>
        <v/>
      </c>
      <c r="K4485" s="21" t="str">
        <f t="shared" ca="1" si="326"/>
        <v/>
      </c>
    </row>
    <row r="4486" spans="1:11" s="18" customFormat="1" ht="14.25" x14ac:dyDescent="0.2">
      <c r="A4486" s="18" t="str">
        <f t="shared" si="324"/>
        <v>Eintrag 4485</v>
      </c>
      <c r="B4486" s="18">
        <v>100</v>
      </c>
      <c r="C4486" s="19">
        <v>100</v>
      </c>
      <c r="D4486" s="20">
        <v>10</v>
      </c>
      <c r="E4486" s="20">
        <v>10</v>
      </c>
      <c r="F4486" s="20">
        <v>10</v>
      </c>
      <c r="G4486" s="19">
        <f t="shared" si="327"/>
        <v>172</v>
      </c>
      <c r="H4486" s="22">
        <f t="shared" si="325"/>
        <v>4485</v>
      </c>
      <c r="I4486" s="21">
        <f t="shared" ca="1" si="313"/>
        <v>0</v>
      </c>
      <c r="J4486" s="21" t="str">
        <f ca="1">IF(I4486=0,"",COUNTIF($I$2:I4486,"&gt;0"))</f>
        <v/>
      </c>
      <c r="K4486" s="21" t="str">
        <f t="shared" ca="1" si="326"/>
        <v/>
      </c>
    </row>
    <row r="4487" spans="1:11" s="18" customFormat="1" ht="14.25" x14ac:dyDescent="0.2">
      <c r="A4487" s="18" t="str">
        <f t="shared" si="324"/>
        <v>Eintrag 4486</v>
      </c>
      <c r="B4487" s="18">
        <v>100</v>
      </c>
      <c r="C4487" s="19">
        <v>100</v>
      </c>
      <c r="D4487" s="20">
        <v>10</v>
      </c>
      <c r="E4487" s="20">
        <v>10</v>
      </c>
      <c r="F4487" s="20">
        <v>10</v>
      </c>
      <c r="G4487" s="19">
        <f t="shared" si="327"/>
        <v>172</v>
      </c>
      <c r="H4487" s="22">
        <f t="shared" si="325"/>
        <v>4486</v>
      </c>
      <c r="I4487" s="21">
        <f t="shared" ca="1" si="313"/>
        <v>0</v>
      </c>
      <c r="J4487" s="21" t="str">
        <f ca="1">IF(I4487=0,"",COUNTIF($I$2:I4487,"&gt;0"))</f>
        <v/>
      </c>
      <c r="K4487" s="21" t="str">
        <f t="shared" ca="1" si="326"/>
        <v/>
      </c>
    </row>
    <row r="4488" spans="1:11" s="18" customFormat="1" ht="14.25" x14ac:dyDescent="0.2">
      <c r="A4488" s="18" t="str">
        <f t="shared" si="324"/>
        <v>Eintrag 4487</v>
      </c>
      <c r="B4488" s="18">
        <v>100</v>
      </c>
      <c r="C4488" s="19">
        <v>100</v>
      </c>
      <c r="D4488" s="20">
        <v>10</v>
      </c>
      <c r="E4488" s="20">
        <v>10</v>
      </c>
      <c r="F4488" s="20">
        <v>10</v>
      </c>
      <c r="G4488" s="19">
        <f t="shared" si="327"/>
        <v>172</v>
      </c>
      <c r="H4488" s="22">
        <f t="shared" si="325"/>
        <v>4487</v>
      </c>
      <c r="I4488" s="21">
        <f t="shared" ca="1" si="313"/>
        <v>0</v>
      </c>
      <c r="J4488" s="21" t="str">
        <f ca="1">IF(I4488=0,"",COUNTIF($I$2:I4488,"&gt;0"))</f>
        <v/>
      </c>
      <c r="K4488" s="21" t="str">
        <f t="shared" ca="1" si="326"/>
        <v/>
      </c>
    </row>
    <row r="4489" spans="1:11" s="18" customFormat="1" ht="14.25" x14ac:dyDescent="0.2">
      <c r="A4489" s="18" t="str">
        <f t="shared" si="324"/>
        <v>Eintrag 4488</v>
      </c>
      <c r="B4489" s="18">
        <v>100</v>
      </c>
      <c r="C4489" s="19">
        <v>100</v>
      </c>
      <c r="D4489" s="20">
        <v>10</v>
      </c>
      <c r="E4489" s="20">
        <v>10</v>
      </c>
      <c r="F4489" s="20">
        <v>10</v>
      </c>
      <c r="G4489" s="19">
        <f t="shared" si="327"/>
        <v>172</v>
      </c>
      <c r="H4489" s="22">
        <f t="shared" si="325"/>
        <v>4488</v>
      </c>
      <c r="I4489" s="21">
        <f t="shared" ca="1" si="313"/>
        <v>0</v>
      </c>
      <c r="J4489" s="21" t="str">
        <f ca="1">IF(I4489=0,"",COUNTIF($I$2:I4489,"&gt;0"))</f>
        <v/>
      </c>
      <c r="K4489" s="21" t="str">
        <f t="shared" ca="1" si="326"/>
        <v/>
      </c>
    </row>
    <row r="4490" spans="1:11" s="18" customFormat="1" ht="14.25" x14ac:dyDescent="0.2">
      <c r="A4490" s="18" t="str">
        <f t="shared" si="324"/>
        <v>Eintrag 4489</v>
      </c>
      <c r="B4490" s="18">
        <v>100</v>
      </c>
      <c r="C4490" s="19">
        <v>100</v>
      </c>
      <c r="D4490" s="20">
        <v>10</v>
      </c>
      <c r="E4490" s="20">
        <v>10</v>
      </c>
      <c r="F4490" s="20">
        <v>10</v>
      </c>
      <c r="G4490" s="19">
        <f t="shared" si="327"/>
        <v>172</v>
      </c>
      <c r="H4490" s="22">
        <f t="shared" si="325"/>
        <v>4489</v>
      </c>
      <c r="I4490" s="21">
        <f t="shared" ca="1" si="313"/>
        <v>0</v>
      </c>
      <c r="J4490" s="21" t="str">
        <f ca="1">IF(I4490=0,"",COUNTIF($I$2:I4490,"&gt;0"))</f>
        <v/>
      </c>
      <c r="K4490" s="21" t="str">
        <f t="shared" ca="1" si="326"/>
        <v/>
      </c>
    </row>
    <row r="4491" spans="1:11" s="18" customFormat="1" ht="14.25" x14ac:dyDescent="0.2">
      <c r="A4491" s="18" t="str">
        <f t="shared" si="324"/>
        <v>Eintrag 4490</v>
      </c>
      <c r="B4491" s="18">
        <v>100</v>
      </c>
      <c r="C4491" s="19">
        <v>100</v>
      </c>
      <c r="D4491" s="20">
        <v>10</v>
      </c>
      <c r="E4491" s="20">
        <v>10</v>
      </c>
      <c r="F4491" s="20">
        <v>10</v>
      </c>
      <c r="G4491" s="19">
        <f t="shared" si="327"/>
        <v>172</v>
      </c>
      <c r="H4491" s="22">
        <f t="shared" si="325"/>
        <v>4490</v>
      </c>
      <c r="I4491" s="21">
        <f t="shared" ca="1" si="313"/>
        <v>0</v>
      </c>
      <c r="J4491" s="21" t="str">
        <f ca="1">IF(I4491=0,"",COUNTIF($I$2:I4491,"&gt;0"))</f>
        <v/>
      </c>
      <c r="K4491" s="21" t="str">
        <f t="shared" ca="1" si="326"/>
        <v/>
      </c>
    </row>
    <row r="4492" spans="1:11" s="18" customFormat="1" ht="14.25" x14ac:dyDescent="0.2">
      <c r="A4492" s="18" t="str">
        <f t="shared" si="324"/>
        <v>Eintrag 4491</v>
      </c>
      <c r="B4492" s="18">
        <v>100</v>
      </c>
      <c r="C4492" s="19">
        <v>100</v>
      </c>
      <c r="D4492" s="20">
        <v>10</v>
      </c>
      <c r="E4492" s="20">
        <v>10</v>
      </c>
      <c r="F4492" s="20">
        <v>10</v>
      </c>
      <c r="G4492" s="19">
        <f t="shared" si="327"/>
        <v>172</v>
      </c>
      <c r="H4492" s="22">
        <f t="shared" si="325"/>
        <v>4491</v>
      </c>
      <c r="I4492" s="21">
        <f t="shared" ca="1" si="313"/>
        <v>0</v>
      </c>
      <c r="J4492" s="21" t="str">
        <f ca="1">IF(I4492=0,"",COUNTIF($I$2:I4492,"&gt;0"))</f>
        <v/>
      </c>
      <c r="K4492" s="21" t="str">
        <f t="shared" ca="1" si="326"/>
        <v/>
      </c>
    </row>
    <row r="4493" spans="1:11" s="18" customFormat="1" ht="14.25" x14ac:dyDescent="0.2">
      <c r="A4493" s="18" t="str">
        <f t="shared" si="324"/>
        <v>Eintrag 4492</v>
      </c>
      <c r="B4493" s="18">
        <v>100</v>
      </c>
      <c r="C4493" s="19">
        <v>100</v>
      </c>
      <c r="D4493" s="20">
        <v>10</v>
      </c>
      <c r="E4493" s="20">
        <v>10</v>
      </c>
      <c r="F4493" s="20">
        <v>10</v>
      </c>
      <c r="G4493" s="19">
        <f t="shared" si="327"/>
        <v>172</v>
      </c>
      <c r="H4493" s="22">
        <f t="shared" si="325"/>
        <v>4492</v>
      </c>
      <c r="I4493" s="21">
        <f t="shared" ca="1" si="313"/>
        <v>0</v>
      </c>
      <c r="J4493" s="21" t="str">
        <f ca="1">IF(I4493=0,"",COUNTIF($I$2:I4493,"&gt;0"))</f>
        <v/>
      </c>
      <c r="K4493" s="21" t="str">
        <f t="shared" ca="1" si="326"/>
        <v/>
      </c>
    </row>
    <row r="4494" spans="1:11" s="18" customFormat="1" ht="14.25" x14ac:dyDescent="0.2">
      <c r="A4494" s="18" t="str">
        <f t="shared" si="324"/>
        <v>Eintrag 4493</v>
      </c>
      <c r="B4494" s="18">
        <v>100</v>
      </c>
      <c r="C4494" s="19">
        <v>100</v>
      </c>
      <c r="D4494" s="20">
        <v>10</v>
      </c>
      <c r="E4494" s="20">
        <v>10</v>
      </c>
      <c r="F4494" s="20">
        <v>10</v>
      </c>
      <c r="G4494" s="19">
        <f t="shared" si="327"/>
        <v>172</v>
      </c>
      <c r="H4494" s="22">
        <f t="shared" si="325"/>
        <v>4493</v>
      </c>
      <c r="I4494" s="21">
        <f t="shared" ca="1" si="313"/>
        <v>0</v>
      </c>
      <c r="J4494" s="21" t="str">
        <f ca="1">IF(I4494=0,"",COUNTIF($I$2:I4494,"&gt;0"))</f>
        <v/>
      </c>
      <c r="K4494" s="21" t="str">
        <f t="shared" ca="1" si="326"/>
        <v/>
      </c>
    </row>
    <row r="4495" spans="1:11" s="18" customFormat="1" ht="14.25" x14ac:dyDescent="0.2">
      <c r="A4495" s="18" t="str">
        <f t="shared" si="324"/>
        <v>Eintrag 4494</v>
      </c>
      <c r="B4495" s="18">
        <v>100</v>
      </c>
      <c r="C4495" s="19">
        <v>100</v>
      </c>
      <c r="D4495" s="20">
        <v>10</v>
      </c>
      <c r="E4495" s="20">
        <v>10</v>
      </c>
      <c r="F4495" s="20">
        <v>10</v>
      </c>
      <c r="G4495" s="19">
        <f t="shared" si="327"/>
        <v>172</v>
      </c>
      <c r="H4495" s="22">
        <f t="shared" si="325"/>
        <v>4494</v>
      </c>
      <c r="I4495" s="21">
        <f t="shared" ca="1" si="313"/>
        <v>0</v>
      </c>
      <c r="J4495" s="21" t="str">
        <f ca="1">IF(I4495=0,"",COUNTIF($I$2:I4495,"&gt;0"))</f>
        <v/>
      </c>
      <c r="K4495" s="21" t="str">
        <f t="shared" ca="1" si="326"/>
        <v/>
      </c>
    </row>
    <row r="4496" spans="1:11" s="18" customFormat="1" ht="14.25" x14ac:dyDescent="0.2">
      <c r="A4496" s="18" t="str">
        <f t="shared" si="324"/>
        <v>Eintrag 4495</v>
      </c>
      <c r="B4496" s="18">
        <v>100</v>
      </c>
      <c r="C4496" s="19">
        <v>100</v>
      </c>
      <c r="D4496" s="20">
        <v>10</v>
      </c>
      <c r="E4496" s="20">
        <v>10</v>
      </c>
      <c r="F4496" s="20">
        <v>10</v>
      </c>
      <c r="G4496" s="19">
        <f t="shared" si="327"/>
        <v>172</v>
      </c>
      <c r="H4496" s="22">
        <f t="shared" si="325"/>
        <v>4495</v>
      </c>
      <c r="I4496" s="21">
        <f t="shared" ca="1" si="313"/>
        <v>0</v>
      </c>
      <c r="J4496" s="21" t="str">
        <f ca="1">IF(I4496=0,"",COUNTIF($I$2:I4496,"&gt;0"))</f>
        <v/>
      </c>
      <c r="K4496" s="21" t="str">
        <f t="shared" ca="1" si="326"/>
        <v/>
      </c>
    </row>
    <row r="4497" spans="1:11" s="18" customFormat="1" ht="14.25" x14ac:dyDescent="0.2">
      <c r="A4497" s="18" t="str">
        <f t="shared" si="324"/>
        <v>Eintrag 4496</v>
      </c>
      <c r="B4497" s="18">
        <v>100</v>
      </c>
      <c r="C4497" s="19">
        <v>100</v>
      </c>
      <c r="D4497" s="20">
        <v>10</v>
      </c>
      <c r="E4497" s="20">
        <v>10</v>
      </c>
      <c r="F4497" s="20">
        <v>10</v>
      </c>
      <c r="G4497" s="19">
        <f t="shared" si="327"/>
        <v>172</v>
      </c>
      <c r="H4497" s="22">
        <f t="shared" si="325"/>
        <v>4496</v>
      </c>
      <c r="I4497" s="21">
        <f t="shared" ca="1" si="313"/>
        <v>0</v>
      </c>
      <c r="J4497" s="21" t="str">
        <f ca="1">IF(I4497=0,"",COUNTIF($I$2:I4497,"&gt;0"))</f>
        <v/>
      </c>
      <c r="K4497" s="21" t="str">
        <f t="shared" ca="1" si="326"/>
        <v/>
      </c>
    </row>
    <row r="4498" spans="1:11" s="18" customFormat="1" ht="14.25" x14ac:dyDescent="0.2">
      <c r="A4498" s="18" t="str">
        <f t="shared" si="324"/>
        <v>Eintrag 4497</v>
      </c>
      <c r="B4498" s="18">
        <v>100</v>
      </c>
      <c r="C4498" s="19">
        <v>100</v>
      </c>
      <c r="D4498" s="20">
        <v>10</v>
      </c>
      <c r="E4498" s="20">
        <v>10</v>
      </c>
      <c r="F4498" s="20">
        <v>10</v>
      </c>
      <c r="G4498" s="19">
        <f t="shared" si="327"/>
        <v>172</v>
      </c>
      <c r="H4498" s="22">
        <f t="shared" si="325"/>
        <v>4497</v>
      </c>
      <c r="I4498" s="21">
        <f t="shared" ca="1" si="313"/>
        <v>0</v>
      </c>
      <c r="J4498" s="21" t="str">
        <f ca="1">IF(I4498=0,"",COUNTIF($I$2:I4498,"&gt;0"))</f>
        <v/>
      </c>
      <c r="K4498" s="21" t="str">
        <f t="shared" ca="1" si="326"/>
        <v/>
      </c>
    </row>
    <row r="4499" spans="1:11" s="18" customFormat="1" ht="14.25" x14ac:dyDescent="0.2">
      <c r="A4499" s="18" t="str">
        <f t="shared" si="324"/>
        <v>Eintrag 4498</v>
      </c>
      <c r="B4499" s="18">
        <v>100</v>
      </c>
      <c r="C4499" s="19">
        <v>100</v>
      </c>
      <c r="D4499" s="20">
        <v>10</v>
      </c>
      <c r="E4499" s="20">
        <v>10</v>
      </c>
      <c r="F4499" s="20">
        <v>10</v>
      </c>
      <c r="G4499" s="19">
        <f t="shared" si="327"/>
        <v>172</v>
      </c>
      <c r="H4499" s="22">
        <f t="shared" si="325"/>
        <v>4498</v>
      </c>
      <c r="I4499" s="21">
        <f t="shared" ca="1" si="313"/>
        <v>0</v>
      </c>
      <c r="J4499" s="21" t="str">
        <f ca="1">IF(I4499=0,"",COUNTIF($I$2:I4499,"&gt;0"))</f>
        <v/>
      </c>
      <c r="K4499" s="21" t="str">
        <f t="shared" ca="1" si="326"/>
        <v/>
      </c>
    </row>
    <row r="4500" spans="1:11" s="18" customFormat="1" ht="14.25" x14ac:dyDescent="0.2">
      <c r="A4500" s="18" t="str">
        <f t="shared" si="324"/>
        <v>Eintrag 4499</v>
      </c>
      <c r="B4500" s="18">
        <v>100</v>
      </c>
      <c r="C4500" s="19">
        <v>100</v>
      </c>
      <c r="D4500" s="20">
        <v>10</v>
      </c>
      <c r="E4500" s="20">
        <v>10</v>
      </c>
      <c r="F4500" s="20">
        <v>10</v>
      </c>
      <c r="G4500" s="19">
        <f t="shared" si="327"/>
        <v>172</v>
      </c>
      <c r="H4500" s="22">
        <f t="shared" si="325"/>
        <v>4499</v>
      </c>
      <c r="I4500" s="21">
        <f t="shared" ca="1" si="313"/>
        <v>0</v>
      </c>
      <c r="J4500" s="21" t="str">
        <f ca="1">IF(I4500=0,"",COUNTIF($I$2:I4500,"&gt;0"))</f>
        <v/>
      </c>
      <c r="K4500" s="21" t="str">
        <f t="shared" ca="1" si="326"/>
        <v/>
      </c>
    </row>
    <row r="4501" spans="1:11" s="18" customFormat="1" ht="14.25" x14ac:dyDescent="0.2">
      <c r="A4501" s="18" t="str">
        <f t="shared" ref="A4501:A4564" si="328">CONCATENATE("Eintrag ",H4501)</f>
        <v>Eintrag 4500</v>
      </c>
      <c r="B4501" s="18">
        <v>100</v>
      </c>
      <c r="C4501" s="19">
        <v>100</v>
      </c>
      <c r="D4501" s="20">
        <v>10</v>
      </c>
      <c r="E4501" s="20">
        <v>10</v>
      </c>
      <c r="F4501" s="20">
        <v>10</v>
      </c>
      <c r="G4501" s="19">
        <f t="shared" si="327"/>
        <v>172</v>
      </c>
      <c r="H4501" s="22">
        <f t="shared" si="325"/>
        <v>4500</v>
      </c>
      <c r="I4501" s="21">
        <f t="shared" ca="1" si="313"/>
        <v>0</v>
      </c>
      <c r="J4501" s="21" t="str">
        <f ca="1">IF(I4501=0,"",COUNTIF($I$2:I4501,"&gt;0"))</f>
        <v/>
      </c>
      <c r="K4501" s="21" t="str">
        <f t="shared" ca="1" si="326"/>
        <v/>
      </c>
    </row>
    <row r="4502" spans="1:11" s="18" customFormat="1" ht="14.25" x14ac:dyDescent="0.2">
      <c r="A4502" s="18" t="str">
        <f t="shared" si="328"/>
        <v>Eintrag 4501</v>
      </c>
      <c r="B4502" s="18">
        <v>100</v>
      </c>
      <c r="C4502" s="19">
        <v>100</v>
      </c>
      <c r="D4502" s="20">
        <v>10</v>
      </c>
      <c r="E4502" s="20">
        <v>10</v>
      </c>
      <c r="F4502" s="20">
        <v>10</v>
      </c>
      <c r="G4502" s="19">
        <f t="shared" si="327"/>
        <v>172</v>
      </c>
      <c r="H4502" s="22">
        <f t="shared" si="325"/>
        <v>4501</v>
      </c>
      <c r="I4502" s="21">
        <f t="shared" ca="1" si="313"/>
        <v>0</v>
      </c>
      <c r="J4502" s="21" t="str">
        <f ca="1">IF(I4502=0,"",COUNTIF($I$2:I4502,"&gt;0"))</f>
        <v/>
      </c>
      <c r="K4502" s="21" t="str">
        <f t="shared" ca="1" si="326"/>
        <v/>
      </c>
    </row>
    <row r="4503" spans="1:11" s="18" customFormat="1" ht="14.25" x14ac:dyDescent="0.2">
      <c r="A4503" s="18" t="str">
        <f t="shared" si="328"/>
        <v>Eintrag 4502</v>
      </c>
      <c r="B4503" s="18">
        <v>100</v>
      </c>
      <c r="C4503" s="19">
        <v>100</v>
      </c>
      <c r="D4503" s="20">
        <v>10</v>
      </c>
      <c r="E4503" s="20">
        <v>10</v>
      </c>
      <c r="F4503" s="20">
        <v>10</v>
      </c>
      <c r="G4503" s="19">
        <f t="shared" si="327"/>
        <v>172</v>
      </c>
      <c r="H4503" s="22">
        <f t="shared" si="325"/>
        <v>4502</v>
      </c>
      <c r="I4503" s="21">
        <f t="shared" ca="1" si="313"/>
        <v>0</v>
      </c>
      <c r="J4503" s="21" t="str">
        <f ca="1">IF(I4503=0,"",COUNTIF($I$2:I4503,"&gt;0"))</f>
        <v/>
      </c>
      <c r="K4503" s="21" t="str">
        <f t="shared" ca="1" si="326"/>
        <v/>
      </c>
    </row>
    <row r="4504" spans="1:11" s="18" customFormat="1" ht="14.25" x14ac:dyDescent="0.2">
      <c r="A4504" s="18" t="str">
        <f t="shared" si="328"/>
        <v>Eintrag 4503</v>
      </c>
      <c r="B4504" s="18">
        <v>100</v>
      </c>
      <c r="C4504" s="19">
        <v>100</v>
      </c>
      <c r="D4504" s="20">
        <v>10</v>
      </c>
      <c r="E4504" s="20">
        <v>10</v>
      </c>
      <c r="F4504" s="20">
        <v>10</v>
      </c>
      <c r="G4504" s="19">
        <f t="shared" si="327"/>
        <v>172</v>
      </c>
      <c r="H4504" s="22">
        <f t="shared" si="325"/>
        <v>4503</v>
      </c>
      <c r="I4504" s="21">
        <f t="shared" ca="1" si="313"/>
        <v>0</v>
      </c>
      <c r="J4504" s="21" t="str">
        <f ca="1">IF(I4504=0,"",COUNTIF($I$2:I4504,"&gt;0"))</f>
        <v/>
      </c>
      <c r="K4504" s="21" t="str">
        <f t="shared" ca="1" si="326"/>
        <v/>
      </c>
    </row>
    <row r="4505" spans="1:11" s="18" customFormat="1" ht="14.25" x14ac:dyDescent="0.2">
      <c r="A4505" s="18" t="str">
        <f t="shared" si="328"/>
        <v>Eintrag 4504</v>
      </c>
      <c r="B4505" s="18">
        <v>100</v>
      </c>
      <c r="C4505" s="19">
        <v>100</v>
      </c>
      <c r="D4505" s="20">
        <v>10</v>
      </c>
      <c r="E4505" s="20">
        <v>10</v>
      </c>
      <c r="F4505" s="20">
        <v>10</v>
      </c>
      <c r="G4505" s="19">
        <f t="shared" si="327"/>
        <v>172</v>
      </c>
      <c r="H4505" s="22">
        <f t="shared" si="325"/>
        <v>4504</v>
      </c>
      <c r="I4505" s="21">
        <f t="shared" ca="1" si="313"/>
        <v>0</v>
      </c>
      <c r="J4505" s="21" t="str">
        <f ca="1">IF(I4505=0,"",COUNTIF($I$2:I4505,"&gt;0"))</f>
        <v/>
      </c>
      <c r="K4505" s="21" t="str">
        <f t="shared" ca="1" si="326"/>
        <v/>
      </c>
    </row>
    <row r="4506" spans="1:11" s="18" customFormat="1" ht="14.25" x14ac:dyDescent="0.2">
      <c r="A4506" s="18" t="str">
        <f t="shared" si="328"/>
        <v>Eintrag 4505</v>
      </c>
      <c r="B4506" s="18">
        <v>100</v>
      </c>
      <c r="C4506" s="19">
        <v>100</v>
      </c>
      <c r="D4506" s="20">
        <v>10</v>
      </c>
      <c r="E4506" s="20">
        <v>10</v>
      </c>
      <c r="F4506" s="20">
        <v>10</v>
      </c>
      <c r="G4506" s="19">
        <f t="shared" si="327"/>
        <v>172</v>
      </c>
      <c r="H4506" s="22">
        <f t="shared" si="325"/>
        <v>4505</v>
      </c>
      <c r="I4506" s="21">
        <f t="shared" ca="1" si="313"/>
        <v>0</v>
      </c>
      <c r="J4506" s="21" t="str">
        <f ca="1">IF(I4506=0,"",COUNTIF($I$2:I4506,"&gt;0"))</f>
        <v/>
      </c>
      <c r="K4506" s="21" t="str">
        <f t="shared" ca="1" si="326"/>
        <v/>
      </c>
    </row>
    <row r="4507" spans="1:11" s="18" customFormat="1" ht="14.25" x14ac:dyDescent="0.2">
      <c r="A4507" s="18" t="str">
        <f t="shared" si="328"/>
        <v>Eintrag 4506</v>
      </c>
      <c r="B4507" s="18">
        <v>100</v>
      </c>
      <c r="C4507" s="19">
        <v>100</v>
      </c>
      <c r="D4507" s="20">
        <v>10</v>
      </c>
      <c r="E4507" s="20">
        <v>10</v>
      </c>
      <c r="F4507" s="20">
        <v>10</v>
      </c>
      <c r="G4507" s="19">
        <f t="shared" si="327"/>
        <v>172</v>
      </c>
      <c r="H4507" s="22">
        <f t="shared" si="325"/>
        <v>4506</v>
      </c>
      <c r="I4507" s="21">
        <f t="shared" ca="1" si="313"/>
        <v>0</v>
      </c>
      <c r="J4507" s="21" t="str">
        <f ca="1">IF(I4507=0,"",COUNTIF($I$2:I4507,"&gt;0"))</f>
        <v/>
      </c>
      <c r="K4507" s="21" t="str">
        <f t="shared" ca="1" si="326"/>
        <v/>
      </c>
    </row>
    <row r="4508" spans="1:11" s="18" customFormat="1" ht="14.25" x14ac:dyDescent="0.2">
      <c r="A4508" s="18" t="str">
        <f t="shared" si="328"/>
        <v>Eintrag 4507</v>
      </c>
      <c r="B4508" s="18">
        <v>100</v>
      </c>
      <c r="C4508" s="19">
        <v>100</v>
      </c>
      <c r="D4508" s="20">
        <v>10</v>
      </c>
      <c r="E4508" s="20">
        <v>10</v>
      </c>
      <c r="F4508" s="20">
        <v>10</v>
      </c>
      <c r="G4508" s="19">
        <f t="shared" si="327"/>
        <v>172</v>
      </c>
      <c r="H4508" s="22">
        <f t="shared" si="325"/>
        <v>4507</v>
      </c>
      <c r="I4508" s="21">
        <f t="shared" ca="1" si="313"/>
        <v>0</v>
      </c>
      <c r="J4508" s="21" t="str">
        <f ca="1">IF(I4508=0,"",COUNTIF($I$2:I4508,"&gt;0"))</f>
        <v/>
      </c>
      <c r="K4508" s="21" t="str">
        <f t="shared" ca="1" si="326"/>
        <v/>
      </c>
    </row>
    <row r="4509" spans="1:11" s="18" customFormat="1" ht="14.25" x14ac:dyDescent="0.2">
      <c r="A4509" s="18" t="str">
        <f t="shared" si="328"/>
        <v>Eintrag 4508</v>
      </c>
      <c r="B4509" s="18">
        <v>100</v>
      </c>
      <c r="C4509" s="19">
        <v>100</v>
      </c>
      <c r="D4509" s="20">
        <v>10</v>
      </c>
      <c r="E4509" s="20">
        <v>10</v>
      </c>
      <c r="F4509" s="20">
        <v>10</v>
      </c>
      <c r="G4509" s="19">
        <f t="shared" si="327"/>
        <v>172</v>
      </c>
      <c r="H4509" s="22">
        <f t="shared" si="325"/>
        <v>4508</v>
      </c>
      <c r="I4509" s="21">
        <f t="shared" ca="1" si="313"/>
        <v>0</v>
      </c>
      <c r="J4509" s="21" t="str">
        <f ca="1">IF(I4509=0,"",COUNTIF($I$2:I4509,"&gt;0"))</f>
        <v/>
      </c>
      <c r="K4509" s="21" t="str">
        <f t="shared" ca="1" si="326"/>
        <v/>
      </c>
    </row>
    <row r="4510" spans="1:11" s="18" customFormat="1" ht="14.25" x14ac:dyDescent="0.2">
      <c r="A4510" s="18" t="str">
        <f t="shared" si="328"/>
        <v>Eintrag 4509</v>
      </c>
      <c r="B4510" s="18">
        <v>100</v>
      </c>
      <c r="C4510" s="19">
        <v>100</v>
      </c>
      <c r="D4510" s="20">
        <v>10</v>
      </c>
      <c r="E4510" s="20">
        <v>10</v>
      </c>
      <c r="F4510" s="20">
        <v>10</v>
      </c>
      <c r="G4510" s="19">
        <f t="shared" si="327"/>
        <v>172</v>
      </c>
      <c r="H4510" s="22">
        <f t="shared" si="325"/>
        <v>4509</v>
      </c>
      <c r="I4510" s="21">
        <f t="shared" ca="1" si="313"/>
        <v>0</v>
      </c>
      <c r="J4510" s="21" t="str">
        <f ca="1">IF(I4510=0,"",COUNTIF($I$2:I4510,"&gt;0"))</f>
        <v/>
      </c>
      <c r="K4510" s="21" t="str">
        <f t="shared" ca="1" si="326"/>
        <v/>
      </c>
    </row>
    <row r="4511" spans="1:11" s="18" customFormat="1" ht="14.25" x14ac:dyDescent="0.2">
      <c r="A4511" s="18" t="str">
        <f t="shared" si="328"/>
        <v>Eintrag 4510</v>
      </c>
      <c r="B4511" s="18">
        <v>100</v>
      </c>
      <c r="C4511" s="19">
        <v>100</v>
      </c>
      <c r="D4511" s="20">
        <v>10</v>
      </c>
      <c r="E4511" s="20">
        <v>10</v>
      </c>
      <c r="F4511" s="20">
        <v>10</v>
      </c>
      <c r="G4511" s="19">
        <f t="shared" si="327"/>
        <v>172</v>
      </c>
      <c r="H4511" s="22">
        <f t="shared" si="325"/>
        <v>4510</v>
      </c>
      <c r="I4511" s="21">
        <f t="shared" ref="I4511:I4574" ca="1" si="329">IFERROR(SEARCH(INDIRECT(CELL("address")),A4511),0)</f>
        <v>0</v>
      </c>
      <c r="J4511" s="21" t="str">
        <f ca="1">IF(I4511=0,"",COUNTIF($I$2:I4511,"&gt;0"))</f>
        <v/>
      </c>
      <c r="K4511" s="21" t="str">
        <f t="shared" ca="1" si="326"/>
        <v/>
      </c>
    </row>
    <row r="4512" spans="1:11" s="18" customFormat="1" ht="14.25" x14ac:dyDescent="0.2">
      <c r="A4512" s="18" t="str">
        <f t="shared" si="328"/>
        <v>Eintrag 4511</v>
      </c>
      <c r="B4512" s="18">
        <v>100</v>
      </c>
      <c r="C4512" s="19">
        <v>100</v>
      </c>
      <c r="D4512" s="20">
        <v>10</v>
      </c>
      <c r="E4512" s="20">
        <v>10</v>
      </c>
      <c r="F4512" s="20">
        <v>10</v>
      </c>
      <c r="G4512" s="19">
        <f t="shared" si="327"/>
        <v>172</v>
      </c>
      <c r="H4512" s="22">
        <f t="shared" si="325"/>
        <v>4511</v>
      </c>
      <c r="I4512" s="21">
        <f t="shared" ca="1" si="329"/>
        <v>0</v>
      </c>
      <c r="J4512" s="21" t="str">
        <f ca="1">IF(I4512=0,"",COUNTIF($I$2:I4512,"&gt;0"))</f>
        <v/>
      </c>
      <c r="K4512" s="21" t="str">
        <f t="shared" ca="1" si="326"/>
        <v/>
      </c>
    </row>
    <row r="4513" spans="1:11" s="18" customFormat="1" ht="14.25" x14ac:dyDescent="0.2">
      <c r="A4513" s="18" t="str">
        <f t="shared" si="328"/>
        <v>Eintrag 4512</v>
      </c>
      <c r="B4513" s="18">
        <v>100</v>
      </c>
      <c r="C4513" s="19">
        <v>100</v>
      </c>
      <c r="D4513" s="20">
        <v>10</v>
      </c>
      <c r="E4513" s="20">
        <v>10</v>
      </c>
      <c r="F4513" s="20">
        <v>10</v>
      </c>
      <c r="G4513" s="19">
        <f t="shared" si="327"/>
        <v>172</v>
      </c>
      <c r="H4513" s="22">
        <f t="shared" si="325"/>
        <v>4512</v>
      </c>
      <c r="I4513" s="21">
        <f t="shared" ca="1" si="329"/>
        <v>0</v>
      </c>
      <c r="J4513" s="21" t="str">
        <f ca="1">IF(I4513=0,"",COUNTIF($I$2:I4513,"&gt;0"))</f>
        <v/>
      </c>
      <c r="K4513" s="21" t="str">
        <f t="shared" ca="1" si="326"/>
        <v/>
      </c>
    </row>
    <row r="4514" spans="1:11" s="18" customFormat="1" ht="14.25" x14ac:dyDescent="0.2">
      <c r="A4514" s="18" t="str">
        <f t="shared" si="328"/>
        <v>Eintrag 4513</v>
      </c>
      <c r="B4514" s="18">
        <v>100</v>
      </c>
      <c r="C4514" s="19">
        <v>100</v>
      </c>
      <c r="D4514" s="20">
        <v>10</v>
      </c>
      <c r="E4514" s="20">
        <v>10</v>
      </c>
      <c r="F4514" s="20">
        <v>10</v>
      </c>
      <c r="G4514" s="19">
        <f t="shared" si="327"/>
        <v>172</v>
      </c>
      <c r="H4514" s="22">
        <f t="shared" si="325"/>
        <v>4513</v>
      </c>
      <c r="I4514" s="21">
        <f t="shared" ca="1" si="329"/>
        <v>0</v>
      </c>
      <c r="J4514" s="21" t="str">
        <f ca="1">IF(I4514=0,"",COUNTIF($I$2:I4514,"&gt;0"))</f>
        <v/>
      </c>
      <c r="K4514" s="21" t="str">
        <f t="shared" ca="1" si="326"/>
        <v/>
      </c>
    </row>
    <row r="4515" spans="1:11" s="18" customFormat="1" ht="14.25" x14ac:dyDescent="0.2">
      <c r="A4515" s="18" t="str">
        <f t="shared" si="328"/>
        <v>Eintrag 4514</v>
      </c>
      <c r="B4515" s="18">
        <v>100</v>
      </c>
      <c r="C4515" s="19">
        <v>100</v>
      </c>
      <c r="D4515" s="20">
        <v>10</v>
      </c>
      <c r="E4515" s="20">
        <v>10</v>
      </c>
      <c r="F4515" s="20">
        <v>10</v>
      </c>
      <c r="G4515" s="19">
        <f t="shared" si="327"/>
        <v>172</v>
      </c>
      <c r="H4515" s="22">
        <f t="shared" si="325"/>
        <v>4514</v>
      </c>
      <c r="I4515" s="21">
        <f t="shared" ca="1" si="329"/>
        <v>0</v>
      </c>
      <c r="J4515" s="21" t="str">
        <f ca="1">IF(I4515=0,"",COUNTIF($I$2:I4515,"&gt;0"))</f>
        <v/>
      </c>
      <c r="K4515" s="21" t="str">
        <f t="shared" ca="1" si="326"/>
        <v/>
      </c>
    </row>
    <row r="4516" spans="1:11" s="18" customFormat="1" ht="14.25" x14ac:dyDescent="0.2">
      <c r="A4516" s="18" t="str">
        <f t="shared" si="328"/>
        <v>Eintrag 4515</v>
      </c>
      <c r="B4516" s="18">
        <v>100</v>
      </c>
      <c r="C4516" s="19">
        <v>100</v>
      </c>
      <c r="D4516" s="20">
        <v>10</v>
      </c>
      <c r="E4516" s="20">
        <v>10</v>
      </c>
      <c r="F4516" s="20">
        <v>10</v>
      </c>
      <c r="G4516" s="19">
        <f t="shared" si="327"/>
        <v>172</v>
      </c>
      <c r="H4516" s="22">
        <f t="shared" si="325"/>
        <v>4515</v>
      </c>
      <c r="I4516" s="21">
        <f t="shared" ca="1" si="329"/>
        <v>0</v>
      </c>
      <c r="J4516" s="21" t="str">
        <f ca="1">IF(I4516=0,"",COUNTIF($I$2:I4516,"&gt;0"))</f>
        <v/>
      </c>
      <c r="K4516" s="21" t="str">
        <f t="shared" ca="1" si="326"/>
        <v/>
      </c>
    </row>
    <row r="4517" spans="1:11" s="18" customFormat="1" ht="14.25" x14ac:dyDescent="0.2">
      <c r="A4517" s="18" t="str">
        <f t="shared" si="328"/>
        <v>Eintrag 4516</v>
      </c>
      <c r="B4517" s="18">
        <v>100</v>
      </c>
      <c r="C4517" s="19">
        <v>100</v>
      </c>
      <c r="D4517" s="20">
        <v>10</v>
      </c>
      <c r="E4517" s="20">
        <v>10</v>
      </c>
      <c r="F4517" s="20">
        <v>10</v>
      </c>
      <c r="G4517" s="19">
        <f t="shared" si="327"/>
        <v>172</v>
      </c>
      <c r="H4517" s="22">
        <f t="shared" ref="H4517:H4580" si="330">H4516+1</f>
        <v>4516</v>
      </c>
      <c r="I4517" s="21">
        <f t="shared" ca="1" si="329"/>
        <v>0</v>
      </c>
      <c r="J4517" s="21" t="str">
        <f ca="1">IF(I4517=0,"",COUNTIF($I$2:I4517,"&gt;0"))</f>
        <v/>
      </c>
      <c r="K4517" s="21" t="str">
        <f t="shared" ca="1" si="326"/>
        <v/>
      </c>
    </row>
    <row r="4518" spans="1:11" s="18" customFormat="1" ht="14.25" x14ac:dyDescent="0.2">
      <c r="A4518" s="18" t="str">
        <f t="shared" si="328"/>
        <v>Eintrag 4517</v>
      </c>
      <c r="B4518" s="18">
        <v>100</v>
      </c>
      <c r="C4518" s="19">
        <v>100</v>
      </c>
      <c r="D4518" s="20">
        <v>10</v>
      </c>
      <c r="E4518" s="20">
        <v>10</v>
      </c>
      <c r="F4518" s="20">
        <v>10</v>
      </c>
      <c r="G4518" s="19">
        <f t="shared" si="327"/>
        <v>172</v>
      </c>
      <c r="H4518" s="22">
        <f t="shared" si="330"/>
        <v>4517</v>
      </c>
      <c r="I4518" s="21">
        <f t="shared" ca="1" si="329"/>
        <v>0</v>
      </c>
      <c r="J4518" s="21" t="str">
        <f ca="1">IF(I4518=0,"",COUNTIF($I$2:I4518,"&gt;0"))</f>
        <v/>
      </c>
      <c r="K4518" s="21" t="str">
        <f t="shared" ca="1" si="326"/>
        <v/>
      </c>
    </row>
    <row r="4519" spans="1:11" s="18" customFormat="1" ht="14.25" x14ac:dyDescent="0.2">
      <c r="A4519" s="18" t="str">
        <f t="shared" si="328"/>
        <v>Eintrag 4518</v>
      </c>
      <c r="B4519" s="18">
        <v>100</v>
      </c>
      <c r="C4519" s="19">
        <v>100</v>
      </c>
      <c r="D4519" s="20">
        <v>10</v>
      </c>
      <c r="E4519" s="20">
        <v>10</v>
      </c>
      <c r="F4519" s="20">
        <v>10</v>
      </c>
      <c r="G4519" s="19">
        <f t="shared" si="327"/>
        <v>172</v>
      </c>
      <c r="H4519" s="22">
        <f t="shared" si="330"/>
        <v>4518</v>
      </c>
      <c r="I4519" s="21">
        <f t="shared" ca="1" si="329"/>
        <v>0</v>
      </c>
      <c r="J4519" s="21" t="str">
        <f ca="1">IF(I4519=0,"",COUNTIF($I$2:I4519,"&gt;0"))</f>
        <v/>
      </c>
      <c r="K4519" s="21" t="str">
        <f t="shared" ca="1" si="326"/>
        <v/>
      </c>
    </row>
    <row r="4520" spans="1:11" s="18" customFormat="1" ht="14.25" x14ac:dyDescent="0.2">
      <c r="A4520" s="18" t="str">
        <f t="shared" si="328"/>
        <v>Eintrag 4519</v>
      </c>
      <c r="B4520" s="18">
        <v>100</v>
      </c>
      <c r="C4520" s="19">
        <v>100</v>
      </c>
      <c r="D4520" s="20">
        <v>10</v>
      </c>
      <c r="E4520" s="20">
        <v>10</v>
      </c>
      <c r="F4520" s="20">
        <v>10</v>
      </c>
      <c r="G4520" s="19">
        <f t="shared" si="327"/>
        <v>172</v>
      </c>
      <c r="H4520" s="22">
        <f t="shared" si="330"/>
        <v>4519</v>
      </c>
      <c r="I4520" s="21">
        <f t="shared" ca="1" si="329"/>
        <v>0</v>
      </c>
      <c r="J4520" s="21" t="str">
        <f ca="1">IF(I4520=0,"",COUNTIF($I$2:I4520,"&gt;0"))</f>
        <v/>
      </c>
      <c r="K4520" s="21" t="str">
        <f t="shared" ca="1" si="326"/>
        <v/>
      </c>
    </row>
    <row r="4521" spans="1:11" s="18" customFormat="1" ht="14.25" x14ac:dyDescent="0.2">
      <c r="A4521" s="18" t="str">
        <f t="shared" si="328"/>
        <v>Eintrag 4520</v>
      </c>
      <c r="B4521" s="18">
        <v>100</v>
      </c>
      <c r="C4521" s="19">
        <v>100</v>
      </c>
      <c r="D4521" s="20">
        <v>10</v>
      </c>
      <c r="E4521" s="20">
        <v>10</v>
      </c>
      <c r="F4521" s="20">
        <v>10</v>
      </c>
      <c r="G4521" s="19">
        <f t="shared" si="327"/>
        <v>172</v>
      </c>
      <c r="H4521" s="22">
        <f t="shared" si="330"/>
        <v>4520</v>
      </c>
      <c r="I4521" s="21">
        <f t="shared" ca="1" si="329"/>
        <v>0</v>
      </c>
      <c r="J4521" s="21" t="str">
        <f ca="1">IF(I4521=0,"",COUNTIF($I$2:I4521,"&gt;0"))</f>
        <v/>
      </c>
      <c r="K4521" s="21" t="str">
        <f t="shared" ca="1" si="326"/>
        <v/>
      </c>
    </row>
    <row r="4522" spans="1:11" s="18" customFormat="1" ht="14.25" x14ac:dyDescent="0.2">
      <c r="A4522" s="18" t="str">
        <f t="shared" si="328"/>
        <v>Eintrag 4521</v>
      </c>
      <c r="B4522" s="18">
        <v>100</v>
      </c>
      <c r="C4522" s="19">
        <v>100</v>
      </c>
      <c r="D4522" s="20">
        <v>10</v>
      </c>
      <c r="E4522" s="20">
        <v>10</v>
      </c>
      <c r="F4522" s="20">
        <v>10</v>
      </c>
      <c r="G4522" s="19">
        <f t="shared" si="327"/>
        <v>172</v>
      </c>
      <c r="H4522" s="22">
        <f t="shared" si="330"/>
        <v>4521</v>
      </c>
      <c r="I4522" s="21">
        <f t="shared" ca="1" si="329"/>
        <v>0</v>
      </c>
      <c r="J4522" s="21" t="str">
        <f ca="1">IF(I4522=0,"",COUNTIF($I$2:I4522,"&gt;0"))</f>
        <v/>
      </c>
      <c r="K4522" s="21" t="str">
        <f t="shared" ca="1" si="326"/>
        <v/>
      </c>
    </row>
    <row r="4523" spans="1:11" s="18" customFormat="1" ht="14.25" x14ac:dyDescent="0.2">
      <c r="A4523" s="18" t="str">
        <f t="shared" si="328"/>
        <v>Eintrag 4522</v>
      </c>
      <c r="B4523" s="18">
        <v>100</v>
      </c>
      <c r="C4523" s="19">
        <v>100</v>
      </c>
      <c r="D4523" s="20">
        <v>10</v>
      </c>
      <c r="E4523" s="20">
        <v>10</v>
      </c>
      <c r="F4523" s="20">
        <v>10</v>
      </c>
      <c r="G4523" s="19">
        <f t="shared" si="327"/>
        <v>172</v>
      </c>
      <c r="H4523" s="22">
        <f t="shared" si="330"/>
        <v>4522</v>
      </c>
      <c r="I4523" s="21">
        <f t="shared" ca="1" si="329"/>
        <v>0</v>
      </c>
      <c r="J4523" s="21" t="str">
        <f ca="1">IF(I4523=0,"",COUNTIF($I$2:I4523,"&gt;0"))</f>
        <v/>
      </c>
      <c r="K4523" s="21" t="str">
        <f t="shared" ca="1" si="326"/>
        <v/>
      </c>
    </row>
    <row r="4524" spans="1:11" s="18" customFormat="1" ht="14.25" x14ac:dyDescent="0.2">
      <c r="A4524" s="18" t="str">
        <f t="shared" si="328"/>
        <v>Eintrag 4523</v>
      </c>
      <c r="B4524" s="18">
        <v>100</v>
      </c>
      <c r="C4524" s="19">
        <v>100</v>
      </c>
      <c r="D4524" s="20">
        <v>10</v>
      </c>
      <c r="E4524" s="20">
        <v>10</v>
      </c>
      <c r="F4524" s="20">
        <v>10</v>
      </c>
      <c r="G4524" s="19">
        <f t="shared" si="327"/>
        <v>172</v>
      </c>
      <c r="H4524" s="22">
        <f t="shared" si="330"/>
        <v>4523</v>
      </c>
      <c r="I4524" s="21">
        <f t="shared" ca="1" si="329"/>
        <v>0</v>
      </c>
      <c r="J4524" s="21" t="str">
        <f ca="1">IF(I4524=0,"",COUNTIF($I$2:I4524,"&gt;0"))</f>
        <v/>
      </c>
      <c r="K4524" s="21" t="str">
        <f t="shared" ca="1" si="326"/>
        <v/>
      </c>
    </row>
    <row r="4525" spans="1:11" s="18" customFormat="1" ht="14.25" x14ac:dyDescent="0.2">
      <c r="A4525" s="18" t="str">
        <f t="shared" si="328"/>
        <v>Eintrag 4524</v>
      </c>
      <c r="B4525" s="18">
        <v>100</v>
      </c>
      <c r="C4525" s="19">
        <v>100</v>
      </c>
      <c r="D4525" s="20">
        <v>10</v>
      </c>
      <c r="E4525" s="20">
        <v>10</v>
      </c>
      <c r="F4525" s="20">
        <v>10</v>
      </c>
      <c r="G4525" s="19">
        <f t="shared" si="327"/>
        <v>172</v>
      </c>
      <c r="H4525" s="22">
        <f t="shared" si="330"/>
        <v>4524</v>
      </c>
      <c r="I4525" s="21">
        <f t="shared" ca="1" si="329"/>
        <v>0</v>
      </c>
      <c r="J4525" s="21" t="str">
        <f ca="1">IF(I4525=0,"",COUNTIF($I$2:I4525,"&gt;0"))</f>
        <v/>
      </c>
      <c r="K4525" s="21" t="str">
        <f t="shared" ca="1" si="326"/>
        <v/>
      </c>
    </row>
    <row r="4526" spans="1:11" s="18" customFormat="1" ht="14.25" x14ac:dyDescent="0.2">
      <c r="A4526" s="18" t="str">
        <f t="shared" si="328"/>
        <v>Eintrag 4525</v>
      </c>
      <c r="B4526" s="18">
        <v>100</v>
      </c>
      <c r="C4526" s="19">
        <v>100</v>
      </c>
      <c r="D4526" s="20">
        <v>10</v>
      </c>
      <c r="E4526" s="20">
        <v>10</v>
      </c>
      <c r="F4526" s="20">
        <v>10</v>
      </c>
      <c r="G4526" s="19">
        <f t="shared" si="327"/>
        <v>172</v>
      </c>
      <c r="H4526" s="22">
        <f t="shared" si="330"/>
        <v>4525</v>
      </c>
      <c r="I4526" s="21">
        <f t="shared" ca="1" si="329"/>
        <v>0</v>
      </c>
      <c r="J4526" s="21" t="str">
        <f ca="1">IF(I4526=0,"",COUNTIF($I$2:I4526,"&gt;0"))</f>
        <v/>
      </c>
      <c r="K4526" s="21" t="str">
        <f t="shared" ca="1" si="326"/>
        <v/>
      </c>
    </row>
    <row r="4527" spans="1:11" s="18" customFormat="1" ht="14.25" x14ac:dyDescent="0.2">
      <c r="A4527" s="18" t="str">
        <f t="shared" si="328"/>
        <v>Eintrag 4526</v>
      </c>
      <c r="B4527" s="18">
        <v>100</v>
      </c>
      <c r="C4527" s="19">
        <v>100</v>
      </c>
      <c r="D4527" s="20">
        <v>10</v>
      </c>
      <c r="E4527" s="20">
        <v>10</v>
      </c>
      <c r="F4527" s="20">
        <v>10</v>
      </c>
      <c r="G4527" s="19">
        <f t="shared" si="327"/>
        <v>172</v>
      </c>
      <c r="H4527" s="22">
        <f t="shared" si="330"/>
        <v>4526</v>
      </c>
      <c r="I4527" s="21">
        <f t="shared" ca="1" si="329"/>
        <v>0</v>
      </c>
      <c r="J4527" s="21" t="str">
        <f ca="1">IF(I4527=0,"",COUNTIF($I$2:I4527,"&gt;0"))</f>
        <v/>
      </c>
      <c r="K4527" s="21" t="str">
        <f t="shared" ca="1" si="326"/>
        <v/>
      </c>
    </row>
    <row r="4528" spans="1:11" s="18" customFormat="1" ht="14.25" x14ac:dyDescent="0.2">
      <c r="A4528" s="18" t="str">
        <f t="shared" si="328"/>
        <v>Eintrag 4527</v>
      </c>
      <c r="B4528" s="18">
        <v>100</v>
      </c>
      <c r="C4528" s="19">
        <v>100</v>
      </c>
      <c r="D4528" s="20">
        <v>10</v>
      </c>
      <c r="E4528" s="20">
        <v>10</v>
      </c>
      <c r="F4528" s="20">
        <v>10</v>
      </c>
      <c r="G4528" s="19">
        <f t="shared" si="327"/>
        <v>172</v>
      </c>
      <c r="H4528" s="22">
        <f t="shared" si="330"/>
        <v>4527</v>
      </c>
      <c r="I4528" s="21">
        <f t="shared" ca="1" si="329"/>
        <v>0</v>
      </c>
      <c r="J4528" s="21" t="str">
        <f ca="1">IF(I4528=0,"",COUNTIF($I$2:I4528,"&gt;0"))</f>
        <v/>
      </c>
      <c r="K4528" s="21" t="str">
        <f t="shared" ca="1" si="326"/>
        <v/>
      </c>
    </row>
    <row r="4529" spans="1:11" s="18" customFormat="1" ht="14.25" x14ac:dyDescent="0.2">
      <c r="A4529" s="18" t="str">
        <f t="shared" si="328"/>
        <v>Eintrag 4528</v>
      </c>
      <c r="B4529" s="18">
        <v>100</v>
      </c>
      <c r="C4529" s="19">
        <v>100</v>
      </c>
      <c r="D4529" s="20">
        <v>10</v>
      </c>
      <c r="E4529" s="20">
        <v>10</v>
      </c>
      <c r="F4529" s="20">
        <v>10</v>
      </c>
      <c r="G4529" s="19">
        <f t="shared" si="327"/>
        <v>172</v>
      </c>
      <c r="H4529" s="22">
        <f t="shared" si="330"/>
        <v>4528</v>
      </c>
      <c r="I4529" s="21">
        <f t="shared" ca="1" si="329"/>
        <v>0</v>
      </c>
      <c r="J4529" s="21" t="str">
        <f ca="1">IF(I4529=0,"",COUNTIF($I$2:I4529,"&gt;0"))</f>
        <v/>
      </c>
      <c r="K4529" s="21" t="str">
        <f t="shared" ca="1" si="326"/>
        <v/>
      </c>
    </row>
    <row r="4530" spans="1:11" s="18" customFormat="1" ht="14.25" x14ac:dyDescent="0.2">
      <c r="A4530" s="18" t="str">
        <f t="shared" si="328"/>
        <v>Eintrag 4529</v>
      </c>
      <c r="B4530" s="18">
        <v>100</v>
      </c>
      <c r="C4530" s="19">
        <v>100</v>
      </c>
      <c r="D4530" s="20">
        <v>10</v>
      </c>
      <c r="E4530" s="20">
        <v>10</v>
      </c>
      <c r="F4530" s="20">
        <v>10</v>
      </c>
      <c r="G4530" s="19">
        <f t="shared" si="327"/>
        <v>172</v>
      </c>
      <c r="H4530" s="22">
        <f t="shared" si="330"/>
        <v>4529</v>
      </c>
      <c r="I4530" s="21">
        <f t="shared" ca="1" si="329"/>
        <v>0</v>
      </c>
      <c r="J4530" s="21" t="str">
        <f ca="1">IF(I4530=0,"",COUNTIF($I$2:I4530,"&gt;0"))</f>
        <v/>
      </c>
      <c r="K4530" s="21" t="str">
        <f t="shared" ca="1" si="326"/>
        <v/>
      </c>
    </row>
    <row r="4531" spans="1:11" s="18" customFormat="1" ht="14.25" x14ac:dyDescent="0.2">
      <c r="A4531" s="18" t="str">
        <f t="shared" si="328"/>
        <v>Eintrag 4530</v>
      </c>
      <c r="B4531" s="18">
        <v>100</v>
      </c>
      <c r="C4531" s="19">
        <v>100</v>
      </c>
      <c r="D4531" s="20">
        <v>10</v>
      </c>
      <c r="E4531" s="20">
        <v>10</v>
      </c>
      <c r="F4531" s="20">
        <v>10</v>
      </c>
      <c r="G4531" s="19">
        <f t="shared" si="327"/>
        <v>172</v>
      </c>
      <c r="H4531" s="22">
        <f t="shared" si="330"/>
        <v>4530</v>
      </c>
      <c r="I4531" s="21">
        <f t="shared" ca="1" si="329"/>
        <v>0</v>
      </c>
      <c r="J4531" s="21" t="str">
        <f ca="1">IF(I4531=0,"",COUNTIF($I$2:I4531,"&gt;0"))</f>
        <v/>
      </c>
      <c r="K4531" s="21" t="str">
        <f t="shared" ca="1" si="326"/>
        <v/>
      </c>
    </row>
    <row r="4532" spans="1:11" s="18" customFormat="1" ht="14.25" x14ac:dyDescent="0.2">
      <c r="A4532" s="18" t="str">
        <f t="shared" si="328"/>
        <v>Eintrag 4531</v>
      </c>
      <c r="B4532" s="18">
        <v>100</v>
      </c>
      <c r="C4532" s="19">
        <v>100</v>
      </c>
      <c r="D4532" s="20">
        <v>10</v>
      </c>
      <c r="E4532" s="20">
        <v>10</v>
      </c>
      <c r="F4532" s="20">
        <v>10</v>
      </c>
      <c r="G4532" s="19">
        <f t="shared" si="327"/>
        <v>172</v>
      </c>
      <c r="H4532" s="22">
        <f t="shared" si="330"/>
        <v>4531</v>
      </c>
      <c r="I4532" s="21">
        <f t="shared" ca="1" si="329"/>
        <v>0</v>
      </c>
      <c r="J4532" s="21" t="str">
        <f ca="1">IF(I4532=0,"",COUNTIF($I$2:I4532,"&gt;0"))</f>
        <v/>
      </c>
      <c r="K4532" s="21" t="str">
        <f t="shared" ca="1" si="326"/>
        <v/>
      </c>
    </row>
    <row r="4533" spans="1:11" s="18" customFormat="1" ht="14.25" x14ac:dyDescent="0.2">
      <c r="A4533" s="18" t="str">
        <f t="shared" si="328"/>
        <v>Eintrag 4532</v>
      </c>
      <c r="B4533" s="18">
        <v>100</v>
      </c>
      <c r="C4533" s="19">
        <v>100</v>
      </c>
      <c r="D4533" s="20">
        <v>10</v>
      </c>
      <c r="E4533" s="20">
        <v>10</v>
      </c>
      <c r="F4533" s="20">
        <v>10</v>
      </c>
      <c r="G4533" s="19">
        <f t="shared" si="327"/>
        <v>172</v>
      </c>
      <c r="H4533" s="22">
        <f t="shared" si="330"/>
        <v>4532</v>
      </c>
      <c r="I4533" s="21">
        <f t="shared" ca="1" si="329"/>
        <v>0</v>
      </c>
      <c r="J4533" s="21" t="str">
        <f ca="1">IF(I4533=0,"",COUNTIF($I$2:I4533,"&gt;0"))</f>
        <v/>
      </c>
      <c r="K4533" s="21" t="str">
        <f t="shared" ca="1" si="326"/>
        <v/>
      </c>
    </row>
    <row r="4534" spans="1:11" s="18" customFormat="1" ht="14.25" x14ac:dyDescent="0.2">
      <c r="A4534" s="18" t="str">
        <f t="shared" si="328"/>
        <v>Eintrag 4533</v>
      </c>
      <c r="B4534" s="18">
        <v>100</v>
      </c>
      <c r="C4534" s="19">
        <v>100</v>
      </c>
      <c r="D4534" s="20">
        <v>10</v>
      </c>
      <c r="E4534" s="20">
        <v>10</v>
      </c>
      <c r="F4534" s="20">
        <v>10</v>
      </c>
      <c r="G4534" s="19">
        <f t="shared" si="327"/>
        <v>172</v>
      </c>
      <c r="H4534" s="22">
        <f t="shared" si="330"/>
        <v>4533</v>
      </c>
      <c r="I4534" s="21">
        <f t="shared" ca="1" si="329"/>
        <v>0</v>
      </c>
      <c r="J4534" s="21" t="str">
        <f ca="1">IF(I4534=0,"",COUNTIF($I$2:I4534,"&gt;0"))</f>
        <v/>
      </c>
      <c r="K4534" s="21" t="str">
        <f t="shared" ca="1" si="326"/>
        <v/>
      </c>
    </row>
    <row r="4535" spans="1:11" s="18" customFormat="1" ht="14.25" x14ac:dyDescent="0.2">
      <c r="A4535" s="18" t="str">
        <f t="shared" si="328"/>
        <v>Eintrag 4534</v>
      </c>
      <c r="B4535" s="18">
        <v>100</v>
      </c>
      <c r="C4535" s="19">
        <v>100</v>
      </c>
      <c r="D4535" s="20">
        <v>10</v>
      </c>
      <c r="E4535" s="20">
        <v>10</v>
      </c>
      <c r="F4535" s="20">
        <v>10</v>
      </c>
      <c r="G4535" s="19">
        <f t="shared" si="327"/>
        <v>172</v>
      </c>
      <c r="H4535" s="22">
        <f t="shared" si="330"/>
        <v>4534</v>
      </c>
      <c r="I4535" s="21">
        <f t="shared" ca="1" si="329"/>
        <v>0</v>
      </c>
      <c r="J4535" s="21" t="str">
        <f ca="1">IF(I4535=0,"",COUNTIF($I$2:I4535,"&gt;0"))</f>
        <v/>
      </c>
      <c r="K4535" s="21" t="str">
        <f t="shared" ca="1" si="326"/>
        <v/>
      </c>
    </row>
    <row r="4536" spans="1:11" s="18" customFormat="1" ht="14.25" x14ac:dyDescent="0.2">
      <c r="A4536" s="18" t="str">
        <f t="shared" si="328"/>
        <v>Eintrag 4535</v>
      </c>
      <c r="B4536" s="18">
        <v>100</v>
      </c>
      <c r="C4536" s="19">
        <v>100</v>
      </c>
      <c r="D4536" s="20">
        <v>10</v>
      </c>
      <c r="E4536" s="20">
        <v>10</v>
      </c>
      <c r="F4536" s="20">
        <v>10</v>
      </c>
      <c r="G4536" s="19">
        <f t="shared" si="327"/>
        <v>172</v>
      </c>
      <c r="H4536" s="22">
        <f t="shared" si="330"/>
        <v>4535</v>
      </c>
      <c r="I4536" s="21">
        <f t="shared" ca="1" si="329"/>
        <v>0</v>
      </c>
      <c r="J4536" s="21" t="str">
        <f ca="1">IF(I4536=0,"",COUNTIF($I$2:I4536,"&gt;0"))</f>
        <v/>
      </c>
      <c r="K4536" s="21" t="str">
        <f t="shared" ca="1" si="326"/>
        <v/>
      </c>
    </row>
    <row r="4537" spans="1:11" s="18" customFormat="1" ht="14.25" x14ac:dyDescent="0.2">
      <c r="A4537" s="18" t="str">
        <f t="shared" si="328"/>
        <v>Eintrag 4536</v>
      </c>
      <c r="B4537" s="18">
        <v>100</v>
      </c>
      <c r="C4537" s="19">
        <v>100</v>
      </c>
      <c r="D4537" s="20">
        <v>10</v>
      </c>
      <c r="E4537" s="20">
        <v>10</v>
      </c>
      <c r="F4537" s="20">
        <v>10</v>
      </c>
      <c r="G4537" s="19">
        <f t="shared" si="327"/>
        <v>172</v>
      </c>
      <c r="H4537" s="22">
        <f t="shared" si="330"/>
        <v>4536</v>
      </c>
      <c r="I4537" s="21">
        <f t="shared" ca="1" si="329"/>
        <v>0</v>
      </c>
      <c r="J4537" s="21" t="str">
        <f ca="1">IF(I4537=0,"",COUNTIF($I$2:I4537,"&gt;0"))</f>
        <v/>
      </c>
      <c r="K4537" s="21" t="str">
        <f t="shared" ca="1" si="326"/>
        <v/>
      </c>
    </row>
    <row r="4538" spans="1:11" s="18" customFormat="1" ht="14.25" x14ac:dyDescent="0.2">
      <c r="A4538" s="18" t="str">
        <f t="shared" si="328"/>
        <v>Eintrag 4537</v>
      </c>
      <c r="B4538" s="18">
        <v>100</v>
      </c>
      <c r="C4538" s="19">
        <v>100</v>
      </c>
      <c r="D4538" s="20">
        <v>10</v>
      </c>
      <c r="E4538" s="20">
        <v>10</v>
      </c>
      <c r="F4538" s="20">
        <v>10</v>
      </c>
      <c r="G4538" s="19">
        <f t="shared" si="327"/>
        <v>172</v>
      </c>
      <c r="H4538" s="22">
        <f t="shared" si="330"/>
        <v>4537</v>
      </c>
      <c r="I4538" s="21">
        <f t="shared" ca="1" si="329"/>
        <v>0</v>
      </c>
      <c r="J4538" s="21" t="str">
        <f ca="1">IF(I4538=0,"",COUNTIF($I$2:I4538,"&gt;0"))</f>
        <v/>
      </c>
      <c r="K4538" s="21" t="str">
        <f t="shared" ca="1" si="326"/>
        <v/>
      </c>
    </row>
    <row r="4539" spans="1:11" s="18" customFormat="1" ht="14.25" x14ac:dyDescent="0.2">
      <c r="A4539" s="18" t="str">
        <f t="shared" si="328"/>
        <v>Eintrag 4538</v>
      </c>
      <c r="B4539" s="18">
        <v>100</v>
      </c>
      <c r="C4539" s="19">
        <v>100</v>
      </c>
      <c r="D4539" s="20">
        <v>10</v>
      </c>
      <c r="E4539" s="20">
        <v>10</v>
      </c>
      <c r="F4539" s="20">
        <v>10</v>
      </c>
      <c r="G4539" s="19">
        <f t="shared" si="327"/>
        <v>172</v>
      </c>
      <c r="H4539" s="22">
        <f t="shared" si="330"/>
        <v>4538</v>
      </c>
      <c r="I4539" s="21">
        <f t="shared" ca="1" si="329"/>
        <v>0</v>
      </c>
      <c r="J4539" s="21" t="str">
        <f ca="1">IF(I4539=0,"",COUNTIF($I$2:I4539,"&gt;0"))</f>
        <v/>
      </c>
      <c r="K4539" s="21" t="str">
        <f t="shared" ca="1" si="326"/>
        <v/>
      </c>
    </row>
    <row r="4540" spans="1:11" s="18" customFormat="1" ht="14.25" x14ac:dyDescent="0.2">
      <c r="A4540" s="18" t="str">
        <f t="shared" si="328"/>
        <v>Eintrag 4539</v>
      </c>
      <c r="B4540" s="18">
        <v>100</v>
      </c>
      <c r="C4540" s="19">
        <v>100</v>
      </c>
      <c r="D4540" s="20">
        <v>10</v>
      </c>
      <c r="E4540" s="20">
        <v>10</v>
      </c>
      <c r="F4540" s="20">
        <v>10</v>
      </c>
      <c r="G4540" s="19">
        <f t="shared" si="327"/>
        <v>172</v>
      </c>
      <c r="H4540" s="22">
        <f t="shared" si="330"/>
        <v>4539</v>
      </c>
      <c r="I4540" s="21">
        <f t="shared" ca="1" si="329"/>
        <v>0</v>
      </c>
      <c r="J4540" s="21" t="str">
        <f ca="1">IF(I4540=0,"",COUNTIF($I$2:I4540,"&gt;0"))</f>
        <v/>
      </c>
      <c r="K4540" s="21" t="str">
        <f t="shared" ca="1" si="326"/>
        <v/>
      </c>
    </row>
    <row r="4541" spans="1:11" s="18" customFormat="1" ht="14.25" x14ac:dyDescent="0.2">
      <c r="A4541" s="18" t="str">
        <f t="shared" si="328"/>
        <v>Eintrag 4540</v>
      </c>
      <c r="B4541" s="18">
        <v>100</v>
      </c>
      <c r="C4541" s="19">
        <v>100</v>
      </c>
      <c r="D4541" s="20">
        <v>10</v>
      </c>
      <c r="E4541" s="20">
        <v>10</v>
      </c>
      <c r="F4541" s="20">
        <v>10</v>
      </c>
      <c r="G4541" s="19">
        <f t="shared" si="327"/>
        <v>172</v>
      </c>
      <c r="H4541" s="22">
        <f t="shared" si="330"/>
        <v>4540</v>
      </c>
      <c r="I4541" s="21">
        <f t="shared" ca="1" si="329"/>
        <v>0</v>
      </c>
      <c r="J4541" s="21" t="str">
        <f ca="1">IF(I4541=0,"",COUNTIF($I$2:I4541,"&gt;0"))</f>
        <v/>
      </c>
      <c r="K4541" s="21" t="str">
        <f t="shared" ca="1" si="326"/>
        <v/>
      </c>
    </row>
    <row r="4542" spans="1:11" s="18" customFormat="1" ht="14.25" x14ac:dyDescent="0.2">
      <c r="A4542" s="18" t="str">
        <f t="shared" si="328"/>
        <v>Eintrag 4541</v>
      </c>
      <c r="B4542" s="18">
        <v>100</v>
      </c>
      <c r="C4542" s="19">
        <v>100</v>
      </c>
      <c r="D4542" s="20">
        <v>10</v>
      </c>
      <c r="E4542" s="20">
        <v>10</v>
      </c>
      <c r="F4542" s="20">
        <v>10</v>
      </c>
      <c r="G4542" s="19">
        <f t="shared" si="327"/>
        <v>172</v>
      </c>
      <c r="H4542" s="22">
        <f t="shared" si="330"/>
        <v>4541</v>
      </c>
      <c r="I4542" s="21">
        <f t="shared" ca="1" si="329"/>
        <v>0</v>
      </c>
      <c r="J4542" s="21" t="str">
        <f ca="1">IF(I4542=0,"",COUNTIF($I$2:I4542,"&gt;0"))</f>
        <v/>
      </c>
      <c r="K4542" s="21" t="str">
        <f t="shared" ca="1" si="326"/>
        <v/>
      </c>
    </row>
    <row r="4543" spans="1:11" s="18" customFormat="1" ht="14.25" x14ac:dyDescent="0.2">
      <c r="A4543" s="18" t="str">
        <f t="shared" si="328"/>
        <v>Eintrag 4542</v>
      </c>
      <c r="B4543" s="18">
        <v>100</v>
      </c>
      <c r="C4543" s="19">
        <v>100</v>
      </c>
      <c r="D4543" s="20">
        <v>10</v>
      </c>
      <c r="E4543" s="20">
        <v>10</v>
      </c>
      <c r="F4543" s="20">
        <v>10</v>
      </c>
      <c r="G4543" s="19">
        <f t="shared" si="327"/>
        <v>172</v>
      </c>
      <c r="H4543" s="22">
        <f t="shared" si="330"/>
        <v>4542</v>
      </c>
      <c r="I4543" s="21">
        <f t="shared" ca="1" si="329"/>
        <v>0</v>
      </c>
      <c r="J4543" s="21" t="str">
        <f ca="1">IF(I4543=0,"",COUNTIF($I$2:I4543,"&gt;0"))</f>
        <v/>
      </c>
      <c r="K4543" s="21" t="str">
        <f t="shared" ca="1" si="326"/>
        <v/>
      </c>
    </row>
    <row r="4544" spans="1:11" s="18" customFormat="1" ht="14.25" x14ac:dyDescent="0.2">
      <c r="A4544" s="18" t="str">
        <f t="shared" si="328"/>
        <v>Eintrag 4543</v>
      </c>
      <c r="B4544" s="18">
        <v>100</v>
      </c>
      <c r="C4544" s="19">
        <v>100</v>
      </c>
      <c r="D4544" s="20">
        <v>10</v>
      </c>
      <c r="E4544" s="20">
        <v>10</v>
      </c>
      <c r="F4544" s="20">
        <v>10</v>
      </c>
      <c r="G4544" s="19">
        <f t="shared" si="327"/>
        <v>172</v>
      </c>
      <c r="H4544" s="22">
        <f t="shared" si="330"/>
        <v>4543</v>
      </c>
      <c r="I4544" s="21">
        <f t="shared" ca="1" si="329"/>
        <v>0</v>
      </c>
      <c r="J4544" s="21" t="str">
        <f ca="1">IF(I4544=0,"",COUNTIF($I$2:I4544,"&gt;0"))</f>
        <v/>
      </c>
      <c r="K4544" s="21" t="str">
        <f t="shared" ca="1" si="326"/>
        <v/>
      </c>
    </row>
    <row r="4545" spans="1:11" s="18" customFormat="1" ht="14.25" x14ac:dyDescent="0.2">
      <c r="A4545" s="18" t="str">
        <f t="shared" si="328"/>
        <v>Eintrag 4544</v>
      </c>
      <c r="B4545" s="18">
        <v>100</v>
      </c>
      <c r="C4545" s="19">
        <v>100</v>
      </c>
      <c r="D4545" s="20">
        <v>10</v>
      </c>
      <c r="E4545" s="20">
        <v>10</v>
      </c>
      <c r="F4545" s="20">
        <v>10</v>
      </c>
      <c r="G4545" s="19">
        <f t="shared" si="327"/>
        <v>172</v>
      </c>
      <c r="H4545" s="22">
        <f t="shared" si="330"/>
        <v>4544</v>
      </c>
      <c r="I4545" s="21">
        <f t="shared" ca="1" si="329"/>
        <v>0</v>
      </c>
      <c r="J4545" s="21" t="str">
        <f ca="1">IF(I4545=0,"",COUNTIF($I$2:I4545,"&gt;0"))</f>
        <v/>
      </c>
      <c r="K4545" s="21" t="str">
        <f t="shared" ca="1" si="326"/>
        <v/>
      </c>
    </row>
    <row r="4546" spans="1:11" s="18" customFormat="1" ht="14.25" x14ac:dyDescent="0.2">
      <c r="A4546" s="18" t="str">
        <f t="shared" si="328"/>
        <v>Eintrag 4545</v>
      </c>
      <c r="B4546" s="18">
        <v>100</v>
      </c>
      <c r="C4546" s="19">
        <v>100</v>
      </c>
      <c r="D4546" s="20">
        <v>10</v>
      </c>
      <c r="E4546" s="20">
        <v>10</v>
      </c>
      <c r="F4546" s="20">
        <v>10</v>
      </c>
      <c r="G4546" s="19">
        <f t="shared" si="327"/>
        <v>172</v>
      </c>
      <c r="H4546" s="22">
        <f t="shared" si="330"/>
        <v>4545</v>
      </c>
      <c r="I4546" s="21">
        <f t="shared" ca="1" si="329"/>
        <v>0</v>
      </c>
      <c r="J4546" s="21" t="str">
        <f ca="1">IF(I4546=0,"",COUNTIF($I$2:I4546,"&gt;0"))</f>
        <v/>
      </c>
      <c r="K4546" s="21" t="str">
        <f t="shared" ref="K4546:K4609" ca="1" si="331">IFERROR(INDEX(A:A,MATCH(ROW(I4545),J:J,0)),"")</f>
        <v/>
      </c>
    </row>
    <row r="4547" spans="1:11" s="18" customFormat="1" ht="14.25" x14ac:dyDescent="0.2">
      <c r="A4547" s="18" t="str">
        <f t="shared" si="328"/>
        <v>Eintrag 4546</v>
      </c>
      <c r="B4547" s="18">
        <v>100</v>
      </c>
      <c r="C4547" s="19">
        <v>100</v>
      </c>
      <c r="D4547" s="20">
        <v>10</v>
      </c>
      <c r="E4547" s="20">
        <v>10</v>
      </c>
      <c r="F4547" s="20">
        <v>10</v>
      </c>
      <c r="G4547" s="19">
        <f t="shared" ref="G4547:G4610" si="332">D4547*9+E4547*4.1+F4547*4.1</f>
        <v>172</v>
      </c>
      <c r="H4547" s="22">
        <f t="shared" si="330"/>
        <v>4546</v>
      </c>
      <c r="I4547" s="21">
        <f t="shared" ca="1" si="329"/>
        <v>0</v>
      </c>
      <c r="J4547" s="21" t="str">
        <f ca="1">IF(I4547=0,"",COUNTIF($I$2:I4547,"&gt;0"))</f>
        <v/>
      </c>
      <c r="K4547" s="21" t="str">
        <f t="shared" ca="1" si="331"/>
        <v/>
      </c>
    </row>
    <row r="4548" spans="1:11" s="18" customFormat="1" ht="14.25" x14ac:dyDescent="0.2">
      <c r="A4548" s="18" t="str">
        <f t="shared" si="328"/>
        <v>Eintrag 4547</v>
      </c>
      <c r="B4548" s="18">
        <v>100</v>
      </c>
      <c r="C4548" s="19">
        <v>100</v>
      </c>
      <c r="D4548" s="20">
        <v>10</v>
      </c>
      <c r="E4548" s="20">
        <v>10</v>
      </c>
      <c r="F4548" s="20">
        <v>10</v>
      </c>
      <c r="G4548" s="19">
        <f t="shared" si="332"/>
        <v>172</v>
      </c>
      <c r="H4548" s="22">
        <f t="shared" si="330"/>
        <v>4547</v>
      </c>
      <c r="I4548" s="21">
        <f t="shared" ca="1" si="329"/>
        <v>0</v>
      </c>
      <c r="J4548" s="21" t="str">
        <f ca="1">IF(I4548=0,"",COUNTIF($I$2:I4548,"&gt;0"))</f>
        <v/>
      </c>
      <c r="K4548" s="21" t="str">
        <f t="shared" ca="1" si="331"/>
        <v/>
      </c>
    </row>
    <row r="4549" spans="1:11" s="18" customFormat="1" ht="14.25" x14ac:dyDescent="0.2">
      <c r="A4549" s="18" t="str">
        <f t="shared" si="328"/>
        <v>Eintrag 4548</v>
      </c>
      <c r="B4549" s="18">
        <v>100</v>
      </c>
      <c r="C4549" s="19">
        <v>100</v>
      </c>
      <c r="D4549" s="20">
        <v>10</v>
      </c>
      <c r="E4549" s="20">
        <v>10</v>
      </c>
      <c r="F4549" s="20">
        <v>10</v>
      </c>
      <c r="G4549" s="19">
        <f t="shared" si="332"/>
        <v>172</v>
      </c>
      <c r="H4549" s="22">
        <f t="shared" si="330"/>
        <v>4548</v>
      </c>
      <c r="I4549" s="21">
        <f t="shared" ca="1" si="329"/>
        <v>0</v>
      </c>
      <c r="J4549" s="21" t="str">
        <f ca="1">IF(I4549=0,"",COUNTIF($I$2:I4549,"&gt;0"))</f>
        <v/>
      </c>
      <c r="K4549" s="21" t="str">
        <f t="shared" ca="1" si="331"/>
        <v/>
      </c>
    </row>
    <row r="4550" spans="1:11" s="18" customFormat="1" ht="14.25" x14ac:dyDescent="0.2">
      <c r="A4550" s="18" t="str">
        <f t="shared" si="328"/>
        <v>Eintrag 4549</v>
      </c>
      <c r="B4550" s="18">
        <v>100</v>
      </c>
      <c r="C4550" s="19">
        <v>100</v>
      </c>
      <c r="D4550" s="20">
        <v>10</v>
      </c>
      <c r="E4550" s="20">
        <v>10</v>
      </c>
      <c r="F4550" s="20">
        <v>10</v>
      </c>
      <c r="G4550" s="19">
        <f t="shared" si="332"/>
        <v>172</v>
      </c>
      <c r="H4550" s="22">
        <f t="shared" si="330"/>
        <v>4549</v>
      </c>
      <c r="I4550" s="21">
        <f t="shared" ca="1" si="329"/>
        <v>0</v>
      </c>
      <c r="J4550" s="21" t="str">
        <f ca="1">IF(I4550=0,"",COUNTIF($I$2:I4550,"&gt;0"))</f>
        <v/>
      </c>
      <c r="K4550" s="21" t="str">
        <f t="shared" ca="1" si="331"/>
        <v/>
      </c>
    </row>
    <row r="4551" spans="1:11" s="18" customFormat="1" ht="14.25" x14ac:dyDescent="0.2">
      <c r="A4551" s="18" t="str">
        <f t="shared" si="328"/>
        <v>Eintrag 4550</v>
      </c>
      <c r="B4551" s="18">
        <v>100</v>
      </c>
      <c r="C4551" s="19">
        <v>100</v>
      </c>
      <c r="D4551" s="20">
        <v>10</v>
      </c>
      <c r="E4551" s="20">
        <v>10</v>
      </c>
      <c r="F4551" s="20">
        <v>10</v>
      </c>
      <c r="G4551" s="19">
        <f t="shared" si="332"/>
        <v>172</v>
      </c>
      <c r="H4551" s="22">
        <f t="shared" si="330"/>
        <v>4550</v>
      </c>
      <c r="I4551" s="21">
        <f t="shared" ca="1" si="329"/>
        <v>0</v>
      </c>
      <c r="J4551" s="21" t="str">
        <f ca="1">IF(I4551=0,"",COUNTIF($I$2:I4551,"&gt;0"))</f>
        <v/>
      </c>
      <c r="K4551" s="21" t="str">
        <f t="shared" ca="1" si="331"/>
        <v/>
      </c>
    </row>
    <row r="4552" spans="1:11" s="18" customFormat="1" ht="14.25" x14ac:dyDescent="0.2">
      <c r="A4552" s="18" t="str">
        <f t="shared" si="328"/>
        <v>Eintrag 4551</v>
      </c>
      <c r="B4552" s="18">
        <v>100</v>
      </c>
      <c r="C4552" s="19">
        <v>100</v>
      </c>
      <c r="D4552" s="20">
        <v>10</v>
      </c>
      <c r="E4552" s="20">
        <v>10</v>
      </c>
      <c r="F4552" s="20">
        <v>10</v>
      </c>
      <c r="G4552" s="19">
        <f t="shared" si="332"/>
        <v>172</v>
      </c>
      <c r="H4552" s="22">
        <f t="shared" si="330"/>
        <v>4551</v>
      </c>
      <c r="I4552" s="21">
        <f t="shared" ca="1" si="329"/>
        <v>0</v>
      </c>
      <c r="J4552" s="21" t="str">
        <f ca="1">IF(I4552=0,"",COUNTIF($I$2:I4552,"&gt;0"))</f>
        <v/>
      </c>
      <c r="K4552" s="21" t="str">
        <f t="shared" ca="1" si="331"/>
        <v/>
      </c>
    </row>
    <row r="4553" spans="1:11" s="18" customFormat="1" ht="14.25" x14ac:dyDescent="0.2">
      <c r="A4553" s="18" t="str">
        <f t="shared" si="328"/>
        <v>Eintrag 4552</v>
      </c>
      <c r="B4553" s="18">
        <v>100</v>
      </c>
      <c r="C4553" s="19">
        <v>100</v>
      </c>
      <c r="D4553" s="20">
        <v>10</v>
      </c>
      <c r="E4553" s="20">
        <v>10</v>
      </c>
      <c r="F4553" s="20">
        <v>10</v>
      </c>
      <c r="G4553" s="19">
        <f t="shared" si="332"/>
        <v>172</v>
      </c>
      <c r="H4553" s="22">
        <f t="shared" si="330"/>
        <v>4552</v>
      </c>
      <c r="I4553" s="21">
        <f t="shared" ca="1" si="329"/>
        <v>0</v>
      </c>
      <c r="J4553" s="21" t="str">
        <f ca="1">IF(I4553=0,"",COUNTIF($I$2:I4553,"&gt;0"))</f>
        <v/>
      </c>
      <c r="K4553" s="21" t="str">
        <f t="shared" ca="1" si="331"/>
        <v/>
      </c>
    </row>
    <row r="4554" spans="1:11" s="18" customFormat="1" ht="14.25" x14ac:dyDescent="0.2">
      <c r="A4554" s="18" t="str">
        <f t="shared" si="328"/>
        <v>Eintrag 4553</v>
      </c>
      <c r="B4554" s="18">
        <v>100</v>
      </c>
      <c r="C4554" s="19">
        <v>100</v>
      </c>
      <c r="D4554" s="20">
        <v>10</v>
      </c>
      <c r="E4554" s="20">
        <v>10</v>
      </c>
      <c r="F4554" s="20">
        <v>10</v>
      </c>
      <c r="G4554" s="19">
        <f t="shared" si="332"/>
        <v>172</v>
      </c>
      <c r="H4554" s="22">
        <f t="shared" si="330"/>
        <v>4553</v>
      </c>
      <c r="I4554" s="21">
        <f t="shared" ca="1" si="329"/>
        <v>0</v>
      </c>
      <c r="J4554" s="21" t="str">
        <f ca="1">IF(I4554=0,"",COUNTIF($I$2:I4554,"&gt;0"))</f>
        <v/>
      </c>
      <c r="K4554" s="21" t="str">
        <f t="shared" ca="1" si="331"/>
        <v/>
      </c>
    </row>
    <row r="4555" spans="1:11" s="18" customFormat="1" ht="14.25" x14ac:dyDescent="0.2">
      <c r="A4555" s="18" t="str">
        <f t="shared" si="328"/>
        <v>Eintrag 4554</v>
      </c>
      <c r="B4555" s="18">
        <v>100</v>
      </c>
      <c r="C4555" s="19">
        <v>100</v>
      </c>
      <c r="D4555" s="20">
        <v>10</v>
      </c>
      <c r="E4555" s="20">
        <v>10</v>
      </c>
      <c r="F4555" s="20">
        <v>10</v>
      </c>
      <c r="G4555" s="19">
        <f t="shared" si="332"/>
        <v>172</v>
      </c>
      <c r="H4555" s="22">
        <f t="shared" si="330"/>
        <v>4554</v>
      </c>
      <c r="I4555" s="21">
        <f t="shared" ca="1" si="329"/>
        <v>0</v>
      </c>
      <c r="J4555" s="21" t="str">
        <f ca="1">IF(I4555=0,"",COUNTIF($I$2:I4555,"&gt;0"))</f>
        <v/>
      </c>
      <c r="K4555" s="21" t="str">
        <f t="shared" ca="1" si="331"/>
        <v/>
      </c>
    </row>
    <row r="4556" spans="1:11" s="18" customFormat="1" ht="14.25" x14ac:dyDescent="0.2">
      <c r="A4556" s="18" t="str">
        <f t="shared" si="328"/>
        <v>Eintrag 4555</v>
      </c>
      <c r="B4556" s="18">
        <v>100</v>
      </c>
      <c r="C4556" s="19">
        <v>100</v>
      </c>
      <c r="D4556" s="20">
        <v>10</v>
      </c>
      <c r="E4556" s="20">
        <v>10</v>
      </c>
      <c r="F4556" s="20">
        <v>10</v>
      </c>
      <c r="G4556" s="19">
        <f t="shared" si="332"/>
        <v>172</v>
      </c>
      <c r="H4556" s="22">
        <f t="shared" si="330"/>
        <v>4555</v>
      </c>
      <c r="I4556" s="21">
        <f t="shared" ca="1" si="329"/>
        <v>0</v>
      </c>
      <c r="J4556" s="21" t="str">
        <f ca="1">IF(I4556=0,"",COUNTIF($I$2:I4556,"&gt;0"))</f>
        <v/>
      </c>
      <c r="K4556" s="21" t="str">
        <f t="shared" ca="1" si="331"/>
        <v/>
      </c>
    </row>
    <row r="4557" spans="1:11" s="18" customFormat="1" ht="14.25" x14ac:dyDescent="0.2">
      <c r="A4557" s="18" t="str">
        <f t="shared" si="328"/>
        <v>Eintrag 4556</v>
      </c>
      <c r="B4557" s="18">
        <v>100</v>
      </c>
      <c r="C4557" s="19">
        <v>100</v>
      </c>
      <c r="D4557" s="20">
        <v>10</v>
      </c>
      <c r="E4557" s="20">
        <v>10</v>
      </c>
      <c r="F4557" s="20">
        <v>10</v>
      </c>
      <c r="G4557" s="19">
        <f t="shared" si="332"/>
        <v>172</v>
      </c>
      <c r="H4557" s="22">
        <f t="shared" si="330"/>
        <v>4556</v>
      </c>
      <c r="I4557" s="21">
        <f t="shared" ca="1" si="329"/>
        <v>0</v>
      </c>
      <c r="J4557" s="21" t="str">
        <f ca="1">IF(I4557=0,"",COUNTIF($I$2:I4557,"&gt;0"))</f>
        <v/>
      </c>
      <c r="K4557" s="21" t="str">
        <f t="shared" ca="1" si="331"/>
        <v/>
      </c>
    </row>
    <row r="4558" spans="1:11" s="18" customFormat="1" ht="14.25" x14ac:dyDescent="0.2">
      <c r="A4558" s="18" t="str">
        <f t="shared" si="328"/>
        <v>Eintrag 4557</v>
      </c>
      <c r="B4558" s="18">
        <v>100</v>
      </c>
      <c r="C4558" s="19">
        <v>100</v>
      </c>
      <c r="D4558" s="20">
        <v>10</v>
      </c>
      <c r="E4558" s="20">
        <v>10</v>
      </c>
      <c r="F4558" s="20">
        <v>10</v>
      </c>
      <c r="G4558" s="19">
        <f t="shared" si="332"/>
        <v>172</v>
      </c>
      <c r="H4558" s="22">
        <f t="shared" si="330"/>
        <v>4557</v>
      </c>
      <c r="I4558" s="21">
        <f t="shared" ca="1" si="329"/>
        <v>0</v>
      </c>
      <c r="J4558" s="21" t="str">
        <f ca="1">IF(I4558=0,"",COUNTIF($I$2:I4558,"&gt;0"))</f>
        <v/>
      </c>
      <c r="K4558" s="21" t="str">
        <f t="shared" ca="1" si="331"/>
        <v/>
      </c>
    </row>
    <row r="4559" spans="1:11" s="18" customFormat="1" ht="14.25" x14ac:dyDescent="0.2">
      <c r="A4559" s="18" t="str">
        <f t="shared" si="328"/>
        <v>Eintrag 4558</v>
      </c>
      <c r="B4559" s="18">
        <v>100</v>
      </c>
      <c r="C4559" s="19">
        <v>100</v>
      </c>
      <c r="D4559" s="20">
        <v>10</v>
      </c>
      <c r="E4559" s="20">
        <v>10</v>
      </c>
      <c r="F4559" s="20">
        <v>10</v>
      </c>
      <c r="G4559" s="19">
        <f t="shared" si="332"/>
        <v>172</v>
      </c>
      <c r="H4559" s="22">
        <f t="shared" si="330"/>
        <v>4558</v>
      </c>
      <c r="I4559" s="21">
        <f t="shared" ca="1" si="329"/>
        <v>0</v>
      </c>
      <c r="J4559" s="21" t="str">
        <f ca="1">IF(I4559=0,"",COUNTIF($I$2:I4559,"&gt;0"))</f>
        <v/>
      </c>
      <c r="K4559" s="21" t="str">
        <f t="shared" ca="1" si="331"/>
        <v/>
      </c>
    </row>
    <row r="4560" spans="1:11" s="18" customFormat="1" ht="14.25" x14ac:dyDescent="0.2">
      <c r="A4560" s="18" t="str">
        <f t="shared" si="328"/>
        <v>Eintrag 4559</v>
      </c>
      <c r="B4560" s="18">
        <v>100</v>
      </c>
      <c r="C4560" s="19">
        <v>100</v>
      </c>
      <c r="D4560" s="20">
        <v>10</v>
      </c>
      <c r="E4560" s="20">
        <v>10</v>
      </c>
      <c r="F4560" s="20">
        <v>10</v>
      </c>
      <c r="G4560" s="19">
        <f t="shared" si="332"/>
        <v>172</v>
      </c>
      <c r="H4560" s="22">
        <f t="shared" si="330"/>
        <v>4559</v>
      </c>
      <c r="I4560" s="21">
        <f t="shared" ca="1" si="329"/>
        <v>0</v>
      </c>
      <c r="J4560" s="21" t="str">
        <f ca="1">IF(I4560=0,"",COUNTIF($I$2:I4560,"&gt;0"))</f>
        <v/>
      </c>
      <c r="K4560" s="21" t="str">
        <f t="shared" ca="1" si="331"/>
        <v/>
      </c>
    </row>
    <row r="4561" spans="1:11" s="18" customFormat="1" ht="14.25" x14ac:dyDescent="0.2">
      <c r="A4561" s="18" t="str">
        <f t="shared" si="328"/>
        <v>Eintrag 4560</v>
      </c>
      <c r="B4561" s="18">
        <v>100</v>
      </c>
      <c r="C4561" s="19">
        <v>100</v>
      </c>
      <c r="D4561" s="20">
        <v>10</v>
      </c>
      <c r="E4561" s="20">
        <v>10</v>
      </c>
      <c r="F4561" s="20">
        <v>10</v>
      </c>
      <c r="G4561" s="19">
        <f t="shared" si="332"/>
        <v>172</v>
      </c>
      <c r="H4561" s="22">
        <f t="shared" si="330"/>
        <v>4560</v>
      </c>
      <c r="I4561" s="21">
        <f t="shared" ca="1" si="329"/>
        <v>0</v>
      </c>
      <c r="J4561" s="21" t="str">
        <f ca="1">IF(I4561=0,"",COUNTIF($I$2:I4561,"&gt;0"))</f>
        <v/>
      </c>
      <c r="K4561" s="21" t="str">
        <f t="shared" ca="1" si="331"/>
        <v/>
      </c>
    </row>
    <row r="4562" spans="1:11" s="18" customFormat="1" ht="14.25" x14ac:dyDescent="0.2">
      <c r="A4562" s="18" t="str">
        <f t="shared" si="328"/>
        <v>Eintrag 4561</v>
      </c>
      <c r="B4562" s="18">
        <v>100</v>
      </c>
      <c r="C4562" s="19">
        <v>100</v>
      </c>
      <c r="D4562" s="20">
        <v>10</v>
      </c>
      <c r="E4562" s="20">
        <v>10</v>
      </c>
      <c r="F4562" s="20">
        <v>10</v>
      </c>
      <c r="G4562" s="19">
        <f t="shared" si="332"/>
        <v>172</v>
      </c>
      <c r="H4562" s="22">
        <f t="shared" si="330"/>
        <v>4561</v>
      </c>
      <c r="I4562" s="21">
        <f t="shared" ca="1" si="329"/>
        <v>0</v>
      </c>
      <c r="J4562" s="21" t="str">
        <f ca="1">IF(I4562=0,"",COUNTIF($I$2:I4562,"&gt;0"))</f>
        <v/>
      </c>
      <c r="K4562" s="21" t="str">
        <f t="shared" ca="1" si="331"/>
        <v/>
      </c>
    </row>
    <row r="4563" spans="1:11" s="18" customFormat="1" ht="14.25" x14ac:dyDescent="0.2">
      <c r="A4563" s="18" t="str">
        <f t="shared" si="328"/>
        <v>Eintrag 4562</v>
      </c>
      <c r="B4563" s="18">
        <v>100</v>
      </c>
      <c r="C4563" s="19">
        <v>100</v>
      </c>
      <c r="D4563" s="20">
        <v>10</v>
      </c>
      <c r="E4563" s="20">
        <v>10</v>
      </c>
      <c r="F4563" s="20">
        <v>10</v>
      </c>
      <c r="G4563" s="19">
        <f t="shared" si="332"/>
        <v>172</v>
      </c>
      <c r="H4563" s="22">
        <f t="shared" si="330"/>
        <v>4562</v>
      </c>
      <c r="I4563" s="21">
        <f t="shared" ca="1" si="329"/>
        <v>0</v>
      </c>
      <c r="J4563" s="21" t="str">
        <f ca="1">IF(I4563=0,"",COUNTIF($I$2:I4563,"&gt;0"))</f>
        <v/>
      </c>
      <c r="K4563" s="21" t="str">
        <f t="shared" ca="1" si="331"/>
        <v/>
      </c>
    </row>
    <row r="4564" spans="1:11" s="18" customFormat="1" ht="14.25" x14ac:dyDescent="0.2">
      <c r="A4564" s="18" t="str">
        <f t="shared" si="328"/>
        <v>Eintrag 4563</v>
      </c>
      <c r="B4564" s="18">
        <v>100</v>
      </c>
      <c r="C4564" s="19">
        <v>100</v>
      </c>
      <c r="D4564" s="20">
        <v>10</v>
      </c>
      <c r="E4564" s="20">
        <v>10</v>
      </c>
      <c r="F4564" s="20">
        <v>10</v>
      </c>
      <c r="G4564" s="19">
        <f t="shared" si="332"/>
        <v>172</v>
      </c>
      <c r="H4564" s="22">
        <f t="shared" si="330"/>
        <v>4563</v>
      </c>
      <c r="I4564" s="21">
        <f t="shared" ca="1" si="329"/>
        <v>0</v>
      </c>
      <c r="J4564" s="21" t="str">
        <f ca="1">IF(I4564=0,"",COUNTIF($I$2:I4564,"&gt;0"))</f>
        <v/>
      </c>
      <c r="K4564" s="21" t="str">
        <f t="shared" ca="1" si="331"/>
        <v/>
      </c>
    </row>
    <row r="4565" spans="1:11" s="18" customFormat="1" ht="14.25" x14ac:dyDescent="0.2">
      <c r="A4565" s="18" t="str">
        <f t="shared" ref="A4565:A4628" si="333">CONCATENATE("Eintrag ",H4565)</f>
        <v>Eintrag 4564</v>
      </c>
      <c r="B4565" s="18">
        <v>100</v>
      </c>
      <c r="C4565" s="19">
        <v>100</v>
      </c>
      <c r="D4565" s="20">
        <v>10</v>
      </c>
      <c r="E4565" s="20">
        <v>10</v>
      </c>
      <c r="F4565" s="20">
        <v>10</v>
      </c>
      <c r="G4565" s="19">
        <f t="shared" si="332"/>
        <v>172</v>
      </c>
      <c r="H4565" s="22">
        <f t="shared" si="330"/>
        <v>4564</v>
      </c>
      <c r="I4565" s="21">
        <f t="shared" ca="1" si="329"/>
        <v>0</v>
      </c>
      <c r="J4565" s="21" t="str">
        <f ca="1">IF(I4565=0,"",COUNTIF($I$2:I4565,"&gt;0"))</f>
        <v/>
      </c>
      <c r="K4565" s="21" t="str">
        <f t="shared" ca="1" si="331"/>
        <v/>
      </c>
    </row>
    <row r="4566" spans="1:11" s="18" customFormat="1" ht="14.25" x14ac:dyDescent="0.2">
      <c r="A4566" s="18" t="str">
        <f t="shared" si="333"/>
        <v>Eintrag 4565</v>
      </c>
      <c r="B4566" s="18">
        <v>100</v>
      </c>
      <c r="C4566" s="19">
        <v>100</v>
      </c>
      <c r="D4566" s="20">
        <v>10</v>
      </c>
      <c r="E4566" s="20">
        <v>10</v>
      </c>
      <c r="F4566" s="20">
        <v>10</v>
      </c>
      <c r="G4566" s="19">
        <f t="shared" si="332"/>
        <v>172</v>
      </c>
      <c r="H4566" s="22">
        <f t="shared" si="330"/>
        <v>4565</v>
      </c>
      <c r="I4566" s="21">
        <f t="shared" ca="1" si="329"/>
        <v>0</v>
      </c>
      <c r="J4566" s="21" t="str">
        <f ca="1">IF(I4566=0,"",COUNTIF($I$2:I4566,"&gt;0"))</f>
        <v/>
      </c>
      <c r="K4566" s="21" t="str">
        <f t="shared" ca="1" si="331"/>
        <v/>
      </c>
    </row>
    <row r="4567" spans="1:11" s="18" customFormat="1" ht="14.25" x14ac:dyDescent="0.2">
      <c r="A4567" s="18" t="str">
        <f t="shared" si="333"/>
        <v>Eintrag 4566</v>
      </c>
      <c r="B4567" s="18">
        <v>100</v>
      </c>
      <c r="C4567" s="19">
        <v>100</v>
      </c>
      <c r="D4567" s="20">
        <v>10</v>
      </c>
      <c r="E4567" s="20">
        <v>10</v>
      </c>
      <c r="F4567" s="20">
        <v>10</v>
      </c>
      <c r="G4567" s="19">
        <f t="shared" si="332"/>
        <v>172</v>
      </c>
      <c r="H4567" s="22">
        <f t="shared" si="330"/>
        <v>4566</v>
      </c>
      <c r="I4567" s="21">
        <f t="shared" ca="1" si="329"/>
        <v>0</v>
      </c>
      <c r="J4567" s="21" t="str">
        <f ca="1">IF(I4567=0,"",COUNTIF($I$2:I4567,"&gt;0"))</f>
        <v/>
      </c>
      <c r="K4567" s="21" t="str">
        <f t="shared" ca="1" si="331"/>
        <v/>
      </c>
    </row>
    <row r="4568" spans="1:11" s="18" customFormat="1" ht="14.25" x14ac:dyDescent="0.2">
      <c r="A4568" s="18" t="str">
        <f t="shared" si="333"/>
        <v>Eintrag 4567</v>
      </c>
      <c r="B4568" s="18">
        <v>100</v>
      </c>
      <c r="C4568" s="19">
        <v>100</v>
      </c>
      <c r="D4568" s="20">
        <v>10</v>
      </c>
      <c r="E4568" s="20">
        <v>10</v>
      </c>
      <c r="F4568" s="20">
        <v>10</v>
      </c>
      <c r="G4568" s="19">
        <f t="shared" si="332"/>
        <v>172</v>
      </c>
      <c r="H4568" s="22">
        <f t="shared" si="330"/>
        <v>4567</v>
      </c>
      <c r="I4568" s="21">
        <f t="shared" ca="1" si="329"/>
        <v>0</v>
      </c>
      <c r="J4568" s="21" t="str">
        <f ca="1">IF(I4568=0,"",COUNTIF($I$2:I4568,"&gt;0"))</f>
        <v/>
      </c>
      <c r="K4568" s="21" t="str">
        <f t="shared" ca="1" si="331"/>
        <v/>
      </c>
    </row>
    <row r="4569" spans="1:11" s="18" customFormat="1" ht="14.25" x14ac:dyDescent="0.2">
      <c r="A4569" s="18" t="str">
        <f t="shared" si="333"/>
        <v>Eintrag 4568</v>
      </c>
      <c r="B4569" s="18">
        <v>100</v>
      </c>
      <c r="C4569" s="19">
        <v>100</v>
      </c>
      <c r="D4569" s="20">
        <v>10</v>
      </c>
      <c r="E4569" s="20">
        <v>10</v>
      </c>
      <c r="F4569" s="20">
        <v>10</v>
      </c>
      <c r="G4569" s="19">
        <f t="shared" si="332"/>
        <v>172</v>
      </c>
      <c r="H4569" s="22">
        <f t="shared" si="330"/>
        <v>4568</v>
      </c>
      <c r="I4569" s="21">
        <f t="shared" ca="1" si="329"/>
        <v>0</v>
      </c>
      <c r="J4569" s="21" t="str">
        <f ca="1">IF(I4569=0,"",COUNTIF($I$2:I4569,"&gt;0"))</f>
        <v/>
      </c>
      <c r="K4569" s="21" t="str">
        <f t="shared" ca="1" si="331"/>
        <v/>
      </c>
    </row>
    <row r="4570" spans="1:11" s="18" customFormat="1" ht="14.25" x14ac:dyDescent="0.2">
      <c r="A4570" s="18" t="str">
        <f t="shared" si="333"/>
        <v>Eintrag 4569</v>
      </c>
      <c r="B4570" s="18">
        <v>100</v>
      </c>
      <c r="C4570" s="19">
        <v>100</v>
      </c>
      <c r="D4570" s="20">
        <v>10</v>
      </c>
      <c r="E4570" s="20">
        <v>10</v>
      </c>
      <c r="F4570" s="20">
        <v>10</v>
      </c>
      <c r="G4570" s="19">
        <f t="shared" si="332"/>
        <v>172</v>
      </c>
      <c r="H4570" s="22">
        <f t="shared" si="330"/>
        <v>4569</v>
      </c>
      <c r="I4570" s="21">
        <f t="shared" ca="1" si="329"/>
        <v>0</v>
      </c>
      <c r="J4570" s="21" t="str">
        <f ca="1">IF(I4570=0,"",COUNTIF($I$2:I4570,"&gt;0"))</f>
        <v/>
      </c>
      <c r="K4570" s="21" t="str">
        <f t="shared" ca="1" si="331"/>
        <v/>
      </c>
    </row>
    <row r="4571" spans="1:11" s="18" customFormat="1" ht="14.25" x14ac:dyDescent="0.2">
      <c r="A4571" s="18" t="str">
        <f t="shared" si="333"/>
        <v>Eintrag 4570</v>
      </c>
      <c r="B4571" s="18">
        <v>100</v>
      </c>
      <c r="C4571" s="19">
        <v>100</v>
      </c>
      <c r="D4571" s="20">
        <v>10</v>
      </c>
      <c r="E4571" s="20">
        <v>10</v>
      </c>
      <c r="F4571" s="20">
        <v>10</v>
      </c>
      <c r="G4571" s="19">
        <f t="shared" si="332"/>
        <v>172</v>
      </c>
      <c r="H4571" s="22">
        <f t="shared" si="330"/>
        <v>4570</v>
      </c>
      <c r="I4571" s="21">
        <f t="shared" ca="1" si="329"/>
        <v>0</v>
      </c>
      <c r="J4571" s="21" t="str">
        <f ca="1">IF(I4571=0,"",COUNTIF($I$2:I4571,"&gt;0"))</f>
        <v/>
      </c>
      <c r="K4571" s="21" t="str">
        <f t="shared" ca="1" si="331"/>
        <v/>
      </c>
    </row>
    <row r="4572" spans="1:11" s="18" customFormat="1" ht="14.25" x14ac:dyDescent="0.2">
      <c r="A4572" s="18" t="str">
        <f t="shared" si="333"/>
        <v>Eintrag 4571</v>
      </c>
      <c r="B4572" s="18">
        <v>100</v>
      </c>
      <c r="C4572" s="19">
        <v>100</v>
      </c>
      <c r="D4572" s="20">
        <v>10</v>
      </c>
      <c r="E4572" s="20">
        <v>10</v>
      </c>
      <c r="F4572" s="20">
        <v>10</v>
      </c>
      <c r="G4572" s="19">
        <f t="shared" si="332"/>
        <v>172</v>
      </c>
      <c r="H4572" s="22">
        <f t="shared" si="330"/>
        <v>4571</v>
      </c>
      <c r="I4572" s="21">
        <f t="shared" ca="1" si="329"/>
        <v>0</v>
      </c>
      <c r="J4572" s="21" t="str">
        <f ca="1">IF(I4572=0,"",COUNTIF($I$2:I4572,"&gt;0"))</f>
        <v/>
      </c>
      <c r="K4572" s="21" t="str">
        <f t="shared" ca="1" si="331"/>
        <v/>
      </c>
    </row>
    <row r="4573" spans="1:11" s="18" customFormat="1" ht="14.25" x14ac:dyDescent="0.2">
      <c r="A4573" s="18" t="str">
        <f t="shared" si="333"/>
        <v>Eintrag 4572</v>
      </c>
      <c r="B4573" s="18">
        <v>100</v>
      </c>
      <c r="C4573" s="19">
        <v>100</v>
      </c>
      <c r="D4573" s="20">
        <v>10</v>
      </c>
      <c r="E4573" s="20">
        <v>10</v>
      </c>
      <c r="F4573" s="20">
        <v>10</v>
      </c>
      <c r="G4573" s="19">
        <f t="shared" si="332"/>
        <v>172</v>
      </c>
      <c r="H4573" s="22">
        <f t="shared" si="330"/>
        <v>4572</v>
      </c>
      <c r="I4573" s="21">
        <f t="shared" ca="1" si="329"/>
        <v>0</v>
      </c>
      <c r="J4573" s="21" t="str">
        <f ca="1">IF(I4573=0,"",COUNTIF($I$2:I4573,"&gt;0"))</f>
        <v/>
      </c>
      <c r="K4573" s="21" t="str">
        <f t="shared" ca="1" si="331"/>
        <v/>
      </c>
    </row>
    <row r="4574" spans="1:11" s="18" customFormat="1" ht="14.25" x14ac:dyDescent="0.2">
      <c r="A4574" s="18" t="str">
        <f t="shared" si="333"/>
        <v>Eintrag 4573</v>
      </c>
      <c r="B4574" s="18">
        <v>100</v>
      </c>
      <c r="C4574" s="19">
        <v>100</v>
      </c>
      <c r="D4574" s="20">
        <v>10</v>
      </c>
      <c r="E4574" s="20">
        <v>10</v>
      </c>
      <c r="F4574" s="20">
        <v>10</v>
      </c>
      <c r="G4574" s="19">
        <f t="shared" si="332"/>
        <v>172</v>
      </c>
      <c r="H4574" s="22">
        <f t="shared" si="330"/>
        <v>4573</v>
      </c>
      <c r="I4574" s="21">
        <f t="shared" ca="1" si="329"/>
        <v>0</v>
      </c>
      <c r="J4574" s="21" t="str">
        <f ca="1">IF(I4574=0,"",COUNTIF($I$2:I4574,"&gt;0"))</f>
        <v/>
      </c>
      <c r="K4574" s="21" t="str">
        <f t="shared" ca="1" si="331"/>
        <v/>
      </c>
    </row>
    <row r="4575" spans="1:11" s="18" customFormat="1" ht="14.25" x14ac:dyDescent="0.2">
      <c r="A4575" s="18" t="str">
        <f t="shared" si="333"/>
        <v>Eintrag 4574</v>
      </c>
      <c r="B4575" s="18">
        <v>100</v>
      </c>
      <c r="C4575" s="19">
        <v>100</v>
      </c>
      <c r="D4575" s="20">
        <v>10</v>
      </c>
      <c r="E4575" s="20">
        <v>10</v>
      </c>
      <c r="F4575" s="20">
        <v>10</v>
      </c>
      <c r="G4575" s="19">
        <f t="shared" si="332"/>
        <v>172</v>
      </c>
      <c r="H4575" s="22">
        <f t="shared" si="330"/>
        <v>4574</v>
      </c>
      <c r="I4575" s="21">
        <f t="shared" ref="I4575:I4638" ca="1" si="334">IFERROR(SEARCH(INDIRECT(CELL("address")),A4575),0)</f>
        <v>0</v>
      </c>
      <c r="J4575" s="21" t="str">
        <f ca="1">IF(I4575=0,"",COUNTIF($I$2:I4575,"&gt;0"))</f>
        <v/>
      </c>
      <c r="K4575" s="21" t="str">
        <f t="shared" ca="1" si="331"/>
        <v/>
      </c>
    </row>
    <row r="4576" spans="1:11" s="18" customFormat="1" ht="14.25" x14ac:dyDescent="0.2">
      <c r="A4576" s="18" t="str">
        <f t="shared" si="333"/>
        <v>Eintrag 4575</v>
      </c>
      <c r="B4576" s="18">
        <v>100</v>
      </c>
      <c r="C4576" s="19">
        <v>100</v>
      </c>
      <c r="D4576" s="20">
        <v>10</v>
      </c>
      <c r="E4576" s="20">
        <v>10</v>
      </c>
      <c r="F4576" s="20">
        <v>10</v>
      </c>
      <c r="G4576" s="19">
        <f t="shared" si="332"/>
        <v>172</v>
      </c>
      <c r="H4576" s="22">
        <f t="shared" si="330"/>
        <v>4575</v>
      </c>
      <c r="I4576" s="21">
        <f t="shared" ca="1" si="334"/>
        <v>0</v>
      </c>
      <c r="J4576" s="21" t="str">
        <f ca="1">IF(I4576=0,"",COUNTIF($I$2:I4576,"&gt;0"))</f>
        <v/>
      </c>
      <c r="K4576" s="21" t="str">
        <f t="shared" ca="1" si="331"/>
        <v/>
      </c>
    </row>
    <row r="4577" spans="1:11" s="18" customFormat="1" ht="14.25" x14ac:dyDescent="0.2">
      <c r="A4577" s="18" t="str">
        <f t="shared" si="333"/>
        <v>Eintrag 4576</v>
      </c>
      <c r="B4577" s="18">
        <v>100</v>
      </c>
      <c r="C4577" s="19">
        <v>100</v>
      </c>
      <c r="D4577" s="20">
        <v>10</v>
      </c>
      <c r="E4577" s="20">
        <v>10</v>
      </c>
      <c r="F4577" s="20">
        <v>10</v>
      </c>
      <c r="G4577" s="19">
        <f t="shared" si="332"/>
        <v>172</v>
      </c>
      <c r="H4577" s="22">
        <f t="shared" si="330"/>
        <v>4576</v>
      </c>
      <c r="I4577" s="21">
        <f t="shared" ca="1" si="334"/>
        <v>0</v>
      </c>
      <c r="J4577" s="21" t="str">
        <f ca="1">IF(I4577=0,"",COUNTIF($I$2:I4577,"&gt;0"))</f>
        <v/>
      </c>
      <c r="K4577" s="21" t="str">
        <f t="shared" ca="1" si="331"/>
        <v/>
      </c>
    </row>
    <row r="4578" spans="1:11" s="18" customFormat="1" ht="14.25" x14ac:dyDescent="0.2">
      <c r="A4578" s="18" t="str">
        <f t="shared" si="333"/>
        <v>Eintrag 4577</v>
      </c>
      <c r="B4578" s="18">
        <v>100</v>
      </c>
      <c r="C4578" s="19">
        <v>100</v>
      </c>
      <c r="D4578" s="20">
        <v>10</v>
      </c>
      <c r="E4578" s="20">
        <v>10</v>
      </c>
      <c r="F4578" s="20">
        <v>10</v>
      </c>
      <c r="G4578" s="19">
        <f t="shared" si="332"/>
        <v>172</v>
      </c>
      <c r="H4578" s="22">
        <f t="shared" si="330"/>
        <v>4577</v>
      </c>
      <c r="I4578" s="21">
        <f t="shared" ca="1" si="334"/>
        <v>0</v>
      </c>
      <c r="J4578" s="21" t="str">
        <f ca="1">IF(I4578=0,"",COUNTIF($I$2:I4578,"&gt;0"))</f>
        <v/>
      </c>
      <c r="K4578" s="21" t="str">
        <f t="shared" ca="1" si="331"/>
        <v/>
      </c>
    </row>
    <row r="4579" spans="1:11" s="18" customFormat="1" ht="14.25" x14ac:dyDescent="0.2">
      <c r="A4579" s="18" t="str">
        <f t="shared" si="333"/>
        <v>Eintrag 4578</v>
      </c>
      <c r="B4579" s="18">
        <v>100</v>
      </c>
      <c r="C4579" s="19">
        <v>100</v>
      </c>
      <c r="D4579" s="20">
        <v>10</v>
      </c>
      <c r="E4579" s="20">
        <v>10</v>
      </c>
      <c r="F4579" s="20">
        <v>10</v>
      </c>
      <c r="G4579" s="19">
        <f t="shared" si="332"/>
        <v>172</v>
      </c>
      <c r="H4579" s="22">
        <f t="shared" si="330"/>
        <v>4578</v>
      </c>
      <c r="I4579" s="21">
        <f t="shared" ca="1" si="334"/>
        <v>0</v>
      </c>
      <c r="J4579" s="21" t="str">
        <f ca="1">IF(I4579=0,"",COUNTIF($I$2:I4579,"&gt;0"))</f>
        <v/>
      </c>
      <c r="K4579" s="21" t="str">
        <f t="shared" ca="1" si="331"/>
        <v/>
      </c>
    </row>
    <row r="4580" spans="1:11" s="18" customFormat="1" ht="14.25" x14ac:dyDescent="0.2">
      <c r="A4580" s="18" t="str">
        <f t="shared" si="333"/>
        <v>Eintrag 4579</v>
      </c>
      <c r="B4580" s="18">
        <v>100</v>
      </c>
      <c r="C4580" s="19">
        <v>100</v>
      </c>
      <c r="D4580" s="20">
        <v>10</v>
      </c>
      <c r="E4580" s="20">
        <v>10</v>
      </c>
      <c r="F4580" s="20">
        <v>10</v>
      </c>
      <c r="G4580" s="19">
        <f t="shared" si="332"/>
        <v>172</v>
      </c>
      <c r="H4580" s="22">
        <f t="shared" si="330"/>
        <v>4579</v>
      </c>
      <c r="I4580" s="21">
        <f t="shared" ca="1" si="334"/>
        <v>0</v>
      </c>
      <c r="J4580" s="21" t="str">
        <f ca="1">IF(I4580=0,"",COUNTIF($I$2:I4580,"&gt;0"))</f>
        <v/>
      </c>
      <c r="K4580" s="21" t="str">
        <f t="shared" ca="1" si="331"/>
        <v/>
      </c>
    </row>
    <row r="4581" spans="1:11" s="18" customFormat="1" ht="14.25" x14ac:dyDescent="0.2">
      <c r="A4581" s="18" t="str">
        <f t="shared" si="333"/>
        <v>Eintrag 4580</v>
      </c>
      <c r="B4581" s="18">
        <v>100</v>
      </c>
      <c r="C4581" s="19">
        <v>100</v>
      </c>
      <c r="D4581" s="20">
        <v>10</v>
      </c>
      <c r="E4581" s="20">
        <v>10</v>
      </c>
      <c r="F4581" s="20">
        <v>10</v>
      </c>
      <c r="G4581" s="19">
        <f t="shared" si="332"/>
        <v>172</v>
      </c>
      <c r="H4581" s="22">
        <f t="shared" ref="H4581:H4644" si="335">H4580+1</f>
        <v>4580</v>
      </c>
      <c r="I4581" s="21">
        <f t="shared" ca="1" si="334"/>
        <v>0</v>
      </c>
      <c r="J4581" s="21" t="str">
        <f ca="1">IF(I4581=0,"",COUNTIF($I$2:I4581,"&gt;0"))</f>
        <v/>
      </c>
      <c r="K4581" s="21" t="str">
        <f t="shared" ca="1" si="331"/>
        <v/>
      </c>
    </row>
    <row r="4582" spans="1:11" s="18" customFormat="1" ht="14.25" x14ac:dyDescent="0.2">
      <c r="A4582" s="18" t="str">
        <f t="shared" si="333"/>
        <v>Eintrag 4581</v>
      </c>
      <c r="B4582" s="18">
        <v>100</v>
      </c>
      <c r="C4582" s="19">
        <v>100</v>
      </c>
      <c r="D4582" s="20">
        <v>10</v>
      </c>
      <c r="E4582" s="20">
        <v>10</v>
      </c>
      <c r="F4582" s="20">
        <v>10</v>
      </c>
      <c r="G4582" s="19">
        <f t="shared" si="332"/>
        <v>172</v>
      </c>
      <c r="H4582" s="22">
        <f t="shared" si="335"/>
        <v>4581</v>
      </c>
      <c r="I4582" s="21">
        <f t="shared" ca="1" si="334"/>
        <v>0</v>
      </c>
      <c r="J4582" s="21" t="str">
        <f ca="1">IF(I4582=0,"",COUNTIF($I$2:I4582,"&gt;0"))</f>
        <v/>
      </c>
      <c r="K4582" s="21" t="str">
        <f t="shared" ca="1" si="331"/>
        <v/>
      </c>
    </row>
    <row r="4583" spans="1:11" s="18" customFormat="1" ht="14.25" x14ac:dyDescent="0.2">
      <c r="A4583" s="18" t="str">
        <f t="shared" si="333"/>
        <v>Eintrag 4582</v>
      </c>
      <c r="B4583" s="18">
        <v>100</v>
      </c>
      <c r="C4583" s="19">
        <v>100</v>
      </c>
      <c r="D4583" s="20">
        <v>10</v>
      </c>
      <c r="E4583" s="20">
        <v>10</v>
      </c>
      <c r="F4583" s="20">
        <v>10</v>
      </c>
      <c r="G4583" s="19">
        <f t="shared" si="332"/>
        <v>172</v>
      </c>
      <c r="H4583" s="22">
        <f t="shared" si="335"/>
        <v>4582</v>
      </c>
      <c r="I4583" s="21">
        <f t="shared" ca="1" si="334"/>
        <v>0</v>
      </c>
      <c r="J4583" s="21" t="str">
        <f ca="1">IF(I4583=0,"",COUNTIF($I$2:I4583,"&gt;0"))</f>
        <v/>
      </c>
      <c r="K4583" s="21" t="str">
        <f t="shared" ca="1" si="331"/>
        <v/>
      </c>
    </row>
    <row r="4584" spans="1:11" s="18" customFormat="1" ht="14.25" x14ac:dyDescent="0.2">
      <c r="A4584" s="18" t="str">
        <f t="shared" si="333"/>
        <v>Eintrag 4583</v>
      </c>
      <c r="B4584" s="18">
        <v>100</v>
      </c>
      <c r="C4584" s="19">
        <v>100</v>
      </c>
      <c r="D4584" s="20">
        <v>10</v>
      </c>
      <c r="E4584" s="20">
        <v>10</v>
      </c>
      <c r="F4584" s="20">
        <v>10</v>
      </c>
      <c r="G4584" s="19">
        <f t="shared" si="332"/>
        <v>172</v>
      </c>
      <c r="H4584" s="22">
        <f t="shared" si="335"/>
        <v>4583</v>
      </c>
      <c r="I4584" s="21">
        <f t="shared" ca="1" si="334"/>
        <v>0</v>
      </c>
      <c r="J4584" s="21" t="str">
        <f ca="1">IF(I4584=0,"",COUNTIF($I$2:I4584,"&gt;0"))</f>
        <v/>
      </c>
      <c r="K4584" s="21" t="str">
        <f t="shared" ca="1" si="331"/>
        <v/>
      </c>
    </row>
    <row r="4585" spans="1:11" s="18" customFormat="1" ht="14.25" x14ac:dyDescent="0.2">
      <c r="A4585" s="18" t="str">
        <f t="shared" si="333"/>
        <v>Eintrag 4584</v>
      </c>
      <c r="B4585" s="18">
        <v>100</v>
      </c>
      <c r="C4585" s="19">
        <v>100</v>
      </c>
      <c r="D4585" s="20">
        <v>10</v>
      </c>
      <c r="E4585" s="20">
        <v>10</v>
      </c>
      <c r="F4585" s="20">
        <v>10</v>
      </c>
      <c r="G4585" s="19">
        <f t="shared" si="332"/>
        <v>172</v>
      </c>
      <c r="H4585" s="22">
        <f t="shared" si="335"/>
        <v>4584</v>
      </c>
      <c r="I4585" s="21">
        <f t="shared" ca="1" si="334"/>
        <v>0</v>
      </c>
      <c r="J4585" s="21" t="str">
        <f ca="1">IF(I4585=0,"",COUNTIF($I$2:I4585,"&gt;0"))</f>
        <v/>
      </c>
      <c r="K4585" s="21" t="str">
        <f t="shared" ca="1" si="331"/>
        <v/>
      </c>
    </row>
    <row r="4586" spans="1:11" s="18" customFormat="1" ht="14.25" x14ac:dyDescent="0.2">
      <c r="A4586" s="18" t="str">
        <f t="shared" si="333"/>
        <v>Eintrag 4585</v>
      </c>
      <c r="B4586" s="18">
        <v>100</v>
      </c>
      <c r="C4586" s="19">
        <v>100</v>
      </c>
      <c r="D4586" s="20">
        <v>10</v>
      </c>
      <c r="E4586" s="20">
        <v>10</v>
      </c>
      <c r="F4586" s="20">
        <v>10</v>
      </c>
      <c r="G4586" s="19">
        <f t="shared" si="332"/>
        <v>172</v>
      </c>
      <c r="H4586" s="22">
        <f t="shared" si="335"/>
        <v>4585</v>
      </c>
      <c r="I4586" s="21">
        <f t="shared" ca="1" si="334"/>
        <v>0</v>
      </c>
      <c r="J4586" s="21" t="str">
        <f ca="1">IF(I4586=0,"",COUNTIF($I$2:I4586,"&gt;0"))</f>
        <v/>
      </c>
      <c r="K4586" s="21" t="str">
        <f t="shared" ca="1" si="331"/>
        <v/>
      </c>
    </row>
    <row r="4587" spans="1:11" s="18" customFormat="1" ht="14.25" x14ac:dyDescent="0.2">
      <c r="A4587" s="18" t="str">
        <f t="shared" si="333"/>
        <v>Eintrag 4586</v>
      </c>
      <c r="B4587" s="18">
        <v>100</v>
      </c>
      <c r="C4587" s="19">
        <v>100</v>
      </c>
      <c r="D4587" s="20">
        <v>10</v>
      </c>
      <c r="E4587" s="20">
        <v>10</v>
      </c>
      <c r="F4587" s="20">
        <v>10</v>
      </c>
      <c r="G4587" s="19">
        <f t="shared" si="332"/>
        <v>172</v>
      </c>
      <c r="H4587" s="22">
        <f t="shared" si="335"/>
        <v>4586</v>
      </c>
      <c r="I4587" s="21">
        <f t="shared" ca="1" si="334"/>
        <v>0</v>
      </c>
      <c r="J4587" s="21" t="str">
        <f ca="1">IF(I4587=0,"",COUNTIF($I$2:I4587,"&gt;0"))</f>
        <v/>
      </c>
      <c r="K4587" s="21" t="str">
        <f t="shared" ca="1" si="331"/>
        <v/>
      </c>
    </row>
    <row r="4588" spans="1:11" s="18" customFormat="1" ht="14.25" x14ac:dyDescent="0.2">
      <c r="A4588" s="18" t="str">
        <f t="shared" si="333"/>
        <v>Eintrag 4587</v>
      </c>
      <c r="B4588" s="18">
        <v>100</v>
      </c>
      <c r="C4588" s="19">
        <v>100</v>
      </c>
      <c r="D4588" s="20">
        <v>10</v>
      </c>
      <c r="E4588" s="20">
        <v>10</v>
      </c>
      <c r="F4588" s="20">
        <v>10</v>
      </c>
      <c r="G4588" s="19">
        <f t="shared" si="332"/>
        <v>172</v>
      </c>
      <c r="H4588" s="22">
        <f t="shared" si="335"/>
        <v>4587</v>
      </c>
      <c r="I4588" s="21">
        <f t="shared" ca="1" si="334"/>
        <v>0</v>
      </c>
      <c r="J4588" s="21" t="str">
        <f ca="1">IF(I4588=0,"",COUNTIF($I$2:I4588,"&gt;0"))</f>
        <v/>
      </c>
      <c r="K4588" s="21" t="str">
        <f t="shared" ca="1" si="331"/>
        <v/>
      </c>
    </row>
    <row r="4589" spans="1:11" s="18" customFormat="1" ht="14.25" x14ac:dyDescent="0.2">
      <c r="A4589" s="18" t="str">
        <f t="shared" si="333"/>
        <v>Eintrag 4588</v>
      </c>
      <c r="B4589" s="18">
        <v>100</v>
      </c>
      <c r="C4589" s="19">
        <v>100</v>
      </c>
      <c r="D4589" s="20">
        <v>10</v>
      </c>
      <c r="E4589" s="20">
        <v>10</v>
      </c>
      <c r="F4589" s="20">
        <v>10</v>
      </c>
      <c r="G4589" s="19">
        <f t="shared" si="332"/>
        <v>172</v>
      </c>
      <c r="H4589" s="22">
        <f t="shared" si="335"/>
        <v>4588</v>
      </c>
      <c r="I4589" s="21">
        <f t="shared" ca="1" si="334"/>
        <v>0</v>
      </c>
      <c r="J4589" s="21" t="str">
        <f ca="1">IF(I4589=0,"",COUNTIF($I$2:I4589,"&gt;0"))</f>
        <v/>
      </c>
      <c r="K4589" s="21" t="str">
        <f t="shared" ca="1" si="331"/>
        <v/>
      </c>
    </row>
    <row r="4590" spans="1:11" s="18" customFormat="1" ht="14.25" x14ac:dyDescent="0.2">
      <c r="A4590" s="18" t="str">
        <f t="shared" si="333"/>
        <v>Eintrag 4589</v>
      </c>
      <c r="B4590" s="18">
        <v>100</v>
      </c>
      <c r="C4590" s="19">
        <v>100</v>
      </c>
      <c r="D4590" s="20">
        <v>10</v>
      </c>
      <c r="E4590" s="20">
        <v>10</v>
      </c>
      <c r="F4590" s="20">
        <v>10</v>
      </c>
      <c r="G4590" s="19">
        <f t="shared" si="332"/>
        <v>172</v>
      </c>
      <c r="H4590" s="22">
        <f t="shared" si="335"/>
        <v>4589</v>
      </c>
      <c r="I4590" s="21">
        <f t="shared" ca="1" si="334"/>
        <v>0</v>
      </c>
      <c r="J4590" s="21" t="str">
        <f ca="1">IF(I4590=0,"",COUNTIF($I$2:I4590,"&gt;0"))</f>
        <v/>
      </c>
      <c r="K4590" s="21" t="str">
        <f t="shared" ca="1" si="331"/>
        <v/>
      </c>
    </row>
    <row r="4591" spans="1:11" s="18" customFormat="1" ht="14.25" x14ac:dyDescent="0.2">
      <c r="A4591" s="18" t="str">
        <f t="shared" si="333"/>
        <v>Eintrag 4590</v>
      </c>
      <c r="B4591" s="18">
        <v>100</v>
      </c>
      <c r="C4591" s="19">
        <v>100</v>
      </c>
      <c r="D4591" s="20">
        <v>10</v>
      </c>
      <c r="E4591" s="20">
        <v>10</v>
      </c>
      <c r="F4591" s="20">
        <v>10</v>
      </c>
      <c r="G4591" s="19">
        <f t="shared" si="332"/>
        <v>172</v>
      </c>
      <c r="H4591" s="22">
        <f t="shared" si="335"/>
        <v>4590</v>
      </c>
      <c r="I4591" s="21">
        <f t="shared" ca="1" si="334"/>
        <v>0</v>
      </c>
      <c r="J4591" s="21" t="str">
        <f ca="1">IF(I4591=0,"",COUNTIF($I$2:I4591,"&gt;0"))</f>
        <v/>
      </c>
      <c r="K4591" s="21" t="str">
        <f t="shared" ca="1" si="331"/>
        <v/>
      </c>
    </row>
    <row r="4592" spans="1:11" s="18" customFormat="1" ht="14.25" x14ac:dyDescent="0.2">
      <c r="A4592" s="18" t="str">
        <f t="shared" si="333"/>
        <v>Eintrag 4591</v>
      </c>
      <c r="B4592" s="18">
        <v>100</v>
      </c>
      <c r="C4592" s="19">
        <v>100</v>
      </c>
      <c r="D4592" s="20">
        <v>10</v>
      </c>
      <c r="E4592" s="20">
        <v>10</v>
      </c>
      <c r="F4592" s="20">
        <v>10</v>
      </c>
      <c r="G4592" s="19">
        <f t="shared" si="332"/>
        <v>172</v>
      </c>
      <c r="H4592" s="22">
        <f t="shared" si="335"/>
        <v>4591</v>
      </c>
      <c r="I4592" s="21">
        <f t="shared" ca="1" si="334"/>
        <v>0</v>
      </c>
      <c r="J4592" s="21" t="str">
        <f ca="1">IF(I4592=0,"",COUNTIF($I$2:I4592,"&gt;0"))</f>
        <v/>
      </c>
      <c r="K4592" s="21" t="str">
        <f t="shared" ca="1" si="331"/>
        <v/>
      </c>
    </row>
    <row r="4593" spans="1:11" s="18" customFormat="1" ht="14.25" x14ac:dyDescent="0.2">
      <c r="A4593" s="18" t="str">
        <f t="shared" si="333"/>
        <v>Eintrag 4592</v>
      </c>
      <c r="B4593" s="18">
        <v>100</v>
      </c>
      <c r="C4593" s="19">
        <v>100</v>
      </c>
      <c r="D4593" s="20">
        <v>10</v>
      </c>
      <c r="E4593" s="20">
        <v>10</v>
      </c>
      <c r="F4593" s="20">
        <v>10</v>
      </c>
      <c r="G4593" s="19">
        <f t="shared" si="332"/>
        <v>172</v>
      </c>
      <c r="H4593" s="22">
        <f t="shared" si="335"/>
        <v>4592</v>
      </c>
      <c r="I4593" s="21">
        <f t="shared" ca="1" si="334"/>
        <v>0</v>
      </c>
      <c r="J4593" s="21" t="str">
        <f ca="1">IF(I4593=0,"",COUNTIF($I$2:I4593,"&gt;0"))</f>
        <v/>
      </c>
      <c r="K4593" s="21" t="str">
        <f t="shared" ca="1" si="331"/>
        <v/>
      </c>
    </row>
    <row r="4594" spans="1:11" s="18" customFormat="1" ht="14.25" x14ac:dyDescent="0.2">
      <c r="A4594" s="18" t="str">
        <f t="shared" si="333"/>
        <v>Eintrag 4593</v>
      </c>
      <c r="B4594" s="18">
        <v>100</v>
      </c>
      <c r="C4594" s="19">
        <v>100</v>
      </c>
      <c r="D4594" s="20">
        <v>10</v>
      </c>
      <c r="E4594" s="20">
        <v>10</v>
      </c>
      <c r="F4594" s="20">
        <v>10</v>
      </c>
      <c r="G4594" s="19">
        <f t="shared" si="332"/>
        <v>172</v>
      </c>
      <c r="H4594" s="22">
        <f t="shared" si="335"/>
        <v>4593</v>
      </c>
      <c r="I4594" s="21">
        <f t="shared" ca="1" si="334"/>
        <v>0</v>
      </c>
      <c r="J4594" s="21" t="str">
        <f ca="1">IF(I4594=0,"",COUNTIF($I$2:I4594,"&gt;0"))</f>
        <v/>
      </c>
      <c r="K4594" s="21" t="str">
        <f t="shared" ca="1" si="331"/>
        <v/>
      </c>
    </row>
    <row r="4595" spans="1:11" s="18" customFormat="1" ht="14.25" x14ac:dyDescent="0.2">
      <c r="A4595" s="18" t="str">
        <f t="shared" si="333"/>
        <v>Eintrag 4594</v>
      </c>
      <c r="B4595" s="18">
        <v>100</v>
      </c>
      <c r="C4595" s="19">
        <v>100</v>
      </c>
      <c r="D4595" s="20">
        <v>10</v>
      </c>
      <c r="E4595" s="20">
        <v>10</v>
      </c>
      <c r="F4595" s="20">
        <v>10</v>
      </c>
      <c r="G4595" s="19">
        <f t="shared" si="332"/>
        <v>172</v>
      </c>
      <c r="H4595" s="22">
        <f t="shared" si="335"/>
        <v>4594</v>
      </c>
      <c r="I4595" s="21">
        <f t="shared" ca="1" si="334"/>
        <v>0</v>
      </c>
      <c r="J4595" s="21" t="str">
        <f ca="1">IF(I4595=0,"",COUNTIF($I$2:I4595,"&gt;0"))</f>
        <v/>
      </c>
      <c r="K4595" s="21" t="str">
        <f t="shared" ca="1" si="331"/>
        <v/>
      </c>
    </row>
    <row r="4596" spans="1:11" s="18" customFormat="1" ht="14.25" x14ac:dyDescent="0.2">
      <c r="A4596" s="18" t="str">
        <f t="shared" si="333"/>
        <v>Eintrag 4595</v>
      </c>
      <c r="B4596" s="18">
        <v>100</v>
      </c>
      <c r="C4596" s="19">
        <v>100</v>
      </c>
      <c r="D4596" s="20">
        <v>10</v>
      </c>
      <c r="E4596" s="20">
        <v>10</v>
      </c>
      <c r="F4596" s="20">
        <v>10</v>
      </c>
      <c r="G4596" s="19">
        <f t="shared" si="332"/>
        <v>172</v>
      </c>
      <c r="H4596" s="22">
        <f t="shared" si="335"/>
        <v>4595</v>
      </c>
      <c r="I4596" s="21">
        <f t="shared" ca="1" si="334"/>
        <v>0</v>
      </c>
      <c r="J4596" s="21" t="str">
        <f ca="1">IF(I4596=0,"",COUNTIF($I$2:I4596,"&gt;0"))</f>
        <v/>
      </c>
      <c r="K4596" s="21" t="str">
        <f t="shared" ca="1" si="331"/>
        <v/>
      </c>
    </row>
    <row r="4597" spans="1:11" s="18" customFormat="1" ht="14.25" x14ac:dyDescent="0.2">
      <c r="A4597" s="18" t="str">
        <f t="shared" si="333"/>
        <v>Eintrag 4596</v>
      </c>
      <c r="B4597" s="18">
        <v>100</v>
      </c>
      <c r="C4597" s="19">
        <v>100</v>
      </c>
      <c r="D4597" s="20">
        <v>10</v>
      </c>
      <c r="E4597" s="20">
        <v>10</v>
      </c>
      <c r="F4597" s="20">
        <v>10</v>
      </c>
      <c r="G4597" s="19">
        <f t="shared" si="332"/>
        <v>172</v>
      </c>
      <c r="H4597" s="22">
        <f t="shared" si="335"/>
        <v>4596</v>
      </c>
      <c r="I4597" s="21">
        <f t="shared" ca="1" si="334"/>
        <v>0</v>
      </c>
      <c r="J4597" s="21" t="str">
        <f ca="1">IF(I4597=0,"",COUNTIF($I$2:I4597,"&gt;0"))</f>
        <v/>
      </c>
      <c r="K4597" s="21" t="str">
        <f t="shared" ca="1" si="331"/>
        <v/>
      </c>
    </row>
    <row r="4598" spans="1:11" s="18" customFormat="1" ht="14.25" x14ac:dyDescent="0.2">
      <c r="A4598" s="18" t="str">
        <f t="shared" si="333"/>
        <v>Eintrag 4597</v>
      </c>
      <c r="B4598" s="18">
        <v>100</v>
      </c>
      <c r="C4598" s="19">
        <v>100</v>
      </c>
      <c r="D4598" s="20">
        <v>10</v>
      </c>
      <c r="E4598" s="20">
        <v>10</v>
      </c>
      <c r="F4598" s="20">
        <v>10</v>
      </c>
      <c r="G4598" s="19">
        <f t="shared" si="332"/>
        <v>172</v>
      </c>
      <c r="H4598" s="22">
        <f t="shared" si="335"/>
        <v>4597</v>
      </c>
      <c r="I4598" s="21">
        <f t="shared" ca="1" si="334"/>
        <v>0</v>
      </c>
      <c r="J4598" s="21" t="str">
        <f ca="1">IF(I4598=0,"",COUNTIF($I$2:I4598,"&gt;0"))</f>
        <v/>
      </c>
      <c r="K4598" s="21" t="str">
        <f t="shared" ca="1" si="331"/>
        <v/>
      </c>
    </row>
    <row r="4599" spans="1:11" s="18" customFormat="1" ht="14.25" x14ac:dyDescent="0.2">
      <c r="A4599" s="18" t="str">
        <f t="shared" si="333"/>
        <v>Eintrag 4598</v>
      </c>
      <c r="B4599" s="18">
        <v>100</v>
      </c>
      <c r="C4599" s="19">
        <v>100</v>
      </c>
      <c r="D4599" s="20">
        <v>10</v>
      </c>
      <c r="E4599" s="20">
        <v>10</v>
      </c>
      <c r="F4599" s="20">
        <v>10</v>
      </c>
      <c r="G4599" s="19">
        <f t="shared" si="332"/>
        <v>172</v>
      </c>
      <c r="H4599" s="22">
        <f t="shared" si="335"/>
        <v>4598</v>
      </c>
      <c r="I4599" s="21">
        <f t="shared" ca="1" si="334"/>
        <v>0</v>
      </c>
      <c r="J4599" s="21" t="str">
        <f ca="1">IF(I4599=0,"",COUNTIF($I$2:I4599,"&gt;0"))</f>
        <v/>
      </c>
      <c r="K4599" s="21" t="str">
        <f t="shared" ca="1" si="331"/>
        <v/>
      </c>
    </row>
    <row r="4600" spans="1:11" s="18" customFormat="1" ht="14.25" x14ac:dyDescent="0.2">
      <c r="A4600" s="18" t="str">
        <f t="shared" si="333"/>
        <v>Eintrag 4599</v>
      </c>
      <c r="B4600" s="18">
        <v>100</v>
      </c>
      <c r="C4600" s="19">
        <v>100</v>
      </c>
      <c r="D4600" s="20">
        <v>10</v>
      </c>
      <c r="E4600" s="20">
        <v>10</v>
      </c>
      <c r="F4600" s="20">
        <v>10</v>
      </c>
      <c r="G4600" s="19">
        <f t="shared" si="332"/>
        <v>172</v>
      </c>
      <c r="H4600" s="22">
        <f t="shared" si="335"/>
        <v>4599</v>
      </c>
      <c r="I4600" s="21">
        <f t="shared" ca="1" si="334"/>
        <v>0</v>
      </c>
      <c r="J4600" s="21" t="str">
        <f ca="1">IF(I4600=0,"",COUNTIF($I$2:I4600,"&gt;0"))</f>
        <v/>
      </c>
      <c r="K4600" s="21" t="str">
        <f t="shared" ca="1" si="331"/>
        <v/>
      </c>
    </row>
    <row r="4601" spans="1:11" s="18" customFormat="1" ht="14.25" x14ac:dyDescent="0.2">
      <c r="A4601" s="18" t="str">
        <f t="shared" si="333"/>
        <v>Eintrag 4600</v>
      </c>
      <c r="B4601" s="18">
        <v>100</v>
      </c>
      <c r="C4601" s="19">
        <v>100</v>
      </c>
      <c r="D4601" s="20">
        <v>10</v>
      </c>
      <c r="E4601" s="20">
        <v>10</v>
      </c>
      <c r="F4601" s="20">
        <v>10</v>
      </c>
      <c r="G4601" s="19">
        <f t="shared" si="332"/>
        <v>172</v>
      </c>
      <c r="H4601" s="22">
        <f t="shared" si="335"/>
        <v>4600</v>
      </c>
      <c r="I4601" s="21">
        <f t="shared" ca="1" si="334"/>
        <v>0</v>
      </c>
      <c r="J4601" s="21" t="str">
        <f ca="1">IF(I4601=0,"",COUNTIF($I$2:I4601,"&gt;0"))</f>
        <v/>
      </c>
      <c r="K4601" s="21" t="str">
        <f t="shared" ca="1" si="331"/>
        <v/>
      </c>
    </row>
    <row r="4602" spans="1:11" s="18" customFormat="1" ht="14.25" x14ac:dyDescent="0.2">
      <c r="A4602" s="18" t="str">
        <f t="shared" si="333"/>
        <v>Eintrag 4601</v>
      </c>
      <c r="B4602" s="18">
        <v>100</v>
      </c>
      <c r="C4602" s="19">
        <v>100</v>
      </c>
      <c r="D4602" s="20">
        <v>10</v>
      </c>
      <c r="E4602" s="20">
        <v>10</v>
      </c>
      <c r="F4602" s="20">
        <v>10</v>
      </c>
      <c r="G4602" s="19">
        <f t="shared" si="332"/>
        <v>172</v>
      </c>
      <c r="H4602" s="22">
        <f t="shared" si="335"/>
        <v>4601</v>
      </c>
      <c r="I4602" s="21">
        <f t="shared" ca="1" si="334"/>
        <v>0</v>
      </c>
      <c r="J4602" s="21" t="str">
        <f ca="1">IF(I4602=0,"",COUNTIF($I$2:I4602,"&gt;0"))</f>
        <v/>
      </c>
      <c r="K4602" s="21" t="str">
        <f t="shared" ca="1" si="331"/>
        <v/>
      </c>
    </row>
    <row r="4603" spans="1:11" s="18" customFormat="1" ht="14.25" x14ac:dyDescent="0.2">
      <c r="A4603" s="18" t="str">
        <f t="shared" si="333"/>
        <v>Eintrag 4602</v>
      </c>
      <c r="B4603" s="18">
        <v>100</v>
      </c>
      <c r="C4603" s="19">
        <v>100</v>
      </c>
      <c r="D4603" s="20">
        <v>10</v>
      </c>
      <c r="E4603" s="20">
        <v>10</v>
      </c>
      <c r="F4603" s="20">
        <v>10</v>
      </c>
      <c r="G4603" s="19">
        <f t="shared" si="332"/>
        <v>172</v>
      </c>
      <c r="H4603" s="22">
        <f t="shared" si="335"/>
        <v>4602</v>
      </c>
      <c r="I4603" s="21">
        <f t="shared" ca="1" si="334"/>
        <v>0</v>
      </c>
      <c r="J4603" s="21" t="str">
        <f ca="1">IF(I4603=0,"",COUNTIF($I$2:I4603,"&gt;0"))</f>
        <v/>
      </c>
      <c r="K4603" s="21" t="str">
        <f t="shared" ca="1" si="331"/>
        <v/>
      </c>
    </row>
    <row r="4604" spans="1:11" s="18" customFormat="1" ht="14.25" x14ac:dyDescent="0.2">
      <c r="A4604" s="18" t="str">
        <f t="shared" si="333"/>
        <v>Eintrag 4603</v>
      </c>
      <c r="B4604" s="18">
        <v>100</v>
      </c>
      <c r="C4604" s="19">
        <v>100</v>
      </c>
      <c r="D4604" s="20">
        <v>10</v>
      </c>
      <c r="E4604" s="20">
        <v>10</v>
      </c>
      <c r="F4604" s="20">
        <v>10</v>
      </c>
      <c r="G4604" s="19">
        <f t="shared" si="332"/>
        <v>172</v>
      </c>
      <c r="H4604" s="22">
        <f t="shared" si="335"/>
        <v>4603</v>
      </c>
      <c r="I4604" s="21">
        <f t="shared" ca="1" si="334"/>
        <v>0</v>
      </c>
      <c r="J4604" s="21" t="str">
        <f ca="1">IF(I4604=0,"",COUNTIF($I$2:I4604,"&gt;0"))</f>
        <v/>
      </c>
      <c r="K4604" s="21" t="str">
        <f t="shared" ca="1" si="331"/>
        <v/>
      </c>
    </row>
    <row r="4605" spans="1:11" s="18" customFormat="1" ht="14.25" x14ac:dyDescent="0.2">
      <c r="A4605" s="18" t="str">
        <f t="shared" si="333"/>
        <v>Eintrag 4604</v>
      </c>
      <c r="B4605" s="18">
        <v>100</v>
      </c>
      <c r="C4605" s="19">
        <v>100</v>
      </c>
      <c r="D4605" s="20">
        <v>10</v>
      </c>
      <c r="E4605" s="20">
        <v>10</v>
      </c>
      <c r="F4605" s="20">
        <v>10</v>
      </c>
      <c r="G4605" s="19">
        <f t="shared" si="332"/>
        <v>172</v>
      </c>
      <c r="H4605" s="22">
        <f t="shared" si="335"/>
        <v>4604</v>
      </c>
      <c r="I4605" s="21">
        <f t="shared" ca="1" si="334"/>
        <v>0</v>
      </c>
      <c r="J4605" s="21" t="str">
        <f ca="1">IF(I4605=0,"",COUNTIF($I$2:I4605,"&gt;0"))</f>
        <v/>
      </c>
      <c r="K4605" s="21" t="str">
        <f t="shared" ca="1" si="331"/>
        <v/>
      </c>
    </row>
    <row r="4606" spans="1:11" s="18" customFormat="1" ht="14.25" x14ac:dyDescent="0.2">
      <c r="A4606" s="18" t="str">
        <f t="shared" si="333"/>
        <v>Eintrag 4605</v>
      </c>
      <c r="B4606" s="18">
        <v>100</v>
      </c>
      <c r="C4606" s="19">
        <v>100</v>
      </c>
      <c r="D4606" s="20">
        <v>10</v>
      </c>
      <c r="E4606" s="20">
        <v>10</v>
      </c>
      <c r="F4606" s="20">
        <v>10</v>
      </c>
      <c r="G4606" s="19">
        <f t="shared" si="332"/>
        <v>172</v>
      </c>
      <c r="H4606" s="22">
        <f t="shared" si="335"/>
        <v>4605</v>
      </c>
      <c r="I4606" s="21">
        <f t="shared" ca="1" si="334"/>
        <v>0</v>
      </c>
      <c r="J4606" s="21" t="str">
        <f ca="1">IF(I4606=0,"",COUNTIF($I$2:I4606,"&gt;0"))</f>
        <v/>
      </c>
      <c r="K4606" s="21" t="str">
        <f t="shared" ca="1" si="331"/>
        <v/>
      </c>
    </row>
    <row r="4607" spans="1:11" s="18" customFormat="1" ht="14.25" x14ac:dyDescent="0.2">
      <c r="A4607" s="18" t="str">
        <f t="shared" si="333"/>
        <v>Eintrag 4606</v>
      </c>
      <c r="B4607" s="18">
        <v>100</v>
      </c>
      <c r="C4607" s="19">
        <v>100</v>
      </c>
      <c r="D4607" s="20">
        <v>10</v>
      </c>
      <c r="E4607" s="20">
        <v>10</v>
      </c>
      <c r="F4607" s="20">
        <v>10</v>
      </c>
      <c r="G4607" s="19">
        <f t="shared" si="332"/>
        <v>172</v>
      </c>
      <c r="H4607" s="22">
        <f t="shared" si="335"/>
        <v>4606</v>
      </c>
      <c r="I4607" s="21">
        <f t="shared" ca="1" si="334"/>
        <v>0</v>
      </c>
      <c r="J4607" s="21" t="str">
        <f ca="1">IF(I4607=0,"",COUNTIF($I$2:I4607,"&gt;0"))</f>
        <v/>
      </c>
      <c r="K4607" s="21" t="str">
        <f t="shared" ca="1" si="331"/>
        <v/>
      </c>
    </row>
    <row r="4608" spans="1:11" s="18" customFormat="1" ht="14.25" x14ac:dyDescent="0.2">
      <c r="A4608" s="18" t="str">
        <f t="shared" si="333"/>
        <v>Eintrag 4607</v>
      </c>
      <c r="B4608" s="18">
        <v>100</v>
      </c>
      <c r="C4608" s="19">
        <v>100</v>
      </c>
      <c r="D4608" s="20">
        <v>10</v>
      </c>
      <c r="E4608" s="20">
        <v>10</v>
      </c>
      <c r="F4608" s="20">
        <v>10</v>
      </c>
      <c r="G4608" s="19">
        <f t="shared" si="332"/>
        <v>172</v>
      </c>
      <c r="H4608" s="22">
        <f t="shared" si="335"/>
        <v>4607</v>
      </c>
      <c r="I4608" s="21">
        <f t="shared" ca="1" si="334"/>
        <v>0</v>
      </c>
      <c r="J4608" s="21" t="str">
        <f ca="1">IF(I4608=0,"",COUNTIF($I$2:I4608,"&gt;0"))</f>
        <v/>
      </c>
      <c r="K4608" s="21" t="str">
        <f t="shared" ca="1" si="331"/>
        <v/>
      </c>
    </row>
    <row r="4609" spans="1:11" s="18" customFormat="1" ht="14.25" x14ac:dyDescent="0.2">
      <c r="A4609" s="18" t="str">
        <f t="shared" si="333"/>
        <v>Eintrag 4608</v>
      </c>
      <c r="B4609" s="18">
        <v>100</v>
      </c>
      <c r="C4609" s="19">
        <v>100</v>
      </c>
      <c r="D4609" s="20">
        <v>10</v>
      </c>
      <c r="E4609" s="20">
        <v>10</v>
      </c>
      <c r="F4609" s="20">
        <v>10</v>
      </c>
      <c r="G4609" s="19">
        <f t="shared" si="332"/>
        <v>172</v>
      </c>
      <c r="H4609" s="22">
        <f t="shared" si="335"/>
        <v>4608</v>
      </c>
      <c r="I4609" s="21">
        <f t="shared" ca="1" si="334"/>
        <v>0</v>
      </c>
      <c r="J4609" s="21" t="str">
        <f ca="1">IF(I4609=0,"",COUNTIF($I$2:I4609,"&gt;0"))</f>
        <v/>
      </c>
      <c r="K4609" s="21" t="str">
        <f t="shared" ca="1" si="331"/>
        <v/>
      </c>
    </row>
    <row r="4610" spans="1:11" s="18" customFormat="1" ht="14.25" x14ac:dyDescent="0.2">
      <c r="A4610" s="18" t="str">
        <f t="shared" si="333"/>
        <v>Eintrag 4609</v>
      </c>
      <c r="B4610" s="18">
        <v>100</v>
      </c>
      <c r="C4610" s="19">
        <v>100</v>
      </c>
      <c r="D4610" s="20">
        <v>10</v>
      </c>
      <c r="E4610" s="20">
        <v>10</v>
      </c>
      <c r="F4610" s="20">
        <v>10</v>
      </c>
      <c r="G4610" s="19">
        <f t="shared" si="332"/>
        <v>172</v>
      </c>
      <c r="H4610" s="22">
        <f t="shared" si="335"/>
        <v>4609</v>
      </c>
      <c r="I4610" s="21">
        <f t="shared" ca="1" si="334"/>
        <v>0</v>
      </c>
      <c r="J4610" s="21" t="str">
        <f ca="1">IF(I4610=0,"",COUNTIF($I$2:I4610,"&gt;0"))</f>
        <v/>
      </c>
      <c r="K4610" s="21" t="str">
        <f t="shared" ref="K4610:K4673" ca="1" si="336">IFERROR(INDEX(A:A,MATCH(ROW(I4609),J:J,0)),"")</f>
        <v/>
      </c>
    </row>
    <row r="4611" spans="1:11" s="18" customFormat="1" ht="14.25" x14ac:dyDescent="0.2">
      <c r="A4611" s="18" t="str">
        <f t="shared" si="333"/>
        <v>Eintrag 4610</v>
      </c>
      <c r="B4611" s="18">
        <v>100</v>
      </c>
      <c r="C4611" s="19">
        <v>100</v>
      </c>
      <c r="D4611" s="20">
        <v>10</v>
      </c>
      <c r="E4611" s="20">
        <v>10</v>
      </c>
      <c r="F4611" s="20">
        <v>10</v>
      </c>
      <c r="G4611" s="19">
        <f t="shared" ref="G4611:G4674" si="337">D4611*9+E4611*4.1+F4611*4.1</f>
        <v>172</v>
      </c>
      <c r="H4611" s="22">
        <f t="shared" si="335"/>
        <v>4610</v>
      </c>
      <c r="I4611" s="21">
        <f t="shared" ca="1" si="334"/>
        <v>0</v>
      </c>
      <c r="J4611" s="21" t="str">
        <f ca="1">IF(I4611=0,"",COUNTIF($I$2:I4611,"&gt;0"))</f>
        <v/>
      </c>
      <c r="K4611" s="21" t="str">
        <f t="shared" ca="1" si="336"/>
        <v/>
      </c>
    </row>
    <row r="4612" spans="1:11" s="18" customFormat="1" ht="14.25" x14ac:dyDescent="0.2">
      <c r="A4612" s="18" t="str">
        <f t="shared" si="333"/>
        <v>Eintrag 4611</v>
      </c>
      <c r="B4612" s="18">
        <v>100</v>
      </c>
      <c r="C4612" s="19">
        <v>100</v>
      </c>
      <c r="D4612" s="20">
        <v>10</v>
      </c>
      <c r="E4612" s="20">
        <v>10</v>
      </c>
      <c r="F4612" s="20">
        <v>10</v>
      </c>
      <c r="G4612" s="19">
        <f t="shared" si="337"/>
        <v>172</v>
      </c>
      <c r="H4612" s="22">
        <f t="shared" si="335"/>
        <v>4611</v>
      </c>
      <c r="I4612" s="21">
        <f t="shared" ca="1" si="334"/>
        <v>0</v>
      </c>
      <c r="J4612" s="21" t="str">
        <f ca="1">IF(I4612=0,"",COUNTIF($I$2:I4612,"&gt;0"))</f>
        <v/>
      </c>
      <c r="K4612" s="21" t="str">
        <f t="shared" ca="1" si="336"/>
        <v/>
      </c>
    </row>
    <row r="4613" spans="1:11" s="18" customFormat="1" ht="14.25" x14ac:dyDescent="0.2">
      <c r="A4613" s="18" t="str">
        <f t="shared" si="333"/>
        <v>Eintrag 4612</v>
      </c>
      <c r="B4613" s="18">
        <v>100</v>
      </c>
      <c r="C4613" s="19">
        <v>100</v>
      </c>
      <c r="D4613" s="20">
        <v>10</v>
      </c>
      <c r="E4613" s="20">
        <v>10</v>
      </c>
      <c r="F4613" s="20">
        <v>10</v>
      </c>
      <c r="G4613" s="19">
        <f t="shared" si="337"/>
        <v>172</v>
      </c>
      <c r="H4613" s="22">
        <f t="shared" si="335"/>
        <v>4612</v>
      </c>
      <c r="I4613" s="21">
        <f t="shared" ca="1" si="334"/>
        <v>0</v>
      </c>
      <c r="J4613" s="21" t="str">
        <f ca="1">IF(I4613=0,"",COUNTIF($I$2:I4613,"&gt;0"))</f>
        <v/>
      </c>
      <c r="K4613" s="21" t="str">
        <f t="shared" ca="1" si="336"/>
        <v/>
      </c>
    </row>
    <row r="4614" spans="1:11" s="18" customFormat="1" ht="14.25" x14ac:dyDescent="0.2">
      <c r="A4614" s="18" t="str">
        <f t="shared" si="333"/>
        <v>Eintrag 4613</v>
      </c>
      <c r="B4614" s="18">
        <v>100</v>
      </c>
      <c r="C4614" s="19">
        <v>100</v>
      </c>
      <c r="D4614" s="20">
        <v>10</v>
      </c>
      <c r="E4614" s="20">
        <v>10</v>
      </c>
      <c r="F4614" s="20">
        <v>10</v>
      </c>
      <c r="G4614" s="19">
        <f t="shared" si="337"/>
        <v>172</v>
      </c>
      <c r="H4614" s="22">
        <f t="shared" si="335"/>
        <v>4613</v>
      </c>
      <c r="I4614" s="21">
        <f t="shared" ca="1" si="334"/>
        <v>0</v>
      </c>
      <c r="J4614" s="21" t="str">
        <f ca="1">IF(I4614=0,"",COUNTIF($I$2:I4614,"&gt;0"))</f>
        <v/>
      </c>
      <c r="K4614" s="21" t="str">
        <f t="shared" ca="1" si="336"/>
        <v/>
      </c>
    </row>
    <row r="4615" spans="1:11" s="18" customFormat="1" ht="14.25" x14ac:dyDescent="0.2">
      <c r="A4615" s="18" t="str">
        <f t="shared" si="333"/>
        <v>Eintrag 4614</v>
      </c>
      <c r="B4615" s="18">
        <v>100</v>
      </c>
      <c r="C4615" s="19">
        <v>100</v>
      </c>
      <c r="D4615" s="20">
        <v>10</v>
      </c>
      <c r="E4615" s="20">
        <v>10</v>
      </c>
      <c r="F4615" s="20">
        <v>10</v>
      </c>
      <c r="G4615" s="19">
        <f t="shared" si="337"/>
        <v>172</v>
      </c>
      <c r="H4615" s="22">
        <f t="shared" si="335"/>
        <v>4614</v>
      </c>
      <c r="I4615" s="21">
        <f t="shared" ca="1" si="334"/>
        <v>0</v>
      </c>
      <c r="J4615" s="21" t="str">
        <f ca="1">IF(I4615=0,"",COUNTIF($I$2:I4615,"&gt;0"))</f>
        <v/>
      </c>
      <c r="K4615" s="21" t="str">
        <f t="shared" ca="1" si="336"/>
        <v/>
      </c>
    </row>
    <row r="4616" spans="1:11" s="18" customFormat="1" ht="14.25" x14ac:dyDescent="0.2">
      <c r="A4616" s="18" t="str">
        <f t="shared" si="333"/>
        <v>Eintrag 4615</v>
      </c>
      <c r="B4616" s="18">
        <v>100</v>
      </c>
      <c r="C4616" s="19">
        <v>100</v>
      </c>
      <c r="D4616" s="20">
        <v>10</v>
      </c>
      <c r="E4616" s="20">
        <v>10</v>
      </c>
      <c r="F4616" s="20">
        <v>10</v>
      </c>
      <c r="G4616" s="19">
        <f t="shared" si="337"/>
        <v>172</v>
      </c>
      <c r="H4616" s="22">
        <f t="shared" si="335"/>
        <v>4615</v>
      </c>
      <c r="I4616" s="21">
        <f t="shared" ca="1" si="334"/>
        <v>0</v>
      </c>
      <c r="J4616" s="21" t="str">
        <f ca="1">IF(I4616=0,"",COUNTIF($I$2:I4616,"&gt;0"))</f>
        <v/>
      </c>
      <c r="K4616" s="21" t="str">
        <f t="shared" ca="1" si="336"/>
        <v/>
      </c>
    </row>
    <row r="4617" spans="1:11" s="18" customFormat="1" ht="14.25" x14ac:dyDescent="0.2">
      <c r="A4617" s="18" t="str">
        <f t="shared" si="333"/>
        <v>Eintrag 4616</v>
      </c>
      <c r="B4617" s="18">
        <v>100</v>
      </c>
      <c r="C4617" s="19">
        <v>100</v>
      </c>
      <c r="D4617" s="20">
        <v>10</v>
      </c>
      <c r="E4617" s="20">
        <v>10</v>
      </c>
      <c r="F4617" s="20">
        <v>10</v>
      </c>
      <c r="G4617" s="19">
        <f t="shared" si="337"/>
        <v>172</v>
      </c>
      <c r="H4617" s="22">
        <f t="shared" si="335"/>
        <v>4616</v>
      </c>
      <c r="I4617" s="21">
        <f t="shared" ca="1" si="334"/>
        <v>0</v>
      </c>
      <c r="J4617" s="21" t="str">
        <f ca="1">IF(I4617=0,"",COUNTIF($I$2:I4617,"&gt;0"))</f>
        <v/>
      </c>
      <c r="K4617" s="21" t="str">
        <f t="shared" ca="1" si="336"/>
        <v/>
      </c>
    </row>
    <row r="4618" spans="1:11" s="18" customFormat="1" ht="14.25" x14ac:dyDescent="0.2">
      <c r="A4618" s="18" t="str">
        <f t="shared" si="333"/>
        <v>Eintrag 4617</v>
      </c>
      <c r="B4618" s="18">
        <v>100</v>
      </c>
      <c r="C4618" s="19">
        <v>100</v>
      </c>
      <c r="D4618" s="20">
        <v>10</v>
      </c>
      <c r="E4618" s="20">
        <v>10</v>
      </c>
      <c r="F4618" s="20">
        <v>10</v>
      </c>
      <c r="G4618" s="19">
        <f t="shared" si="337"/>
        <v>172</v>
      </c>
      <c r="H4618" s="22">
        <f t="shared" si="335"/>
        <v>4617</v>
      </c>
      <c r="I4618" s="21">
        <f t="shared" ca="1" si="334"/>
        <v>0</v>
      </c>
      <c r="J4618" s="21" t="str">
        <f ca="1">IF(I4618=0,"",COUNTIF($I$2:I4618,"&gt;0"))</f>
        <v/>
      </c>
      <c r="K4618" s="21" t="str">
        <f t="shared" ca="1" si="336"/>
        <v/>
      </c>
    </row>
    <row r="4619" spans="1:11" s="18" customFormat="1" ht="14.25" x14ac:dyDescent="0.2">
      <c r="A4619" s="18" t="str">
        <f t="shared" si="333"/>
        <v>Eintrag 4618</v>
      </c>
      <c r="B4619" s="18">
        <v>100</v>
      </c>
      <c r="C4619" s="19">
        <v>100</v>
      </c>
      <c r="D4619" s="20">
        <v>10</v>
      </c>
      <c r="E4619" s="20">
        <v>10</v>
      </c>
      <c r="F4619" s="20">
        <v>10</v>
      </c>
      <c r="G4619" s="19">
        <f t="shared" si="337"/>
        <v>172</v>
      </c>
      <c r="H4619" s="22">
        <f t="shared" si="335"/>
        <v>4618</v>
      </c>
      <c r="I4619" s="21">
        <f t="shared" ca="1" si="334"/>
        <v>0</v>
      </c>
      <c r="J4619" s="21" t="str">
        <f ca="1">IF(I4619=0,"",COUNTIF($I$2:I4619,"&gt;0"))</f>
        <v/>
      </c>
      <c r="K4619" s="21" t="str">
        <f t="shared" ca="1" si="336"/>
        <v/>
      </c>
    </row>
    <row r="4620" spans="1:11" s="18" customFormat="1" ht="14.25" x14ac:dyDescent="0.2">
      <c r="A4620" s="18" t="str">
        <f t="shared" si="333"/>
        <v>Eintrag 4619</v>
      </c>
      <c r="B4620" s="18">
        <v>100</v>
      </c>
      <c r="C4620" s="19">
        <v>100</v>
      </c>
      <c r="D4620" s="20">
        <v>10</v>
      </c>
      <c r="E4620" s="20">
        <v>10</v>
      </c>
      <c r="F4620" s="20">
        <v>10</v>
      </c>
      <c r="G4620" s="19">
        <f t="shared" si="337"/>
        <v>172</v>
      </c>
      <c r="H4620" s="22">
        <f t="shared" si="335"/>
        <v>4619</v>
      </c>
      <c r="I4620" s="21">
        <f t="shared" ca="1" si="334"/>
        <v>0</v>
      </c>
      <c r="J4620" s="21" t="str">
        <f ca="1">IF(I4620=0,"",COUNTIF($I$2:I4620,"&gt;0"))</f>
        <v/>
      </c>
      <c r="K4620" s="21" t="str">
        <f t="shared" ca="1" si="336"/>
        <v/>
      </c>
    </row>
    <row r="4621" spans="1:11" s="18" customFormat="1" ht="14.25" x14ac:dyDescent="0.2">
      <c r="A4621" s="18" t="str">
        <f t="shared" si="333"/>
        <v>Eintrag 4620</v>
      </c>
      <c r="B4621" s="18">
        <v>100</v>
      </c>
      <c r="C4621" s="19">
        <v>100</v>
      </c>
      <c r="D4621" s="20">
        <v>10</v>
      </c>
      <c r="E4621" s="20">
        <v>10</v>
      </c>
      <c r="F4621" s="20">
        <v>10</v>
      </c>
      <c r="G4621" s="19">
        <f t="shared" si="337"/>
        <v>172</v>
      </c>
      <c r="H4621" s="22">
        <f t="shared" si="335"/>
        <v>4620</v>
      </c>
      <c r="I4621" s="21">
        <f t="shared" ca="1" si="334"/>
        <v>0</v>
      </c>
      <c r="J4621" s="21" t="str">
        <f ca="1">IF(I4621=0,"",COUNTIF($I$2:I4621,"&gt;0"))</f>
        <v/>
      </c>
      <c r="K4621" s="21" t="str">
        <f t="shared" ca="1" si="336"/>
        <v/>
      </c>
    </row>
    <row r="4622" spans="1:11" s="18" customFormat="1" ht="14.25" x14ac:dyDescent="0.2">
      <c r="A4622" s="18" t="str">
        <f t="shared" si="333"/>
        <v>Eintrag 4621</v>
      </c>
      <c r="B4622" s="18">
        <v>100</v>
      </c>
      <c r="C4622" s="19">
        <v>100</v>
      </c>
      <c r="D4622" s="20">
        <v>10</v>
      </c>
      <c r="E4622" s="20">
        <v>10</v>
      </c>
      <c r="F4622" s="20">
        <v>10</v>
      </c>
      <c r="G4622" s="19">
        <f t="shared" si="337"/>
        <v>172</v>
      </c>
      <c r="H4622" s="22">
        <f t="shared" si="335"/>
        <v>4621</v>
      </c>
      <c r="I4622" s="21">
        <f t="shared" ca="1" si="334"/>
        <v>0</v>
      </c>
      <c r="J4622" s="21" t="str">
        <f ca="1">IF(I4622=0,"",COUNTIF($I$2:I4622,"&gt;0"))</f>
        <v/>
      </c>
      <c r="K4622" s="21" t="str">
        <f t="shared" ca="1" si="336"/>
        <v/>
      </c>
    </row>
    <row r="4623" spans="1:11" s="18" customFormat="1" ht="14.25" x14ac:dyDescent="0.2">
      <c r="A4623" s="18" t="str">
        <f t="shared" si="333"/>
        <v>Eintrag 4622</v>
      </c>
      <c r="B4623" s="18">
        <v>100</v>
      </c>
      <c r="C4623" s="19">
        <v>100</v>
      </c>
      <c r="D4623" s="20">
        <v>10</v>
      </c>
      <c r="E4623" s="20">
        <v>10</v>
      </c>
      <c r="F4623" s="20">
        <v>10</v>
      </c>
      <c r="G4623" s="19">
        <f t="shared" si="337"/>
        <v>172</v>
      </c>
      <c r="H4623" s="22">
        <f t="shared" si="335"/>
        <v>4622</v>
      </c>
      <c r="I4623" s="21">
        <f t="shared" ca="1" si="334"/>
        <v>0</v>
      </c>
      <c r="J4623" s="21" t="str">
        <f ca="1">IF(I4623=0,"",COUNTIF($I$2:I4623,"&gt;0"))</f>
        <v/>
      </c>
      <c r="K4623" s="21" t="str">
        <f t="shared" ca="1" si="336"/>
        <v/>
      </c>
    </row>
    <row r="4624" spans="1:11" s="18" customFormat="1" ht="14.25" x14ac:dyDescent="0.2">
      <c r="A4624" s="18" t="str">
        <f t="shared" si="333"/>
        <v>Eintrag 4623</v>
      </c>
      <c r="B4624" s="18">
        <v>100</v>
      </c>
      <c r="C4624" s="19">
        <v>100</v>
      </c>
      <c r="D4624" s="20">
        <v>10</v>
      </c>
      <c r="E4624" s="20">
        <v>10</v>
      </c>
      <c r="F4624" s="20">
        <v>10</v>
      </c>
      <c r="G4624" s="19">
        <f t="shared" si="337"/>
        <v>172</v>
      </c>
      <c r="H4624" s="22">
        <f t="shared" si="335"/>
        <v>4623</v>
      </c>
      <c r="I4624" s="21">
        <f t="shared" ca="1" si="334"/>
        <v>0</v>
      </c>
      <c r="J4624" s="21" t="str">
        <f ca="1">IF(I4624=0,"",COUNTIF($I$2:I4624,"&gt;0"))</f>
        <v/>
      </c>
      <c r="K4624" s="21" t="str">
        <f t="shared" ca="1" si="336"/>
        <v/>
      </c>
    </row>
    <row r="4625" spans="1:11" s="18" customFormat="1" ht="14.25" x14ac:dyDescent="0.2">
      <c r="A4625" s="18" t="str">
        <f t="shared" si="333"/>
        <v>Eintrag 4624</v>
      </c>
      <c r="B4625" s="18">
        <v>100</v>
      </c>
      <c r="C4625" s="19">
        <v>100</v>
      </c>
      <c r="D4625" s="20">
        <v>10</v>
      </c>
      <c r="E4625" s="20">
        <v>10</v>
      </c>
      <c r="F4625" s="20">
        <v>10</v>
      </c>
      <c r="G4625" s="19">
        <f t="shared" si="337"/>
        <v>172</v>
      </c>
      <c r="H4625" s="22">
        <f t="shared" si="335"/>
        <v>4624</v>
      </c>
      <c r="I4625" s="21">
        <f t="shared" ca="1" si="334"/>
        <v>0</v>
      </c>
      <c r="J4625" s="21" t="str">
        <f ca="1">IF(I4625=0,"",COUNTIF($I$2:I4625,"&gt;0"))</f>
        <v/>
      </c>
      <c r="K4625" s="21" t="str">
        <f t="shared" ca="1" si="336"/>
        <v/>
      </c>
    </row>
    <row r="4626" spans="1:11" s="18" customFormat="1" ht="14.25" x14ac:dyDescent="0.2">
      <c r="A4626" s="18" t="str">
        <f t="shared" si="333"/>
        <v>Eintrag 4625</v>
      </c>
      <c r="B4626" s="18">
        <v>100</v>
      </c>
      <c r="C4626" s="19">
        <v>100</v>
      </c>
      <c r="D4626" s="20">
        <v>10</v>
      </c>
      <c r="E4626" s="20">
        <v>10</v>
      </c>
      <c r="F4626" s="20">
        <v>10</v>
      </c>
      <c r="G4626" s="19">
        <f t="shared" si="337"/>
        <v>172</v>
      </c>
      <c r="H4626" s="22">
        <f t="shared" si="335"/>
        <v>4625</v>
      </c>
      <c r="I4626" s="21">
        <f t="shared" ca="1" si="334"/>
        <v>0</v>
      </c>
      <c r="J4626" s="21" t="str">
        <f ca="1">IF(I4626=0,"",COUNTIF($I$2:I4626,"&gt;0"))</f>
        <v/>
      </c>
      <c r="K4626" s="21" t="str">
        <f t="shared" ca="1" si="336"/>
        <v/>
      </c>
    </row>
    <row r="4627" spans="1:11" s="18" customFormat="1" ht="14.25" x14ac:dyDescent="0.2">
      <c r="A4627" s="18" t="str">
        <f t="shared" si="333"/>
        <v>Eintrag 4626</v>
      </c>
      <c r="B4627" s="18">
        <v>100</v>
      </c>
      <c r="C4627" s="19">
        <v>100</v>
      </c>
      <c r="D4627" s="20">
        <v>10</v>
      </c>
      <c r="E4627" s="20">
        <v>10</v>
      </c>
      <c r="F4627" s="20">
        <v>10</v>
      </c>
      <c r="G4627" s="19">
        <f t="shared" si="337"/>
        <v>172</v>
      </c>
      <c r="H4627" s="22">
        <f t="shared" si="335"/>
        <v>4626</v>
      </c>
      <c r="I4627" s="21">
        <f t="shared" ca="1" si="334"/>
        <v>0</v>
      </c>
      <c r="J4627" s="21" t="str">
        <f ca="1">IF(I4627=0,"",COUNTIF($I$2:I4627,"&gt;0"))</f>
        <v/>
      </c>
      <c r="K4627" s="21" t="str">
        <f t="shared" ca="1" si="336"/>
        <v/>
      </c>
    </row>
    <row r="4628" spans="1:11" s="18" customFormat="1" ht="14.25" x14ac:dyDescent="0.2">
      <c r="A4628" s="18" t="str">
        <f t="shared" si="333"/>
        <v>Eintrag 4627</v>
      </c>
      <c r="B4628" s="18">
        <v>100</v>
      </c>
      <c r="C4628" s="19">
        <v>100</v>
      </c>
      <c r="D4628" s="20">
        <v>10</v>
      </c>
      <c r="E4628" s="20">
        <v>10</v>
      </c>
      <c r="F4628" s="20">
        <v>10</v>
      </c>
      <c r="G4628" s="19">
        <f t="shared" si="337"/>
        <v>172</v>
      </c>
      <c r="H4628" s="22">
        <f t="shared" si="335"/>
        <v>4627</v>
      </c>
      <c r="I4628" s="21">
        <f t="shared" ca="1" si="334"/>
        <v>0</v>
      </c>
      <c r="J4628" s="21" t="str">
        <f ca="1">IF(I4628=0,"",COUNTIF($I$2:I4628,"&gt;0"))</f>
        <v/>
      </c>
      <c r="K4628" s="21" t="str">
        <f t="shared" ca="1" si="336"/>
        <v/>
      </c>
    </row>
    <row r="4629" spans="1:11" s="18" customFormat="1" ht="14.25" x14ac:dyDescent="0.2">
      <c r="A4629" s="18" t="str">
        <f t="shared" ref="A4629:A4692" si="338">CONCATENATE("Eintrag ",H4629)</f>
        <v>Eintrag 4628</v>
      </c>
      <c r="B4629" s="18">
        <v>100</v>
      </c>
      <c r="C4629" s="19">
        <v>100</v>
      </c>
      <c r="D4629" s="20">
        <v>10</v>
      </c>
      <c r="E4629" s="20">
        <v>10</v>
      </c>
      <c r="F4629" s="20">
        <v>10</v>
      </c>
      <c r="G4629" s="19">
        <f t="shared" si="337"/>
        <v>172</v>
      </c>
      <c r="H4629" s="22">
        <f t="shared" si="335"/>
        <v>4628</v>
      </c>
      <c r="I4629" s="21">
        <f t="shared" ca="1" si="334"/>
        <v>0</v>
      </c>
      <c r="J4629" s="21" t="str">
        <f ca="1">IF(I4629=0,"",COUNTIF($I$2:I4629,"&gt;0"))</f>
        <v/>
      </c>
      <c r="K4629" s="21" t="str">
        <f t="shared" ca="1" si="336"/>
        <v/>
      </c>
    </row>
    <row r="4630" spans="1:11" s="18" customFormat="1" ht="14.25" x14ac:dyDescent="0.2">
      <c r="A4630" s="18" t="str">
        <f t="shared" si="338"/>
        <v>Eintrag 4629</v>
      </c>
      <c r="B4630" s="18">
        <v>100</v>
      </c>
      <c r="C4630" s="19">
        <v>100</v>
      </c>
      <c r="D4630" s="20">
        <v>10</v>
      </c>
      <c r="E4630" s="20">
        <v>10</v>
      </c>
      <c r="F4630" s="20">
        <v>10</v>
      </c>
      <c r="G4630" s="19">
        <f t="shared" si="337"/>
        <v>172</v>
      </c>
      <c r="H4630" s="22">
        <f t="shared" si="335"/>
        <v>4629</v>
      </c>
      <c r="I4630" s="21">
        <f t="shared" ca="1" si="334"/>
        <v>0</v>
      </c>
      <c r="J4630" s="21" t="str">
        <f ca="1">IF(I4630=0,"",COUNTIF($I$2:I4630,"&gt;0"))</f>
        <v/>
      </c>
      <c r="K4630" s="21" t="str">
        <f t="shared" ca="1" si="336"/>
        <v/>
      </c>
    </row>
    <row r="4631" spans="1:11" s="18" customFormat="1" ht="14.25" x14ac:dyDescent="0.2">
      <c r="A4631" s="18" t="str">
        <f t="shared" si="338"/>
        <v>Eintrag 4630</v>
      </c>
      <c r="B4631" s="18">
        <v>100</v>
      </c>
      <c r="C4631" s="19">
        <v>100</v>
      </c>
      <c r="D4631" s="20">
        <v>10</v>
      </c>
      <c r="E4631" s="20">
        <v>10</v>
      </c>
      <c r="F4631" s="20">
        <v>10</v>
      </c>
      <c r="G4631" s="19">
        <f t="shared" si="337"/>
        <v>172</v>
      </c>
      <c r="H4631" s="22">
        <f t="shared" si="335"/>
        <v>4630</v>
      </c>
      <c r="I4631" s="21">
        <f t="shared" ca="1" si="334"/>
        <v>0</v>
      </c>
      <c r="J4631" s="21" t="str">
        <f ca="1">IF(I4631=0,"",COUNTIF($I$2:I4631,"&gt;0"))</f>
        <v/>
      </c>
      <c r="K4631" s="21" t="str">
        <f t="shared" ca="1" si="336"/>
        <v/>
      </c>
    </row>
    <row r="4632" spans="1:11" s="18" customFormat="1" ht="14.25" x14ac:dyDescent="0.2">
      <c r="A4632" s="18" t="str">
        <f t="shared" si="338"/>
        <v>Eintrag 4631</v>
      </c>
      <c r="B4632" s="18">
        <v>100</v>
      </c>
      <c r="C4632" s="19">
        <v>100</v>
      </c>
      <c r="D4632" s="20">
        <v>10</v>
      </c>
      <c r="E4632" s="20">
        <v>10</v>
      </c>
      <c r="F4632" s="20">
        <v>10</v>
      </c>
      <c r="G4632" s="19">
        <f t="shared" si="337"/>
        <v>172</v>
      </c>
      <c r="H4632" s="22">
        <f t="shared" si="335"/>
        <v>4631</v>
      </c>
      <c r="I4632" s="21">
        <f t="shared" ca="1" si="334"/>
        <v>0</v>
      </c>
      <c r="J4632" s="21" t="str">
        <f ca="1">IF(I4632=0,"",COUNTIF($I$2:I4632,"&gt;0"))</f>
        <v/>
      </c>
      <c r="K4632" s="21" t="str">
        <f t="shared" ca="1" si="336"/>
        <v/>
      </c>
    </row>
    <row r="4633" spans="1:11" s="18" customFormat="1" ht="14.25" x14ac:dyDescent="0.2">
      <c r="A4633" s="18" t="str">
        <f t="shared" si="338"/>
        <v>Eintrag 4632</v>
      </c>
      <c r="B4633" s="18">
        <v>100</v>
      </c>
      <c r="C4633" s="19">
        <v>100</v>
      </c>
      <c r="D4633" s="20">
        <v>10</v>
      </c>
      <c r="E4633" s="20">
        <v>10</v>
      </c>
      <c r="F4633" s="20">
        <v>10</v>
      </c>
      <c r="G4633" s="19">
        <f t="shared" si="337"/>
        <v>172</v>
      </c>
      <c r="H4633" s="22">
        <f t="shared" si="335"/>
        <v>4632</v>
      </c>
      <c r="I4633" s="21">
        <f t="shared" ca="1" si="334"/>
        <v>0</v>
      </c>
      <c r="J4633" s="21" t="str">
        <f ca="1">IF(I4633=0,"",COUNTIF($I$2:I4633,"&gt;0"))</f>
        <v/>
      </c>
      <c r="K4633" s="21" t="str">
        <f t="shared" ca="1" si="336"/>
        <v/>
      </c>
    </row>
    <row r="4634" spans="1:11" s="18" customFormat="1" ht="14.25" x14ac:dyDescent="0.2">
      <c r="A4634" s="18" t="str">
        <f t="shared" si="338"/>
        <v>Eintrag 4633</v>
      </c>
      <c r="B4634" s="18">
        <v>100</v>
      </c>
      <c r="C4634" s="19">
        <v>100</v>
      </c>
      <c r="D4634" s="20">
        <v>10</v>
      </c>
      <c r="E4634" s="20">
        <v>10</v>
      </c>
      <c r="F4634" s="20">
        <v>10</v>
      </c>
      <c r="G4634" s="19">
        <f t="shared" si="337"/>
        <v>172</v>
      </c>
      <c r="H4634" s="22">
        <f t="shared" si="335"/>
        <v>4633</v>
      </c>
      <c r="I4634" s="21">
        <f t="shared" ca="1" si="334"/>
        <v>0</v>
      </c>
      <c r="J4634" s="21" t="str">
        <f ca="1">IF(I4634=0,"",COUNTIF($I$2:I4634,"&gt;0"))</f>
        <v/>
      </c>
      <c r="K4634" s="21" t="str">
        <f t="shared" ca="1" si="336"/>
        <v/>
      </c>
    </row>
    <row r="4635" spans="1:11" s="18" customFormat="1" ht="14.25" x14ac:dyDescent="0.2">
      <c r="A4635" s="18" t="str">
        <f t="shared" si="338"/>
        <v>Eintrag 4634</v>
      </c>
      <c r="B4635" s="18">
        <v>100</v>
      </c>
      <c r="C4635" s="19">
        <v>100</v>
      </c>
      <c r="D4635" s="20">
        <v>10</v>
      </c>
      <c r="E4635" s="20">
        <v>10</v>
      </c>
      <c r="F4635" s="20">
        <v>10</v>
      </c>
      <c r="G4635" s="19">
        <f t="shared" si="337"/>
        <v>172</v>
      </c>
      <c r="H4635" s="22">
        <f t="shared" si="335"/>
        <v>4634</v>
      </c>
      <c r="I4635" s="21">
        <f t="shared" ca="1" si="334"/>
        <v>0</v>
      </c>
      <c r="J4635" s="21" t="str">
        <f ca="1">IF(I4635=0,"",COUNTIF($I$2:I4635,"&gt;0"))</f>
        <v/>
      </c>
      <c r="K4635" s="21" t="str">
        <f t="shared" ca="1" si="336"/>
        <v/>
      </c>
    </row>
    <row r="4636" spans="1:11" s="18" customFormat="1" ht="14.25" x14ac:dyDescent="0.2">
      <c r="A4636" s="18" t="str">
        <f t="shared" si="338"/>
        <v>Eintrag 4635</v>
      </c>
      <c r="B4636" s="18">
        <v>100</v>
      </c>
      <c r="C4636" s="19">
        <v>100</v>
      </c>
      <c r="D4636" s="20">
        <v>10</v>
      </c>
      <c r="E4636" s="20">
        <v>10</v>
      </c>
      <c r="F4636" s="20">
        <v>10</v>
      </c>
      <c r="G4636" s="19">
        <f t="shared" si="337"/>
        <v>172</v>
      </c>
      <c r="H4636" s="22">
        <f t="shared" si="335"/>
        <v>4635</v>
      </c>
      <c r="I4636" s="21">
        <f t="shared" ca="1" si="334"/>
        <v>0</v>
      </c>
      <c r="J4636" s="21" t="str">
        <f ca="1">IF(I4636=0,"",COUNTIF($I$2:I4636,"&gt;0"))</f>
        <v/>
      </c>
      <c r="K4636" s="21" t="str">
        <f t="shared" ca="1" si="336"/>
        <v/>
      </c>
    </row>
    <row r="4637" spans="1:11" s="18" customFormat="1" ht="14.25" x14ac:dyDescent="0.2">
      <c r="A4637" s="18" t="str">
        <f t="shared" si="338"/>
        <v>Eintrag 4636</v>
      </c>
      <c r="B4637" s="18">
        <v>100</v>
      </c>
      <c r="C4637" s="19">
        <v>100</v>
      </c>
      <c r="D4637" s="20">
        <v>10</v>
      </c>
      <c r="E4637" s="20">
        <v>10</v>
      </c>
      <c r="F4637" s="20">
        <v>10</v>
      </c>
      <c r="G4637" s="19">
        <f t="shared" si="337"/>
        <v>172</v>
      </c>
      <c r="H4637" s="22">
        <f t="shared" si="335"/>
        <v>4636</v>
      </c>
      <c r="I4637" s="21">
        <f t="shared" ca="1" si="334"/>
        <v>0</v>
      </c>
      <c r="J4637" s="21" t="str">
        <f ca="1">IF(I4637=0,"",COUNTIF($I$2:I4637,"&gt;0"))</f>
        <v/>
      </c>
      <c r="K4637" s="21" t="str">
        <f t="shared" ca="1" si="336"/>
        <v/>
      </c>
    </row>
    <row r="4638" spans="1:11" s="18" customFormat="1" ht="14.25" x14ac:dyDescent="0.2">
      <c r="A4638" s="18" t="str">
        <f t="shared" si="338"/>
        <v>Eintrag 4637</v>
      </c>
      <c r="B4638" s="18">
        <v>100</v>
      </c>
      <c r="C4638" s="19">
        <v>100</v>
      </c>
      <c r="D4638" s="20">
        <v>10</v>
      </c>
      <c r="E4638" s="20">
        <v>10</v>
      </c>
      <c r="F4638" s="20">
        <v>10</v>
      </c>
      <c r="G4638" s="19">
        <f t="shared" si="337"/>
        <v>172</v>
      </c>
      <c r="H4638" s="22">
        <f t="shared" si="335"/>
        <v>4637</v>
      </c>
      <c r="I4638" s="21">
        <f t="shared" ca="1" si="334"/>
        <v>0</v>
      </c>
      <c r="J4638" s="21" t="str">
        <f ca="1">IF(I4638=0,"",COUNTIF($I$2:I4638,"&gt;0"))</f>
        <v/>
      </c>
      <c r="K4638" s="21" t="str">
        <f t="shared" ca="1" si="336"/>
        <v/>
      </c>
    </row>
    <row r="4639" spans="1:11" s="18" customFormat="1" ht="14.25" x14ac:dyDescent="0.2">
      <c r="A4639" s="18" t="str">
        <f t="shared" si="338"/>
        <v>Eintrag 4638</v>
      </c>
      <c r="B4639" s="18">
        <v>100</v>
      </c>
      <c r="C4639" s="19">
        <v>100</v>
      </c>
      <c r="D4639" s="20">
        <v>10</v>
      </c>
      <c r="E4639" s="20">
        <v>10</v>
      </c>
      <c r="F4639" s="20">
        <v>10</v>
      </c>
      <c r="G4639" s="19">
        <f t="shared" si="337"/>
        <v>172</v>
      </c>
      <c r="H4639" s="22">
        <f t="shared" si="335"/>
        <v>4638</v>
      </c>
      <c r="I4639" s="21">
        <f t="shared" ref="I4639:I4702" ca="1" si="339">IFERROR(SEARCH(INDIRECT(CELL("address")),A4639),0)</f>
        <v>0</v>
      </c>
      <c r="J4639" s="21" t="str">
        <f ca="1">IF(I4639=0,"",COUNTIF($I$2:I4639,"&gt;0"))</f>
        <v/>
      </c>
      <c r="K4639" s="21" t="str">
        <f t="shared" ca="1" si="336"/>
        <v/>
      </c>
    </row>
    <row r="4640" spans="1:11" s="18" customFormat="1" ht="14.25" x14ac:dyDescent="0.2">
      <c r="A4640" s="18" t="str">
        <f t="shared" si="338"/>
        <v>Eintrag 4639</v>
      </c>
      <c r="B4640" s="18">
        <v>100</v>
      </c>
      <c r="C4640" s="19">
        <v>100</v>
      </c>
      <c r="D4640" s="20">
        <v>10</v>
      </c>
      <c r="E4640" s="20">
        <v>10</v>
      </c>
      <c r="F4640" s="20">
        <v>10</v>
      </c>
      <c r="G4640" s="19">
        <f t="shared" si="337"/>
        <v>172</v>
      </c>
      <c r="H4640" s="22">
        <f t="shared" si="335"/>
        <v>4639</v>
      </c>
      <c r="I4640" s="21">
        <f t="shared" ca="1" si="339"/>
        <v>0</v>
      </c>
      <c r="J4640" s="21" t="str">
        <f ca="1">IF(I4640=0,"",COUNTIF($I$2:I4640,"&gt;0"))</f>
        <v/>
      </c>
      <c r="K4640" s="21" t="str">
        <f t="shared" ca="1" si="336"/>
        <v/>
      </c>
    </row>
    <row r="4641" spans="1:11" s="18" customFormat="1" ht="14.25" x14ac:dyDescent="0.2">
      <c r="A4641" s="18" t="str">
        <f t="shared" si="338"/>
        <v>Eintrag 4640</v>
      </c>
      <c r="B4641" s="18">
        <v>100</v>
      </c>
      <c r="C4641" s="19">
        <v>100</v>
      </c>
      <c r="D4641" s="20">
        <v>10</v>
      </c>
      <c r="E4641" s="20">
        <v>10</v>
      </c>
      <c r="F4641" s="20">
        <v>10</v>
      </c>
      <c r="G4641" s="19">
        <f t="shared" si="337"/>
        <v>172</v>
      </c>
      <c r="H4641" s="22">
        <f t="shared" si="335"/>
        <v>4640</v>
      </c>
      <c r="I4641" s="21">
        <f t="shared" ca="1" si="339"/>
        <v>0</v>
      </c>
      <c r="J4641" s="21" t="str">
        <f ca="1">IF(I4641=0,"",COUNTIF($I$2:I4641,"&gt;0"))</f>
        <v/>
      </c>
      <c r="K4641" s="21" t="str">
        <f t="shared" ca="1" si="336"/>
        <v/>
      </c>
    </row>
    <row r="4642" spans="1:11" s="18" customFormat="1" ht="14.25" x14ac:dyDescent="0.2">
      <c r="A4642" s="18" t="str">
        <f t="shared" si="338"/>
        <v>Eintrag 4641</v>
      </c>
      <c r="B4642" s="18">
        <v>100</v>
      </c>
      <c r="C4642" s="19">
        <v>100</v>
      </c>
      <c r="D4642" s="20">
        <v>10</v>
      </c>
      <c r="E4642" s="20">
        <v>10</v>
      </c>
      <c r="F4642" s="20">
        <v>10</v>
      </c>
      <c r="G4642" s="19">
        <f t="shared" si="337"/>
        <v>172</v>
      </c>
      <c r="H4642" s="22">
        <f t="shared" si="335"/>
        <v>4641</v>
      </c>
      <c r="I4642" s="21">
        <f t="shared" ca="1" si="339"/>
        <v>0</v>
      </c>
      <c r="J4642" s="21" t="str">
        <f ca="1">IF(I4642=0,"",COUNTIF($I$2:I4642,"&gt;0"))</f>
        <v/>
      </c>
      <c r="K4642" s="21" t="str">
        <f t="shared" ca="1" si="336"/>
        <v/>
      </c>
    </row>
    <row r="4643" spans="1:11" s="18" customFormat="1" ht="14.25" x14ac:dyDescent="0.2">
      <c r="A4643" s="18" t="str">
        <f t="shared" si="338"/>
        <v>Eintrag 4642</v>
      </c>
      <c r="B4643" s="18">
        <v>100</v>
      </c>
      <c r="C4643" s="19">
        <v>100</v>
      </c>
      <c r="D4643" s="20">
        <v>10</v>
      </c>
      <c r="E4643" s="20">
        <v>10</v>
      </c>
      <c r="F4643" s="20">
        <v>10</v>
      </c>
      <c r="G4643" s="19">
        <f t="shared" si="337"/>
        <v>172</v>
      </c>
      <c r="H4643" s="22">
        <f t="shared" si="335"/>
        <v>4642</v>
      </c>
      <c r="I4643" s="21">
        <f t="shared" ca="1" si="339"/>
        <v>0</v>
      </c>
      <c r="J4643" s="21" t="str">
        <f ca="1">IF(I4643=0,"",COUNTIF($I$2:I4643,"&gt;0"))</f>
        <v/>
      </c>
      <c r="K4643" s="21" t="str">
        <f t="shared" ca="1" si="336"/>
        <v/>
      </c>
    </row>
    <row r="4644" spans="1:11" s="18" customFormat="1" ht="14.25" x14ac:dyDescent="0.2">
      <c r="A4644" s="18" t="str">
        <f t="shared" si="338"/>
        <v>Eintrag 4643</v>
      </c>
      <c r="B4644" s="18">
        <v>100</v>
      </c>
      <c r="C4644" s="19">
        <v>100</v>
      </c>
      <c r="D4644" s="20">
        <v>10</v>
      </c>
      <c r="E4644" s="20">
        <v>10</v>
      </c>
      <c r="F4644" s="20">
        <v>10</v>
      </c>
      <c r="G4644" s="19">
        <f t="shared" si="337"/>
        <v>172</v>
      </c>
      <c r="H4644" s="22">
        <f t="shared" si="335"/>
        <v>4643</v>
      </c>
      <c r="I4644" s="21">
        <f t="shared" ca="1" si="339"/>
        <v>0</v>
      </c>
      <c r="J4644" s="21" t="str">
        <f ca="1">IF(I4644=0,"",COUNTIF($I$2:I4644,"&gt;0"))</f>
        <v/>
      </c>
      <c r="K4644" s="21" t="str">
        <f t="shared" ca="1" si="336"/>
        <v/>
      </c>
    </row>
    <row r="4645" spans="1:11" s="18" customFormat="1" ht="14.25" x14ac:dyDescent="0.2">
      <c r="A4645" s="18" t="str">
        <f t="shared" si="338"/>
        <v>Eintrag 4644</v>
      </c>
      <c r="B4645" s="18">
        <v>100</v>
      </c>
      <c r="C4645" s="19">
        <v>100</v>
      </c>
      <c r="D4645" s="20">
        <v>10</v>
      </c>
      <c r="E4645" s="20">
        <v>10</v>
      </c>
      <c r="F4645" s="20">
        <v>10</v>
      </c>
      <c r="G4645" s="19">
        <f t="shared" si="337"/>
        <v>172</v>
      </c>
      <c r="H4645" s="22">
        <f t="shared" ref="H4645:H4708" si="340">H4644+1</f>
        <v>4644</v>
      </c>
      <c r="I4645" s="21">
        <f t="shared" ca="1" si="339"/>
        <v>0</v>
      </c>
      <c r="J4645" s="21" t="str">
        <f ca="1">IF(I4645=0,"",COUNTIF($I$2:I4645,"&gt;0"))</f>
        <v/>
      </c>
      <c r="K4645" s="21" t="str">
        <f t="shared" ca="1" si="336"/>
        <v/>
      </c>
    </row>
    <row r="4646" spans="1:11" s="18" customFormat="1" ht="14.25" x14ac:dyDescent="0.2">
      <c r="A4646" s="18" t="str">
        <f t="shared" si="338"/>
        <v>Eintrag 4645</v>
      </c>
      <c r="B4646" s="18">
        <v>100</v>
      </c>
      <c r="C4646" s="19">
        <v>100</v>
      </c>
      <c r="D4646" s="20">
        <v>10</v>
      </c>
      <c r="E4646" s="20">
        <v>10</v>
      </c>
      <c r="F4646" s="20">
        <v>10</v>
      </c>
      <c r="G4646" s="19">
        <f t="shared" si="337"/>
        <v>172</v>
      </c>
      <c r="H4646" s="22">
        <f t="shared" si="340"/>
        <v>4645</v>
      </c>
      <c r="I4646" s="21">
        <f t="shared" ca="1" si="339"/>
        <v>0</v>
      </c>
      <c r="J4646" s="21" t="str">
        <f ca="1">IF(I4646=0,"",COUNTIF($I$2:I4646,"&gt;0"))</f>
        <v/>
      </c>
      <c r="K4646" s="21" t="str">
        <f t="shared" ca="1" si="336"/>
        <v/>
      </c>
    </row>
    <row r="4647" spans="1:11" s="18" customFormat="1" ht="14.25" x14ac:dyDescent="0.2">
      <c r="A4647" s="18" t="str">
        <f t="shared" si="338"/>
        <v>Eintrag 4646</v>
      </c>
      <c r="B4647" s="18">
        <v>100</v>
      </c>
      <c r="C4647" s="19">
        <v>100</v>
      </c>
      <c r="D4647" s="20">
        <v>10</v>
      </c>
      <c r="E4647" s="20">
        <v>10</v>
      </c>
      <c r="F4647" s="20">
        <v>10</v>
      </c>
      <c r="G4647" s="19">
        <f t="shared" si="337"/>
        <v>172</v>
      </c>
      <c r="H4647" s="22">
        <f t="shared" si="340"/>
        <v>4646</v>
      </c>
      <c r="I4647" s="21">
        <f t="shared" ca="1" si="339"/>
        <v>0</v>
      </c>
      <c r="J4647" s="21" t="str">
        <f ca="1">IF(I4647=0,"",COUNTIF($I$2:I4647,"&gt;0"))</f>
        <v/>
      </c>
      <c r="K4647" s="21" t="str">
        <f t="shared" ca="1" si="336"/>
        <v/>
      </c>
    </row>
    <row r="4648" spans="1:11" s="18" customFormat="1" ht="14.25" x14ac:dyDescent="0.2">
      <c r="A4648" s="18" t="str">
        <f t="shared" si="338"/>
        <v>Eintrag 4647</v>
      </c>
      <c r="B4648" s="18">
        <v>100</v>
      </c>
      <c r="C4648" s="19">
        <v>100</v>
      </c>
      <c r="D4648" s="20">
        <v>10</v>
      </c>
      <c r="E4648" s="20">
        <v>10</v>
      </c>
      <c r="F4648" s="20">
        <v>10</v>
      </c>
      <c r="G4648" s="19">
        <f t="shared" si="337"/>
        <v>172</v>
      </c>
      <c r="H4648" s="22">
        <f t="shared" si="340"/>
        <v>4647</v>
      </c>
      <c r="I4648" s="21">
        <f t="shared" ca="1" si="339"/>
        <v>0</v>
      </c>
      <c r="J4648" s="21" t="str">
        <f ca="1">IF(I4648=0,"",COUNTIF($I$2:I4648,"&gt;0"))</f>
        <v/>
      </c>
      <c r="K4648" s="21" t="str">
        <f t="shared" ca="1" si="336"/>
        <v/>
      </c>
    </row>
    <row r="4649" spans="1:11" s="18" customFormat="1" ht="14.25" x14ac:dyDescent="0.2">
      <c r="A4649" s="18" t="str">
        <f t="shared" si="338"/>
        <v>Eintrag 4648</v>
      </c>
      <c r="B4649" s="18">
        <v>100</v>
      </c>
      <c r="C4649" s="19">
        <v>100</v>
      </c>
      <c r="D4649" s="20">
        <v>10</v>
      </c>
      <c r="E4649" s="20">
        <v>10</v>
      </c>
      <c r="F4649" s="20">
        <v>10</v>
      </c>
      <c r="G4649" s="19">
        <f t="shared" si="337"/>
        <v>172</v>
      </c>
      <c r="H4649" s="22">
        <f t="shared" si="340"/>
        <v>4648</v>
      </c>
      <c r="I4649" s="21">
        <f t="shared" ca="1" si="339"/>
        <v>0</v>
      </c>
      <c r="J4649" s="21" t="str">
        <f ca="1">IF(I4649=0,"",COUNTIF($I$2:I4649,"&gt;0"))</f>
        <v/>
      </c>
      <c r="K4649" s="21" t="str">
        <f t="shared" ca="1" si="336"/>
        <v/>
      </c>
    </row>
    <row r="4650" spans="1:11" s="18" customFormat="1" ht="14.25" x14ac:dyDescent="0.2">
      <c r="A4650" s="18" t="str">
        <f t="shared" si="338"/>
        <v>Eintrag 4649</v>
      </c>
      <c r="B4650" s="18">
        <v>100</v>
      </c>
      <c r="C4650" s="19">
        <v>100</v>
      </c>
      <c r="D4650" s="20">
        <v>10</v>
      </c>
      <c r="E4650" s="20">
        <v>10</v>
      </c>
      <c r="F4650" s="20">
        <v>10</v>
      </c>
      <c r="G4650" s="19">
        <f t="shared" si="337"/>
        <v>172</v>
      </c>
      <c r="H4650" s="22">
        <f t="shared" si="340"/>
        <v>4649</v>
      </c>
      <c r="I4650" s="21">
        <f t="shared" ca="1" si="339"/>
        <v>0</v>
      </c>
      <c r="J4650" s="21" t="str">
        <f ca="1">IF(I4650=0,"",COUNTIF($I$2:I4650,"&gt;0"))</f>
        <v/>
      </c>
      <c r="K4650" s="21" t="str">
        <f t="shared" ca="1" si="336"/>
        <v/>
      </c>
    </row>
    <row r="4651" spans="1:11" s="18" customFormat="1" ht="14.25" x14ac:dyDescent="0.2">
      <c r="A4651" s="18" t="str">
        <f t="shared" si="338"/>
        <v>Eintrag 4650</v>
      </c>
      <c r="B4651" s="18">
        <v>100</v>
      </c>
      <c r="C4651" s="19">
        <v>100</v>
      </c>
      <c r="D4651" s="20">
        <v>10</v>
      </c>
      <c r="E4651" s="20">
        <v>10</v>
      </c>
      <c r="F4651" s="20">
        <v>10</v>
      </c>
      <c r="G4651" s="19">
        <f t="shared" si="337"/>
        <v>172</v>
      </c>
      <c r="H4651" s="22">
        <f t="shared" si="340"/>
        <v>4650</v>
      </c>
      <c r="I4651" s="21">
        <f t="shared" ca="1" si="339"/>
        <v>0</v>
      </c>
      <c r="J4651" s="21" t="str">
        <f ca="1">IF(I4651=0,"",COUNTIF($I$2:I4651,"&gt;0"))</f>
        <v/>
      </c>
      <c r="K4651" s="21" t="str">
        <f t="shared" ca="1" si="336"/>
        <v/>
      </c>
    </row>
    <row r="4652" spans="1:11" s="18" customFormat="1" ht="14.25" x14ac:dyDescent="0.2">
      <c r="A4652" s="18" t="str">
        <f t="shared" si="338"/>
        <v>Eintrag 4651</v>
      </c>
      <c r="B4652" s="18">
        <v>100</v>
      </c>
      <c r="C4652" s="19">
        <v>100</v>
      </c>
      <c r="D4652" s="20">
        <v>10</v>
      </c>
      <c r="E4652" s="20">
        <v>10</v>
      </c>
      <c r="F4652" s="20">
        <v>10</v>
      </c>
      <c r="G4652" s="19">
        <f t="shared" si="337"/>
        <v>172</v>
      </c>
      <c r="H4652" s="22">
        <f t="shared" si="340"/>
        <v>4651</v>
      </c>
      <c r="I4652" s="21">
        <f t="shared" ca="1" si="339"/>
        <v>0</v>
      </c>
      <c r="J4652" s="21" t="str">
        <f ca="1">IF(I4652=0,"",COUNTIF($I$2:I4652,"&gt;0"))</f>
        <v/>
      </c>
      <c r="K4652" s="21" t="str">
        <f t="shared" ca="1" si="336"/>
        <v/>
      </c>
    </row>
    <row r="4653" spans="1:11" s="18" customFormat="1" ht="14.25" x14ac:dyDescent="0.2">
      <c r="A4653" s="18" t="str">
        <f t="shared" si="338"/>
        <v>Eintrag 4652</v>
      </c>
      <c r="B4653" s="18">
        <v>100</v>
      </c>
      <c r="C4653" s="19">
        <v>100</v>
      </c>
      <c r="D4653" s="20">
        <v>10</v>
      </c>
      <c r="E4653" s="20">
        <v>10</v>
      </c>
      <c r="F4653" s="20">
        <v>10</v>
      </c>
      <c r="G4653" s="19">
        <f t="shared" si="337"/>
        <v>172</v>
      </c>
      <c r="H4653" s="22">
        <f t="shared" si="340"/>
        <v>4652</v>
      </c>
      <c r="I4653" s="21">
        <f t="shared" ca="1" si="339"/>
        <v>0</v>
      </c>
      <c r="J4653" s="21" t="str">
        <f ca="1">IF(I4653=0,"",COUNTIF($I$2:I4653,"&gt;0"))</f>
        <v/>
      </c>
      <c r="K4653" s="21" t="str">
        <f t="shared" ca="1" si="336"/>
        <v/>
      </c>
    </row>
    <row r="4654" spans="1:11" s="18" customFormat="1" ht="14.25" x14ac:dyDescent="0.2">
      <c r="A4654" s="18" t="str">
        <f t="shared" si="338"/>
        <v>Eintrag 4653</v>
      </c>
      <c r="B4654" s="18">
        <v>100</v>
      </c>
      <c r="C4654" s="19">
        <v>100</v>
      </c>
      <c r="D4654" s="20">
        <v>10</v>
      </c>
      <c r="E4654" s="20">
        <v>10</v>
      </c>
      <c r="F4654" s="20">
        <v>10</v>
      </c>
      <c r="G4654" s="19">
        <f t="shared" si="337"/>
        <v>172</v>
      </c>
      <c r="H4654" s="22">
        <f t="shared" si="340"/>
        <v>4653</v>
      </c>
      <c r="I4654" s="21">
        <f t="shared" ca="1" si="339"/>
        <v>0</v>
      </c>
      <c r="J4654" s="21" t="str">
        <f ca="1">IF(I4654=0,"",COUNTIF($I$2:I4654,"&gt;0"))</f>
        <v/>
      </c>
      <c r="K4654" s="21" t="str">
        <f t="shared" ca="1" si="336"/>
        <v/>
      </c>
    </row>
    <row r="4655" spans="1:11" s="18" customFormat="1" ht="14.25" x14ac:dyDescent="0.2">
      <c r="A4655" s="18" t="str">
        <f t="shared" si="338"/>
        <v>Eintrag 4654</v>
      </c>
      <c r="B4655" s="18">
        <v>100</v>
      </c>
      <c r="C4655" s="19">
        <v>100</v>
      </c>
      <c r="D4655" s="20">
        <v>10</v>
      </c>
      <c r="E4655" s="20">
        <v>10</v>
      </c>
      <c r="F4655" s="20">
        <v>10</v>
      </c>
      <c r="G4655" s="19">
        <f t="shared" si="337"/>
        <v>172</v>
      </c>
      <c r="H4655" s="22">
        <f t="shared" si="340"/>
        <v>4654</v>
      </c>
      <c r="I4655" s="21">
        <f t="shared" ca="1" si="339"/>
        <v>0</v>
      </c>
      <c r="J4655" s="21" t="str">
        <f ca="1">IF(I4655=0,"",COUNTIF($I$2:I4655,"&gt;0"))</f>
        <v/>
      </c>
      <c r="K4655" s="21" t="str">
        <f t="shared" ca="1" si="336"/>
        <v/>
      </c>
    </row>
    <row r="4656" spans="1:11" s="18" customFormat="1" ht="14.25" x14ac:dyDescent="0.2">
      <c r="A4656" s="18" t="str">
        <f t="shared" si="338"/>
        <v>Eintrag 4655</v>
      </c>
      <c r="B4656" s="18">
        <v>100</v>
      </c>
      <c r="C4656" s="19">
        <v>100</v>
      </c>
      <c r="D4656" s="20">
        <v>10</v>
      </c>
      <c r="E4656" s="20">
        <v>10</v>
      </c>
      <c r="F4656" s="20">
        <v>10</v>
      </c>
      <c r="G4656" s="19">
        <f t="shared" si="337"/>
        <v>172</v>
      </c>
      <c r="H4656" s="22">
        <f t="shared" si="340"/>
        <v>4655</v>
      </c>
      <c r="I4656" s="21">
        <f t="shared" ca="1" si="339"/>
        <v>0</v>
      </c>
      <c r="J4656" s="21" t="str">
        <f ca="1">IF(I4656=0,"",COUNTIF($I$2:I4656,"&gt;0"))</f>
        <v/>
      </c>
      <c r="K4656" s="21" t="str">
        <f t="shared" ca="1" si="336"/>
        <v/>
      </c>
    </row>
    <row r="4657" spans="1:11" s="18" customFormat="1" ht="14.25" x14ac:dyDescent="0.2">
      <c r="A4657" s="18" t="str">
        <f t="shared" si="338"/>
        <v>Eintrag 4656</v>
      </c>
      <c r="B4657" s="18">
        <v>100</v>
      </c>
      <c r="C4657" s="19">
        <v>100</v>
      </c>
      <c r="D4657" s="20">
        <v>10</v>
      </c>
      <c r="E4657" s="20">
        <v>10</v>
      </c>
      <c r="F4657" s="20">
        <v>10</v>
      </c>
      <c r="G4657" s="19">
        <f t="shared" si="337"/>
        <v>172</v>
      </c>
      <c r="H4657" s="22">
        <f t="shared" si="340"/>
        <v>4656</v>
      </c>
      <c r="I4657" s="21">
        <f t="shared" ca="1" si="339"/>
        <v>0</v>
      </c>
      <c r="J4657" s="21" t="str">
        <f ca="1">IF(I4657=0,"",COUNTIF($I$2:I4657,"&gt;0"))</f>
        <v/>
      </c>
      <c r="K4657" s="21" t="str">
        <f t="shared" ca="1" si="336"/>
        <v/>
      </c>
    </row>
    <row r="4658" spans="1:11" s="18" customFormat="1" ht="14.25" x14ac:dyDescent="0.2">
      <c r="A4658" s="18" t="str">
        <f t="shared" si="338"/>
        <v>Eintrag 4657</v>
      </c>
      <c r="B4658" s="18">
        <v>100</v>
      </c>
      <c r="C4658" s="19">
        <v>100</v>
      </c>
      <c r="D4658" s="20">
        <v>10</v>
      </c>
      <c r="E4658" s="20">
        <v>10</v>
      </c>
      <c r="F4658" s="20">
        <v>10</v>
      </c>
      <c r="G4658" s="19">
        <f t="shared" si="337"/>
        <v>172</v>
      </c>
      <c r="H4658" s="22">
        <f t="shared" si="340"/>
        <v>4657</v>
      </c>
      <c r="I4658" s="21">
        <f t="shared" ca="1" si="339"/>
        <v>0</v>
      </c>
      <c r="J4658" s="21" t="str">
        <f ca="1">IF(I4658=0,"",COUNTIF($I$2:I4658,"&gt;0"))</f>
        <v/>
      </c>
      <c r="K4658" s="21" t="str">
        <f t="shared" ca="1" si="336"/>
        <v/>
      </c>
    </row>
    <row r="4659" spans="1:11" s="18" customFormat="1" ht="14.25" x14ac:dyDescent="0.2">
      <c r="A4659" s="18" t="str">
        <f t="shared" si="338"/>
        <v>Eintrag 4658</v>
      </c>
      <c r="B4659" s="18">
        <v>100</v>
      </c>
      <c r="C4659" s="19">
        <v>100</v>
      </c>
      <c r="D4659" s="20">
        <v>10</v>
      </c>
      <c r="E4659" s="20">
        <v>10</v>
      </c>
      <c r="F4659" s="20">
        <v>10</v>
      </c>
      <c r="G4659" s="19">
        <f t="shared" si="337"/>
        <v>172</v>
      </c>
      <c r="H4659" s="22">
        <f t="shared" si="340"/>
        <v>4658</v>
      </c>
      <c r="I4659" s="21">
        <f t="shared" ca="1" si="339"/>
        <v>0</v>
      </c>
      <c r="J4659" s="21" t="str">
        <f ca="1">IF(I4659=0,"",COUNTIF($I$2:I4659,"&gt;0"))</f>
        <v/>
      </c>
      <c r="K4659" s="21" t="str">
        <f t="shared" ca="1" si="336"/>
        <v/>
      </c>
    </row>
    <row r="4660" spans="1:11" s="18" customFormat="1" ht="14.25" x14ac:dyDescent="0.2">
      <c r="A4660" s="18" t="str">
        <f t="shared" si="338"/>
        <v>Eintrag 4659</v>
      </c>
      <c r="B4660" s="18">
        <v>100</v>
      </c>
      <c r="C4660" s="19">
        <v>100</v>
      </c>
      <c r="D4660" s="20">
        <v>10</v>
      </c>
      <c r="E4660" s="20">
        <v>10</v>
      </c>
      <c r="F4660" s="20">
        <v>10</v>
      </c>
      <c r="G4660" s="19">
        <f t="shared" si="337"/>
        <v>172</v>
      </c>
      <c r="H4660" s="22">
        <f t="shared" si="340"/>
        <v>4659</v>
      </c>
      <c r="I4660" s="21">
        <f t="shared" ca="1" si="339"/>
        <v>0</v>
      </c>
      <c r="J4660" s="21" t="str">
        <f ca="1">IF(I4660=0,"",COUNTIF($I$2:I4660,"&gt;0"))</f>
        <v/>
      </c>
      <c r="K4660" s="21" t="str">
        <f t="shared" ca="1" si="336"/>
        <v/>
      </c>
    </row>
    <row r="4661" spans="1:11" s="18" customFormat="1" ht="14.25" x14ac:dyDescent="0.2">
      <c r="A4661" s="18" t="str">
        <f t="shared" si="338"/>
        <v>Eintrag 4660</v>
      </c>
      <c r="B4661" s="18">
        <v>100</v>
      </c>
      <c r="C4661" s="19">
        <v>100</v>
      </c>
      <c r="D4661" s="20">
        <v>10</v>
      </c>
      <c r="E4661" s="20">
        <v>10</v>
      </c>
      <c r="F4661" s="20">
        <v>10</v>
      </c>
      <c r="G4661" s="19">
        <f t="shared" si="337"/>
        <v>172</v>
      </c>
      <c r="H4661" s="22">
        <f t="shared" si="340"/>
        <v>4660</v>
      </c>
      <c r="I4661" s="21">
        <f t="shared" ca="1" si="339"/>
        <v>0</v>
      </c>
      <c r="J4661" s="21" t="str">
        <f ca="1">IF(I4661=0,"",COUNTIF($I$2:I4661,"&gt;0"))</f>
        <v/>
      </c>
      <c r="K4661" s="21" t="str">
        <f t="shared" ca="1" si="336"/>
        <v/>
      </c>
    </row>
    <row r="4662" spans="1:11" s="18" customFormat="1" ht="14.25" x14ac:dyDescent="0.2">
      <c r="A4662" s="18" t="str">
        <f t="shared" si="338"/>
        <v>Eintrag 4661</v>
      </c>
      <c r="B4662" s="18">
        <v>100</v>
      </c>
      <c r="C4662" s="19">
        <v>100</v>
      </c>
      <c r="D4662" s="20">
        <v>10</v>
      </c>
      <c r="E4662" s="20">
        <v>10</v>
      </c>
      <c r="F4662" s="20">
        <v>10</v>
      </c>
      <c r="G4662" s="19">
        <f t="shared" si="337"/>
        <v>172</v>
      </c>
      <c r="H4662" s="22">
        <f t="shared" si="340"/>
        <v>4661</v>
      </c>
      <c r="I4662" s="21">
        <f t="shared" ca="1" si="339"/>
        <v>0</v>
      </c>
      <c r="J4662" s="21" t="str">
        <f ca="1">IF(I4662=0,"",COUNTIF($I$2:I4662,"&gt;0"))</f>
        <v/>
      </c>
      <c r="K4662" s="21" t="str">
        <f t="shared" ca="1" si="336"/>
        <v/>
      </c>
    </row>
    <row r="4663" spans="1:11" s="18" customFormat="1" ht="14.25" x14ac:dyDescent="0.2">
      <c r="A4663" s="18" t="str">
        <f t="shared" si="338"/>
        <v>Eintrag 4662</v>
      </c>
      <c r="B4663" s="18">
        <v>100</v>
      </c>
      <c r="C4663" s="19">
        <v>100</v>
      </c>
      <c r="D4663" s="20">
        <v>10</v>
      </c>
      <c r="E4663" s="20">
        <v>10</v>
      </c>
      <c r="F4663" s="20">
        <v>10</v>
      </c>
      <c r="G4663" s="19">
        <f t="shared" si="337"/>
        <v>172</v>
      </c>
      <c r="H4663" s="22">
        <f t="shared" si="340"/>
        <v>4662</v>
      </c>
      <c r="I4663" s="21">
        <f t="shared" ca="1" si="339"/>
        <v>0</v>
      </c>
      <c r="J4663" s="21" t="str">
        <f ca="1">IF(I4663=0,"",COUNTIF($I$2:I4663,"&gt;0"))</f>
        <v/>
      </c>
      <c r="K4663" s="21" t="str">
        <f t="shared" ca="1" si="336"/>
        <v/>
      </c>
    </row>
    <row r="4664" spans="1:11" s="18" customFormat="1" ht="14.25" x14ac:dyDescent="0.2">
      <c r="A4664" s="18" t="str">
        <f t="shared" si="338"/>
        <v>Eintrag 4663</v>
      </c>
      <c r="B4664" s="18">
        <v>100</v>
      </c>
      <c r="C4664" s="19">
        <v>100</v>
      </c>
      <c r="D4664" s="20">
        <v>10</v>
      </c>
      <c r="E4664" s="20">
        <v>10</v>
      </c>
      <c r="F4664" s="20">
        <v>10</v>
      </c>
      <c r="G4664" s="19">
        <f t="shared" si="337"/>
        <v>172</v>
      </c>
      <c r="H4664" s="22">
        <f t="shared" si="340"/>
        <v>4663</v>
      </c>
      <c r="I4664" s="21">
        <f t="shared" ca="1" si="339"/>
        <v>0</v>
      </c>
      <c r="J4664" s="21" t="str">
        <f ca="1">IF(I4664=0,"",COUNTIF($I$2:I4664,"&gt;0"))</f>
        <v/>
      </c>
      <c r="K4664" s="21" t="str">
        <f t="shared" ca="1" si="336"/>
        <v/>
      </c>
    </row>
    <row r="4665" spans="1:11" s="18" customFormat="1" ht="14.25" x14ac:dyDescent="0.2">
      <c r="A4665" s="18" t="str">
        <f t="shared" si="338"/>
        <v>Eintrag 4664</v>
      </c>
      <c r="B4665" s="18">
        <v>100</v>
      </c>
      <c r="C4665" s="19">
        <v>100</v>
      </c>
      <c r="D4665" s="20">
        <v>10</v>
      </c>
      <c r="E4665" s="20">
        <v>10</v>
      </c>
      <c r="F4665" s="20">
        <v>10</v>
      </c>
      <c r="G4665" s="19">
        <f t="shared" si="337"/>
        <v>172</v>
      </c>
      <c r="H4665" s="22">
        <f t="shared" si="340"/>
        <v>4664</v>
      </c>
      <c r="I4665" s="21">
        <f t="shared" ca="1" si="339"/>
        <v>0</v>
      </c>
      <c r="J4665" s="21" t="str">
        <f ca="1">IF(I4665=0,"",COUNTIF($I$2:I4665,"&gt;0"))</f>
        <v/>
      </c>
      <c r="K4665" s="21" t="str">
        <f t="shared" ca="1" si="336"/>
        <v/>
      </c>
    </row>
    <row r="4666" spans="1:11" s="18" customFormat="1" ht="14.25" x14ac:dyDescent="0.2">
      <c r="A4666" s="18" t="str">
        <f t="shared" si="338"/>
        <v>Eintrag 4665</v>
      </c>
      <c r="B4666" s="18">
        <v>100</v>
      </c>
      <c r="C4666" s="19">
        <v>100</v>
      </c>
      <c r="D4666" s="20">
        <v>10</v>
      </c>
      <c r="E4666" s="20">
        <v>10</v>
      </c>
      <c r="F4666" s="20">
        <v>10</v>
      </c>
      <c r="G4666" s="19">
        <f t="shared" si="337"/>
        <v>172</v>
      </c>
      <c r="H4666" s="22">
        <f t="shared" si="340"/>
        <v>4665</v>
      </c>
      <c r="I4666" s="21">
        <f t="shared" ca="1" si="339"/>
        <v>0</v>
      </c>
      <c r="J4666" s="21" t="str">
        <f ca="1">IF(I4666=0,"",COUNTIF($I$2:I4666,"&gt;0"))</f>
        <v/>
      </c>
      <c r="K4666" s="21" t="str">
        <f t="shared" ca="1" si="336"/>
        <v/>
      </c>
    </row>
    <row r="4667" spans="1:11" s="18" customFormat="1" ht="14.25" x14ac:dyDescent="0.2">
      <c r="A4667" s="18" t="str">
        <f t="shared" si="338"/>
        <v>Eintrag 4666</v>
      </c>
      <c r="B4667" s="18">
        <v>100</v>
      </c>
      <c r="C4667" s="19">
        <v>100</v>
      </c>
      <c r="D4667" s="20">
        <v>10</v>
      </c>
      <c r="E4667" s="20">
        <v>10</v>
      </c>
      <c r="F4667" s="20">
        <v>10</v>
      </c>
      <c r="G4667" s="19">
        <f t="shared" si="337"/>
        <v>172</v>
      </c>
      <c r="H4667" s="22">
        <f t="shared" si="340"/>
        <v>4666</v>
      </c>
      <c r="I4667" s="21">
        <f t="shared" ca="1" si="339"/>
        <v>0</v>
      </c>
      <c r="J4667" s="21" t="str">
        <f ca="1">IF(I4667=0,"",COUNTIF($I$2:I4667,"&gt;0"))</f>
        <v/>
      </c>
      <c r="K4667" s="21" t="str">
        <f t="shared" ca="1" si="336"/>
        <v/>
      </c>
    </row>
    <row r="4668" spans="1:11" s="18" customFormat="1" ht="14.25" x14ac:dyDescent="0.2">
      <c r="A4668" s="18" t="str">
        <f t="shared" si="338"/>
        <v>Eintrag 4667</v>
      </c>
      <c r="B4668" s="18">
        <v>100</v>
      </c>
      <c r="C4668" s="19">
        <v>100</v>
      </c>
      <c r="D4668" s="20">
        <v>10</v>
      </c>
      <c r="E4668" s="20">
        <v>10</v>
      </c>
      <c r="F4668" s="20">
        <v>10</v>
      </c>
      <c r="G4668" s="19">
        <f t="shared" si="337"/>
        <v>172</v>
      </c>
      <c r="H4668" s="22">
        <f t="shared" si="340"/>
        <v>4667</v>
      </c>
      <c r="I4668" s="21">
        <f t="shared" ca="1" si="339"/>
        <v>0</v>
      </c>
      <c r="J4668" s="21" t="str">
        <f ca="1">IF(I4668=0,"",COUNTIF($I$2:I4668,"&gt;0"))</f>
        <v/>
      </c>
      <c r="K4668" s="21" t="str">
        <f t="shared" ca="1" si="336"/>
        <v/>
      </c>
    </row>
    <row r="4669" spans="1:11" s="18" customFormat="1" ht="14.25" x14ac:dyDescent="0.2">
      <c r="A4669" s="18" t="str">
        <f t="shared" si="338"/>
        <v>Eintrag 4668</v>
      </c>
      <c r="B4669" s="18">
        <v>100</v>
      </c>
      <c r="C4669" s="19">
        <v>100</v>
      </c>
      <c r="D4669" s="20">
        <v>10</v>
      </c>
      <c r="E4669" s="20">
        <v>10</v>
      </c>
      <c r="F4669" s="20">
        <v>10</v>
      </c>
      <c r="G4669" s="19">
        <f t="shared" si="337"/>
        <v>172</v>
      </c>
      <c r="H4669" s="22">
        <f t="shared" si="340"/>
        <v>4668</v>
      </c>
      <c r="I4669" s="21">
        <f t="shared" ca="1" si="339"/>
        <v>0</v>
      </c>
      <c r="J4669" s="21" t="str">
        <f ca="1">IF(I4669=0,"",COUNTIF($I$2:I4669,"&gt;0"))</f>
        <v/>
      </c>
      <c r="K4669" s="21" t="str">
        <f t="shared" ca="1" si="336"/>
        <v/>
      </c>
    </row>
    <row r="4670" spans="1:11" s="18" customFormat="1" ht="14.25" x14ac:dyDescent="0.2">
      <c r="A4670" s="18" t="str">
        <f t="shared" si="338"/>
        <v>Eintrag 4669</v>
      </c>
      <c r="B4670" s="18">
        <v>100</v>
      </c>
      <c r="C4670" s="19">
        <v>100</v>
      </c>
      <c r="D4670" s="20">
        <v>10</v>
      </c>
      <c r="E4670" s="20">
        <v>10</v>
      </c>
      <c r="F4670" s="20">
        <v>10</v>
      </c>
      <c r="G4670" s="19">
        <f t="shared" si="337"/>
        <v>172</v>
      </c>
      <c r="H4670" s="22">
        <f t="shared" si="340"/>
        <v>4669</v>
      </c>
      <c r="I4670" s="21">
        <f t="shared" ca="1" si="339"/>
        <v>0</v>
      </c>
      <c r="J4670" s="21" t="str">
        <f ca="1">IF(I4670=0,"",COUNTIF($I$2:I4670,"&gt;0"))</f>
        <v/>
      </c>
      <c r="K4670" s="21" t="str">
        <f t="shared" ca="1" si="336"/>
        <v/>
      </c>
    </row>
    <row r="4671" spans="1:11" s="18" customFormat="1" ht="14.25" x14ac:dyDescent="0.2">
      <c r="A4671" s="18" t="str">
        <f t="shared" si="338"/>
        <v>Eintrag 4670</v>
      </c>
      <c r="B4671" s="18">
        <v>100</v>
      </c>
      <c r="C4671" s="19">
        <v>100</v>
      </c>
      <c r="D4671" s="20">
        <v>10</v>
      </c>
      <c r="E4671" s="20">
        <v>10</v>
      </c>
      <c r="F4671" s="20">
        <v>10</v>
      </c>
      <c r="G4671" s="19">
        <f t="shared" si="337"/>
        <v>172</v>
      </c>
      <c r="H4671" s="22">
        <f t="shared" si="340"/>
        <v>4670</v>
      </c>
      <c r="I4671" s="21">
        <f t="shared" ca="1" si="339"/>
        <v>0</v>
      </c>
      <c r="J4671" s="21" t="str">
        <f ca="1">IF(I4671=0,"",COUNTIF($I$2:I4671,"&gt;0"))</f>
        <v/>
      </c>
      <c r="K4671" s="21" t="str">
        <f t="shared" ca="1" si="336"/>
        <v/>
      </c>
    </row>
    <row r="4672" spans="1:11" s="18" customFormat="1" ht="14.25" x14ac:dyDescent="0.2">
      <c r="A4672" s="18" t="str">
        <f t="shared" si="338"/>
        <v>Eintrag 4671</v>
      </c>
      <c r="B4672" s="18">
        <v>100</v>
      </c>
      <c r="C4672" s="19">
        <v>100</v>
      </c>
      <c r="D4672" s="20">
        <v>10</v>
      </c>
      <c r="E4672" s="20">
        <v>10</v>
      </c>
      <c r="F4672" s="20">
        <v>10</v>
      </c>
      <c r="G4672" s="19">
        <f t="shared" si="337"/>
        <v>172</v>
      </c>
      <c r="H4672" s="22">
        <f t="shared" si="340"/>
        <v>4671</v>
      </c>
      <c r="I4672" s="21">
        <f t="shared" ca="1" si="339"/>
        <v>0</v>
      </c>
      <c r="J4672" s="21" t="str">
        <f ca="1">IF(I4672=0,"",COUNTIF($I$2:I4672,"&gt;0"))</f>
        <v/>
      </c>
      <c r="K4672" s="21" t="str">
        <f t="shared" ca="1" si="336"/>
        <v/>
      </c>
    </row>
    <row r="4673" spans="1:11" s="18" customFormat="1" ht="14.25" x14ac:dyDescent="0.2">
      <c r="A4673" s="18" t="str">
        <f t="shared" si="338"/>
        <v>Eintrag 4672</v>
      </c>
      <c r="B4673" s="18">
        <v>100</v>
      </c>
      <c r="C4673" s="19">
        <v>100</v>
      </c>
      <c r="D4673" s="20">
        <v>10</v>
      </c>
      <c r="E4673" s="20">
        <v>10</v>
      </c>
      <c r="F4673" s="20">
        <v>10</v>
      </c>
      <c r="G4673" s="19">
        <f t="shared" si="337"/>
        <v>172</v>
      </c>
      <c r="H4673" s="22">
        <f t="shared" si="340"/>
        <v>4672</v>
      </c>
      <c r="I4673" s="21">
        <f t="shared" ca="1" si="339"/>
        <v>0</v>
      </c>
      <c r="J4673" s="21" t="str">
        <f ca="1">IF(I4673=0,"",COUNTIF($I$2:I4673,"&gt;0"))</f>
        <v/>
      </c>
      <c r="K4673" s="21" t="str">
        <f t="shared" ca="1" si="336"/>
        <v/>
      </c>
    </row>
    <row r="4674" spans="1:11" s="18" customFormat="1" ht="14.25" x14ac:dyDescent="0.2">
      <c r="A4674" s="18" t="str">
        <f t="shared" si="338"/>
        <v>Eintrag 4673</v>
      </c>
      <c r="B4674" s="18">
        <v>100</v>
      </c>
      <c r="C4674" s="19">
        <v>100</v>
      </c>
      <c r="D4674" s="20">
        <v>10</v>
      </c>
      <c r="E4674" s="20">
        <v>10</v>
      </c>
      <c r="F4674" s="20">
        <v>10</v>
      </c>
      <c r="G4674" s="19">
        <f t="shared" si="337"/>
        <v>172</v>
      </c>
      <c r="H4674" s="22">
        <f t="shared" si="340"/>
        <v>4673</v>
      </c>
      <c r="I4674" s="21">
        <f t="shared" ca="1" si="339"/>
        <v>0</v>
      </c>
      <c r="J4674" s="21" t="str">
        <f ca="1">IF(I4674=0,"",COUNTIF($I$2:I4674,"&gt;0"))</f>
        <v/>
      </c>
      <c r="K4674" s="21" t="str">
        <f t="shared" ref="K4674:K4737" ca="1" si="341">IFERROR(INDEX(A:A,MATCH(ROW(I4673),J:J,0)),"")</f>
        <v/>
      </c>
    </row>
    <row r="4675" spans="1:11" s="18" customFormat="1" ht="14.25" x14ac:dyDescent="0.2">
      <c r="A4675" s="18" t="str">
        <f t="shared" si="338"/>
        <v>Eintrag 4674</v>
      </c>
      <c r="B4675" s="18">
        <v>100</v>
      </c>
      <c r="C4675" s="19">
        <v>100</v>
      </c>
      <c r="D4675" s="20">
        <v>10</v>
      </c>
      <c r="E4675" s="20">
        <v>10</v>
      </c>
      <c r="F4675" s="20">
        <v>10</v>
      </c>
      <c r="G4675" s="19">
        <f t="shared" ref="G4675:G4738" si="342">D4675*9+E4675*4.1+F4675*4.1</f>
        <v>172</v>
      </c>
      <c r="H4675" s="22">
        <f t="shared" si="340"/>
        <v>4674</v>
      </c>
      <c r="I4675" s="21">
        <f t="shared" ca="1" si="339"/>
        <v>0</v>
      </c>
      <c r="J4675" s="21" t="str">
        <f ca="1">IF(I4675=0,"",COUNTIF($I$2:I4675,"&gt;0"))</f>
        <v/>
      </c>
      <c r="K4675" s="21" t="str">
        <f t="shared" ca="1" si="341"/>
        <v/>
      </c>
    </row>
    <row r="4676" spans="1:11" s="18" customFormat="1" ht="14.25" x14ac:dyDescent="0.2">
      <c r="A4676" s="18" t="str">
        <f t="shared" si="338"/>
        <v>Eintrag 4675</v>
      </c>
      <c r="B4676" s="18">
        <v>100</v>
      </c>
      <c r="C4676" s="19">
        <v>100</v>
      </c>
      <c r="D4676" s="20">
        <v>10</v>
      </c>
      <c r="E4676" s="20">
        <v>10</v>
      </c>
      <c r="F4676" s="20">
        <v>10</v>
      </c>
      <c r="G4676" s="19">
        <f t="shared" si="342"/>
        <v>172</v>
      </c>
      <c r="H4676" s="22">
        <f t="shared" si="340"/>
        <v>4675</v>
      </c>
      <c r="I4676" s="21">
        <f t="shared" ca="1" si="339"/>
        <v>0</v>
      </c>
      <c r="J4676" s="21" t="str">
        <f ca="1">IF(I4676=0,"",COUNTIF($I$2:I4676,"&gt;0"))</f>
        <v/>
      </c>
      <c r="K4676" s="21" t="str">
        <f t="shared" ca="1" si="341"/>
        <v/>
      </c>
    </row>
    <row r="4677" spans="1:11" s="18" customFormat="1" ht="14.25" x14ac:dyDescent="0.2">
      <c r="A4677" s="18" t="str">
        <f t="shared" si="338"/>
        <v>Eintrag 4676</v>
      </c>
      <c r="B4677" s="18">
        <v>100</v>
      </c>
      <c r="C4677" s="19">
        <v>100</v>
      </c>
      <c r="D4677" s="20">
        <v>10</v>
      </c>
      <c r="E4677" s="20">
        <v>10</v>
      </c>
      <c r="F4677" s="20">
        <v>10</v>
      </c>
      <c r="G4677" s="19">
        <f t="shared" si="342"/>
        <v>172</v>
      </c>
      <c r="H4677" s="22">
        <f t="shared" si="340"/>
        <v>4676</v>
      </c>
      <c r="I4677" s="21">
        <f t="shared" ca="1" si="339"/>
        <v>0</v>
      </c>
      <c r="J4677" s="21" t="str">
        <f ca="1">IF(I4677=0,"",COUNTIF($I$2:I4677,"&gt;0"))</f>
        <v/>
      </c>
      <c r="K4677" s="21" t="str">
        <f t="shared" ca="1" si="341"/>
        <v/>
      </c>
    </row>
    <row r="4678" spans="1:11" s="18" customFormat="1" ht="14.25" x14ac:dyDescent="0.2">
      <c r="A4678" s="18" t="str">
        <f t="shared" si="338"/>
        <v>Eintrag 4677</v>
      </c>
      <c r="B4678" s="18">
        <v>100</v>
      </c>
      <c r="C4678" s="19">
        <v>100</v>
      </c>
      <c r="D4678" s="20">
        <v>10</v>
      </c>
      <c r="E4678" s="20">
        <v>10</v>
      </c>
      <c r="F4678" s="20">
        <v>10</v>
      </c>
      <c r="G4678" s="19">
        <f t="shared" si="342"/>
        <v>172</v>
      </c>
      <c r="H4678" s="22">
        <f t="shared" si="340"/>
        <v>4677</v>
      </c>
      <c r="I4678" s="21">
        <f t="shared" ca="1" si="339"/>
        <v>0</v>
      </c>
      <c r="J4678" s="21" t="str">
        <f ca="1">IF(I4678=0,"",COUNTIF($I$2:I4678,"&gt;0"))</f>
        <v/>
      </c>
      <c r="K4678" s="21" t="str">
        <f t="shared" ca="1" si="341"/>
        <v/>
      </c>
    </row>
    <row r="4679" spans="1:11" s="18" customFormat="1" ht="14.25" x14ac:dyDescent="0.2">
      <c r="A4679" s="18" t="str">
        <f t="shared" si="338"/>
        <v>Eintrag 4678</v>
      </c>
      <c r="B4679" s="18">
        <v>100</v>
      </c>
      <c r="C4679" s="19">
        <v>100</v>
      </c>
      <c r="D4679" s="20">
        <v>10</v>
      </c>
      <c r="E4679" s="20">
        <v>10</v>
      </c>
      <c r="F4679" s="20">
        <v>10</v>
      </c>
      <c r="G4679" s="19">
        <f t="shared" si="342"/>
        <v>172</v>
      </c>
      <c r="H4679" s="22">
        <f t="shared" si="340"/>
        <v>4678</v>
      </c>
      <c r="I4679" s="21">
        <f t="shared" ca="1" si="339"/>
        <v>0</v>
      </c>
      <c r="J4679" s="21" t="str">
        <f ca="1">IF(I4679=0,"",COUNTIF($I$2:I4679,"&gt;0"))</f>
        <v/>
      </c>
      <c r="K4679" s="21" t="str">
        <f t="shared" ca="1" si="341"/>
        <v/>
      </c>
    </row>
    <row r="4680" spans="1:11" s="18" customFormat="1" ht="14.25" x14ac:dyDescent="0.2">
      <c r="A4680" s="18" t="str">
        <f t="shared" si="338"/>
        <v>Eintrag 4679</v>
      </c>
      <c r="B4680" s="18">
        <v>100</v>
      </c>
      <c r="C4680" s="19">
        <v>100</v>
      </c>
      <c r="D4680" s="20">
        <v>10</v>
      </c>
      <c r="E4680" s="20">
        <v>10</v>
      </c>
      <c r="F4680" s="20">
        <v>10</v>
      </c>
      <c r="G4680" s="19">
        <f t="shared" si="342"/>
        <v>172</v>
      </c>
      <c r="H4680" s="22">
        <f t="shared" si="340"/>
        <v>4679</v>
      </c>
      <c r="I4680" s="21">
        <f t="shared" ca="1" si="339"/>
        <v>0</v>
      </c>
      <c r="J4680" s="21" t="str">
        <f ca="1">IF(I4680=0,"",COUNTIF($I$2:I4680,"&gt;0"))</f>
        <v/>
      </c>
      <c r="K4680" s="21" t="str">
        <f t="shared" ca="1" si="341"/>
        <v/>
      </c>
    </row>
    <row r="4681" spans="1:11" s="18" customFormat="1" ht="14.25" x14ac:dyDescent="0.2">
      <c r="A4681" s="18" t="str">
        <f t="shared" si="338"/>
        <v>Eintrag 4680</v>
      </c>
      <c r="B4681" s="18">
        <v>100</v>
      </c>
      <c r="C4681" s="19">
        <v>100</v>
      </c>
      <c r="D4681" s="20">
        <v>10</v>
      </c>
      <c r="E4681" s="20">
        <v>10</v>
      </c>
      <c r="F4681" s="20">
        <v>10</v>
      </c>
      <c r="G4681" s="19">
        <f t="shared" si="342"/>
        <v>172</v>
      </c>
      <c r="H4681" s="22">
        <f t="shared" si="340"/>
        <v>4680</v>
      </c>
      <c r="I4681" s="21">
        <f t="shared" ca="1" si="339"/>
        <v>0</v>
      </c>
      <c r="J4681" s="21" t="str">
        <f ca="1">IF(I4681=0,"",COUNTIF($I$2:I4681,"&gt;0"))</f>
        <v/>
      </c>
      <c r="K4681" s="21" t="str">
        <f t="shared" ca="1" si="341"/>
        <v/>
      </c>
    </row>
    <row r="4682" spans="1:11" s="18" customFormat="1" ht="14.25" x14ac:dyDescent="0.2">
      <c r="A4682" s="18" t="str">
        <f t="shared" si="338"/>
        <v>Eintrag 4681</v>
      </c>
      <c r="B4682" s="18">
        <v>100</v>
      </c>
      <c r="C4682" s="19">
        <v>100</v>
      </c>
      <c r="D4682" s="20">
        <v>10</v>
      </c>
      <c r="E4682" s="20">
        <v>10</v>
      </c>
      <c r="F4682" s="20">
        <v>10</v>
      </c>
      <c r="G4682" s="19">
        <f t="shared" si="342"/>
        <v>172</v>
      </c>
      <c r="H4682" s="22">
        <f t="shared" si="340"/>
        <v>4681</v>
      </c>
      <c r="I4682" s="21">
        <f t="shared" ca="1" si="339"/>
        <v>0</v>
      </c>
      <c r="J4682" s="21" t="str">
        <f ca="1">IF(I4682=0,"",COUNTIF($I$2:I4682,"&gt;0"))</f>
        <v/>
      </c>
      <c r="K4682" s="21" t="str">
        <f t="shared" ca="1" si="341"/>
        <v/>
      </c>
    </row>
    <row r="4683" spans="1:11" s="18" customFormat="1" ht="14.25" x14ac:dyDescent="0.2">
      <c r="A4683" s="18" t="str">
        <f t="shared" si="338"/>
        <v>Eintrag 4682</v>
      </c>
      <c r="B4683" s="18">
        <v>100</v>
      </c>
      <c r="C4683" s="19">
        <v>100</v>
      </c>
      <c r="D4683" s="20">
        <v>10</v>
      </c>
      <c r="E4683" s="20">
        <v>10</v>
      </c>
      <c r="F4683" s="20">
        <v>10</v>
      </c>
      <c r="G4683" s="19">
        <f t="shared" si="342"/>
        <v>172</v>
      </c>
      <c r="H4683" s="22">
        <f t="shared" si="340"/>
        <v>4682</v>
      </c>
      <c r="I4683" s="21">
        <f t="shared" ca="1" si="339"/>
        <v>0</v>
      </c>
      <c r="J4683" s="21" t="str">
        <f ca="1">IF(I4683=0,"",COUNTIF($I$2:I4683,"&gt;0"))</f>
        <v/>
      </c>
      <c r="K4683" s="21" t="str">
        <f t="shared" ca="1" si="341"/>
        <v/>
      </c>
    </row>
    <row r="4684" spans="1:11" s="18" customFormat="1" ht="14.25" x14ac:dyDescent="0.2">
      <c r="A4684" s="18" t="str">
        <f t="shared" si="338"/>
        <v>Eintrag 4683</v>
      </c>
      <c r="B4684" s="18">
        <v>100</v>
      </c>
      <c r="C4684" s="19">
        <v>100</v>
      </c>
      <c r="D4684" s="20">
        <v>10</v>
      </c>
      <c r="E4684" s="20">
        <v>10</v>
      </c>
      <c r="F4684" s="20">
        <v>10</v>
      </c>
      <c r="G4684" s="19">
        <f t="shared" si="342"/>
        <v>172</v>
      </c>
      <c r="H4684" s="22">
        <f t="shared" si="340"/>
        <v>4683</v>
      </c>
      <c r="I4684" s="21">
        <f t="shared" ca="1" si="339"/>
        <v>0</v>
      </c>
      <c r="J4684" s="21" t="str">
        <f ca="1">IF(I4684=0,"",COUNTIF($I$2:I4684,"&gt;0"))</f>
        <v/>
      </c>
      <c r="K4684" s="21" t="str">
        <f t="shared" ca="1" si="341"/>
        <v/>
      </c>
    </row>
    <row r="4685" spans="1:11" s="18" customFormat="1" ht="14.25" x14ac:dyDescent="0.2">
      <c r="A4685" s="18" t="str">
        <f t="shared" si="338"/>
        <v>Eintrag 4684</v>
      </c>
      <c r="B4685" s="18">
        <v>100</v>
      </c>
      <c r="C4685" s="19">
        <v>100</v>
      </c>
      <c r="D4685" s="20">
        <v>10</v>
      </c>
      <c r="E4685" s="20">
        <v>10</v>
      </c>
      <c r="F4685" s="20">
        <v>10</v>
      </c>
      <c r="G4685" s="19">
        <f t="shared" si="342"/>
        <v>172</v>
      </c>
      <c r="H4685" s="22">
        <f t="shared" si="340"/>
        <v>4684</v>
      </c>
      <c r="I4685" s="21">
        <f t="shared" ca="1" si="339"/>
        <v>0</v>
      </c>
      <c r="J4685" s="21" t="str">
        <f ca="1">IF(I4685=0,"",COUNTIF($I$2:I4685,"&gt;0"))</f>
        <v/>
      </c>
      <c r="K4685" s="21" t="str">
        <f t="shared" ca="1" si="341"/>
        <v/>
      </c>
    </row>
    <row r="4686" spans="1:11" s="18" customFormat="1" ht="14.25" x14ac:dyDescent="0.2">
      <c r="A4686" s="18" t="str">
        <f t="shared" si="338"/>
        <v>Eintrag 4685</v>
      </c>
      <c r="B4686" s="18">
        <v>100</v>
      </c>
      <c r="C4686" s="19">
        <v>100</v>
      </c>
      <c r="D4686" s="20">
        <v>10</v>
      </c>
      <c r="E4686" s="20">
        <v>10</v>
      </c>
      <c r="F4686" s="20">
        <v>10</v>
      </c>
      <c r="G4686" s="19">
        <f t="shared" si="342"/>
        <v>172</v>
      </c>
      <c r="H4686" s="22">
        <f t="shared" si="340"/>
        <v>4685</v>
      </c>
      <c r="I4686" s="21">
        <f t="shared" ca="1" si="339"/>
        <v>0</v>
      </c>
      <c r="J4686" s="21" t="str">
        <f ca="1">IF(I4686=0,"",COUNTIF($I$2:I4686,"&gt;0"))</f>
        <v/>
      </c>
      <c r="K4686" s="21" t="str">
        <f t="shared" ca="1" si="341"/>
        <v/>
      </c>
    </row>
    <row r="4687" spans="1:11" s="18" customFormat="1" ht="14.25" x14ac:dyDescent="0.2">
      <c r="A4687" s="18" t="str">
        <f t="shared" si="338"/>
        <v>Eintrag 4686</v>
      </c>
      <c r="B4687" s="18">
        <v>100</v>
      </c>
      <c r="C4687" s="19">
        <v>100</v>
      </c>
      <c r="D4687" s="20">
        <v>10</v>
      </c>
      <c r="E4687" s="20">
        <v>10</v>
      </c>
      <c r="F4687" s="20">
        <v>10</v>
      </c>
      <c r="G4687" s="19">
        <f t="shared" si="342"/>
        <v>172</v>
      </c>
      <c r="H4687" s="22">
        <f t="shared" si="340"/>
        <v>4686</v>
      </c>
      <c r="I4687" s="21">
        <f t="shared" ca="1" si="339"/>
        <v>0</v>
      </c>
      <c r="J4687" s="21" t="str">
        <f ca="1">IF(I4687=0,"",COUNTIF($I$2:I4687,"&gt;0"))</f>
        <v/>
      </c>
      <c r="K4687" s="21" t="str">
        <f t="shared" ca="1" si="341"/>
        <v/>
      </c>
    </row>
    <row r="4688" spans="1:11" s="18" customFormat="1" ht="14.25" x14ac:dyDescent="0.2">
      <c r="A4688" s="18" t="str">
        <f t="shared" si="338"/>
        <v>Eintrag 4687</v>
      </c>
      <c r="B4688" s="18">
        <v>100</v>
      </c>
      <c r="C4688" s="19">
        <v>100</v>
      </c>
      <c r="D4688" s="20">
        <v>10</v>
      </c>
      <c r="E4688" s="20">
        <v>10</v>
      </c>
      <c r="F4688" s="20">
        <v>10</v>
      </c>
      <c r="G4688" s="19">
        <f t="shared" si="342"/>
        <v>172</v>
      </c>
      <c r="H4688" s="22">
        <f t="shared" si="340"/>
        <v>4687</v>
      </c>
      <c r="I4688" s="21">
        <f t="shared" ca="1" si="339"/>
        <v>0</v>
      </c>
      <c r="J4688" s="21" t="str">
        <f ca="1">IF(I4688=0,"",COUNTIF($I$2:I4688,"&gt;0"))</f>
        <v/>
      </c>
      <c r="K4688" s="21" t="str">
        <f t="shared" ca="1" si="341"/>
        <v/>
      </c>
    </row>
    <row r="4689" spans="1:11" s="18" customFormat="1" ht="14.25" x14ac:dyDescent="0.2">
      <c r="A4689" s="18" t="str">
        <f t="shared" si="338"/>
        <v>Eintrag 4688</v>
      </c>
      <c r="B4689" s="18">
        <v>100</v>
      </c>
      <c r="C4689" s="19">
        <v>100</v>
      </c>
      <c r="D4689" s="20">
        <v>10</v>
      </c>
      <c r="E4689" s="20">
        <v>10</v>
      </c>
      <c r="F4689" s="20">
        <v>10</v>
      </c>
      <c r="G4689" s="19">
        <f t="shared" si="342"/>
        <v>172</v>
      </c>
      <c r="H4689" s="22">
        <f t="shared" si="340"/>
        <v>4688</v>
      </c>
      <c r="I4689" s="21">
        <f t="shared" ca="1" si="339"/>
        <v>0</v>
      </c>
      <c r="J4689" s="21" t="str">
        <f ca="1">IF(I4689=0,"",COUNTIF($I$2:I4689,"&gt;0"))</f>
        <v/>
      </c>
      <c r="K4689" s="21" t="str">
        <f t="shared" ca="1" si="341"/>
        <v/>
      </c>
    </row>
    <row r="4690" spans="1:11" s="18" customFormat="1" ht="14.25" x14ac:dyDescent="0.2">
      <c r="A4690" s="18" t="str">
        <f t="shared" si="338"/>
        <v>Eintrag 4689</v>
      </c>
      <c r="B4690" s="18">
        <v>100</v>
      </c>
      <c r="C4690" s="19">
        <v>100</v>
      </c>
      <c r="D4690" s="20">
        <v>10</v>
      </c>
      <c r="E4690" s="20">
        <v>10</v>
      </c>
      <c r="F4690" s="20">
        <v>10</v>
      </c>
      <c r="G4690" s="19">
        <f t="shared" si="342"/>
        <v>172</v>
      </c>
      <c r="H4690" s="22">
        <f t="shared" si="340"/>
        <v>4689</v>
      </c>
      <c r="I4690" s="21">
        <f t="shared" ca="1" si="339"/>
        <v>0</v>
      </c>
      <c r="J4690" s="21" t="str">
        <f ca="1">IF(I4690=0,"",COUNTIF($I$2:I4690,"&gt;0"))</f>
        <v/>
      </c>
      <c r="K4690" s="21" t="str">
        <f t="shared" ca="1" si="341"/>
        <v/>
      </c>
    </row>
    <row r="4691" spans="1:11" s="18" customFormat="1" ht="14.25" x14ac:dyDescent="0.2">
      <c r="A4691" s="18" t="str">
        <f t="shared" si="338"/>
        <v>Eintrag 4690</v>
      </c>
      <c r="B4691" s="18">
        <v>100</v>
      </c>
      <c r="C4691" s="19">
        <v>100</v>
      </c>
      <c r="D4691" s="20">
        <v>10</v>
      </c>
      <c r="E4691" s="20">
        <v>10</v>
      </c>
      <c r="F4691" s="20">
        <v>10</v>
      </c>
      <c r="G4691" s="19">
        <f t="shared" si="342"/>
        <v>172</v>
      </c>
      <c r="H4691" s="22">
        <f t="shared" si="340"/>
        <v>4690</v>
      </c>
      <c r="I4691" s="21">
        <f t="shared" ca="1" si="339"/>
        <v>0</v>
      </c>
      <c r="J4691" s="21" t="str">
        <f ca="1">IF(I4691=0,"",COUNTIF($I$2:I4691,"&gt;0"))</f>
        <v/>
      </c>
      <c r="K4691" s="21" t="str">
        <f t="shared" ca="1" si="341"/>
        <v/>
      </c>
    </row>
    <row r="4692" spans="1:11" s="18" customFormat="1" ht="14.25" x14ac:dyDescent="0.2">
      <c r="A4692" s="18" t="str">
        <f t="shared" si="338"/>
        <v>Eintrag 4691</v>
      </c>
      <c r="B4692" s="18">
        <v>100</v>
      </c>
      <c r="C4692" s="19">
        <v>100</v>
      </c>
      <c r="D4692" s="20">
        <v>10</v>
      </c>
      <c r="E4692" s="20">
        <v>10</v>
      </c>
      <c r="F4692" s="20">
        <v>10</v>
      </c>
      <c r="G4692" s="19">
        <f t="shared" si="342"/>
        <v>172</v>
      </c>
      <c r="H4692" s="22">
        <f t="shared" si="340"/>
        <v>4691</v>
      </c>
      <c r="I4692" s="21">
        <f t="shared" ca="1" si="339"/>
        <v>0</v>
      </c>
      <c r="J4692" s="21" t="str">
        <f ca="1">IF(I4692=0,"",COUNTIF($I$2:I4692,"&gt;0"))</f>
        <v/>
      </c>
      <c r="K4692" s="21" t="str">
        <f t="shared" ca="1" si="341"/>
        <v/>
      </c>
    </row>
    <row r="4693" spans="1:11" s="18" customFormat="1" ht="14.25" x14ac:dyDescent="0.2">
      <c r="A4693" s="18" t="str">
        <f t="shared" ref="A4693:A4756" si="343">CONCATENATE("Eintrag ",H4693)</f>
        <v>Eintrag 4692</v>
      </c>
      <c r="B4693" s="18">
        <v>100</v>
      </c>
      <c r="C4693" s="19">
        <v>100</v>
      </c>
      <c r="D4693" s="20">
        <v>10</v>
      </c>
      <c r="E4693" s="20">
        <v>10</v>
      </c>
      <c r="F4693" s="20">
        <v>10</v>
      </c>
      <c r="G4693" s="19">
        <f t="shared" si="342"/>
        <v>172</v>
      </c>
      <c r="H4693" s="22">
        <f t="shared" si="340"/>
        <v>4692</v>
      </c>
      <c r="I4693" s="21">
        <f t="shared" ca="1" si="339"/>
        <v>0</v>
      </c>
      <c r="J4693" s="21" t="str">
        <f ca="1">IF(I4693=0,"",COUNTIF($I$2:I4693,"&gt;0"))</f>
        <v/>
      </c>
      <c r="K4693" s="21" t="str">
        <f t="shared" ca="1" si="341"/>
        <v/>
      </c>
    </row>
    <row r="4694" spans="1:11" s="18" customFormat="1" ht="14.25" x14ac:dyDescent="0.2">
      <c r="A4694" s="18" t="str">
        <f t="shared" si="343"/>
        <v>Eintrag 4693</v>
      </c>
      <c r="B4694" s="18">
        <v>100</v>
      </c>
      <c r="C4694" s="19">
        <v>100</v>
      </c>
      <c r="D4694" s="20">
        <v>10</v>
      </c>
      <c r="E4694" s="20">
        <v>10</v>
      </c>
      <c r="F4694" s="20">
        <v>10</v>
      </c>
      <c r="G4694" s="19">
        <f t="shared" si="342"/>
        <v>172</v>
      </c>
      <c r="H4694" s="22">
        <f t="shared" si="340"/>
        <v>4693</v>
      </c>
      <c r="I4694" s="21">
        <f t="shared" ca="1" si="339"/>
        <v>0</v>
      </c>
      <c r="J4694" s="21" t="str">
        <f ca="1">IF(I4694=0,"",COUNTIF($I$2:I4694,"&gt;0"))</f>
        <v/>
      </c>
      <c r="K4694" s="21" t="str">
        <f t="shared" ca="1" si="341"/>
        <v/>
      </c>
    </row>
    <row r="4695" spans="1:11" s="18" customFormat="1" ht="14.25" x14ac:dyDescent="0.2">
      <c r="A4695" s="18" t="str">
        <f t="shared" si="343"/>
        <v>Eintrag 4694</v>
      </c>
      <c r="B4695" s="18">
        <v>100</v>
      </c>
      <c r="C4695" s="19">
        <v>100</v>
      </c>
      <c r="D4695" s="20">
        <v>10</v>
      </c>
      <c r="E4695" s="20">
        <v>10</v>
      </c>
      <c r="F4695" s="20">
        <v>10</v>
      </c>
      <c r="G4695" s="19">
        <f t="shared" si="342"/>
        <v>172</v>
      </c>
      <c r="H4695" s="22">
        <f t="shared" si="340"/>
        <v>4694</v>
      </c>
      <c r="I4695" s="21">
        <f t="shared" ca="1" si="339"/>
        <v>0</v>
      </c>
      <c r="J4695" s="21" t="str">
        <f ca="1">IF(I4695=0,"",COUNTIF($I$2:I4695,"&gt;0"))</f>
        <v/>
      </c>
      <c r="K4695" s="21" t="str">
        <f t="shared" ca="1" si="341"/>
        <v/>
      </c>
    </row>
    <row r="4696" spans="1:11" s="18" customFormat="1" ht="14.25" x14ac:dyDescent="0.2">
      <c r="A4696" s="18" t="str">
        <f t="shared" si="343"/>
        <v>Eintrag 4695</v>
      </c>
      <c r="B4696" s="18">
        <v>100</v>
      </c>
      <c r="C4696" s="19">
        <v>100</v>
      </c>
      <c r="D4696" s="20">
        <v>10</v>
      </c>
      <c r="E4696" s="20">
        <v>10</v>
      </c>
      <c r="F4696" s="20">
        <v>10</v>
      </c>
      <c r="G4696" s="19">
        <f t="shared" si="342"/>
        <v>172</v>
      </c>
      <c r="H4696" s="22">
        <f t="shared" si="340"/>
        <v>4695</v>
      </c>
      <c r="I4696" s="21">
        <f t="shared" ca="1" si="339"/>
        <v>0</v>
      </c>
      <c r="J4696" s="21" t="str">
        <f ca="1">IF(I4696=0,"",COUNTIF($I$2:I4696,"&gt;0"))</f>
        <v/>
      </c>
      <c r="K4696" s="21" t="str">
        <f t="shared" ca="1" si="341"/>
        <v/>
      </c>
    </row>
    <row r="4697" spans="1:11" s="18" customFormat="1" ht="14.25" x14ac:dyDescent="0.2">
      <c r="A4697" s="18" t="str">
        <f t="shared" si="343"/>
        <v>Eintrag 4696</v>
      </c>
      <c r="B4697" s="18">
        <v>100</v>
      </c>
      <c r="C4697" s="19">
        <v>100</v>
      </c>
      <c r="D4697" s="20">
        <v>10</v>
      </c>
      <c r="E4697" s="20">
        <v>10</v>
      </c>
      <c r="F4697" s="20">
        <v>10</v>
      </c>
      <c r="G4697" s="19">
        <f t="shared" si="342"/>
        <v>172</v>
      </c>
      <c r="H4697" s="22">
        <f t="shared" si="340"/>
        <v>4696</v>
      </c>
      <c r="I4697" s="21">
        <f t="shared" ca="1" si="339"/>
        <v>0</v>
      </c>
      <c r="J4697" s="21" t="str">
        <f ca="1">IF(I4697=0,"",COUNTIF($I$2:I4697,"&gt;0"))</f>
        <v/>
      </c>
      <c r="K4697" s="21" t="str">
        <f t="shared" ca="1" si="341"/>
        <v/>
      </c>
    </row>
    <row r="4698" spans="1:11" s="18" customFormat="1" ht="14.25" x14ac:dyDescent="0.2">
      <c r="A4698" s="18" t="str">
        <f t="shared" si="343"/>
        <v>Eintrag 4697</v>
      </c>
      <c r="B4698" s="18">
        <v>100</v>
      </c>
      <c r="C4698" s="19">
        <v>100</v>
      </c>
      <c r="D4698" s="20">
        <v>10</v>
      </c>
      <c r="E4698" s="20">
        <v>10</v>
      </c>
      <c r="F4698" s="20">
        <v>10</v>
      </c>
      <c r="G4698" s="19">
        <f t="shared" si="342"/>
        <v>172</v>
      </c>
      <c r="H4698" s="22">
        <f t="shared" si="340"/>
        <v>4697</v>
      </c>
      <c r="I4698" s="21">
        <f t="shared" ca="1" si="339"/>
        <v>0</v>
      </c>
      <c r="J4698" s="21" t="str">
        <f ca="1">IF(I4698=0,"",COUNTIF($I$2:I4698,"&gt;0"))</f>
        <v/>
      </c>
      <c r="K4698" s="21" t="str">
        <f t="shared" ca="1" si="341"/>
        <v/>
      </c>
    </row>
    <row r="4699" spans="1:11" s="18" customFormat="1" ht="14.25" x14ac:dyDescent="0.2">
      <c r="A4699" s="18" t="str">
        <f t="shared" si="343"/>
        <v>Eintrag 4698</v>
      </c>
      <c r="B4699" s="18">
        <v>100</v>
      </c>
      <c r="C4699" s="19">
        <v>100</v>
      </c>
      <c r="D4699" s="20">
        <v>10</v>
      </c>
      <c r="E4699" s="20">
        <v>10</v>
      </c>
      <c r="F4699" s="20">
        <v>10</v>
      </c>
      <c r="G4699" s="19">
        <f t="shared" si="342"/>
        <v>172</v>
      </c>
      <c r="H4699" s="22">
        <f t="shared" si="340"/>
        <v>4698</v>
      </c>
      <c r="I4699" s="21">
        <f t="shared" ca="1" si="339"/>
        <v>0</v>
      </c>
      <c r="J4699" s="21" t="str">
        <f ca="1">IF(I4699=0,"",COUNTIF($I$2:I4699,"&gt;0"))</f>
        <v/>
      </c>
      <c r="K4699" s="21" t="str">
        <f t="shared" ca="1" si="341"/>
        <v/>
      </c>
    </row>
    <row r="4700" spans="1:11" s="18" customFormat="1" ht="14.25" x14ac:dyDescent="0.2">
      <c r="A4700" s="18" t="str">
        <f t="shared" si="343"/>
        <v>Eintrag 4699</v>
      </c>
      <c r="B4700" s="18">
        <v>100</v>
      </c>
      <c r="C4700" s="19">
        <v>100</v>
      </c>
      <c r="D4700" s="20">
        <v>10</v>
      </c>
      <c r="E4700" s="20">
        <v>10</v>
      </c>
      <c r="F4700" s="20">
        <v>10</v>
      </c>
      <c r="G4700" s="19">
        <f t="shared" si="342"/>
        <v>172</v>
      </c>
      <c r="H4700" s="22">
        <f t="shared" si="340"/>
        <v>4699</v>
      </c>
      <c r="I4700" s="21">
        <f t="shared" ca="1" si="339"/>
        <v>0</v>
      </c>
      <c r="J4700" s="21" t="str">
        <f ca="1">IF(I4700=0,"",COUNTIF($I$2:I4700,"&gt;0"))</f>
        <v/>
      </c>
      <c r="K4700" s="21" t="str">
        <f t="shared" ca="1" si="341"/>
        <v/>
      </c>
    </row>
    <row r="4701" spans="1:11" s="18" customFormat="1" ht="14.25" x14ac:dyDescent="0.2">
      <c r="A4701" s="18" t="str">
        <f t="shared" si="343"/>
        <v>Eintrag 4700</v>
      </c>
      <c r="B4701" s="18">
        <v>100</v>
      </c>
      <c r="C4701" s="19">
        <v>100</v>
      </c>
      <c r="D4701" s="20">
        <v>10</v>
      </c>
      <c r="E4701" s="20">
        <v>10</v>
      </c>
      <c r="F4701" s="20">
        <v>10</v>
      </c>
      <c r="G4701" s="19">
        <f t="shared" si="342"/>
        <v>172</v>
      </c>
      <c r="H4701" s="22">
        <f t="shared" si="340"/>
        <v>4700</v>
      </c>
      <c r="I4701" s="21">
        <f t="shared" ca="1" si="339"/>
        <v>0</v>
      </c>
      <c r="J4701" s="21" t="str">
        <f ca="1">IF(I4701=0,"",COUNTIF($I$2:I4701,"&gt;0"))</f>
        <v/>
      </c>
      <c r="K4701" s="21" t="str">
        <f t="shared" ca="1" si="341"/>
        <v/>
      </c>
    </row>
    <row r="4702" spans="1:11" s="18" customFormat="1" ht="14.25" x14ac:dyDescent="0.2">
      <c r="A4702" s="18" t="str">
        <f t="shared" si="343"/>
        <v>Eintrag 4701</v>
      </c>
      <c r="B4702" s="18">
        <v>100</v>
      </c>
      <c r="C4702" s="19">
        <v>100</v>
      </c>
      <c r="D4702" s="20">
        <v>10</v>
      </c>
      <c r="E4702" s="20">
        <v>10</v>
      </c>
      <c r="F4702" s="20">
        <v>10</v>
      </c>
      <c r="G4702" s="19">
        <f t="shared" si="342"/>
        <v>172</v>
      </c>
      <c r="H4702" s="22">
        <f t="shared" si="340"/>
        <v>4701</v>
      </c>
      <c r="I4702" s="21">
        <f t="shared" ca="1" si="339"/>
        <v>0</v>
      </c>
      <c r="J4702" s="21" t="str">
        <f ca="1">IF(I4702=0,"",COUNTIF($I$2:I4702,"&gt;0"))</f>
        <v/>
      </c>
      <c r="K4702" s="21" t="str">
        <f t="shared" ca="1" si="341"/>
        <v/>
      </c>
    </row>
    <row r="4703" spans="1:11" s="18" customFormat="1" ht="14.25" x14ac:dyDescent="0.2">
      <c r="A4703" s="18" t="str">
        <f t="shared" si="343"/>
        <v>Eintrag 4702</v>
      </c>
      <c r="B4703" s="18">
        <v>100</v>
      </c>
      <c r="C4703" s="19">
        <v>100</v>
      </c>
      <c r="D4703" s="20">
        <v>10</v>
      </c>
      <c r="E4703" s="20">
        <v>10</v>
      </c>
      <c r="F4703" s="20">
        <v>10</v>
      </c>
      <c r="G4703" s="19">
        <f t="shared" si="342"/>
        <v>172</v>
      </c>
      <c r="H4703" s="22">
        <f t="shared" si="340"/>
        <v>4702</v>
      </c>
      <c r="I4703" s="21">
        <f t="shared" ref="I4703:I4766" ca="1" si="344">IFERROR(SEARCH(INDIRECT(CELL("address")),A4703),0)</f>
        <v>0</v>
      </c>
      <c r="J4703" s="21" t="str">
        <f ca="1">IF(I4703=0,"",COUNTIF($I$2:I4703,"&gt;0"))</f>
        <v/>
      </c>
      <c r="K4703" s="21" t="str">
        <f t="shared" ca="1" si="341"/>
        <v/>
      </c>
    </row>
    <row r="4704" spans="1:11" s="18" customFormat="1" ht="14.25" x14ac:dyDescent="0.2">
      <c r="A4704" s="18" t="str">
        <f t="shared" si="343"/>
        <v>Eintrag 4703</v>
      </c>
      <c r="B4704" s="18">
        <v>100</v>
      </c>
      <c r="C4704" s="19">
        <v>100</v>
      </c>
      <c r="D4704" s="20">
        <v>10</v>
      </c>
      <c r="E4704" s="20">
        <v>10</v>
      </c>
      <c r="F4704" s="20">
        <v>10</v>
      </c>
      <c r="G4704" s="19">
        <f t="shared" si="342"/>
        <v>172</v>
      </c>
      <c r="H4704" s="22">
        <f t="shared" si="340"/>
        <v>4703</v>
      </c>
      <c r="I4704" s="21">
        <f t="shared" ca="1" si="344"/>
        <v>0</v>
      </c>
      <c r="J4704" s="21" t="str">
        <f ca="1">IF(I4704=0,"",COUNTIF($I$2:I4704,"&gt;0"))</f>
        <v/>
      </c>
      <c r="K4704" s="21" t="str">
        <f t="shared" ca="1" si="341"/>
        <v/>
      </c>
    </row>
    <row r="4705" spans="1:11" s="18" customFormat="1" ht="14.25" x14ac:dyDescent="0.2">
      <c r="A4705" s="18" t="str">
        <f t="shared" si="343"/>
        <v>Eintrag 4704</v>
      </c>
      <c r="B4705" s="18">
        <v>100</v>
      </c>
      <c r="C4705" s="19">
        <v>100</v>
      </c>
      <c r="D4705" s="20">
        <v>10</v>
      </c>
      <c r="E4705" s="20">
        <v>10</v>
      </c>
      <c r="F4705" s="20">
        <v>10</v>
      </c>
      <c r="G4705" s="19">
        <f t="shared" si="342"/>
        <v>172</v>
      </c>
      <c r="H4705" s="22">
        <f t="shared" si="340"/>
        <v>4704</v>
      </c>
      <c r="I4705" s="21">
        <f t="shared" ca="1" si="344"/>
        <v>0</v>
      </c>
      <c r="J4705" s="21" t="str">
        <f ca="1">IF(I4705=0,"",COUNTIF($I$2:I4705,"&gt;0"))</f>
        <v/>
      </c>
      <c r="K4705" s="21" t="str">
        <f t="shared" ca="1" si="341"/>
        <v/>
      </c>
    </row>
    <row r="4706" spans="1:11" s="18" customFormat="1" ht="14.25" x14ac:dyDescent="0.2">
      <c r="A4706" s="18" t="str">
        <f t="shared" si="343"/>
        <v>Eintrag 4705</v>
      </c>
      <c r="B4706" s="18">
        <v>100</v>
      </c>
      <c r="C4706" s="19">
        <v>100</v>
      </c>
      <c r="D4706" s="20">
        <v>10</v>
      </c>
      <c r="E4706" s="20">
        <v>10</v>
      </c>
      <c r="F4706" s="20">
        <v>10</v>
      </c>
      <c r="G4706" s="19">
        <f t="shared" si="342"/>
        <v>172</v>
      </c>
      <c r="H4706" s="22">
        <f t="shared" si="340"/>
        <v>4705</v>
      </c>
      <c r="I4706" s="21">
        <f t="shared" ca="1" si="344"/>
        <v>0</v>
      </c>
      <c r="J4706" s="21" t="str">
        <f ca="1">IF(I4706=0,"",COUNTIF($I$2:I4706,"&gt;0"))</f>
        <v/>
      </c>
      <c r="K4706" s="21" t="str">
        <f t="shared" ca="1" si="341"/>
        <v/>
      </c>
    </row>
    <row r="4707" spans="1:11" s="18" customFormat="1" ht="14.25" x14ac:dyDescent="0.2">
      <c r="A4707" s="18" t="str">
        <f t="shared" si="343"/>
        <v>Eintrag 4706</v>
      </c>
      <c r="B4707" s="18">
        <v>100</v>
      </c>
      <c r="C4707" s="19">
        <v>100</v>
      </c>
      <c r="D4707" s="20">
        <v>10</v>
      </c>
      <c r="E4707" s="20">
        <v>10</v>
      </c>
      <c r="F4707" s="20">
        <v>10</v>
      </c>
      <c r="G4707" s="19">
        <f t="shared" si="342"/>
        <v>172</v>
      </c>
      <c r="H4707" s="22">
        <f t="shared" si="340"/>
        <v>4706</v>
      </c>
      <c r="I4707" s="21">
        <f t="shared" ca="1" si="344"/>
        <v>0</v>
      </c>
      <c r="J4707" s="21" t="str">
        <f ca="1">IF(I4707=0,"",COUNTIF($I$2:I4707,"&gt;0"))</f>
        <v/>
      </c>
      <c r="K4707" s="21" t="str">
        <f t="shared" ca="1" si="341"/>
        <v/>
      </c>
    </row>
    <row r="4708" spans="1:11" s="18" customFormat="1" ht="14.25" x14ac:dyDescent="0.2">
      <c r="A4708" s="18" t="str">
        <f t="shared" si="343"/>
        <v>Eintrag 4707</v>
      </c>
      <c r="B4708" s="18">
        <v>100</v>
      </c>
      <c r="C4708" s="19">
        <v>100</v>
      </c>
      <c r="D4708" s="20">
        <v>10</v>
      </c>
      <c r="E4708" s="20">
        <v>10</v>
      </c>
      <c r="F4708" s="20">
        <v>10</v>
      </c>
      <c r="G4708" s="19">
        <f t="shared" si="342"/>
        <v>172</v>
      </c>
      <c r="H4708" s="22">
        <f t="shared" si="340"/>
        <v>4707</v>
      </c>
      <c r="I4708" s="21">
        <f t="shared" ca="1" si="344"/>
        <v>0</v>
      </c>
      <c r="J4708" s="21" t="str">
        <f ca="1">IF(I4708=0,"",COUNTIF($I$2:I4708,"&gt;0"))</f>
        <v/>
      </c>
      <c r="K4708" s="21" t="str">
        <f t="shared" ca="1" si="341"/>
        <v/>
      </c>
    </row>
    <row r="4709" spans="1:11" s="18" customFormat="1" ht="14.25" x14ac:dyDescent="0.2">
      <c r="A4709" s="18" t="str">
        <f t="shared" si="343"/>
        <v>Eintrag 4708</v>
      </c>
      <c r="B4709" s="18">
        <v>100</v>
      </c>
      <c r="C4709" s="19">
        <v>100</v>
      </c>
      <c r="D4709" s="20">
        <v>10</v>
      </c>
      <c r="E4709" s="20">
        <v>10</v>
      </c>
      <c r="F4709" s="20">
        <v>10</v>
      </c>
      <c r="G4709" s="19">
        <f t="shared" si="342"/>
        <v>172</v>
      </c>
      <c r="H4709" s="22">
        <f t="shared" ref="H4709:H4772" si="345">H4708+1</f>
        <v>4708</v>
      </c>
      <c r="I4709" s="21">
        <f t="shared" ca="1" si="344"/>
        <v>0</v>
      </c>
      <c r="J4709" s="21" t="str">
        <f ca="1">IF(I4709=0,"",COUNTIF($I$2:I4709,"&gt;0"))</f>
        <v/>
      </c>
      <c r="K4709" s="21" t="str">
        <f t="shared" ca="1" si="341"/>
        <v/>
      </c>
    </row>
    <row r="4710" spans="1:11" s="18" customFormat="1" ht="14.25" x14ac:dyDescent="0.2">
      <c r="A4710" s="18" t="str">
        <f t="shared" si="343"/>
        <v>Eintrag 4709</v>
      </c>
      <c r="B4710" s="18">
        <v>100</v>
      </c>
      <c r="C4710" s="19">
        <v>100</v>
      </c>
      <c r="D4710" s="20">
        <v>10</v>
      </c>
      <c r="E4710" s="20">
        <v>10</v>
      </c>
      <c r="F4710" s="20">
        <v>10</v>
      </c>
      <c r="G4710" s="19">
        <f t="shared" si="342"/>
        <v>172</v>
      </c>
      <c r="H4710" s="22">
        <f t="shared" si="345"/>
        <v>4709</v>
      </c>
      <c r="I4710" s="21">
        <f t="shared" ca="1" si="344"/>
        <v>0</v>
      </c>
      <c r="J4710" s="21" t="str">
        <f ca="1">IF(I4710=0,"",COUNTIF($I$2:I4710,"&gt;0"))</f>
        <v/>
      </c>
      <c r="K4710" s="21" t="str">
        <f t="shared" ca="1" si="341"/>
        <v/>
      </c>
    </row>
    <row r="4711" spans="1:11" s="18" customFormat="1" ht="14.25" x14ac:dyDescent="0.2">
      <c r="A4711" s="18" t="str">
        <f t="shared" si="343"/>
        <v>Eintrag 4710</v>
      </c>
      <c r="B4711" s="18">
        <v>100</v>
      </c>
      <c r="C4711" s="19">
        <v>100</v>
      </c>
      <c r="D4711" s="20">
        <v>10</v>
      </c>
      <c r="E4711" s="20">
        <v>10</v>
      </c>
      <c r="F4711" s="20">
        <v>10</v>
      </c>
      <c r="G4711" s="19">
        <f t="shared" si="342"/>
        <v>172</v>
      </c>
      <c r="H4711" s="22">
        <f t="shared" si="345"/>
        <v>4710</v>
      </c>
      <c r="I4711" s="21">
        <f t="shared" ca="1" si="344"/>
        <v>0</v>
      </c>
      <c r="J4711" s="21" t="str">
        <f ca="1">IF(I4711=0,"",COUNTIF($I$2:I4711,"&gt;0"))</f>
        <v/>
      </c>
      <c r="K4711" s="21" t="str">
        <f t="shared" ca="1" si="341"/>
        <v/>
      </c>
    </row>
    <row r="4712" spans="1:11" s="18" customFormat="1" ht="14.25" x14ac:dyDescent="0.2">
      <c r="A4712" s="18" t="str">
        <f t="shared" si="343"/>
        <v>Eintrag 4711</v>
      </c>
      <c r="B4712" s="18">
        <v>100</v>
      </c>
      <c r="C4712" s="19">
        <v>100</v>
      </c>
      <c r="D4712" s="20">
        <v>10</v>
      </c>
      <c r="E4712" s="20">
        <v>10</v>
      </c>
      <c r="F4712" s="20">
        <v>10</v>
      </c>
      <c r="G4712" s="19">
        <f t="shared" si="342"/>
        <v>172</v>
      </c>
      <c r="H4712" s="22">
        <f t="shared" si="345"/>
        <v>4711</v>
      </c>
      <c r="I4712" s="21">
        <f t="shared" ca="1" si="344"/>
        <v>0</v>
      </c>
      <c r="J4712" s="21" t="str">
        <f ca="1">IF(I4712=0,"",COUNTIF($I$2:I4712,"&gt;0"))</f>
        <v/>
      </c>
      <c r="K4712" s="21" t="str">
        <f t="shared" ca="1" si="341"/>
        <v/>
      </c>
    </row>
    <row r="4713" spans="1:11" s="18" customFormat="1" ht="14.25" x14ac:dyDescent="0.2">
      <c r="A4713" s="18" t="str">
        <f t="shared" si="343"/>
        <v>Eintrag 4712</v>
      </c>
      <c r="B4713" s="18">
        <v>100</v>
      </c>
      <c r="C4713" s="19">
        <v>100</v>
      </c>
      <c r="D4713" s="20">
        <v>10</v>
      </c>
      <c r="E4713" s="20">
        <v>10</v>
      </c>
      <c r="F4713" s="20">
        <v>10</v>
      </c>
      <c r="G4713" s="19">
        <f t="shared" si="342"/>
        <v>172</v>
      </c>
      <c r="H4713" s="22">
        <f t="shared" si="345"/>
        <v>4712</v>
      </c>
      <c r="I4713" s="21">
        <f t="shared" ca="1" si="344"/>
        <v>0</v>
      </c>
      <c r="J4713" s="21" t="str">
        <f ca="1">IF(I4713=0,"",COUNTIF($I$2:I4713,"&gt;0"))</f>
        <v/>
      </c>
      <c r="K4713" s="21" t="str">
        <f t="shared" ca="1" si="341"/>
        <v/>
      </c>
    </row>
    <row r="4714" spans="1:11" s="18" customFormat="1" ht="14.25" x14ac:dyDescent="0.2">
      <c r="A4714" s="18" t="str">
        <f t="shared" si="343"/>
        <v>Eintrag 4713</v>
      </c>
      <c r="B4714" s="18">
        <v>100</v>
      </c>
      <c r="C4714" s="19">
        <v>100</v>
      </c>
      <c r="D4714" s="20">
        <v>10</v>
      </c>
      <c r="E4714" s="20">
        <v>10</v>
      </c>
      <c r="F4714" s="20">
        <v>10</v>
      </c>
      <c r="G4714" s="19">
        <f t="shared" si="342"/>
        <v>172</v>
      </c>
      <c r="H4714" s="22">
        <f t="shared" si="345"/>
        <v>4713</v>
      </c>
      <c r="I4714" s="21">
        <f t="shared" ca="1" si="344"/>
        <v>0</v>
      </c>
      <c r="J4714" s="21" t="str">
        <f ca="1">IF(I4714=0,"",COUNTIF($I$2:I4714,"&gt;0"))</f>
        <v/>
      </c>
      <c r="K4714" s="21" t="str">
        <f t="shared" ca="1" si="341"/>
        <v/>
      </c>
    </row>
    <row r="4715" spans="1:11" s="18" customFormat="1" ht="14.25" x14ac:dyDescent="0.2">
      <c r="A4715" s="18" t="str">
        <f t="shared" si="343"/>
        <v>Eintrag 4714</v>
      </c>
      <c r="B4715" s="18">
        <v>100</v>
      </c>
      <c r="C4715" s="19">
        <v>100</v>
      </c>
      <c r="D4715" s="20">
        <v>10</v>
      </c>
      <c r="E4715" s="20">
        <v>10</v>
      </c>
      <c r="F4715" s="20">
        <v>10</v>
      </c>
      <c r="G4715" s="19">
        <f t="shared" si="342"/>
        <v>172</v>
      </c>
      <c r="H4715" s="22">
        <f t="shared" si="345"/>
        <v>4714</v>
      </c>
      <c r="I4715" s="21">
        <f t="shared" ca="1" si="344"/>
        <v>0</v>
      </c>
      <c r="J4715" s="21" t="str">
        <f ca="1">IF(I4715=0,"",COUNTIF($I$2:I4715,"&gt;0"))</f>
        <v/>
      </c>
      <c r="K4715" s="21" t="str">
        <f t="shared" ca="1" si="341"/>
        <v/>
      </c>
    </row>
    <row r="4716" spans="1:11" s="18" customFormat="1" ht="14.25" x14ac:dyDescent="0.2">
      <c r="A4716" s="18" t="str">
        <f t="shared" si="343"/>
        <v>Eintrag 4715</v>
      </c>
      <c r="B4716" s="18">
        <v>100</v>
      </c>
      <c r="C4716" s="19">
        <v>100</v>
      </c>
      <c r="D4716" s="20">
        <v>10</v>
      </c>
      <c r="E4716" s="20">
        <v>10</v>
      </c>
      <c r="F4716" s="20">
        <v>10</v>
      </c>
      <c r="G4716" s="19">
        <f t="shared" si="342"/>
        <v>172</v>
      </c>
      <c r="H4716" s="22">
        <f t="shared" si="345"/>
        <v>4715</v>
      </c>
      <c r="I4716" s="21">
        <f t="shared" ca="1" si="344"/>
        <v>0</v>
      </c>
      <c r="J4716" s="21" t="str">
        <f ca="1">IF(I4716=0,"",COUNTIF($I$2:I4716,"&gt;0"))</f>
        <v/>
      </c>
      <c r="K4716" s="21" t="str">
        <f t="shared" ca="1" si="341"/>
        <v/>
      </c>
    </row>
    <row r="4717" spans="1:11" s="18" customFormat="1" ht="14.25" x14ac:dyDescent="0.2">
      <c r="A4717" s="18" t="str">
        <f t="shared" si="343"/>
        <v>Eintrag 4716</v>
      </c>
      <c r="B4717" s="18">
        <v>100</v>
      </c>
      <c r="C4717" s="19">
        <v>100</v>
      </c>
      <c r="D4717" s="20">
        <v>10</v>
      </c>
      <c r="E4717" s="20">
        <v>10</v>
      </c>
      <c r="F4717" s="20">
        <v>10</v>
      </c>
      <c r="G4717" s="19">
        <f t="shared" si="342"/>
        <v>172</v>
      </c>
      <c r="H4717" s="22">
        <f t="shared" si="345"/>
        <v>4716</v>
      </c>
      <c r="I4717" s="21">
        <f t="shared" ca="1" si="344"/>
        <v>0</v>
      </c>
      <c r="J4717" s="21" t="str">
        <f ca="1">IF(I4717=0,"",COUNTIF($I$2:I4717,"&gt;0"))</f>
        <v/>
      </c>
      <c r="K4717" s="21" t="str">
        <f t="shared" ca="1" si="341"/>
        <v/>
      </c>
    </row>
    <row r="4718" spans="1:11" s="18" customFormat="1" ht="14.25" x14ac:dyDescent="0.2">
      <c r="A4718" s="18" t="str">
        <f t="shared" si="343"/>
        <v>Eintrag 4717</v>
      </c>
      <c r="B4718" s="18">
        <v>100</v>
      </c>
      <c r="C4718" s="19">
        <v>100</v>
      </c>
      <c r="D4718" s="20">
        <v>10</v>
      </c>
      <c r="E4718" s="20">
        <v>10</v>
      </c>
      <c r="F4718" s="20">
        <v>10</v>
      </c>
      <c r="G4718" s="19">
        <f t="shared" si="342"/>
        <v>172</v>
      </c>
      <c r="H4718" s="22">
        <f t="shared" si="345"/>
        <v>4717</v>
      </c>
      <c r="I4718" s="21">
        <f t="shared" ca="1" si="344"/>
        <v>0</v>
      </c>
      <c r="J4718" s="21" t="str">
        <f ca="1">IF(I4718=0,"",COUNTIF($I$2:I4718,"&gt;0"))</f>
        <v/>
      </c>
      <c r="K4718" s="21" t="str">
        <f t="shared" ca="1" si="341"/>
        <v/>
      </c>
    </row>
    <row r="4719" spans="1:11" s="18" customFormat="1" ht="14.25" x14ac:dyDescent="0.2">
      <c r="A4719" s="18" t="str">
        <f t="shared" si="343"/>
        <v>Eintrag 4718</v>
      </c>
      <c r="B4719" s="18">
        <v>100</v>
      </c>
      <c r="C4719" s="19">
        <v>100</v>
      </c>
      <c r="D4719" s="20">
        <v>10</v>
      </c>
      <c r="E4719" s="20">
        <v>10</v>
      </c>
      <c r="F4719" s="20">
        <v>10</v>
      </c>
      <c r="G4719" s="19">
        <f t="shared" si="342"/>
        <v>172</v>
      </c>
      <c r="H4719" s="22">
        <f t="shared" si="345"/>
        <v>4718</v>
      </c>
      <c r="I4719" s="21">
        <f t="shared" ca="1" si="344"/>
        <v>0</v>
      </c>
      <c r="J4719" s="21" t="str">
        <f ca="1">IF(I4719=0,"",COUNTIF($I$2:I4719,"&gt;0"))</f>
        <v/>
      </c>
      <c r="K4719" s="21" t="str">
        <f t="shared" ca="1" si="341"/>
        <v/>
      </c>
    </row>
    <row r="4720" spans="1:11" s="18" customFormat="1" ht="14.25" x14ac:dyDescent="0.2">
      <c r="A4720" s="18" t="str">
        <f t="shared" si="343"/>
        <v>Eintrag 4719</v>
      </c>
      <c r="B4720" s="18">
        <v>100</v>
      </c>
      <c r="C4720" s="19">
        <v>100</v>
      </c>
      <c r="D4720" s="20">
        <v>10</v>
      </c>
      <c r="E4720" s="20">
        <v>10</v>
      </c>
      <c r="F4720" s="20">
        <v>10</v>
      </c>
      <c r="G4720" s="19">
        <f t="shared" si="342"/>
        <v>172</v>
      </c>
      <c r="H4720" s="22">
        <f t="shared" si="345"/>
        <v>4719</v>
      </c>
      <c r="I4720" s="21">
        <f t="shared" ca="1" si="344"/>
        <v>0</v>
      </c>
      <c r="J4720" s="21" t="str">
        <f ca="1">IF(I4720=0,"",COUNTIF($I$2:I4720,"&gt;0"))</f>
        <v/>
      </c>
      <c r="K4720" s="21" t="str">
        <f t="shared" ca="1" si="341"/>
        <v/>
      </c>
    </row>
    <row r="4721" spans="1:11" s="18" customFormat="1" ht="14.25" x14ac:dyDescent="0.2">
      <c r="A4721" s="18" t="str">
        <f t="shared" si="343"/>
        <v>Eintrag 4720</v>
      </c>
      <c r="B4721" s="18">
        <v>100</v>
      </c>
      <c r="C4721" s="19">
        <v>100</v>
      </c>
      <c r="D4721" s="20">
        <v>10</v>
      </c>
      <c r="E4721" s="20">
        <v>10</v>
      </c>
      <c r="F4721" s="20">
        <v>10</v>
      </c>
      <c r="G4721" s="19">
        <f t="shared" si="342"/>
        <v>172</v>
      </c>
      <c r="H4721" s="22">
        <f t="shared" si="345"/>
        <v>4720</v>
      </c>
      <c r="I4721" s="21">
        <f t="shared" ca="1" si="344"/>
        <v>0</v>
      </c>
      <c r="J4721" s="21" t="str">
        <f ca="1">IF(I4721=0,"",COUNTIF($I$2:I4721,"&gt;0"))</f>
        <v/>
      </c>
      <c r="K4721" s="21" t="str">
        <f t="shared" ca="1" si="341"/>
        <v/>
      </c>
    </row>
    <row r="4722" spans="1:11" s="18" customFormat="1" ht="14.25" x14ac:dyDescent="0.2">
      <c r="A4722" s="18" t="str">
        <f t="shared" si="343"/>
        <v>Eintrag 4721</v>
      </c>
      <c r="B4722" s="18">
        <v>100</v>
      </c>
      <c r="C4722" s="19">
        <v>100</v>
      </c>
      <c r="D4722" s="20">
        <v>10</v>
      </c>
      <c r="E4722" s="20">
        <v>10</v>
      </c>
      <c r="F4722" s="20">
        <v>10</v>
      </c>
      <c r="G4722" s="19">
        <f t="shared" si="342"/>
        <v>172</v>
      </c>
      <c r="H4722" s="22">
        <f t="shared" si="345"/>
        <v>4721</v>
      </c>
      <c r="I4722" s="21">
        <f t="shared" ca="1" si="344"/>
        <v>0</v>
      </c>
      <c r="J4722" s="21" t="str">
        <f ca="1">IF(I4722=0,"",COUNTIF($I$2:I4722,"&gt;0"))</f>
        <v/>
      </c>
      <c r="K4722" s="21" t="str">
        <f t="shared" ca="1" si="341"/>
        <v/>
      </c>
    </row>
    <row r="4723" spans="1:11" s="18" customFormat="1" ht="14.25" x14ac:dyDescent="0.2">
      <c r="A4723" s="18" t="str">
        <f t="shared" si="343"/>
        <v>Eintrag 4722</v>
      </c>
      <c r="B4723" s="18">
        <v>100</v>
      </c>
      <c r="C4723" s="19">
        <v>100</v>
      </c>
      <c r="D4723" s="20">
        <v>10</v>
      </c>
      <c r="E4723" s="20">
        <v>10</v>
      </c>
      <c r="F4723" s="20">
        <v>10</v>
      </c>
      <c r="G4723" s="19">
        <f t="shared" si="342"/>
        <v>172</v>
      </c>
      <c r="H4723" s="22">
        <f t="shared" si="345"/>
        <v>4722</v>
      </c>
      <c r="I4723" s="21">
        <f t="shared" ca="1" si="344"/>
        <v>0</v>
      </c>
      <c r="J4723" s="21" t="str">
        <f ca="1">IF(I4723=0,"",COUNTIF($I$2:I4723,"&gt;0"))</f>
        <v/>
      </c>
      <c r="K4723" s="21" t="str">
        <f t="shared" ca="1" si="341"/>
        <v/>
      </c>
    </row>
    <row r="4724" spans="1:11" s="18" customFormat="1" ht="14.25" x14ac:dyDescent="0.2">
      <c r="A4724" s="18" t="str">
        <f t="shared" si="343"/>
        <v>Eintrag 4723</v>
      </c>
      <c r="B4724" s="18">
        <v>100</v>
      </c>
      <c r="C4724" s="19">
        <v>100</v>
      </c>
      <c r="D4724" s="20">
        <v>10</v>
      </c>
      <c r="E4724" s="20">
        <v>10</v>
      </c>
      <c r="F4724" s="20">
        <v>10</v>
      </c>
      <c r="G4724" s="19">
        <f t="shared" si="342"/>
        <v>172</v>
      </c>
      <c r="H4724" s="22">
        <f t="shared" si="345"/>
        <v>4723</v>
      </c>
      <c r="I4724" s="21">
        <f t="shared" ca="1" si="344"/>
        <v>0</v>
      </c>
      <c r="J4724" s="21" t="str">
        <f ca="1">IF(I4724=0,"",COUNTIF($I$2:I4724,"&gt;0"))</f>
        <v/>
      </c>
      <c r="K4724" s="21" t="str">
        <f t="shared" ca="1" si="341"/>
        <v/>
      </c>
    </row>
    <row r="4725" spans="1:11" s="18" customFormat="1" ht="14.25" x14ac:dyDescent="0.2">
      <c r="A4725" s="18" t="str">
        <f t="shared" si="343"/>
        <v>Eintrag 4724</v>
      </c>
      <c r="B4725" s="18">
        <v>100</v>
      </c>
      <c r="C4725" s="19">
        <v>100</v>
      </c>
      <c r="D4725" s="20">
        <v>10</v>
      </c>
      <c r="E4725" s="20">
        <v>10</v>
      </c>
      <c r="F4725" s="20">
        <v>10</v>
      </c>
      <c r="G4725" s="19">
        <f t="shared" si="342"/>
        <v>172</v>
      </c>
      <c r="H4725" s="22">
        <f t="shared" si="345"/>
        <v>4724</v>
      </c>
      <c r="I4725" s="21">
        <f t="shared" ca="1" si="344"/>
        <v>0</v>
      </c>
      <c r="J4725" s="21" t="str">
        <f ca="1">IF(I4725=0,"",COUNTIF($I$2:I4725,"&gt;0"))</f>
        <v/>
      </c>
      <c r="K4725" s="21" t="str">
        <f t="shared" ca="1" si="341"/>
        <v/>
      </c>
    </row>
    <row r="4726" spans="1:11" s="18" customFormat="1" ht="14.25" x14ac:dyDescent="0.2">
      <c r="A4726" s="18" t="str">
        <f t="shared" si="343"/>
        <v>Eintrag 4725</v>
      </c>
      <c r="B4726" s="18">
        <v>100</v>
      </c>
      <c r="C4726" s="19">
        <v>100</v>
      </c>
      <c r="D4726" s="20">
        <v>10</v>
      </c>
      <c r="E4726" s="20">
        <v>10</v>
      </c>
      <c r="F4726" s="20">
        <v>10</v>
      </c>
      <c r="G4726" s="19">
        <f t="shared" si="342"/>
        <v>172</v>
      </c>
      <c r="H4726" s="22">
        <f t="shared" si="345"/>
        <v>4725</v>
      </c>
      <c r="I4726" s="21">
        <f t="shared" ca="1" si="344"/>
        <v>0</v>
      </c>
      <c r="J4726" s="21" t="str">
        <f ca="1">IF(I4726=0,"",COUNTIF($I$2:I4726,"&gt;0"))</f>
        <v/>
      </c>
      <c r="K4726" s="21" t="str">
        <f t="shared" ca="1" si="341"/>
        <v/>
      </c>
    </row>
    <row r="4727" spans="1:11" s="18" customFormat="1" ht="14.25" x14ac:dyDescent="0.2">
      <c r="A4727" s="18" t="str">
        <f t="shared" si="343"/>
        <v>Eintrag 4726</v>
      </c>
      <c r="B4727" s="18">
        <v>100</v>
      </c>
      <c r="C4727" s="19">
        <v>100</v>
      </c>
      <c r="D4727" s="20">
        <v>10</v>
      </c>
      <c r="E4727" s="20">
        <v>10</v>
      </c>
      <c r="F4727" s="20">
        <v>10</v>
      </c>
      <c r="G4727" s="19">
        <f t="shared" si="342"/>
        <v>172</v>
      </c>
      <c r="H4727" s="22">
        <f t="shared" si="345"/>
        <v>4726</v>
      </c>
      <c r="I4727" s="21">
        <f t="shared" ca="1" si="344"/>
        <v>0</v>
      </c>
      <c r="J4727" s="21" t="str">
        <f ca="1">IF(I4727=0,"",COUNTIF($I$2:I4727,"&gt;0"))</f>
        <v/>
      </c>
      <c r="K4727" s="21" t="str">
        <f t="shared" ca="1" si="341"/>
        <v/>
      </c>
    </row>
    <row r="4728" spans="1:11" s="18" customFormat="1" ht="14.25" x14ac:dyDescent="0.2">
      <c r="A4728" s="18" t="str">
        <f t="shared" si="343"/>
        <v>Eintrag 4727</v>
      </c>
      <c r="B4728" s="18">
        <v>100</v>
      </c>
      <c r="C4728" s="19">
        <v>100</v>
      </c>
      <c r="D4728" s="20">
        <v>10</v>
      </c>
      <c r="E4728" s="20">
        <v>10</v>
      </c>
      <c r="F4728" s="20">
        <v>10</v>
      </c>
      <c r="G4728" s="19">
        <f t="shared" si="342"/>
        <v>172</v>
      </c>
      <c r="H4728" s="22">
        <f t="shared" si="345"/>
        <v>4727</v>
      </c>
      <c r="I4728" s="21">
        <f t="shared" ca="1" si="344"/>
        <v>0</v>
      </c>
      <c r="J4728" s="21" t="str">
        <f ca="1">IF(I4728=0,"",COUNTIF($I$2:I4728,"&gt;0"))</f>
        <v/>
      </c>
      <c r="K4728" s="21" t="str">
        <f t="shared" ca="1" si="341"/>
        <v/>
      </c>
    </row>
    <row r="4729" spans="1:11" s="18" customFormat="1" ht="14.25" x14ac:dyDescent="0.2">
      <c r="A4729" s="18" t="str">
        <f t="shared" si="343"/>
        <v>Eintrag 4728</v>
      </c>
      <c r="B4729" s="18">
        <v>100</v>
      </c>
      <c r="C4729" s="19">
        <v>100</v>
      </c>
      <c r="D4729" s="20">
        <v>10</v>
      </c>
      <c r="E4729" s="20">
        <v>10</v>
      </c>
      <c r="F4729" s="20">
        <v>10</v>
      </c>
      <c r="G4729" s="19">
        <f t="shared" si="342"/>
        <v>172</v>
      </c>
      <c r="H4729" s="22">
        <f t="shared" si="345"/>
        <v>4728</v>
      </c>
      <c r="I4729" s="21">
        <f t="shared" ca="1" si="344"/>
        <v>0</v>
      </c>
      <c r="J4729" s="21" t="str">
        <f ca="1">IF(I4729=0,"",COUNTIF($I$2:I4729,"&gt;0"))</f>
        <v/>
      </c>
      <c r="K4729" s="21" t="str">
        <f t="shared" ca="1" si="341"/>
        <v/>
      </c>
    </row>
    <row r="4730" spans="1:11" s="18" customFormat="1" ht="14.25" x14ac:dyDescent="0.2">
      <c r="A4730" s="18" t="str">
        <f t="shared" si="343"/>
        <v>Eintrag 4729</v>
      </c>
      <c r="B4730" s="18">
        <v>100</v>
      </c>
      <c r="C4730" s="19">
        <v>100</v>
      </c>
      <c r="D4730" s="20">
        <v>10</v>
      </c>
      <c r="E4730" s="20">
        <v>10</v>
      </c>
      <c r="F4730" s="20">
        <v>10</v>
      </c>
      <c r="G4730" s="19">
        <f t="shared" si="342"/>
        <v>172</v>
      </c>
      <c r="H4730" s="22">
        <f t="shared" si="345"/>
        <v>4729</v>
      </c>
      <c r="I4730" s="21">
        <f t="shared" ca="1" si="344"/>
        <v>0</v>
      </c>
      <c r="J4730" s="21" t="str">
        <f ca="1">IF(I4730=0,"",COUNTIF($I$2:I4730,"&gt;0"))</f>
        <v/>
      </c>
      <c r="K4730" s="21" t="str">
        <f t="shared" ca="1" si="341"/>
        <v/>
      </c>
    </row>
    <row r="4731" spans="1:11" s="18" customFormat="1" ht="14.25" x14ac:dyDescent="0.2">
      <c r="A4731" s="18" t="str">
        <f t="shared" si="343"/>
        <v>Eintrag 4730</v>
      </c>
      <c r="B4731" s="18">
        <v>100</v>
      </c>
      <c r="C4731" s="19">
        <v>100</v>
      </c>
      <c r="D4731" s="20">
        <v>10</v>
      </c>
      <c r="E4731" s="20">
        <v>10</v>
      </c>
      <c r="F4731" s="20">
        <v>10</v>
      </c>
      <c r="G4731" s="19">
        <f t="shared" si="342"/>
        <v>172</v>
      </c>
      <c r="H4731" s="22">
        <f t="shared" si="345"/>
        <v>4730</v>
      </c>
      <c r="I4731" s="21">
        <f t="shared" ca="1" si="344"/>
        <v>0</v>
      </c>
      <c r="J4731" s="21" t="str">
        <f ca="1">IF(I4731=0,"",COUNTIF($I$2:I4731,"&gt;0"))</f>
        <v/>
      </c>
      <c r="K4731" s="21" t="str">
        <f t="shared" ca="1" si="341"/>
        <v/>
      </c>
    </row>
    <row r="4732" spans="1:11" s="18" customFormat="1" ht="14.25" x14ac:dyDescent="0.2">
      <c r="A4732" s="18" t="str">
        <f t="shared" si="343"/>
        <v>Eintrag 4731</v>
      </c>
      <c r="B4732" s="18">
        <v>100</v>
      </c>
      <c r="C4732" s="19">
        <v>100</v>
      </c>
      <c r="D4732" s="20">
        <v>10</v>
      </c>
      <c r="E4732" s="20">
        <v>10</v>
      </c>
      <c r="F4732" s="20">
        <v>10</v>
      </c>
      <c r="G4732" s="19">
        <f t="shared" si="342"/>
        <v>172</v>
      </c>
      <c r="H4732" s="22">
        <f t="shared" si="345"/>
        <v>4731</v>
      </c>
      <c r="I4732" s="21">
        <f t="shared" ca="1" si="344"/>
        <v>0</v>
      </c>
      <c r="J4732" s="21" t="str">
        <f ca="1">IF(I4732=0,"",COUNTIF($I$2:I4732,"&gt;0"))</f>
        <v/>
      </c>
      <c r="K4732" s="21" t="str">
        <f t="shared" ca="1" si="341"/>
        <v/>
      </c>
    </row>
    <row r="4733" spans="1:11" s="18" customFormat="1" ht="14.25" x14ac:dyDescent="0.2">
      <c r="A4733" s="18" t="str">
        <f t="shared" si="343"/>
        <v>Eintrag 4732</v>
      </c>
      <c r="B4733" s="18">
        <v>100</v>
      </c>
      <c r="C4733" s="19">
        <v>100</v>
      </c>
      <c r="D4733" s="20">
        <v>10</v>
      </c>
      <c r="E4733" s="20">
        <v>10</v>
      </c>
      <c r="F4733" s="20">
        <v>10</v>
      </c>
      <c r="G4733" s="19">
        <f t="shared" si="342"/>
        <v>172</v>
      </c>
      <c r="H4733" s="22">
        <f t="shared" si="345"/>
        <v>4732</v>
      </c>
      <c r="I4733" s="21">
        <f t="shared" ca="1" si="344"/>
        <v>0</v>
      </c>
      <c r="J4733" s="21" t="str">
        <f ca="1">IF(I4733=0,"",COUNTIF($I$2:I4733,"&gt;0"))</f>
        <v/>
      </c>
      <c r="K4733" s="21" t="str">
        <f t="shared" ca="1" si="341"/>
        <v/>
      </c>
    </row>
    <row r="4734" spans="1:11" s="18" customFormat="1" ht="14.25" x14ac:dyDescent="0.2">
      <c r="A4734" s="18" t="str">
        <f t="shared" si="343"/>
        <v>Eintrag 4733</v>
      </c>
      <c r="B4734" s="18">
        <v>100</v>
      </c>
      <c r="C4734" s="19">
        <v>100</v>
      </c>
      <c r="D4734" s="20">
        <v>10</v>
      </c>
      <c r="E4734" s="20">
        <v>10</v>
      </c>
      <c r="F4734" s="20">
        <v>10</v>
      </c>
      <c r="G4734" s="19">
        <f t="shared" si="342"/>
        <v>172</v>
      </c>
      <c r="H4734" s="22">
        <f t="shared" si="345"/>
        <v>4733</v>
      </c>
      <c r="I4734" s="21">
        <f t="shared" ca="1" si="344"/>
        <v>0</v>
      </c>
      <c r="J4734" s="21" t="str">
        <f ca="1">IF(I4734=0,"",COUNTIF($I$2:I4734,"&gt;0"))</f>
        <v/>
      </c>
      <c r="K4734" s="21" t="str">
        <f t="shared" ca="1" si="341"/>
        <v/>
      </c>
    </row>
    <row r="4735" spans="1:11" s="18" customFormat="1" ht="14.25" x14ac:dyDescent="0.2">
      <c r="A4735" s="18" t="str">
        <f t="shared" si="343"/>
        <v>Eintrag 4734</v>
      </c>
      <c r="B4735" s="18">
        <v>100</v>
      </c>
      <c r="C4735" s="19">
        <v>100</v>
      </c>
      <c r="D4735" s="20">
        <v>10</v>
      </c>
      <c r="E4735" s="20">
        <v>10</v>
      </c>
      <c r="F4735" s="20">
        <v>10</v>
      </c>
      <c r="G4735" s="19">
        <f t="shared" si="342"/>
        <v>172</v>
      </c>
      <c r="H4735" s="22">
        <f t="shared" si="345"/>
        <v>4734</v>
      </c>
      <c r="I4735" s="21">
        <f t="shared" ca="1" si="344"/>
        <v>0</v>
      </c>
      <c r="J4735" s="21" t="str">
        <f ca="1">IF(I4735=0,"",COUNTIF($I$2:I4735,"&gt;0"))</f>
        <v/>
      </c>
      <c r="K4735" s="21" t="str">
        <f t="shared" ca="1" si="341"/>
        <v/>
      </c>
    </row>
    <row r="4736" spans="1:11" s="18" customFormat="1" ht="14.25" x14ac:dyDescent="0.2">
      <c r="A4736" s="18" t="str">
        <f t="shared" si="343"/>
        <v>Eintrag 4735</v>
      </c>
      <c r="B4736" s="18">
        <v>100</v>
      </c>
      <c r="C4736" s="19">
        <v>100</v>
      </c>
      <c r="D4736" s="20">
        <v>10</v>
      </c>
      <c r="E4736" s="20">
        <v>10</v>
      </c>
      <c r="F4736" s="20">
        <v>10</v>
      </c>
      <c r="G4736" s="19">
        <f t="shared" si="342"/>
        <v>172</v>
      </c>
      <c r="H4736" s="22">
        <f t="shared" si="345"/>
        <v>4735</v>
      </c>
      <c r="I4736" s="21">
        <f t="shared" ca="1" si="344"/>
        <v>0</v>
      </c>
      <c r="J4736" s="21" t="str">
        <f ca="1">IF(I4736=0,"",COUNTIF($I$2:I4736,"&gt;0"))</f>
        <v/>
      </c>
      <c r="K4736" s="21" t="str">
        <f t="shared" ca="1" si="341"/>
        <v/>
      </c>
    </row>
    <row r="4737" spans="1:11" s="18" customFormat="1" ht="14.25" x14ac:dyDescent="0.2">
      <c r="A4737" s="18" t="str">
        <f t="shared" si="343"/>
        <v>Eintrag 4736</v>
      </c>
      <c r="B4737" s="18">
        <v>100</v>
      </c>
      <c r="C4737" s="19">
        <v>100</v>
      </c>
      <c r="D4737" s="20">
        <v>10</v>
      </c>
      <c r="E4737" s="20">
        <v>10</v>
      </c>
      <c r="F4737" s="20">
        <v>10</v>
      </c>
      <c r="G4737" s="19">
        <f t="shared" si="342"/>
        <v>172</v>
      </c>
      <c r="H4737" s="22">
        <f t="shared" si="345"/>
        <v>4736</v>
      </c>
      <c r="I4737" s="21">
        <f t="shared" ca="1" si="344"/>
        <v>0</v>
      </c>
      <c r="J4737" s="21" t="str">
        <f ca="1">IF(I4737=0,"",COUNTIF($I$2:I4737,"&gt;0"))</f>
        <v/>
      </c>
      <c r="K4737" s="21" t="str">
        <f t="shared" ca="1" si="341"/>
        <v/>
      </c>
    </row>
    <row r="4738" spans="1:11" s="18" customFormat="1" ht="14.25" x14ac:dyDescent="0.2">
      <c r="A4738" s="18" t="str">
        <f t="shared" si="343"/>
        <v>Eintrag 4737</v>
      </c>
      <c r="B4738" s="18">
        <v>100</v>
      </c>
      <c r="C4738" s="19">
        <v>100</v>
      </c>
      <c r="D4738" s="20">
        <v>10</v>
      </c>
      <c r="E4738" s="20">
        <v>10</v>
      </c>
      <c r="F4738" s="20">
        <v>10</v>
      </c>
      <c r="G4738" s="19">
        <f t="shared" si="342"/>
        <v>172</v>
      </c>
      <c r="H4738" s="22">
        <f t="shared" si="345"/>
        <v>4737</v>
      </c>
      <c r="I4738" s="21">
        <f t="shared" ca="1" si="344"/>
        <v>0</v>
      </c>
      <c r="J4738" s="21" t="str">
        <f ca="1">IF(I4738=0,"",COUNTIF($I$2:I4738,"&gt;0"))</f>
        <v/>
      </c>
      <c r="K4738" s="21" t="str">
        <f t="shared" ref="K4738:K4801" ca="1" si="346">IFERROR(INDEX(A:A,MATCH(ROW(I4737),J:J,0)),"")</f>
        <v/>
      </c>
    </row>
    <row r="4739" spans="1:11" s="18" customFormat="1" ht="14.25" x14ac:dyDescent="0.2">
      <c r="A4739" s="18" t="str">
        <f t="shared" si="343"/>
        <v>Eintrag 4738</v>
      </c>
      <c r="B4739" s="18">
        <v>100</v>
      </c>
      <c r="C4739" s="19">
        <v>100</v>
      </c>
      <c r="D4739" s="20">
        <v>10</v>
      </c>
      <c r="E4739" s="20">
        <v>10</v>
      </c>
      <c r="F4739" s="20">
        <v>10</v>
      </c>
      <c r="G4739" s="19">
        <f t="shared" ref="G4739:G4802" si="347">D4739*9+E4739*4.1+F4739*4.1</f>
        <v>172</v>
      </c>
      <c r="H4739" s="22">
        <f t="shared" si="345"/>
        <v>4738</v>
      </c>
      <c r="I4739" s="21">
        <f t="shared" ca="1" si="344"/>
        <v>0</v>
      </c>
      <c r="J4739" s="21" t="str">
        <f ca="1">IF(I4739=0,"",COUNTIF($I$2:I4739,"&gt;0"))</f>
        <v/>
      </c>
      <c r="K4739" s="21" t="str">
        <f t="shared" ca="1" si="346"/>
        <v/>
      </c>
    </row>
    <row r="4740" spans="1:11" s="18" customFormat="1" ht="14.25" x14ac:dyDescent="0.2">
      <c r="A4740" s="18" t="str">
        <f t="shared" si="343"/>
        <v>Eintrag 4739</v>
      </c>
      <c r="B4740" s="18">
        <v>100</v>
      </c>
      <c r="C4740" s="19">
        <v>100</v>
      </c>
      <c r="D4740" s="20">
        <v>10</v>
      </c>
      <c r="E4740" s="20">
        <v>10</v>
      </c>
      <c r="F4740" s="20">
        <v>10</v>
      </c>
      <c r="G4740" s="19">
        <f t="shared" si="347"/>
        <v>172</v>
      </c>
      <c r="H4740" s="22">
        <f t="shared" si="345"/>
        <v>4739</v>
      </c>
      <c r="I4740" s="21">
        <f t="shared" ca="1" si="344"/>
        <v>0</v>
      </c>
      <c r="J4740" s="21" t="str">
        <f ca="1">IF(I4740=0,"",COUNTIF($I$2:I4740,"&gt;0"))</f>
        <v/>
      </c>
      <c r="K4740" s="21" t="str">
        <f t="shared" ca="1" si="346"/>
        <v/>
      </c>
    </row>
    <row r="4741" spans="1:11" s="18" customFormat="1" ht="14.25" x14ac:dyDescent="0.2">
      <c r="A4741" s="18" t="str">
        <f t="shared" si="343"/>
        <v>Eintrag 4740</v>
      </c>
      <c r="B4741" s="18">
        <v>100</v>
      </c>
      <c r="C4741" s="19">
        <v>100</v>
      </c>
      <c r="D4741" s="20">
        <v>10</v>
      </c>
      <c r="E4741" s="20">
        <v>10</v>
      </c>
      <c r="F4741" s="20">
        <v>10</v>
      </c>
      <c r="G4741" s="19">
        <f t="shared" si="347"/>
        <v>172</v>
      </c>
      <c r="H4741" s="22">
        <f t="shared" si="345"/>
        <v>4740</v>
      </c>
      <c r="I4741" s="21">
        <f t="shared" ca="1" si="344"/>
        <v>0</v>
      </c>
      <c r="J4741" s="21" t="str">
        <f ca="1">IF(I4741=0,"",COUNTIF($I$2:I4741,"&gt;0"))</f>
        <v/>
      </c>
      <c r="K4741" s="21" t="str">
        <f t="shared" ca="1" si="346"/>
        <v/>
      </c>
    </row>
    <row r="4742" spans="1:11" s="18" customFormat="1" ht="14.25" x14ac:dyDescent="0.2">
      <c r="A4742" s="18" t="str">
        <f t="shared" si="343"/>
        <v>Eintrag 4741</v>
      </c>
      <c r="B4742" s="18">
        <v>100</v>
      </c>
      <c r="C4742" s="19">
        <v>100</v>
      </c>
      <c r="D4742" s="20">
        <v>10</v>
      </c>
      <c r="E4742" s="20">
        <v>10</v>
      </c>
      <c r="F4742" s="20">
        <v>10</v>
      </c>
      <c r="G4742" s="19">
        <f t="shared" si="347"/>
        <v>172</v>
      </c>
      <c r="H4742" s="22">
        <f t="shared" si="345"/>
        <v>4741</v>
      </c>
      <c r="I4742" s="21">
        <f t="shared" ca="1" si="344"/>
        <v>0</v>
      </c>
      <c r="J4742" s="21" t="str">
        <f ca="1">IF(I4742=0,"",COUNTIF($I$2:I4742,"&gt;0"))</f>
        <v/>
      </c>
      <c r="K4742" s="21" t="str">
        <f t="shared" ca="1" si="346"/>
        <v/>
      </c>
    </row>
    <row r="4743" spans="1:11" s="18" customFormat="1" ht="14.25" x14ac:dyDescent="0.2">
      <c r="A4743" s="18" t="str">
        <f t="shared" si="343"/>
        <v>Eintrag 4742</v>
      </c>
      <c r="B4743" s="18">
        <v>100</v>
      </c>
      <c r="C4743" s="19">
        <v>100</v>
      </c>
      <c r="D4743" s="20">
        <v>10</v>
      </c>
      <c r="E4743" s="20">
        <v>10</v>
      </c>
      <c r="F4743" s="20">
        <v>10</v>
      </c>
      <c r="G4743" s="19">
        <f t="shared" si="347"/>
        <v>172</v>
      </c>
      <c r="H4743" s="22">
        <f t="shared" si="345"/>
        <v>4742</v>
      </c>
      <c r="I4743" s="21">
        <f t="shared" ca="1" si="344"/>
        <v>0</v>
      </c>
      <c r="J4743" s="21" t="str">
        <f ca="1">IF(I4743=0,"",COUNTIF($I$2:I4743,"&gt;0"))</f>
        <v/>
      </c>
      <c r="K4743" s="21" t="str">
        <f t="shared" ca="1" si="346"/>
        <v/>
      </c>
    </row>
    <row r="4744" spans="1:11" s="18" customFormat="1" ht="14.25" x14ac:dyDescent="0.2">
      <c r="A4744" s="18" t="str">
        <f t="shared" si="343"/>
        <v>Eintrag 4743</v>
      </c>
      <c r="B4744" s="18">
        <v>100</v>
      </c>
      <c r="C4744" s="19">
        <v>100</v>
      </c>
      <c r="D4744" s="20">
        <v>10</v>
      </c>
      <c r="E4744" s="20">
        <v>10</v>
      </c>
      <c r="F4744" s="20">
        <v>10</v>
      </c>
      <c r="G4744" s="19">
        <f t="shared" si="347"/>
        <v>172</v>
      </c>
      <c r="H4744" s="22">
        <f t="shared" si="345"/>
        <v>4743</v>
      </c>
      <c r="I4744" s="21">
        <f t="shared" ca="1" si="344"/>
        <v>0</v>
      </c>
      <c r="J4744" s="21" t="str">
        <f ca="1">IF(I4744=0,"",COUNTIF($I$2:I4744,"&gt;0"))</f>
        <v/>
      </c>
      <c r="K4744" s="21" t="str">
        <f t="shared" ca="1" si="346"/>
        <v/>
      </c>
    </row>
    <row r="4745" spans="1:11" s="18" customFormat="1" ht="14.25" x14ac:dyDescent="0.2">
      <c r="A4745" s="18" t="str">
        <f t="shared" si="343"/>
        <v>Eintrag 4744</v>
      </c>
      <c r="B4745" s="18">
        <v>100</v>
      </c>
      <c r="C4745" s="19">
        <v>100</v>
      </c>
      <c r="D4745" s="20">
        <v>10</v>
      </c>
      <c r="E4745" s="20">
        <v>10</v>
      </c>
      <c r="F4745" s="20">
        <v>10</v>
      </c>
      <c r="G4745" s="19">
        <f t="shared" si="347"/>
        <v>172</v>
      </c>
      <c r="H4745" s="22">
        <f t="shared" si="345"/>
        <v>4744</v>
      </c>
      <c r="I4745" s="21">
        <f t="shared" ca="1" si="344"/>
        <v>0</v>
      </c>
      <c r="J4745" s="21" t="str">
        <f ca="1">IF(I4745=0,"",COUNTIF($I$2:I4745,"&gt;0"))</f>
        <v/>
      </c>
      <c r="K4745" s="21" t="str">
        <f t="shared" ca="1" si="346"/>
        <v/>
      </c>
    </row>
    <row r="4746" spans="1:11" s="18" customFormat="1" ht="14.25" x14ac:dyDescent="0.2">
      <c r="A4746" s="18" t="str">
        <f t="shared" si="343"/>
        <v>Eintrag 4745</v>
      </c>
      <c r="B4746" s="18">
        <v>100</v>
      </c>
      <c r="C4746" s="19">
        <v>100</v>
      </c>
      <c r="D4746" s="20">
        <v>10</v>
      </c>
      <c r="E4746" s="20">
        <v>10</v>
      </c>
      <c r="F4746" s="20">
        <v>10</v>
      </c>
      <c r="G4746" s="19">
        <f t="shared" si="347"/>
        <v>172</v>
      </c>
      <c r="H4746" s="22">
        <f t="shared" si="345"/>
        <v>4745</v>
      </c>
      <c r="I4746" s="21">
        <f t="shared" ca="1" si="344"/>
        <v>0</v>
      </c>
      <c r="J4746" s="21" t="str">
        <f ca="1">IF(I4746=0,"",COUNTIF($I$2:I4746,"&gt;0"))</f>
        <v/>
      </c>
      <c r="K4746" s="21" t="str">
        <f t="shared" ca="1" si="346"/>
        <v/>
      </c>
    </row>
    <row r="4747" spans="1:11" s="18" customFormat="1" ht="14.25" x14ac:dyDescent="0.2">
      <c r="A4747" s="18" t="str">
        <f t="shared" si="343"/>
        <v>Eintrag 4746</v>
      </c>
      <c r="B4747" s="18">
        <v>100</v>
      </c>
      <c r="C4747" s="19">
        <v>100</v>
      </c>
      <c r="D4747" s="20">
        <v>10</v>
      </c>
      <c r="E4747" s="20">
        <v>10</v>
      </c>
      <c r="F4747" s="20">
        <v>10</v>
      </c>
      <c r="G4747" s="19">
        <f t="shared" si="347"/>
        <v>172</v>
      </c>
      <c r="H4747" s="22">
        <f t="shared" si="345"/>
        <v>4746</v>
      </c>
      <c r="I4747" s="21">
        <f t="shared" ca="1" si="344"/>
        <v>0</v>
      </c>
      <c r="J4747" s="21" t="str">
        <f ca="1">IF(I4747=0,"",COUNTIF($I$2:I4747,"&gt;0"))</f>
        <v/>
      </c>
      <c r="K4747" s="21" t="str">
        <f t="shared" ca="1" si="346"/>
        <v/>
      </c>
    </row>
    <row r="4748" spans="1:11" s="18" customFormat="1" ht="14.25" x14ac:dyDescent="0.2">
      <c r="A4748" s="18" t="str">
        <f t="shared" si="343"/>
        <v>Eintrag 4747</v>
      </c>
      <c r="B4748" s="18">
        <v>100</v>
      </c>
      <c r="C4748" s="19">
        <v>100</v>
      </c>
      <c r="D4748" s="20">
        <v>10</v>
      </c>
      <c r="E4748" s="20">
        <v>10</v>
      </c>
      <c r="F4748" s="20">
        <v>10</v>
      </c>
      <c r="G4748" s="19">
        <f t="shared" si="347"/>
        <v>172</v>
      </c>
      <c r="H4748" s="22">
        <f t="shared" si="345"/>
        <v>4747</v>
      </c>
      <c r="I4748" s="21">
        <f t="shared" ca="1" si="344"/>
        <v>0</v>
      </c>
      <c r="J4748" s="21" t="str">
        <f ca="1">IF(I4748=0,"",COUNTIF($I$2:I4748,"&gt;0"))</f>
        <v/>
      </c>
      <c r="K4748" s="21" t="str">
        <f t="shared" ca="1" si="346"/>
        <v/>
      </c>
    </row>
    <row r="4749" spans="1:11" s="18" customFormat="1" ht="14.25" x14ac:dyDescent="0.2">
      <c r="A4749" s="18" t="str">
        <f t="shared" si="343"/>
        <v>Eintrag 4748</v>
      </c>
      <c r="B4749" s="18">
        <v>100</v>
      </c>
      <c r="C4749" s="19">
        <v>100</v>
      </c>
      <c r="D4749" s="20">
        <v>10</v>
      </c>
      <c r="E4749" s="20">
        <v>10</v>
      </c>
      <c r="F4749" s="20">
        <v>10</v>
      </c>
      <c r="G4749" s="19">
        <f t="shared" si="347"/>
        <v>172</v>
      </c>
      <c r="H4749" s="22">
        <f t="shared" si="345"/>
        <v>4748</v>
      </c>
      <c r="I4749" s="21">
        <f t="shared" ca="1" si="344"/>
        <v>0</v>
      </c>
      <c r="J4749" s="21" t="str">
        <f ca="1">IF(I4749=0,"",COUNTIF($I$2:I4749,"&gt;0"))</f>
        <v/>
      </c>
      <c r="K4749" s="21" t="str">
        <f t="shared" ca="1" si="346"/>
        <v/>
      </c>
    </row>
    <row r="4750" spans="1:11" s="18" customFormat="1" ht="14.25" x14ac:dyDescent="0.2">
      <c r="A4750" s="18" t="str">
        <f t="shared" si="343"/>
        <v>Eintrag 4749</v>
      </c>
      <c r="B4750" s="18">
        <v>100</v>
      </c>
      <c r="C4750" s="19">
        <v>100</v>
      </c>
      <c r="D4750" s="20">
        <v>10</v>
      </c>
      <c r="E4750" s="20">
        <v>10</v>
      </c>
      <c r="F4750" s="20">
        <v>10</v>
      </c>
      <c r="G4750" s="19">
        <f t="shared" si="347"/>
        <v>172</v>
      </c>
      <c r="H4750" s="22">
        <f t="shared" si="345"/>
        <v>4749</v>
      </c>
      <c r="I4750" s="21">
        <f t="shared" ca="1" si="344"/>
        <v>0</v>
      </c>
      <c r="J4750" s="21" t="str">
        <f ca="1">IF(I4750=0,"",COUNTIF($I$2:I4750,"&gt;0"))</f>
        <v/>
      </c>
      <c r="K4750" s="21" t="str">
        <f t="shared" ca="1" si="346"/>
        <v/>
      </c>
    </row>
    <row r="4751" spans="1:11" s="18" customFormat="1" ht="14.25" x14ac:dyDescent="0.2">
      <c r="A4751" s="18" t="str">
        <f t="shared" si="343"/>
        <v>Eintrag 4750</v>
      </c>
      <c r="B4751" s="18">
        <v>100</v>
      </c>
      <c r="C4751" s="19">
        <v>100</v>
      </c>
      <c r="D4751" s="20">
        <v>10</v>
      </c>
      <c r="E4751" s="20">
        <v>10</v>
      </c>
      <c r="F4751" s="20">
        <v>10</v>
      </c>
      <c r="G4751" s="19">
        <f t="shared" si="347"/>
        <v>172</v>
      </c>
      <c r="H4751" s="22">
        <f t="shared" si="345"/>
        <v>4750</v>
      </c>
      <c r="I4751" s="21">
        <f t="shared" ca="1" si="344"/>
        <v>0</v>
      </c>
      <c r="J4751" s="21" t="str">
        <f ca="1">IF(I4751=0,"",COUNTIF($I$2:I4751,"&gt;0"))</f>
        <v/>
      </c>
      <c r="K4751" s="21" t="str">
        <f t="shared" ca="1" si="346"/>
        <v/>
      </c>
    </row>
    <row r="4752" spans="1:11" s="18" customFormat="1" ht="14.25" x14ac:dyDescent="0.2">
      <c r="A4752" s="18" t="str">
        <f t="shared" si="343"/>
        <v>Eintrag 4751</v>
      </c>
      <c r="B4752" s="18">
        <v>100</v>
      </c>
      <c r="C4752" s="19">
        <v>100</v>
      </c>
      <c r="D4752" s="20">
        <v>10</v>
      </c>
      <c r="E4752" s="20">
        <v>10</v>
      </c>
      <c r="F4752" s="20">
        <v>10</v>
      </c>
      <c r="G4752" s="19">
        <f t="shared" si="347"/>
        <v>172</v>
      </c>
      <c r="H4752" s="22">
        <f t="shared" si="345"/>
        <v>4751</v>
      </c>
      <c r="I4752" s="21">
        <f t="shared" ca="1" si="344"/>
        <v>0</v>
      </c>
      <c r="J4752" s="21" t="str">
        <f ca="1">IF(I4752=0,"",COUNTIF($I$2:I4752,"&gt;0"))</f>
        <v/>
      </c>
      <c r="K4752" s="21" t="str">
        <f t="shared" ca="1" si="346"/>
        <v/>
      </c>
    </row>
    <row r="4753" spans="1:11" s="18" customFormat="1" ht="14.25" x14ac:dyDescent="0.2">
      <c r="A4753" s="18" t="str">
        <f t="shared" si="343"/>
        <v>Eintrag 4752</v>
      </c>
      <c r="B4753" s="18">
        <v>100</v>
      </c>
      <c r="C4753" s="19">
        <v>100</v>
      </c>
      <c r="D4753" s="20">
        <v>10</v>
      </c>
      <c r="E4753" s="20">
        <v>10</v>
      </c>
      <c r="F4753" s="20">
        <v>10</v>
      </c>
      <c r="G4753" s="19">
        <f t="shared" si="347"/>
        <v>172</v>
      </c>
      <c r="H4753" s="22">
        <f t="shared" si="345"/>
        <v>4752</v>
      </c>
      <c r="I4753" s="21">
        <f t="shared" ca="1" si="344"/>
        <v>0</v>
      </c>
      <c r="J4753" s="21" t="str">
        <f ca="1">IF(I4753=0,"",COUNTIF($I$2:I4753,"&gt;0"))</f>
        <v/>
      </c>
      <c r="K4753" s="21" t="str">
        <f t="shared" ca="1" si="346"/>
        <v/>
      </c>
    </row>
    <row r="4754" spans="1:11" s="18" customFormat="1" ht="14.25" x14ac:dyDescent="0.2">
      <c r="A4754" s="18" t="str">
        <f t="shared" si="343"/>
        <v>Eintrag 4753</v>
      </c>
      <c r="B4754" s="18">
        <v>100</v>
      </c>
      <c r="C4754" s="19">
        <v>100</v>
      </c>
      <c r="D4754" s="20">
        <v>10</v>
      </c>
      <c r="E4754" s="20">
        <v>10</v>
      </c>
      <c r="F4754" s="20">
        <v>10</v>
      </c>
      <c r="G4754" s="19">
        <f t="shared" si="347"/>
        <v>172</v>
      </c>
      <c r="H4754" s="22">
        <f t="shared" si="345"/>
        <v>4753</v>
      </c>
      <c r="I4754" s="21">
        <f t="shared" ca="1" si="344"/>
        <v>0</v>
      </c>
      <c r="J4754" s="21" t="str">
        <f ca="1">IF(I4754=0,"",COUNTIF($I$2:I4754,"&gt;0"))</f>
        <v/>
      </c>
      <c r="K4754" s="21" t="str">
        <f t="shared" ca="1" si="346"/>
        <v/>
      </c>
    </row>
    <row r="4755" spans="1:11" s="18" customFormat="1" ht="14.25" x14ac:dyDescent="0.2">
      <c r="A4755" s="18" t="str">
        <f t="shared" si="343"/>
        <v>Eintrag 4754</v>
      </c>
      <c r="B4755" s="18">
        <v>100</v>
      </c>
      <c r="C4755" s="19">
        <v>100</v>
      </c>
      <c r="D4755" s="20">
        <v>10</v>
      </c>
      <c r="E4755" s="20">
        <v>10</v>
      </c>
      <c r="F4755" s="20">
        <v>10</v>
      </c>
      <c r="G4755" s="19">
        <f t="shared" si="347"/>
        <v>172</v>
      </c>
      <c r="H4755" s="22">
        <f t="shared" si="345"/>
        <v>4754</v>
      </c>
      <c r="I4755" s="21">
        <f t="shared" ca="1" si="344"/>
        <v>0</v>
      </c>
      <c r="J4755" s="21" t="str">
        <f ca="1">IF(I4755=0,"",COUNTIF($I$2:I4755,"&gt;0"))</f>
        <v/>
      </c>
      <c r="K4755" s="21" t="str">
        <f t="shared" ca="1" si="346"/>
        <v/>
      </c>
    </row>
    <row r="4756" spans="1:11" s="18" customFormat="1" ht="14.25" x14ac:dyDescent="0.2">
      <c r="A4756" s="18" t="str">
        <f t="shared" si="343"/>
        <v>Eintrag 4755</v>
      </c>
      <c r="B4756" s="18">
        <v>100</v>
      </c>
      <c r="C4756" s="19">
        <v>100</v>
      </c>
      <c r="D4756" s="20">
        <v>10</v>
      </c>
      <c r="E4756" s="20">
        <v>10</v>
      </c>
      <c r="F4756" s="20">
        <v>10</v>
      </c>
      <c r="G4756" s="19">
        <f t="shared" si="347"/>
        <v>172</v>
      </c>
      <c r="H4756" s="22">
        <f t="shared" si="345"/>
        <v>4755</v>
      </c>
      <c r="I4756" s="21">
        <f t="shared" ca="1" si="344"/>
        <v>0</v>
      </c>
      <c r="J4756" s="21" t="str">
        <f ca="1">IF(I4756=0,"",COUNTIF($I$2:I4756,"&gt;0"))</f>
        <v/>
      </c>
      <c r="K4756" s="21" t="str">
        <f t="shared" ca="1" si="346"/>
        <v/>
      </c>
    </row>
    <row r="4757" spans="1:11" s="18" customFormat="1" ht="14.25" x14ac:dyDescent="0.2">
      <c r="A4757" s="18" t="str">
        <f t="shared" ref="A4757:A4820" si="348">CONCATENATE("Eintrag ",H4757)</f>
        <v>Eintrag 4756</v>
      </c>
      <c r="B4757" s="18">
        <v>100</v>
      </c>
      <c r="C4757" s="19">
        <v>100</v>
      </c>
      <c r="D4757" s="20">
        <v>10</v>
      </c>
      <c r="E4757" s="20">
        <v>10</v>
      </c>
      <c r="F4757" s="20">
        <v>10</v>
      </c>
      <c r="G4757" s="19">
        <f t="shared" si="347"/>
        <v>172</v>
      </c>
      <c r="H4757" s="22">
        <f t="shared" si="345"/>
        <v>4756</v>
      </c>
      <c r="I4757" s="21">
        <f t="shared" ca="1" si="344"/>
        <v>0</v>
      </c>
      <c r="J4757" s="21" t="str">
        <f ca="1">IF(I4757=0,"",COUNTIF($I$2:I4757,"&gt;0"))</f>
        <v/>
      </c>
      <c r="K4757" s="21" t="str">
        <f t="shared" ca="1" si="346"/>
        <v/>
      </c>
    </row>
    <row r="4758" spans="1:11" s="18" customFormat="1" ht="14.25" x14ac:dyDescent="0.2">
      <c r="A4758" s="18" t="str">
        <f t="shared" si="348"/>
        <v>Eintrag 4757</v>
      </c>
      <c r="B4758" s="18">
        <v>100</v>
      </c>
      <c r="C4758" s="19">
        <v>100</v>
      </c>
      <c r="D4758" s="20">
        <v>10</v>
      </c>
      <c r="E4758" s="20">
        <v>10</v>
      </c>
      <c r="F4758" s="20">
        <v>10</v>
      </c>
      <c r="G4758" s="19">
        <f t="shared" si="347"/>
        <v>172</v>
      </c>
      <c r="H4758" s="22">
        <f t="shared" si="345"/>
        <v>4757</v>
      </c>
      <c r="I4758" s="21">
        <f t="shared" ca="1" si="344"/>
        <v>0</v>
      </c>
      <c r="J4758" s="21" t="str">
        <f ca="1">IF(I4758=0,"",COUNTIF($I$2:I4758,"&gt;0"))</f>
        <v/>
      </c>
      <c r="K4758" s="21" t="str">
        <f t="shared" ca="1" si="346"/>
        <v/>
      </c>
    </row>
    <row r="4759" spans="1:11" s="18" customFormat="1" ht="14.25" x14ac:dyDescent="0.2">
      <c r="A4759" s="18" t="str">
        <f t="shared" si="348"/>
        <v>Eintrag 4758</v>
      </c>
      <c r="B4759" s="18">
        <v>100</v>
      </c>
      <c r="C4759" s="19">
        <v>100</v>
      </c>
      <c r="D4759" s="20">
        <v>10</v>
      </c>
      <c r="E4759" s="20">
        <v>10</v>
      </c>
      <c r="F4759" s="20">
        <v>10</v>
      </c>
      <c r="G4759" s="19">
        <f t="shared" si="347"/>
        <v>172</v>
      </c>
      <c r="H4759" s="22">
        <f t="shared" si="345"/>
        <v>4758</v>
      </c>
      <c r="I4759" s="21">
        <f t="shared" ca="1" si="344"/>
        <v>0</v>
      </c>
      <c r="J4759" s="21" t="str">
        <f ca="1">IF(I4759=0,"",COUNTIF($I$2:I4759,"&gt;0"))</f>
        <v/>
      </c>
      <c r="K4759" s="21" t="str">
        <f t="shared" ca="1" si="346"/>
        <v/>
      </c>
    </row>
    <row r="4760" spans="1:11" s="18" customFormat="1" ht="14.25" x14ac:dyDescent="0.2">
      <c r="A4760" s="18" t="str">
        <f t="shared" si="348"/>
        <v>Eintrag 4759</v>
      </c>
      <c r="B4760" s="18">
        <v>100</v>
      </c>
      <c r="C4760" s="19">
        <v>100</v>
      </c>
      <c r="D4760" s="20">
        <v>10</v>
      </c>
      <c r="E4760" s="20">
        <v>10</v>
      </c>
      <c r="F4760" s="20">
        <v>10</v>
      </c>
      <c r="G4760" s="19">
        <f t="shared" si="347"/>
        <v>172</v>
      </c>
      <c r="H4760" s="22">
        <f t="shared" si="345"/>
        <v>4759</v>
      </c>
      <c r="I4760" s="21">
        <f t="shared" ca="1" si="344"/>
        <v>0</v>
      </c>
      <c r="J4760" s="21" t="str">
        <f ca="1">IF(I4760=0,"",COUNTIF($I$2:I4760,"&gt;0"))</f>
        <v/>
      </c>
      <c r="K4760" s="21" t="str">
        <f t="shared" ca="1" si="346"/>
        <v/>
      </c>
    </row>
    <row r="4761" spans="1:11" s="18" customFormat="1" ht="14.25" x14ac:dyDescent="0.2">
      <c r="A4761" s="18" t="str">
        <f t="shared" si="348"/>
        <v>Eintrag 4760</v>
      </c>
      <c r="B4761" s="18">
        <v>100</v>
      </c>
      <c r="C4761" s="19">
        <v>100</v>
      </c>
      <c r="D4761" s="20">
        <v>10</v>
      </c>
      <c r="E4761" s="20">
        <v>10</v>
      </c>
      <c r="F4761" s="20">
        <v>10</v>
      </c>
      <c r="G4761" s="19">
        <f t="shared" si="347"/>
        <v>172</v>
      </c>
      <c r="H4761" s="22">
        <f t="shared" si="345"/>
        <v>4760</v>
      </c>
      <c r="I4761" s="21">
        <f t="shared" ca="1" si="344"/>
        <v>0</v>
      </c>
      <c r="J4761" s="21" t="str">
        <f ca="1">IF(I4761=0,"",COUNTIF($I$2:I4761,"&gt;0"))</f>
        <v/>
      </c>
      <c r="K4761" s="21" t="str">
        <f t="shared" ca="1" si="346"/>
        <v/>
      </c>
    </row>
    <row r="4762" spans="1:11" s="18" customFormat="1" ht="14.25" x14ac:dyDescent="0.2">
      <c r="A4762" s="18" t="str">
        <f t="shared" si="348"/>
        <v>Eintrag 4761</v>
      </c>
      <c r="B4762" s="18">
        <v>100</v>
      </c>
      <c r="C4762" s="19">
        <v>100</v>
      </c>
      <c r="D4762" s="20">
        <v>10</v>
      </c>
      <c r="E4762" s="20">
        <v>10</v>
      </c>
      <c r="F4762" s="20">
        <v>10</v>
      </c>
      <c r="G4762" s="19">
        <f t="shared" si="347"/>
        <v>172</v>
      </c>
      <c r="H4762" s="22">
        <f t="shared" si="345"/>
        <v>4761</v>
      </c>
      <c r="I4762" s="21">
        <f t="shared" ca="1" si="344"/>
        <v>0</v>
      </c>
      <c r="J4762" s="21" t="str">
        <f ca="1">IF(I4762=0,"",COUNTIF($I$2:I4762,"&gt;0"))</f>
        <v/>
      </c>
      <c r="K4762" s="21" t="str">
        <f t="shared" ca="1" si="346"/>
        <v/>
      </c>
    </row>
    <row r="4763" spans="1:11" s="18" customFormat="1" ht="14.25" x14ac:dyDescent="0.2">
      <c r="A4763" s="18" t="str">
        <f t="shared" si="348"/>
        <v>Eintrag 4762</v>
      </c>
      <c r="B4763" s="18">
        <v>100</v>
      </c>
      <c r="C4763" s="19">
        <v>100</v>
      </c>
      <c r="D4763" s="20">
        <v>10</v>
      </c>
      <c r="E4763" s="20">
        <v>10</v>
      </c>
      <c r="F4763" s="20">
        <v>10</v>
      </c>
      <c r="G4763" s="19">
        <f t="shared" si="347"/>
        <v>172</v>
      </c>
      <c r="H4763" s="22">
        <f t="shared" si="345"/>
        <v>4762</v>
      </c>
      <c r="I4763" s="21">
        <f t="shared" ca="1" si="344"/>
        <v>0</v>
      </c>
      <c r="J4763" s="21" t="str">
        <f ca="1">IF(I4763=0,"",COUNTIF($I$2:I4763,"&gt;0"))</f>
        <v/>
      </c>
      <c r="K4763" s="21" t="str">
        <f t="shared" ca="1" si="346"/>
        <v/>
      </c>
    </row>
    <row r="4764" spans="1:11" s="18" customFormat="1" ht="14.25" x14ac:dyDescent="0.2">
      <c r="A4764" s="18" t="str">
        <f t="shared" si="348"/>
        <v>Eintrag 4763</v>
      </c>
      <c r="B4764" s="18">
        <v>100</v>
      </c>
      <c r="C4764" s="19">
        <v>100</v>
      </c>
      <c r="D4764" s="20">
        <v>10</v>
      </c>
      <c r="E4764" s="20">
        <v>10</v>
      </c>
      <c r="F4764" s="20">
        <v>10</v>
      </c>
      <c r="G4764" s="19">
        <f t="shared" si="347"/>
        <v>172</v>
      </c>
      <c r="H4764" s="22">
        <f t="shared" si="345"/>
        <v>4763</v>
      </c>
      <c r="I4764" s="21">
        <f t="shared" ca="1" si="344"/>
        <v>0</v>
      </c>
      <c r="J4764" s="21" t="str">
        <f ca="1">IF(I4764=0,"",COUNTIF($I$2:I4764,"&gt;0"))</f>
        <v/>
      </c>
      <c r="K4764" s="21" t="str">
        <f t="shared" ca="1" si="346"/>
        <v/>
      </c>
    </row>
    <row r="4765" spans="1:11" s="18" customFormat="1" ht="14.25" x14ac:dyDescent="0.2">
      <c r="A4765" s="18" t="str">
        <f t="shared" si="348"/>
        <v>Eintrag 4764</v>
      </c>
      <c r="B4765" s="18">
        <v>100</v>
      </c>
      <c r="C4765" s="19">
        <v>100</v>
      </c>
      <c r="D4765" s="20">
        <v>10</v>
      </c>
      <c r="E4765" s="20">
        <v>10</v>
      </c>
      <c r="F4765" s="20">
        <v>10</v>
      </c>
      <c r="G4765" s="19">
        <f t="shared" si="347"/>
        <v>172</v>
      </c>
      <c r="H4765" s="22">
        <f t="shared" si="345"/>
        <v>4764</v>
      </c>
      <c r="I4765" s="21">
        <f t="shared" ca="1" si="344"/>
        <v>0</v>
      </c>
      <c r="J4765" s="21" t="str">
        <f ca="1">IF(I4765=0,"",COUNTIF($I$2:I4765,"&gt;0"))</f>
        <v/>
      </c>
      <c r="K4765" s="21" t="str">
        <f t="shared" ca="1" si="346"/>
        <v/>
      </c>
    </row>
    <row r="4766" spans="1:11" s="18" customFormat="1" ht="14.25" x14ac:dyDescent="0.2">
      <c r="A4766" s="18" t="str">
        <f t="shared" si="348"/>
        <v>Eintrag 4765</v>
      </c>
      <c r="B4766" s="18">
        <v>100</v>
      </c>
      <c r="C4766" s="19">
        <v>100</v>
      </c>
      <c r="D4766" s="20">
        <v>10</v>
      </c>
      <c r="E4766" s="20">
        <v>10</v>
      </c>
      <c r="F4766" s="20">
        <v>10</v>
      </c>
      <c r="G4766" s="19">
        <f t="shared" si="347"/>
        <v>172</v>
      </c>
      <c r="H4766" s="22">
        <f t="shared" si="345"/>
        <v>4765</v>
      </c>
      <c r="I4766" s="21">
        <f t="shared" ca="1" si="344"/>
        <v>0</v>
      </c>
      <c r="J4766" s="21" t="str">
        <f ca="1">IF(I4766=0,"",COUNTIF($I$2:I4766,"&gt;0"))</f>
        <v/>
      </c>
      <c r="K4766" s="21" t="str">
        <f t="shared" ca="1" si="346"/>
        <v/>
      </c>
    </row>
    <row r="4767" spans="1:11" s="18" customFormat="1" ht="14.25" x14ac:dyDescent="0.2">
      <c r="A4767" s="18" t="str">
        <f t="shared" si="348"/>
        <v>Eintrag 4766</v>
      </c>
      <c r="B4767" s="18">
        <v>100</v>
      </c>
      <c r="C4767" s="19">
        <v>100</v>
      </c>
      <c r="D4767" s="20">
        <v>10</v>
      </c>
      <c r="E4767" s="20">
        <v>10</v>
      </c>
      <c r="F4767" s="20">
        <v>10</v>
      </c>
      <c r="G4767" s="19">
        <f t="shared" si="347"/>
        <v>172</v>
      </c>
      <c r="H4767" s="22">
        <f t="shared" si="345"/>
        <v>4766</v>
      </c>
      <c r="I4767" s="21">
        <f t="shared" ref="I4767:I4830" ca="1" si="349">IFERROR(SEARCH(INDIRECT(CELL("address")),A4767),0)</f>
        <v>0</v>
      </c>
      <c r="J4767" s="21" t="str">
        <f ca="1">IF(I4767=0,"",COUNTIF($I$2:I4767,"&gt;0"))</f>
        <v/>
      </c>
      <c r="K4767" s="21" t="str">
        <f t="shared" ca="1" si="346"/>
        <v/>
      </c>
    </row>
    <row r="4768" spans="1:11" s="18" customFormat="1" ht="14.25" x14ac:dyDescent="0.2">
      <c r="A4768" s="18" t="str">
        <f t="shared" si="348"/>
        <v>Eintrag 4767</v>
      </c>
      <c r="B4768" s="18">
        <v>100</v>
      </c>
      <c r="C4768" s="19">
        <v>100</v>
      </c>
      <c r="D4768" s="20">
        <v>10</v>
      </c>
      <c r="E4768" s="20">
        <v>10</v>
      </c>
      <c r="F4768" s="20">
        <v>10</v>
      </c>
      <c r="G4768" s="19">
        <f t="shared" si="347"/>
        <v>172</v>
      </c>
      <c r="H4768" s="22">
        <f t="shared" si="345"/>
        <v>4767</v>
      </c>
      <c r="I4768" s="21">
        <f t="shared" ca="1" si="349"/>
        <v>0</v>
      </c>
      <c r="J4768" s="21" t="str">
        <f ca="1">IF(I4768=0,"",COUNTIF($I$2:I4768,"&gt;0"))</f>
        <v/>
      </c>
      <c r="K4768" s="21" t="str">
        <f t="shared" ca="1" si="346"/>
        <v/>
      </c>
    </row>
    <row r="4769" spans="1:11" s="18" customFormat="1" ht="14.25" x14ac:dyDescent="0.2">
      <c r="A4769" s="18" t="str">
        <f t="shared" si="348"/>
        <v>Eintrag 4768</v>
      </c>
      <c r="B4769" s="18">
        <v>100</v>
      </c>
      <c r="C4769" s="19">
        <v>100</v>
      </c>
      <c r="D4769" s="20">
        <v>10</v>
      </c>
      <c r="E4769" s="20">
        <v>10</v>
      </c>
      <c r="F4769" s="20">
        <v>10</v>
      </c>
      <c r="G4769" s="19">
        <f t="shared" si="347"/>
        <v>172</v>
      </c>
      <c r="H4769" s="22">
        <f t="shared" si="345"/>
        <v>4768</v>
      </c>
      <c r="I4769" s="21">
        <f t="shared" ca="1" si="349"/>
        <v>0</v>
      </c>
      <c r="J4769" s="21" t="str">
        <f ca="1">IF(I4769=0,"",COUNTIF($I$2:I4769,"&gt;0"))</f>
        <v/>
      </c>
      <c r="K4769" s="21" t="str">
        <f t="shared" ca="1" si="346"/>
        <v/>
      </c>
    </row>
    <row r="4770" spans="1:11" s="18" customFormat="1" ht="14.25" x14ac:dyDescent="0.2">
      <c r="A4770" s="18" t="str">
        <f t="shared" si="348"/>
        <v>Eintrag 4769</v>
      </c>
      <c r="B4770" s="18">
        <v>100</v>
      </c>
      <c r="C4770" s="19">
        <v>100</v>
      </c>
      <c r="D4770" s="20">
        <v>10</v>
      </c>
      <c r="E4770" s="20">
        <v>10</v>
      </c>
      <c r="F4770" s="20">
        <v>10</v>
      </c>
      <c r="G4770" s="19">
        <f t="shared" si="347"/>
        <v>172</v>
      </c>
      <c r="H4770" s="22">
        <f t="shared" si="345"/>
        <v>4769</v>
      </c>
      <c r="I4770" s="21">
        <f t="shared" ca="1" si="349"/>
        <v>0</v>
      </c>
      <c r="J4770" s="21" t="str">
        <f ca="1">IF(I4770=0,"",COUNTIF($I$2:I4770,"&gt;0"))</f>
        <v/>
      </c>
      <c r="K4770" s="21" t="str">
        <f t="shared" ca="1" si="346"/>
        <v/>
      </c>
    </row>
    <row r="4771" spans="1:11" s="18" customFormat="1" ht="14.25" x14ac:dyDescent="0.2">
      <c r="A4771" s="18" t="str">
        <f t="shared" si="348"/>
        <v>Eintrag 4770</v>
      </c>
      <c r="B4771" s="18">
        <v>100</v>
      </c>
      <c r="C4771" s="19">
        <v>100</v>
      </c>
      <c r="D4771" s="20">
        <v>10</v>
      </c>
      <c r="E4771" s="20">
        <v>10</v>
      </c>
      <c r="F4771" s="20">
        <v>10</v>
      </c>
      <c r="G4771" s="19">
        <f t="shared" si="347"/>
        <v>172</v>
      </c>
      <c r="H4771" s="22">
        <f t="shared" si="345"/>
        <v>4770</v>
      </c>
      <c r="I4771" s="21">
        <f t="shared" ca="1" si="349"/>
        <v>0</v>
      </c>
      <c r="J4771" s="21" t="str">
        <f ca="1">IF(I4771=0,"",COUNTIF($I$2:I4771,"&gt;0"))</f>
        <v/>
      </c>
      <c r="K4771" s="21" t="str">
        <f t="shared" ca="1" si="346"/>
        <v/>
      </c>
    </row>
    <row r="4772" spans="1:11" s="18" customFormat="1" ht="14.25" x14ac:dyDescent="0.2">
      <c r="A4772" s="18" t="str">
        <f t="shared" si="348"/>
        <v>Eintrag 4771</v>
      </c>
      <c r="B4772" s="18">
        <v>100</v>
      </c>
      <c r="C4772" s="19">
        <v>100</v>
      </c>
      <c r="D4772" s="20">
        <v>10</v>
      </c>
      <c r="E4772" s="20">
        <v>10</v>
      </c>
      <c r="F4772" s="20">
        <v>10</v>
      </c>
      <c r="G4772" s="19">
        <f t="shared" si="347"/>
        <v>172</v>
      </c>
      <c r="H4772" s="22">
        <f t="shared" si="345"/>
        <v>4771</v>
      </c>
      <c r="I4772" s="21">
        <f t="shared" ca="1" si="349"/>
        <v>0</v>
      </c>
      <c r="J4772" s="21" t="str">
        <f ca="1">IF(I4772=0,"",COUNTIF($I$2:I4772,"&gt;0"))</f>
        <v/>
      </c>
      <c r="K4772" s="21" t="str">
        <f t="shared" ca="1" si="346"/>
        <v/>
      </c>
    </row>
    <row r="4773" spans="1:11" s="18" customFormat="1" ht="14.25" x14ac:dyDescent="0.2">
      <c r="A4773" s="18" t="str">
        <f t="shared" si="348"/>
        <v>Eintrag 4772</v>
      </c>
      <c r="B4773" s="18">
        <v>100</v>
      </c>
      <c r="C4773" s="19">
        <v>100</v>
      </c>
      <c r="D4773" s="20">
        <v>10</v>
      </c>
      <c r="E4773" s="20">
        <v>10</v>
      </c>
      <c r="F4773" s="20">
        <v>10</v>
      </c>
      <c r="G4773" s="19">
        <f t="shared" si="347"/>
        <v>172</v>
      </c>
      <c r="H4773" s="22">
        <f t="shared" ref="H4773:H4836" si="350">H4772+1</f>
        <v>4772</v>
      </c>
      <c r="I4773" s="21">
        <f t="shared" ca="1" si="349"/>
        <v>0</v>
      </c>
      <c r="J4773" s="21" t="str">
        <f ca="1">IF(I4773=0,"",COUNTIF($I$2:I4773,"&gt;0"))</f>
        <v/>
      </c>
      <c r="K4773" s="21" t="str">
        <f t="shared" ca="1" si="346"/>
        <v/>
      </c>
    </row>
    <row r="4774" spans="1:11" s="18" customFormat="1" ht="14.25" x14ac:dyDescent="0.2">
      <c r="A4774" s="18" t="str">
        <f t="shared" si="348"/>
        <v>Eintrag 4773</v>
      </c>
      <c r="B4774" s="18">
        <v>100</v>
      </c>
      <c r="C4774" s="19">
        <v>100</v>
      </c>
      <c r="D4774" s="20">
        <v>10</v>
      </c>
      <c r="E4774" s="20">
        <v>10</v>
      </c>
      <c r="F4774" s="20">
        <v>10</v>
      </c>
      <c r="G4774" s="19">
        <f t="shared" si="347"/>
        <v>172</v>
      </c>
      <c r="H4774" s="22">
        <f t="shared" si="350"/>
        <v>4773</v>
      </c>
      <c r="I4774" s="21">
        <f t="shared" ca="1" si="349"/>
        <v>0</v>
      </c>
      <c r="J4774" s="21" t="str">
        <f ca="1">IF(I4774=0,"",COUNTIF($I$2:I4774,"&gt;0"))</f>
        <v/>
      </c>
      <c r="K4774" s="21" t="str">
        <f t="shared" ca="1" si="346"/>
        <v/>
      </c>
    </row>
    <row r="4775" spans="1:11" s="18" customFormat="1" ht="14.25" x14ac:dyDescent="0.2">
      <c r="A4775" s="18" t="str">
        <f t="shared" si="348"/>
        <v>Eintrag 4774</v>
      </c>
      <c r="B4775" s="18">
        <v>100</v>
      </c>
      <c r="C4775" s="19">
        <v>100</v>
      </c>
      <c r="D4775" s="20">
        <v>10</v>
      </c>
      <c r="E4775" s="20">
        <v>10</v>
      </c>
      <c r="F4775" s="20">
        <v>10</v>
      </c>
      <c r="G4775" s="19">
        <f t="shared" si="347"/>
        <v>172</v>
      </c>
      <c r="H4775" s="22">
        <f t="shared" si="350"/>
        <v>4774</v>
      </c>
      <c r="I4775" s="21">
        <f t="shared" ca="1" si="349"/>
        <v>0</v>
      </c>
      <c r="J4775" s="21" t="str">
        <f ca="1">IF(I4775=0,"",COUNTIF($I$2:I4775,"&gt;0"))</f>
        <v/>
      </c>
      <c r="K4775" s="21" t="str">
        <f t="shared" ca="1" si="346"/>
        <v/>
      </c>
    </row>
    <row r="4776" spans="1:11" s="18" customFormat="1" ht="14.25" x14ac:dyDescent="0.2">
      <c r="A4776" s="18" t="str">
        <f t="shared" si="348"/>
        <v>Eintrag 4775</v>
      </c>
      <c r="B4776" s="18">
        <v>100</v>
      </c>
      <c r="C4776" s="19">
        <v>100</v>
      </c>
      <c r="D4776" s="20">
        <v>10</v>
      </c>
      <c r="E4776" s="20">
        <v>10</v>
      </c>
      <c r="F4776" s="20">
        <v>10</v>
      </c>
      <c r="G4776" s="19">
        <f t="shared" si="347"/>
        <v>172</v>
      </c>
      <c r="H4776" s="22">
        <f t="shared" si="350"/>
        <v>4775</v>
      </c>
      <c r="I4776" s="21">
        <f t="shared" ca="1" si="349"/>
        <v>0</v>
      </c>
      <c r="J4776" s="21" t="str">
        <f ca="1">IF(I4776=0,"",COUNTIF($I$2:I4776,"&gt;0"))</f>
        <v/>
      </c>
      <c r="K4776" s="21" t="str">
        <f t="shared" ca="1" si="346"/>
        <v/>
      </c>
    </row>
    <row r="4777" spans="1:11" s="18" customFormat="1" ht="14.25" x14ac:dyDescent="0.2">
      <c r="A4777" s="18" t="str">
        <f t="shared" si="348"/>
        <v>Eintrag 4776</v>
      </c>
      <c r="B4777" s="18">
        <v>100</v>
      </c>
      <c r="C4777" s="19">
        <v>100</v>
      </c>
      <c r="D4777" s="20">
        <v>10</v>
      </c>
      <c r="E4777" s="20">
        <v>10</v>
      </c>
      <c r="F4777" s="20">
        <v>10</v>
      </c>
      <c r="G4777" s="19">
        <f t="shared" si="347"/>
        <v>172</v>
      </c>
      <c r="H4777" s="22">
        <f t="shared" si="350"/>
        <v>4776</v>
      </c>
      <c r="I4777" s="21">
        <f t="shared" ca="1" si="349"/>
        <v>0</v>
      </c>
      <c r="J4777" s="21" t="str">
        <f ca="1">IF(I4777=0,"",COUNTIF($I$2:I4777,"&gt;0"))</f>
        <v/>
      </c>
      <c r="K4777" s="21" t="str">
        <f t="shared" ca="1" si="346"/>
        <v/>
      </c>
    </row>
    <row r="4778" spans="1:11" s="18" customFormat="1" ht="14.25" x14ac:dyDescent="0.2">
      <c r="A4778" s="18" t="str">
        <f t="shared" si="348"/>
        <v>Eintrag 4777</v>
      </c>
      <c r="B4778" s="18">
        <v>100</v>
      </c>
      <c r="C4778" s="19">
        <v>100</v>
      </c>
      <c r="D4778" s="20">
        <v>10</v>
      </c>
      <c r="E4778" s="20">
        <v>10</v>
      </c>
      <c r="F4778" s="20">
        <v>10</v>
      </c>
      <c r="G4778" s="19">
        <f t="shared" si="347"/>
        <v>172</v>
      </c>
      <c r="H4778" s="22">
        <f t="shared" si="350"/>
        <v>4777</v>
      </c>
      <c r="I4778" s="21">
        <f t="shared" ca="1" si="349"/>
        <v>0</v>
      </c>
      <c r="J4778" s="21" t="str">
        <f ca="1">IF(I4778=0,"",COUNTIF($I$2:I4778,"&gt;0"))</f>
        <v/>
      </c>
      <c r="K4778" s="21" t="str">
        <f t="shared" ca="1" si="346"/>
        <v/>
      </c>
    </row>
    <row r="4779" spans="1:11" s="18" customFormat="1" ht="14.25" x14ac:dyDescent="0.2">
      <c r="A4779" s="18" t="str">
        <f t="shared" si="348"/>
        <v>Eintrag 4778</v>
      </c>
      <c r="B4779" s="18">
        <v>100</v>
      </c>
      <c r="C4779" s="19">
        <v>100</v>
      </c>
      <c r="D4779" s="20">
        <v>10</v>
      </c>
      <c r="E4779" s="20">
        <v>10</v>
      </c>
      <c r="F4779" s="20">
        <v>10</v>
      </c>
      <c r="G4779" s="19">
        <f t="shared" si="347"/>
        <v>172</v>
      </c>
      <c r="H4779" s="22">
        <f t="shared" si="350"/>
        <v>4778</v>
      </c>
      <c r="I4779" s="21">
        <f t="shared" ca="1" si="349"/>
        <v>0</v>
      </c>
      <c r="J4779" s="21" t="str">
        <f ca="1">IF(I4779=0,"",COUNTIF($I$2:I4779,"&gt;0"))</f>
        <v/>
      </c>
      <c r="K4779" s="21" t="str">
        <f t="shared" ca="1" si="346"/>
        <v/>
      </c>
    </row>
    <row r="4780" spans="1:11" s="18" customFormat="1" ht="14.25" x14ac:dyDescent="0.2">
      <c r="A4780" s="18" t="str">
        <f t="shared" si="348"/>
        <v>Eintrag 4779</v>
      </c>
      <c r="B4780" s="18">
        <v>100</v>
      </c>
      <c r="C4780" s="19">
        <v>100</v>
      </c>
      <c r="D4780" s="20">
        <v>10</v>
      </c>
      <c r="E4780" s="20">
        <v>10</v>
      </c>
      <c r="F4780" s="20">
        <v>10</v>
      </c>
      <c r="G4780" s="19">
        <f t="shared" si="347"/>
        <v>172</v>
      </c>
      <c r="H4780" s="22">
        <f t="shared" si="350"/>
        <v>4779</v>
      </c>
      <c r="I4780" s="21">
        <f t="shared" ca="1" si="349"/>
        <v>0</v>
      </c>
      <c r="J4780" s="21" t="str">
        <f ca="1">IF(I4780=0,"",COUNTIF($I$2:I4780,"&gt;0"))</f>
        <v/>
      </c>
      <c r="K4780" s="21" t="str">
        <f t="shared" ca="1" si="346"/>
        <v/>
      </c>
    </row>
    <row r="4781" spans="1:11" s="18" customFormat="1" ht="14.25" x14ac:dyDescent="0.2">
      <c r="A4781" s="18" t="str">
        <f t="shared" si="348"/>
        <v>Eintrag 4780</v>
      </c>
      <c r="B4781" s="18">
        <v>100</v>
      </c>
      <c r="C4781" s="19">
        <v>100</v>
      </c>
      <c r="D4781" s="20">
        <v>10</v>
      </c>
      <c r="E4781" s="20">
        <v>10</v>
      </c>
      <c r="F4781" s="20">
        <v>10</v>
      </c>
      <c r="G4781" s="19">
        <f t="shared" si="347"/>
        <v>172</v>
      </c>
      <c r="H4781" s="22">
        <f t="shared" si="350"/>
        <v>4780</v>
      </c>
      <c r="I4781" s="21">
        <f t="shared" ca="1" si="349"/>
        <v>0</v>
      </c>
      <c r="J4781" s="21" t="str">
        <f ca="1">IF(I4781=0,"",COUNTIF($I$2:I4781,"&gt;0"))</f>
        <v/>
      </c>
      <c r="K4781" s="21" t="str">
        <f t="shared" ca="1" si="346"/>
        <v/>
      </c>
    </row>
    <row r="4782" spans="1:11" s="18" customFormat="1" ht="14.25" x14ac:dyDescent="0.2">
      <c r="A4782" s="18" t="str">
        <f t="shared" si="348"/>
        <v>Eintrag 4781</v>
      </c>
      <c r="B4782" s="18">
        <v>100</v>
      </c>
      <c r="C4782" s="19">
        <v>100</v>
      </c>
      <c r="D4782" s="20">
        <v>10</v>
      </c>
      <c r="E4782" s="20">
        <v>10</v>
      </c>
      <c r="F4782" s="20">
        <v>10</v>
      </c>
      <c r="G4782" s="19">
        <f t="shared" si="347"/>
        <v>172</v>
      </c>
      <c r="H4782" s="22">
        <f t="shared" si="350"/>
        <v>4781</v>
      </c>
      <c r="I4782" s="21">
        <f t="shared" ca="1" si="349"/>
        <v>0</v>
      </c>
      <c r="J4782" s="21" t="str">
        <f ca="1">IF(I4782=0,"",COUNTIF($I$2:I4782,"&gt;0"))</f>
        <v/>
      </c>
      <c r="K4782" s="21" t="str">
        <f t="shared" ca="1" si="346"/>
        <v/>
      </c>
    </row>
    <row r="4783" spans="1:11" s="18" customFormat="1" ht="14.25" x14ac:dyDescent="0.2">
      <c r="A4783" s="18" t="str">
        <f t="shared" si="348"/>
        <v>Eintrag 4782</v>
      </c>
      <c r="B4783" s="18">
        <v>100</v>
      </c>
      <c r="C4783" s="19">
        <v>100</v>
      </c>
      <c r="D4783" s="20">
        <v>10</v>
      </c>
      <c r="E4783" s="20">
        <v>10</v>
      </c>
      <c r="F4783" s="20">
        <v>10</v>
      </c>
      <c r="G4783" s="19">
        <f t="shared" si="347"/>
        <v>172</v>
      </c>
      <c r="H4783" s="22">
        <f t="shared" si="350"/>
        <v>4782</v>
      </c>
      <c r="I4783" s="21">
        <f t="shared" ca="1" si="349"/>
        <v>0</v>
      </c>
      <c r="J4783" s="21" t="str">
        <f ca="1">IF(I4783=0,"",COUNTIF($I$2:I4783,"&gt;0"))</f>
        <v/>
      </c>
      <c r="K4783" s="21" t="str">
        <f t="shared" ca="1" si="346"/>
        <v/>
      </c>
    </row>
    <row r="4784" spans="1:11" s="18" customFormat="1" ht="14.25" x14ac:dyDescent="0.2">
      <c r="A4784" s="18" t="str">
        <f t="shared" si="348"/>
        <v>Eintrag 4783</v>
      </c>
      <c r="B4784" s="18">
        <v>100</v>
      </c>
      <c r="C4784" s="19">
        <v>100</v>
      </c>
      <c r="D4784" s="20">
        <v>10</v>
      </c>
      <c r="E4784" s="20">
        <v>10</v>
      </c>
      <c r="F4784" s="20">
        <v>10</v>
      </c>
      <c r="G4784" s="19">
        <f t="shared" si="347"/>
        <v>172</v>
      </c>
      <c r="H4784" s="22">
        <f t="shared" si="350"/>
        <v>4783</v>
      </c>
      <c r="I4784" s="21">
        <f t="shared" ca="1" si="349"/>
        <v>0</v>
      </c>
      <c r="J4784" s="21" t="str">
        <f ca="1">IF(I4784=0,"",COUNTIF($I$2:I4784,"&gt;0"))</f>
        <v/>
      </c>
      <c r="K4784" s="21" t="str">
        <f t="shared" ca="1" si="346"/>
        <v/>
      </c>
    </row>
    <row r="4785" spans="1:11" s="18" customFormat="1" ht="14.25" x14ac:dyDescent="0.2">
      <c r="A4785" s="18" t="str">
        <f t="shared" si="348"/>
        <v>Eintrag 4784</v>
      </c>
      <c r="B4785" s="18">
        <v>100</v>
      </c>
      <c r="C4785" s="19">
        <v>100</v>
      </c>
      <c r="D4785" s="20">
        <v>10</v>
      </c>
      <c r="E4785" s="20">
        <v>10</v>
      </c>
      <c r="F4785" s="20">
        <v>10</v>
      </c>
      <c r="G4785" s="19">
        <f t="shared" si="347"/>
        <v>172</v>
      </c>
      <c r="H4785" s="22">
        <f t="shared" si="350"/>
        <v>4784</v>
      </c>
      <c r="I4785" s="21">
        <f t="shared" ca="1" si="349"/>
        <v>0</v>
      </c>
      <c r="J4785" s="21" t="str">
        <f ca="1">IF(I4785=0,"",COUNTIF($I$2:I4785,"&gt;0"))</f>
        <v/>
      </c>
      <c r="K4785" s="21" t="str">
        <f t="shared" ca="1" si="346"/>
        <v/>
      </c>
    </row>
    <row r="4786" spans="1:11" s="18" customFormat="1" ht="14.25" x14ac:dyDescent="0.2">
      <c r="A4786" s="18" t="str">
        <f t="shared" si="348"/>
        <v>Eintrag 4785</v>
      </c>
      <c r="B4786" s="18">
        <v>100</v>
      </c>
      <c r="C4786" s="19">
        <v>100</v>
      </c>
      <c r="D4786" s="20">
        <v>10</v>
      </c>
      <c r="E4786" s="20">
        <v>10</v>
      </c>
      <c r="F4786" s="20">
        <v>10</v>
      </c>
      <c r="G4786" s="19">
        <f t="shared" si="347"/>
        <v>172</v>
      </c>
      <c r="H4786" s="22">
        <f t="shared" si="350"/>
        <v>4785</v>
      </c>
      <c r="I4786" s="21">
        <f t="shared" ca="1" si="349"/>
        <v>0</v>
      </c>
      <c r="J4786" s="21" t="str">
        <f ca="1">IF(I4786=0,"",COUNTIF($I$2:I4786,"&gt;0"))</f>
        <v/>
      </c>
      <c r="K4786" s="21" t="str">
        <f t="shared" ca="1" si="346"/>
        <v/>
      </c>
    </row>
    <row r="4787" spans="1:11" s="18" customFormat="1" ht="14.25" x14ac:dyDescent="0.2">
      <c r="A4787" s="18" t="str">
        <f t="shared" si="348"/>
        <v>Eintrag 4786</v>
      </c>
      <c r="B4787" s="18">
        <v>100</v>
      </c>
      <c r="C4787" s="19">
        <v>100</v>
      </c>
      <c r="D4787" s="20">
        <v>10</v>
      </c>
      <c r="E4787" s="20">
        <v>10</v>
      </c>
      <c r="F4787" s="20">
        <v>10</v>
      </c>
      <c r="G4787" s="19">
        <f t="shared" si="347"/>
        <v>172</v>
      </c>
      <c r="H4787" s="22">
        <f t="shared" si="350"/>
        <v>4786</v>
      </c>
      <c r="I4787" s="21">
        <f t="shared" ca="1" si="349"/>
        <v>0</v>
      </c>
      <c r="J4787" s="21" t="str">
        <f ca="1">IF(I4787=0,"",COUNTIF($I$2:I4787,"&gt;0"))</f>
        <v/>
      </c>
      <c r="K4787" s="21" t="str">
        <f t="shared" ca="1" si="346"/>
        <v/>
      </c>
    </row>
    <row r="4788" spans="1:11" s="18" customFormat="1" ht="14.25" x14ac:dyDescent="0.2">
      <c r="A4788" s="18" t="str">
        <f t="shared" si="348"/>
        <v>Eintrag 4787</v>
      </c>
      <c r="B4788" s="18">
        <v>100</v>
      </c>
      <c r="C4788" s="19">
        <v>100</v>
      </c>
      <c r="D4788" s="20">
        <v>10</v>
      </c>
      <c r="E4788" s="20">
        <v>10</v>
      </c>
      <c r="F4788" s="20">
        <v>10</v>
      </c>
      <c r="G4788" s="19">
        <f t="shared" si="347"/>
        <v>172</v>
      </c>
      <c r="H4788" s="22">
        <f t="shared" si="350"/>
        <v>4787</v>
      </c>
      <c r="I4788" s="21">
        <f t="shared" ca="1" si="349"/>
        <v>0</v>
      </c>
      <c r="J4788" s="21" t="str">
        <f ca="1">IF(I4788=0,"",COUNTIF($I$2:I4788,"&gt;0"))</f>
        <v/>
      </c>
      <c r="K4788" s="21" t="str">
        <f t="shared" ca="1" si="346"/>
        <v/>
      </c>
    </row>
    <row r="4789" spans="1:11" s="18" customFormat="1" ht="14.25" x14ac:dyDescent="0.2">
      <c r="A4789" s="18" t="str">
        <f t="shared" si="348"/>
        <v>Eintrag 4788</v>
      </c>
      <c r="B4789" s="18">
        <v>100</v>
      </c>
      <c r="C4789" s="19">
        <v>100</v>
      </c>
      <c r="D4789" s="20">
        <v>10</v>
      </c>
      <c r="E4789" s="20">
        <v>10</v>
      </c>
      <c r="F4789" s="20">
        <v>10</v>
      </c>
      <c r="G4789" s="19">
        <f t="shared" si="347"/>
        <v>172</v>
      </c>
      <c r="H4789" s="22">
        <f t="shared" si="350"/>
        <v>4788</v>
      </c>
      <c r="I4789" s="21">
        <f t="shared" ca="1" si="349"/>
        <v>0</v>
      </c>
      <c r="J4789" s="21" t="str">
        <f ca="1">IF(I4789=0,"",COUNTIF($I$2:I4789,"&gt;0"))</f>
        <v/>
      </c>
      <c r="K4789" s="21" t="str">
        <f t="shared" ca="1" si="346"/>
        <v/>
      </c>
    </row>
    <row r="4790" spans="1:11" s="18" customFormat="1" ht="14.25" x14ac:dyDescent="0.2">
      <c r="A4790" s="18" t="str">
        <f t="shared" si="348"/>
        <v>Eintrag 4789</v>
      </c>
      <c r="B4790" s="18">
        <v>100</v>
      </c>
      <c r="C4790" s="19">
        <v>100</v>
      </c>
      <c r="D4790" s="20">
        <v>10</v>
      </c>
      <c r="E4790" s="20">
        <v>10</v>
      </c>
      <c r="F4790" s="20">
        <v>10</v>
      </c>
      <c r="G4790" s="19">
        <f t="shared" si="347"/>
        <v>172</v>
      </c>
      <c r="H4790" s="22">
        <f t="shared" si="350"/>
        <v>4789</v>
      </c>
      <c r="I4790" s="21">
        <f t="shared" ca="1" si="349"/>
        <v>0</v>
      </c>
      <c r="J4790" s="21" t="str">
        <f ca="1">IF(I4790=0,"",COUNTIF($I$2:I4790,"&gt;0"))</f>
        <v/>
      </c>
      <c r="K4790" s="21" t="str">
        <f t="shared" ca="1" si="346"/>
        <v/>
      </c>
    </row>
    <row r="4791" spans="1:11" s="18" customFormat="1" ht="14.25" x14ac:dyDescent="0.2">
      <c r="A4791" s="18" t="str">
        <f t="shared" si="348"/>
        <v>Eintrag 4790</v>
      </c>
      <c r="B4791" s="18">
        <v>100</v>
      </c>
      <c r="C4791" s="19">
        <v>100</v>
      </c>
      <c r="D4791" s="20">
        <v>10</v>
      </c>
      <c r="E4791" s="20">
        <v>10</v>
      </c>
      <c r="F4791" s="20">
        <v>10</v>
      </c>
      <c r="G4791" s="19">
        <f t="shared" si="347"/>
        <v>172</v>
      </c>
      <c r="H4791" s="22">
        <f t="shared" si="350"/>
        <v>4790</v>
      </c>
      <c r="I4791" s="21">
        <f t="shared" ca="1" si="349"/>
        <v>0</v>
      </c>
      <c r="J4791" s="21" t="str">
        <f ca="1">IF(I4791=0,"",COUNTIF($I$2:I4791,"&gt;0"))</f>
        <v/>
      </c>
      <c r="K4791" s="21" t="str">
        <f t="shared" ca="1" si="346"/>
        <v/>
      </c>
    </row>
    <row r="4792" spans="1:11" s="18" customFormat="1" ht="14.25" x14ac:dyDescent="0.2">
      <c r="A4792" s="18" t="str">
        <f t="shared" si="348"/>
        <v>Eintrag 4791</v>
      </c>
      <c r="B4792" s="18">
        <v>100</v>
      </c>
      <c r="C4792" s="19">
        <v>100</v>
      </c>
      <c r="D4792" s="20">
        <v>10</v>
      </c>
      <c r="E4792" s="20">
        <v>10</v>
      </c>
      <c r="F4792" s="20">
        <v>10</v>
      </c>
      <c r="G4792" s="19">
        <f t="shared" si="347"/>
        <v>172</v>
      </c>
      <c r="H4792" s="22">
        <f t="shared" si="350"/>
        <v>4791</v>
      </c>
      <c r="I4792" s="21">
        <f t="shared" ca="1" si="349"/>
        <v>0</v>
      </c>
      <c r="J4792" s="21" t="str">
        <f ca="1">IF(I4792=0,"",COUNTIF($I$2:I4792,"&gt;0"))</f>
        <v/>
      </c>
      <c r="K4792" s="21" t="str">
        <f t="shared" ca="1" si="346"/>
        <v/>
      </c>
    </row>
    <row r="4793" spans="1:11" s="18" customFormat="1" ht="14.25" x14ac:dyDescent="0.2">
      <c r="A4793" s="18" t="str">
        <f t="shared" si="348"/>
        <v>Eintrag 4792</v>
      </c>
      <c r="B4793" s="18">
        <v>100</v>
      </c>
      <c r="C4793" s="19">
        <v>100</v>
      </c>
      <c r="D4793" s="20">
        <v>10</v>
      </c>
      <c r="E4793" s="20">
        <v>10</v>
      </c>
      <c r="F4793" s="20">
        <v>10</v>
      </c>
      <c r="G4793" s="19">
        <f t="shared" si="347"/>
        <v>172</v>
      </c>
      <c r="H4793" s="22">
        <f t="shared" si="350"/>
        <v>4792</v>
      </c>
      <c r="I4793" s="21">
        <f t="shared" ca="1" si="349"/>
        <v>0</v>
      </c>
      <c r="J4793" s="21" t="str">
        <f ca="1">IF(I4793=0,"",COUNTIF($I$2:I4793,"&gt;0"))</f>
        <v/>
      </c>
      <c r="K4793" s="21" t="str">
        <f t="shared" ca="1" si="346"/>
        <v/>
      </c>
    </row>
    <row r="4794" spans="1:11" s="18" customFormat="1" ht="14.25" x14ac:dyDescent="0.2">
      <c r="A4794" s="18" t="str">
        <f t="shared" si="348"/>
        <v>Eintrag 4793</v>
      </c>
      <c r="B4794" s="18">
        <v>100</v>
      </c>
      <c r="C4794" s="19">
        <v>100</v>
      </c>
      <c r="D4794" s="20">
        <v>10</v>
      </c>
      <c r="E4794" s="20">
        <v>10</v>
      </c>
      <c r="F4794" s="20">
        <v>10</v>
      </c>
      <c r="G4794" s="19">
        <f t="shared" si="347"/>
        <v>172</v>
      </c>
      <c r="H4794" s="22">
        <f t="shared" si="350"/>
        <v>4793</v>
      </c>
      <c r="I4794" s="21">
        <f t="shared" ca="1" si="349"/>
        <v>0</v>
      </c>
      <c r="J4794" s="21" t="str">
        <f ca="1">IF(I4794=0,"",COUNTIF($I$2:I4794,"&gt;0"))</f>
        <v/>
      </c>
      <c r="K4794" s="21" t="str">
        <f t="shared" ca="1" si="346"/>
        <v/>
      </c>
    </row>
    <row r="4795" spans="1:11" s="18" customFormat="1" ht="14.25" x14ac:dyDescent="0.2">
      <c r="A4795" s="18" t="str">
        <f t="shared" si="348"/>
        <v>Eintrag 4794</v>
      </c>
      <c r="B4795" s="18">
        <v>100</v>
      </c>
      <c r="C4795" s="19">
        <v>100</v>
      </c>
      <c r="D4795" s="20">
        <v>10</v>
      </c>
      <c r="E4795" s="20">
        <v>10</v>
      </c>
      <c r="F4795" s="20">
        <v>10</v>
      </c>
      <c r="G4795" s="19">
        <f t="shared" si="347"/>
        <v>172</v>
      </c>
      <c r="H4795" s="22">
        <f t="shared" si="350"/>
        <v>4794</v>
      </c>
      <c r="I4795" s="21">
        <f t="shared" ca="1" si="349"/>
        <v>0</v>
      </c>
      <c r="J4795" s="21" t="str">
        <f ca="1">IF(I4795=0,"",COUNTIF($I$2:I4795,"&gt;0"))</f>
        <v/>
      </c>
      <c r="K4795" s="21" t="str">
        <f t="shared" ca="1" si="346"/>
        <v/>
      </c>
    </row>
    <row r="4796" spans="1:11" s="18" customFormat="1" ht="14.25" x14ac:dyDescent="0.2">
      <c r="A4796" s="18" t="str">
        <f t="shared" si="348"/>
        <v>Eintrag 4795</v>
      </c>
      <c r="B4796" s="18">
        <v>100</v>
      </c>
      <c r="C4796" s="19">
        <v>100</v>
      </c>
      <c r="D4796" s="20">
        <v>10</v>
      </c>
      <c r="E4796" s="20">
        <v>10</v>
      </c>
      <c r="F4796" s="20">
        <v>10</v>
      </c>
      <c r="G4796" s="19">
        <f t="shared" si="347"/>
        <v>172</v>
      </c>
      <c r="H4796" s="22">
        <f t="shared" si="350"/>
        <v>4795</v>
      </c>
      <c r="I4796" s="21">
        <f t="shared" ca="1" si="349"/>
        <v>0</v>
      </c>
      <c r="J4796" s="21" t="str">
        <f ca="1">IF(I4796=0,"",COUNTIF($I$2:I4796,"&gt;0"))</f>
        <v/>
      </c>
      <c r="K4796" s="21" t="str">
        <f t="shared" ca="1" si="346"/>
        <v/>
      </c>
    </row>
    <row r="4797" spans="1:11" s="18" customFormat="1" ht="14.25" x14ac:dyDescent="0.2">
      <c r="A4797" s="18" t="str">
        <f t="shared" si="348"/>
        <v>Eintrag 4796</v>
      </c>
      <c r="B4797" s="18">
        <v>100</v>
      </c>
      <c r="C4797" s="19">
        <v>100</v>
      </c>
      <c r="D4797" s="20">
        <v>10</v>
      </c>
      <c r="E4797" s="20">
        <v>10</v>
      </c>
      <c r="F4797" s="20">
        <v>10</v>
      </c>
      <c r="G4797" s="19">
        <f t="shared" si="347"/>
        <v>172</v>
      </c>
      <c r="H4797" s="22">
        <f t="shared" si="350"/>
        <v>4796</v>
      </c>
      <c r="I4797" s="21">
        <f t="shared" ca="1" si="349"/>
        <v>0</v>
      </c>
      <c r="J4797" s="21" t="str">
        <f ca="1">IF(I4797=0,"",COUNTIF($I$2:I4797,"&gt;0"))</f>
        <v/>
      </c>
      <c r="K4797" s="21" t="str">
        <f t="shared" ca="1" si="346"/>
        <v/>
      </c>
    </row>
    <row r="4798" spans="1:11" s="18" customFormat="1" ht="14.25" x14ac:dyDescent="0.2">
      <c r="A4798" s="18" t="str">
        <f t="shared" si="348"/>
        <v>Eintrag 4797</v>
      </c>
      <c r="B4798" s="18">
        <v>100</v>
      </c>
      <c r="C4798" s="19">
        <v>100</v>
      </c>
      <c r="D4798" s="20">
        <v>10</v>
      </c>
      <c r="E4798" s="20">
        <v>10</v>
      </c>
      <c r="F4798" s="20">
        <v>10</v>
      </c>
      <c r="G4798" s="19">
        <f t="shared" si="347"/>
        <v>172</v>
      </c>
      <c r="H4798" s="22">
        <f t="shared" si="350"/>
        <v>4797</v>
      </c>
      <c r="I4798" s="21">
        <f t="shared" ca="1" si="349"/>
        <v>0</v>
      </c>
      <c r="J4798" s="21" t="str">
        <f ca="1">IF(I4798=0,"",COUNTIF($I$2:I4798,"&gt;0"))</f>
        <v/>
      </c>
      <c r="K4798" s="21" t="str">
        <f t="shared" ca="1" si="346"/>
        <v/>
      </c>
    </row>
    <row r="4799" spans="1:11" s="18" customFormat="1" ht="14.25" x14ac:dyDescent="0.2">
      <c r="A4799" s="18" t="str">
        <f t="shared" si="348"/>
        <v>Eintrag 4798</v>
      </c>
      <c r="B4799" s="18">
        <v>100</v>
      </c>
      <c r="C4799" s="19">
        <v>100</v>
      </c>
      <c r="D4799" s="20">
        <v>10</v>
      </c>
      <c r="E4799" s="20">
        <v>10</v>
      </c>
      <c r="F4799" s="20">
        <v>10</v>
      </c>
      <c r="G4799" s="19">
        <f t="shared" si="347"/>
        <v>172</v>
      </c>
      <c r="H4799" s="22">
        <f t="shared" si="350"/>
        <v>4798</v>
      </c>
      <c r="I4799" s="21">
        <f t="shared" ca="1" si="349"/>
        <v>0</v>
      </c>
      <c r="J4799" s="21" t="str">
        <f ca="1">IF(I4799=0,"",COUNTIF($I$2:I4799,"&gt;0"))</f>
        <v/>
      </c>
      <c r="K4799" s="21" t="str">
        <f t="shared" ca="1" si="346"/>
        <v/>
      </c>
    </row>
    <row r="4800" spans="1:11" s="18" customFormat="1" ht="14.25" x14ac:dyDescent="0.2">
      <c r="A4800" s="18" t="str">
        <f t="shared" si="348"/>
        <v>Eintrag 4799</v>
      </c>
      <c r="B4800" s="18">
        <v>100</v>
      </c>
      <c r="C4800" s="19">
        <v>100</v>
      </c>
      <c r="D4800" s="20">
        <v>10</v>
      </c>
      <c r="E4800" s="20">
        <v>10</v>
      </c>
      <c r="F4800" s="20">
        <v>10</v>
      </c>
      <c r="G4800" s="19">
        <f t="shared" si="347"/>
        <v>172</v>
      </c>
      <c r="H4800" s="22">
        <f t="shared" si="350"/>
        <v>4799</v>
      </c>
      <c r="I4800" s="21">
        <f t="shared" ca="1" si="349"/>
        <v>0</v>
      </c>
      <c r="J4800" s="21" t="str">
        <f ca="1">IF(I4800=0,"",COUNTIF($I$2:I4800,"&gt;0"))</f>
        <v/>
      </c>
      <c r="K4800" s="21" t="str">
        <f t="shared" ca="1" si="346"/>
        <v/>
      </c>
    </row>
    <row r="4801" spans="1:11" s="18" customFormat="1" ht="14.25" x14ac:dyDescent="0.2">
      <c r="A4801" s="18" t="str">
        <f t="shared" si="348"/>
        <v>Eintrag 4800</v>
      </c>
      <c r="B4801" s="18">
        <v>100</v>
      </c>
      <c r="C4801" s="19">
        <v>100</v>
      </c>
      <c r="D4801" s="20">
        <v>10</v>
      </c>
      <c r="E4801" s="20">
        <v>10</v>
      </c>
      <c r="F4801" s="20">
        <v>10</v>
      </c>
      <c r="G4801" s="19">
        <f t="shared" si="347"/>
        <v>172</v>
      </c>
      <c r="H4801" s="22">
        <f t="shared" si="350"/>
        <v>4800</v>
      </c>
      <c r="I4801" s="21">
        <f t="shared" ca="1" si="349"/>
        <v>0</v>
      </c>
      <c r="J4801" s="21" t="str">
        <f ca="1">IF(I4801=0,"",COUNTIF($I$2:I4801,"&gt;0"))</f>
        <v/>
      </c>
      <c r="K4801" s="21" t="str">
        <f t="shared" ca="1" si="346"/>
        <v/>
      </c>
    </row>
    <row r="4802" spans="1:11" s="18" customFormat="1" ht="14.25" x14ac:dyDescent="0.2">
      <c r="A4802" s="18" t="str">
        <f t="shared" si="348"/>
        <v>Eintrag 4801</v>
      </c>
      <c r="B4802" s="18">
        <v>100</v>
      </c>
      <c r="C4802" s="19">
        <v>100</v>
      </c>
      <c r="D4802" s="20">
        <v>10</v>
      </c>
      <c r="E4802" s="20">
        <v>10</v>
      </c>
      <c r="F4802" s="20">
        <v>10</v>
      </c>
      <c r="G4802" s="19">
        <f t="shared" si="347"/>
        <v>172</v>
      </c>
      <c r="H4802" s="22">
        <f t="shared" si="350"/>
        <v>4801</v>
      </c>
      <c r="I4802" s="21">
        <f t="shared" ca="1" si="349"/>
        <v>0</v>
      </c>
      <c r="J4802" s="21" t="str">
        <f ca="1">IF(I4802=0,"",COUNTIF($I$2:I4802,"&gt;0"))</f>
        <v/>
      </c>
      <c r="K4802" s="21" t="str">
        <f t="shared" ref="K4802:K4865" ca="1" si="351">IFERROR(INDEX(A:A,MATCH(ROW(I4801),J:J,0)),"")</f>
        <v/>
      </c>
    </row>
    <row r="4803" spans="1:11" s="18" customFormat="1" ht="14.25" x14ac:dyDescent="0.2">
      <c r="A4803" s="18" t="str">
        <f t="shared" si="348"/>
        <v>Eintrag 4802</v>
      </c>
      <c r="B4803" s="18">
        <v>100</v>
      </c>
      <c r="C4803" s="19">
        <v>100</v>
      </c>
      <c r="D4803" s="20">
        <v>10</v>
      </c>
      <c r="E4803" s="20">
        <v>10</v>
      </c>
      <c r="F4803" s="20">
        <v>10</v>
      </c>
      <c r="G4803" s="19">
        <f t="shared" ref="G4803:G4866" si="352">D4803*9+E4803*4.1+F4803*4.1</f>
        <v>172</v>
      </c>
      <c r="H4803" s="22">
        <f t="shared" si="350"/>
        <v>4802</v>
      </c>
      <c r="I4803" s="21">
        <f t="shared" ca="1" si="349"/>
        <v>0</v>
      </c>
      <c r="J4803" s="21" t="str">
        <f ca="1">IF(I4803=0,"",COUNTIF($I$2:I4803,"&gt;0"))</f>
        <v/>
      </c>
      <c r="K4803" s="21" t="str">
        <f t="shared" ca="1" si="351"/>
        <v/>
      </c>
    </row>
    <row r="4804" spans="1:11" s="18" customFormat="1" ht="14.25" x14ac:dyDescent="0.2">
      <c r="A4804" s="18" t="str">
        <f t="shared" si="348"/>
        <v>Eintrag 4803</v>
      </c>
      <c r="B4804" s="18">
        <v>100</v>
      </c>
      <c r="C4804" s="19">
        <v>100</v>
      </c>
      <c r="D4804" s="20">
        <v>10</v>
      </c>
      <c r="E4804" s="20">
        <v>10</v>
      </c>
      <c r="F4804" s="20">
        <v>10</v>
      </c>
      <c r="G4804" s="19">
        <f t="shared" si="352"/>
        <v>172</v>
      </c>
      <c r="H4804" s="22">
        <f t="shared" si="350"/>
        <v>4803</v>
      </c>
      <c r="I4804" s="21">
        <f t="shared" ca="1" si="349"/>
        <v>0</v>
      </c>
      <c r="J4804" s="21" t="str">
        <f ca="1">IF(I4804=0,"",COUNTIF($I$2:I4804,"&gt;0"))</f>
        <v/>
      </c>
      <c r="K4804" s="21" t="str">
        <f t="shared" ca="1" si="351"/>
        <v/>
      </c>
    </row>
    <row r="4805" spans="1:11" s="18" customFormat="1" ht="14.25" x14ac:dyDescent="0.2">
      <c r="A4805" s="18" t="str">
        <f t="shared" si="348"/>
        <v>Eintrag 4804</v>
      </c>
      <c r="B4805" s="18">
        <v>100</v>
      </c>
      <c r="C4805" s="19">
        <v>100</v>
      </c>
      <c r="D4805" s="20">
        <v>10</v>
      </c>
      <c r="E4805" s="20">
        <v>10</v>
      </c>
      <c r="F4805" s="20">
        <v>10</v>
      </c>
      <c r="G4805" s="19">
        <f t="shared" si="352"/>
        <v>172</v>
      </c>
      <c r="H4805" s="22">
        <f t="shared" si="350"/>
        <v>4804</v>
      </c>
      <c r="I4805" s="21">
        <f t="shared" ca="1" si="349"/>
        <v>0</v>
      </c>
      <c r="J4805" s="21" t="str">
        <f ca="1">IF(I4805=0,"",COUNTIF($I$2:I4805,"&gt;0"))</f>
        <v/>
      </c>
      <c r="K4805" s="21" t="str">
        <f t="shared" ca="1" si="351"/>
        <v/>
      </c>
    </row>
    <row r="4806" spans="1:11" s="18" customFormat="1" ht="14.25" x14ac:dyDescent="0.2">
      <c r="A4806" s="18" t="str">
        <f t="shared" si="348"/>
        <v>Eintrag 4805</v>
      </c>
      <c r="B4806" s="18">
        <v>100</v>
      </c>
      <c r="C4806" s="19">
        <v>100</v>
      </c>
      <c r="D4806" s="20">
        <v>10</v>
      </c>
      <c r="E4806" s="20">
        <v>10</v>
      </c>
      <c r="F4806" s="20">
        <v>10</v>
      </c>
      <c r="G4806" s="19">
        <f t="shared" si="352"/>
        <v>172</v>
      </c>
      <c r="H4806" s="22">
        <f t="shared" si="350"/>
        <v>4805</v>
      </c>
      <c r="I4806" s="21">
        <f t="shared" ca="1" si="349"/>
        <v>0</v>
      </c>
      <c r="J4806" s="21" t="str">
        <f ca="1">IF(I4806=0,"",COUNTIF($I$2:I4806,"&gt;0"))</f>
        <v/>
      </c>
      <c r="K4806" s="21" t="str">
        <f t="shared" ca="1" si="351"/>
        <v/>
      </c>
    </row>
    <row r="4807" spans="1:11" s="18" customFormat="1" ht="14.25" x14ac:dyDescent="0.2">
      <c r="A4807" s="18" t="str">
        <f t="shared" si="348"/>
        <v>Eintrag 4806</v>
      </c>
      <c r="B4807" s="18">
        <v>100</v>
      </c>
      <c r="C4807" s="19">
        <v>100</v>
      </c>
      <c r="D4807" s="20">
        <v>10</v>
      </c>
      <c r="E4807" s="20">
        <v>10</v>
      </c>
      <c r="F4807" s="20">
        <v>10</v>
      </c>
      <c r="G4807" s="19">
        <f t="shared" si="352"/>
        <v>172</v>
      </c>
      <c r="H4807" s="22">
        <f t="shared" si="350"/>
        <v>4806</v>
      </c>
      <c r="I4807" s="21">
        <f t="shared" ca="1" si="349"/>
        <v>0</v>
      </c>
      <c r="J4807" s="21" t="str">
        <f ca="1">IF(I4807=0,"",COUNTIF($I$2:I4807,"&gt;0"))</f>
        <v/>
      </c>
      <c r="K4807" s="21" t="str">
        <f t="shared" ca="1" si="351"/>
        <v/>
      </c>
    </row>
    <row r="4808" spans="1:11" s="18" customFormat="1" ht="14.25" x14ac:dyDescent="0.2">
      <c r="A4808" s="18" t="str">
        <f t="shared" si="348"/>
        <v>Eintrag 4807</v>
      </c>
      <c r="B4808" s="18">
        <v>100</v>
      </c>
      <c r="C4808" s="19">
        <v>100</v>
      </c>
      <c r="D4808" s="20">
        <v>10</v>
      </c>
      <c r="E4808" s="20">
        <v>10</v>
      </c>
      <c r="F4808" s="20">
        <v>10</v>
      </c>
      <c r="G4808" s="19">
        <f t="shared" si="352"/>
        <v>172</v>
      </c>
      <c r="H4808" s="22">
        <f t="shared" si="350"/>
        <v>4807</v>
      </c>
      <c r="I4808" s="21">
        <f t="shared" ca="1" si="349"/>
        <v>0</v>
      </c>
      <c r="J4808" s="21" t="str">
        <f ca="1">IF(I4808=0,"",COUNTIF($I$2:I4808,"&gt;0"))</f>
        <v/>
      </c>
      <c r="K4808" s="21" t="str">
        <f t="shared" ca="1" si="351"/>
        <v/>
      </c>
    </row>
    <row r="4809" spans="1:11" s="18" customFormat="1" ht="14.25" x14ac:dyDescent="0.2">
      <c r="A4809" s="18" t="str">
        <f t="shared" si="348"/>
        <v>Eintrag 4808</v>
      </c>
      <c r="B4809" s="18">
        <v>100</v>
      </c>
      <c r="C4809" s="19">
        <v>100</v>
      </c>
      <c r="D4809" s="20">
        <v>10</v>
      </c>
      <c r="E4809" s="20">
        <v>10</v>
      </c>
      <c r="F4809" s="20">
        <v>10</v>
      </c>
      <c r="G4809" s="19">
        <f t="shared" si="352"/>
        <v>172</v>
      </c>
      <c r="H4809" s="22">
        <f t="shared" si="350"/>
        <v>4808</v>
      </c>
      <c r="I4809" s="21">
        <f t="shared" ca="1" si="349"/>
        <v>0</v>
      </c>
      <c r="J4809" s="21" t="str">
        <f ca="1">IF(I4809=0,"",COUNTIF($I$2:I4809,"&gt;0"))</f>
        <v/>
      </c>
      <c r="K4809" s="21" t="str">
        <f t="shared" ca="1" si="351"/>
        <v/>
      </c>
    </row>
    <row r="4810" spans="1:11" s="18" customFormat="1" ht="14.25" x14ac:dyDescent="0.2">
      <c r="A4810" s="18" t="str">
        <f t="shared" si="348"/>
        <v>Eintrag 4809</v>
      </c>
      <c r="B4810" s="18">
        <v>100</v>
      </c>
      <c r="C4810" s="19">
        <v>100</v>
      </c>
      <c r="D4810" s="20">
        <v>10</v>
      </c>
      <c r="E4810" s="20">
        <v>10</v>
      </c>
      <c r="F4810" s="20">
        <v>10</v>
      </c>
      <c r="G4810" s="19">
        <f t="shared" si="352"/>
        <v>172</v>
      </c>
      <c r="H4810" s="22">
        <f t="shared" si="350"/>
        <v>4809</v>
      </c>
      <c r="I4810" s="21">
        <f t="shared" ca="1" si="349"/>
        <v>0</v>
      </c>
      <c r="J4810" s="21" t="str">
        <f ca="1">IF(I4810=0,"",COUNTIF($I$2:I4810,"&gt;0"))</f>
        <v/>
      </c>
      <c r="K4810" s="21" t="str">
        <f t="shared" ca="1" si="351"/>
        <v/>
      </c>
    </row>
    <row r="4811" spans="1:11" s="18" customFormat="1" ht="14.25" x14ac:dyDescent="0.2">
      <c r="A4811" s="18" t="str">
        <f t="shared" si="348"/>
        <v>Eintrag 4810</v>
      </c>
      <c r="B4811" s="18">
        <v>100</v>
      </c>
      <c r="C4811" s="19">
        <v>100</v>
      </c>
      <c r="D4811" s="20">
        <v>10</v>
      </c>
      <c r="E4811" s="20">
        <v>10</v>
      </c>
      <c r="F4811" s="20">
        <v>10</v>
      </c>
      <c r="G4811" s="19">
        <f t="shared" si="352"/>
        <v>172</v>
      </c>
      <c r="H4811" s="22">
        <f t="shared" si="350"/>
        <v>4810</v>
      </c>
      <c r="I4811" s="21">
        <f t="shared" ca="1" si="349"/>
        <v>0</v>
      </c>
      <c r="J4811" s="21" t="str">
        <f ca="1">IF(I4811=0,"",COUNTIF($I$2:I4811,"&gt;0"))</f>
        <v/>
      </c>
      <c r="K4811" s="21" t="str">
        <f t="shared" ca="1" si="351"/>
        <v/>
      </c>
    </row>
    <row r="4812" spans="1:11" s="18" customFormat="1" ht="14.25" x14ac:dyDescent="0.2">
      <c r="A4812" s="18" t="str">
        <f t="shared" si="348"/>
        <v>Eintrag 4811</v>
      </c>
      <c r="B4812" s="18">
        <v>100</v>
      </c>
      <c r="C4812" s="19">
        <v>100</v>
      </c>
      <c r="D4812" s="20">
        <v>10</v>
      </c>
      <c r="E4812" s="20">
        <v>10</v>
      </c>
      <c r="F4812" s="20">
        <v>10</v>
      </c>
      <c r="G4812" s="19">
        <f t="shared" si="352"/>
        <v>172</v>
      </c>
      <c r="H4812" s="22">
        <f t="shared" si="350"/>
        <v>4811</v>
      </c>
      <c r="I4812" s="21">
        <f t="shared" ca="1" si="349"/>
        <v>0</v>
      </c>
      <c r="J4812" s="21" t="str">
        <f ca="1">IF(I4812=0,"",COUNTIF($I$2:I4812,"&gt;0"))</f>
        <v/>
      </c>
      <c r="K4812" s="21" t="str">
        <f t="shared" ca="1" si="351"/>
        <v/>
      </c>
    </row>
    <row r="4813" spans="1:11" s="18" customFormat="1" ht="14.25" x14ac:dyDescent="0.2">
      <c r="A4813" s="18" t="str">
        <f t="shared" si="348"/>
        <v>Eintrag 4812</v>
      </c>
      <c r="B4813" s="18">
        <v>100</v>
      </c>
      <c r="C4813" s="19">
        <v>100</v>
      </c>
      <c r="D4813" s="20">
        <v>10</v>
      </c>
      <c r="E4813" s="20">
        <v>10</v>
      </c>
      <c r="F4813" s="20">
        <v>10</v>
      </c>
      <c r="G4813" s="19">
        <f t="shared" si="352"/>
        <v>172</v>
      </c>
      <c r="H4813" s="22">
        <f t="shared" si="350"/>
        <v>4812</v>
      </c>
      <c r="I4813" s="21">
        <f t="shared" ca="1" si="349"/>
        <v>0</v>
      </c>
      <c r="J4813" s="21" t="str">
        <f ca="1">IF(I4813=0,"",COUNTIF($I$2:I4813,"&gt;0"))</f>
        <v/>
      </c>
      <c r="K4813" s="21" t="str">
        <f t="shared" ca="1" si="351"/>
        <v/>
      </c>
    </row>
    <row r="4814" spans="1:11" s="18" customFormat="1" ht="14.25" x14ac:dyDescent="0.2">
      <c r="A4814" s="18" t="str">
        <f t="shared" si="348"/>
        <v>Eintrag 4813</v>
      </c>
      <c r="B4814" s="18">
        <v>100</v>
      </c>
      <c r="C4814" s="19">
        <v>100</v>
      </c>
      <c r="D4814" s="20">
        <v>10</v>
      </c>
      <c r="E4814" s="20">
        <v>10</v>
      </c>
      <c r="F4814" s="20">
        <v>10</v>
      </c>
      <c r="G4814" s="19">
        <f t="shared" si="352"/>
        <v>172</v>
      </c>
      <c r="H4814" s="22">
        <f t="shared" si="350"/>
        <v>4813</v>
      </c>
      <c r="I4814" s="21">
        <f t="shared" ca="1" si="349"/>
        <v>0</v>
      </c>
      <c r="J4814" s="21" t="str">
        <f ca="1">IF(I4814=0,"",COUNTIF($I$2:I4814,"&gt;0"))</f>
        <v/>
      </c>
      <c r="K4814" s="21" t="str">
        <f t="shared" ca="1" si="351"/>
        <v/>
      </c>
    </row>
    <row r="4815" spans="1:11" s="18" customFormat="1" ht="14.25" x14ac:dyDescent="0.2">
      <c r="A4815" s="18" t="str">
        <f t="shared" si="348"/>
        <v>Eintrag 4814</v>
      </c>
      <c r="B4815" s="18">
        <v>100</v>
      </c>
      <c r="C4815" s="19">
        <v>100</v>
      </c>
      <c r="D4815" s="20">
        <v>10</v>
      </c>
      <c r="E4815" s="20">
        <v>10</v>
      </c>
      <c r="F4815" s="20">
        <v>10</v>
      </c>
      <c r="G4815" s="19">
        <f t="shared" si="352"/>
        <v>172</v>
      </c>
      <c r="H4815" s="22">
        <f t="shared" si="350"/>
        <v>4814</v>
      </c>
      <c r="I4815" s="21">
        <f t="shared" ca="1" si="349"/>
        <v>0</v>
      </c>
      <c r="J4815" s="21" t="str">
        <f ca="1">IF(I4815=0,"",COUNTIF($I$2:I4815,"&gt;0"))</f>
        <v/>
      </c>
      <c r="K4815" s="21" t="str">
        <f t="shared" ca="1" si="351"/>
        <v/>
      </c>
    </row>
    <row r="4816" spans="1:11" s="18" customFormat="1" ht="14.25" x14ac:dyDescent="0.2">
      <c r="A4816" s="18" t="str">
        <f t="shared" si="348"/>
        <v>Eintrag 4815</v>
      </c>
      <c r="B4816" s="18">
        <v>100</v>
      </c>
      <c r="C4816" s="19">
        <v>100</v>
      </c>
      <c r="D4816" s="20">
        <v>10</v>
      </c>
      <c r="E4816" s="20">
        <v>10</v>
      </c>
      <c r="F4816" s="20">
        <v>10</v>
      </c>
      <c r="G4816" s="19">
        <f t="shared" si="352"/>
        <v>172</v>
      </c>
      <c r="H4816" s="22">
        <f t="shared" si="350"/>
        <v>4815</v>
      </c>
      <c r="I4816" s="21">
        <f t="shared" ca="1" si="349"/>
        <v>0</v>
      </c>
      <c r="J4816" s="21" t="str">
        <f ca="1">IF(I4816=0,"",COUNTIF($I$2:I4816,"&gt;0"))</f>
        <v/>
      </c>
      <c r="K4816" s="21" t="str">
        <f t="shared" ca="1" si="351"/>
        <v/>
      </c>
    </row>
    <row r="4817" spans="1:11" s="18" customFormat="1" ht="14.25" x14ac:dyDescent="0.2">
      <c r="A4817" s="18" t="str">
        <f t="shared" si="348"/>
        <v>Eintrag 4816</v>
      </c>
      <c r="B4817" s="18">
        <v>100</v>
      </c>
      <c r="C4817" s="19">
        <v>100</v>
      </c>
      <c r="D4817" s="20">
        <v>10</v>
      </c>
      <c r="E4817" s="20">
        <v>10</v>
      </c>
      <c r="F4817" s="20">
        <v>10</v>
      </c>
      <c r="G4817" s="19">
        <f t="shared" si="352"/>
        <v>172</v>
      </c>
      <c r="H4817" s="22">
        <f t="shared" si="350"/>
        <v>4816</v>
      </c>
      <c r="I4817" s="21">
        <f t="shared" ca="1" si="349"/>
        <v>0</v>
      </c>
      <c r="J4817" s="21" t="str">
        <f ca="1">IF(I4817=0,"",COUNTIF($I$2:I4817,"&gt;0"))</f>
        <v/>
      </c>
      <c r="K4817" s="21" t="str">
        <f t="shared" ca="1" si="351"/>
        <v/>
      </c>
    </row>
    <row r="4818" spans="1:11" s="18" customFormat="1" ht="14.25" x14ac:dyDescent="0.2">
      <c r="A4818" s="18" t="str">
        <f t="shared" si="348"/>
        <v>Eintrag 4817</v>
      </c>
      <c r="B4818" s="18">
        <v>100</v>
      </c>
      <c r="C4818" s="19">
        <v>100</v>
      </c>
      <c r="D4818" s="20">
        <v>10</v>
      </c>
      <c r="E4818" s="20">
        <v>10</v>
      </c>
      <c r="F4818" s="20">
        <v>10</v>
      </c>
      <c r="G4818" s="19">
        <f t="shared" si="352"/>
        <v>172</v>
      </c>
      <c r="H4818" s="22">
        <f t="shared" si="350"/>
        <v>4817</v>
      </c>
      <c r="I4818" s="21">
        <f t="shared" ca="1" si="349"/>
        <v>0</v>
      </c>
      <c r="J4818" s="21" t="str">
        <f ca="1">IF(I4818=0,"",COUNTIF($I$2:I4818,"&gt;0"))</f>
        <v/>
      </c>
      <c r="K4818" s="21" t="str">
        <f t="shared" ca="1" si="351"/>
        <v/>
      </c>
    </row>
    <row r="4819" spans="1:11" s="18" customFormat="1" ht="14.25" x14ac:dyDescent="0.2">
      <c r="A4819" s="18" t="str">
        <f t="shared" si="348"/>
        <v>Eintrag 4818</v>
      </c>
      <c r="B4819" s="18">
        <v>100</v>
      </c>
      <c r="C4819" s="19">
        <v>100</v>
      </c>
      <c r="D4819" s="20">
        <v>10</v>
      </c>
      <c r="E4819" s="20">
        <v>10</v>
      </c>
      <c r="F4819" s="20">
        <v>10</v>
      </c>
      <c r="G4819" s="19">
        <f t="shared" si="352"/>
        <v>172</v>
      </c>
      <c r="H4819" s="22">
        <f t="shared" si="350"/>
        <v>4818</v>
      </c>
      <c r="I4819" s="21">
        <f t="shared" ca="1" si="349"/>
        <v>0</v>
      </c>
      <c r="J4819" s="21" t="str">
        <f ca="1">IF(I4819=0,"",COUNTIF($I$2:I4819,"&gt;0"))</f>
        <v/>
      </c>
      <c r="K4819" s="21" t="str">
        <f t="shared" ca="1" si="351"/>
        <v/>
      </c>
    </row>
    <row r="4820" spans="1:11" s="18" customFormat="1" ht="14.25" x14ac:dyDescent="0.2">
      <c r="A4820" s="18" t="str">
        <f t="shared" si="348"/>
        <v>Eintrag 4819</v>
      </c>
      <c r="B4820" s="18">
        <v>100</v>
      </c>
      <c r="C4820" s="19">
        <v>100</v>
      </c>
      <c r="D4820" s="20">
        <v>10</v>
      </c>
      <c r="E4820" s="20">
        <v>10</v>
      </c>
      <c r="F4820" s="20">
        <v>10</v>
      </c>
      <c r="G4820" s="19">
        <f t="shared" si="352"/>
        <v>172</v>
      </c>
      <c r="H4820" s="22">
        <f t="shared" si="350"/>
        <v>4819</v>
      </c>
      <c r="I4820" s="21">
        <f t="shared" ca="1" si="349"/>
        <v>0</v>
      </c>
      <c r="J4820" s="21" t="str">
        <f ca="1">IF(I4820=0,"",COUNTIF($I$2:I4820,"&gt;0"))</f>
        <v/>
      </c>
      <c r="K4820" s="21" t="str">
        <f t="shared" ca="1" si="351"/>
        <v/>
      </c>
    </row>
    <row r="4821" spans="1:11" s="18" customFormat="1" ht="14.25" x14ac:dyDescent="0.2">
      <c r="A4821" s="18" t="str">
        <f t="shared" ref="A4821:A4984" si="353">CONCATENATE("Eintrag ",H4821)</f>
        <v>Eintrag 4820</v>
      </c>
      <c r="B4821" s="18">
        <v>100</v>
      </c>
      <c r="C4821" s="19">
        <v>100</v>
      </c>
      <c r="D4821" s="20">
        <v>10</v>
      </c>
      <c r="E4821" s="20">
        <v>10</v>
      </c>
      <c r="F4821" s="20">
        <v>10</v>
      </c>
      <c r="G4821" s="19">
        <f t="shared" si="352"/>
        <v>172</v>
      </c>
      <c r="H4821" s="22">
        <f t="shared" si="350"/>
        <v>4820</v>
      </c>
      <c r="I4821" s="21">
        <f t="shared" ca="1" si="349"/>
        <v>0</v>
      </c>
      <c r="J4821" s="21" t="str">
        <f ca="1">IF(I4821=0,"",COUNTIF($I$2:I4821,"&gt;0"))</f>
        <v/>
      </c>
      <c r="K4821" s="21" t="str">
        <f t="shared" ca="1" si="351"/>
        <v/>
      </c>
    </row>
    <row r="4822" spans="1:11" s="18" customFormat="1" ht="14.25" x14ac:dyDescent="0.2">
      <c r="A4822" s="18" t="str">
        <f t="shared" si="353"/>
        <v>Eintrag 4821</v>
      </c>
      <c r="B4822" s="18">
        <v>100</v>
      </c>
      <c r="C4822" s="19">
        <v>100</v>
      </c>
      <c r="D4822" s="20">
        <v>10</v>
      </c>
      <c r="E4822" s="20">
        <v>10</v>
      </c>
      <c r="F4822" s="20">
        <v>10</v>
      </c>
      <c r="G4822" s="19">
        <f t="shared" si="352"/>
        <v>172</v>
      </c>
      <c r="H4822" s="22">
        <f t="shared" si="350"/>
        <v>4821</v>
      </c>
      <c r="I4822" s="21">
        <f t="shared" ca="1" si="349"/>
        <v>0</v>
      </c>
      <c r="J4822" s="21" t="str">
        <f ca="1">IF(I4822=0,"",COUNTIF($I$2:I4822,"&gt;0"))</f>
        <v/>
      </c>
      <c r="K4822" s="21" t="str">
        <f t="shared" ca="1" si="351"/>
        <v/>
      </c>
    </row>
    <row r="4823" spans="1:11" s="18" customFormat="1" ht="14.25" x14ac:dyDescent="0.2">
      <c r="A4823" s="18" t="str">
        <f t="shared" si="353"/>
        <v>Eintrag 4822</v>
      </c>
      <c r="B4823" s="18">
        <v>100</v>
      </c>
      <c r="C4823" s="19">
        <v>100</v>
      </c>
      <c r="D4823" s="20">
        <v>10</v>
      </c>
      <c r="E4823" s="20">
        <v>10</v>
      </c>
      <c r="F4823" s="20">
        <v>10</v>
      </c>
      <c r="G4823" s="19">
        <f t="shared" si="352"/>
        <v>172</v>
      </c>
      <c r="H4823" s="22">
        <f t="shared" si="350"/>
        <v>4822</v>
      </c>
      <c r="I4823" s="21">
        <f t="shared" ca="1" si="349"/>
        <v>0</v>
      </c>
      <c r="J4823" s="21" t="str">
        <f ca="1">IF(I4823=0,"",COUNTIF($I$2:I4823,"&gt;0"))</f>
        <v/>
      </c>
      <c r="K4823" s="21" t="str">
        <f t="shared" ca="1" si="351"/>
        <v/>
      </c>
    </row>
    <row r="4824" spans="1:11" s="18" customFormat="1" ht="14.25" x14ac:dyDescent="0.2">
      <c r="A4824" s="18" t="str">
        <f t="shared" si="353"/>
        <v>Eintrag 4823</v>
      </c>
      <c r="B4824" s="18">
        <v>100</v>
      </c>
      <c r="C4824" s="19">
        <v>100</v>
      </c>
      <c r="D4824" s="20">
        <v>10</v>
      </c>
      <c r="E4824" s="20">
        <v>10</v>
      </c>
      <c r="F4824" s="20">
        <v>10</v>
      </c>
      <c r="G4824" s="19">
        <f t="shared" si="352"/>
        <v>172</v>
      </c>
      <c r="H4824" s="22">
        <f t="shared" si="350"/>
        <v>4823</v>
      </c>
      <c r="I4824" s="21">
        <f t="shared" ca="1" si="349"/>
        <v>0</v>
      </c>
      <c r="J4824" s="21" t="str">
        <f ca="1">IF(I4824=0,"",COUNTIF($I$2:I4824,"&gt;0"))</f>
        <v/>
      </c>
      <c r="K4824" s="21" t="str">
        <f t="shared" ca="1" si="351"/>
        <v/>
      </c>
    </row>
    <row r="4825" spans="1:11" s="18" customFormat="1" ht="14.25" x14ac:dyDescent="0.2">
      <c r="A4825" s="18" t="str">
        <f t="shared" si="353"/>
        <v>Eintrag 4824</v>
      </c>
      <c r="B4825" s="18">
        <v>100</v>
      </c>
      <c r="C4825" s="19">
        <v>100</v>
      </c>
      <c r="D4825" s="20">
        <v>10</v>
      </c>
      <c r="E4825" s="20">
        <v>10</v>
      </c>
      <c r="F4825" s="20">
        <v>10</v>
      </c>
      <c r="G4825" s="19">
        <f t="shared" si="352"/>
        <v>172</v>
      </c>
      <c r="H4825" s="22">
        <f t="shared" si="350"/>
        <v>4824</v>
      </c>
      <c r="I4825" s="21">
        <f t="shared" ca="1" si="349"/>
        <v>0</v>
      </c>
      <c r="J4825" s="21" t="str">
        <f ca="1">IF(I4825=0,"",COUNTIF($I$2:I4825,"&gt;0"))</f>
        <v/>
      </c>
      <c r="K4825" s="21" t="str">
        <f t="shared" ca="1" si="351"/>
        <v/>
      </c>
    </row>
    <row r="4826" spans="1:11" s="18" customFormat="1" ht="14.25" x14ac:dyDescent="0.2">
      <c r="A4826" s="18" t="str">
        <f t="shared" si="353"/>
        <v>Eintrag 4825</v>
      </c>
      <c r="B4826" s="18">
        <v>100</v>
      </c>
      <c r="C4826" s="19">
        <v>100</v>
      </c>
      <c r="D4826" s="20">
        <v>10</v>
      </c>
      <c r="E4826" s="20">
        <v>10</v>
      </c>
      <c r="F4826" s="20">
        <v>10</v>
      </c>
      <c r="G4826" s="19">
        <f t="shared" si="352"/>
        <v>172</v>
      </c>
      <c r="H4826" s="22">
        <f t="shared" si="350"/>
        <v>4825</v>
      </c>
      <c r="I4826" s="21">
        <f t="shared" ca="1" si="349"/>
        <v>0</v>
      </c>
      <c r="J4826" s="21" t="str">
        <f ca="1">IF(I4826=0,"",COUNTIF($I$2:I4826,"&gt;0"))</f>
        <v/>
      </c>
      <c r="K4826" s="21" t="str">
        <f t="shared" ca="1" si="351"/>
        <v/>
      </c>
    </row>
    <row r="4827" spans="1:11" s="18" customFormat="1" ht="14.25" x14ac:dyDescent="0.2">
      <c r="A4827" s="18" t="str">
        <f t="shared" si="353"/>
        <v>Eintrag 4826</v>
      </c>
      <c r="B4827" s="18">
        <v>100</v>
      </c>
      <c r="C4827" s="19">
        <v>100</v>
      </c>
      <c r="D4827" s="20">
        <v>10</v>
      </c>
      <c r="E4827" s="20">
        <v>10</v>
      </c>
      <c r="F4827" s="20">
        <v>10</v>
      </c>
      <c r="G4827" s="19">
        <f t="shared" si="352"/>
        <v>172</v>
      </c>
      <c r="H4827" s="22">
        <f t="shared" si="350"/>
        <v>4826</v>
      </c>
      <c r="I4827" s="21">
        <f t="shared" ca="1" si="349"/>
        <v>0</v>
      </c>
      <c r="J4827" s="21" t="str">
        <f ca="1">IF(I4827=0,"",COUNTIF($I$2:I4827,"&gt;0"))</f>
        <v/>
      </c>
      <c r="K4827" s="21" t="str">
        <f t="shared" ca="1" si="351"/>
        <v/>
      </c>
    </row>
    <row r="4828" spans="1:11" s="18" customFormat="1" ht="14.25" x14ac:dyDescent="0.2">
      <c r="A4828" s="18" t="str">
        <f t="shared" si="353"/>
        <v>Eintrag 4827</v>
      </c>
      <c r="B4828" s="18">
        <v>100</v>
      </c>
      <c r="C4828" s="19">
        <v>100</v>
      </c>
      <c r="D4828" s="20">
        <v>10</v>
      </c>
      <c r="E4828" s="20">
        <v>10</v>
      </c>
      <c r="F4828" s="20">
        <v>10</v>
      </c>
      <c r="G4828" s="19">
        <f t="shared" si="352"/>
        <v>172</v>
      </c>
      <c r="H4828" s="22">
        <f t="shared" si="350"/>
        <v>4827</v>
      </c>
      <c r="I4828" s="21">
        <f t="shared" ca="1" si="349"/>
        <v>0</v>
      </c>
      <c r="J4828" s="21" t="str">
        <f ca="1">IF(I4828=0,"",COUNTIF($I$2:I4828,"&gt;0"))</f>
        <v/>
      </c>
      <c r="K4828" s="21" t="str">
        <f t="shared" ca="1" si="351"/>
        <v/>
      </c>
    </row>
    <row r="4829" spans="1:11" s="18" customFormat="1" ht="14.25" x14ac:dyDescent="0.2">
      <c r="A4829" s="18" t="str">
        <f t="shared" si="353"/>
        <v>Eintrag 4828</v>
      </c>
      <c r="B4829" s="18">
        <v>100</v>
      </c>
      <c r="C4829" s="19">
        <v>100</v>
      </c>
      <c r="D4829" s="20">
        <v>10</v>
      </c>
      <c r="E4829" s="20">
        <v>10</v>
      </c>
      <c r="F4829" s="20">
        <v>10</v>
      </c>
      <c r="G4829" s="19">
        <f t="shared" si="352"/>
        <v>172</v>
      </c>
      <c r="H4829" s="22">
        <f t="shared" si="350"/>
        <v>4828</v>
      </c>
      <c r="I4829" s="21">
        <f t="shared" ca="1" si="349"/>
        <v>0</v>
      </c>
      <c r="J4829" s="21" t="str">
        <f ca="1">IF(I4829=0,"",COUNTIF($I$2:I4829,"&gt;0"))</f>
        <v/>
      </c>
      <c r="K4829" s="21" t="str">
        <f t="shared" ca="1" si="351"/>
        <v/>
      </c>
    </row>
    <row r="4830" spans="1:11" s="18" customFormat="1" ht="14.25" x14ac:dyDescent="0.2">
      <c r="A4830" s="18" t="str">
        <f t="shared" si="353"/>
        <v>Eintrag 4829</v>
      </c>
      <c r="B4830" s="18">
        <v>100</v>
      </c>
      <c r="C4830" s="19">
        <v>100</v>
      </c>
      <c r="D4830" s="20">
        <v>10</v>
      </c>
      <c r="E4830" s="20">
        <v>10</v>
      </c>
      <c r="F4830" s="20">
        <v>10</v>
      </c>
      <c r="G4830" s="19">
        <f t="shared" si="352"/>
        <v>172</v>
      </c>
      <c r="H4830" s="22">
        <f t="shared" si="350"/>
        <v>4829</v>
      </c>
      <c r="I4830" s="21">
        <f t="shared" ca="1" si="349"/>
        <v>0</v>
      </c>
      <c r="J4830" s="21" t="str">
        <f ca="1">IF(I4830=0,"",COUNTIF($I$2:I4830,"&gt;0"))</f>
        <v/>
      </c>
      <c r="K4830" s="21" t="str">
        <f t="shared" ca="1" si="351"/>
        <v/>
      </c>
    </row>
    <row r="4831" spans="1:11" s="18" customFormat="1" ht="14.25" x14ac:dyDescent="0.2">
      <c r="A4831" s="18" t="str">
        <f t="shared" si="353"/>
        <v>Eintrag 4830</v>
      </c>
      <c r="B4831" s="18">
        <v>100</v>
      </c>
      <c r="C4831" s="19">
        <v>100</v>
      </c>
      <c r="D4831" s="20">
        <v>10</v>
      </c>
      <c r="E4831" s="20">
        <v>10</v>
      </c>
      <c r="F4831" s="20">
        <v>10</v>
      </c>
      <c r="G4831" s="19">
        <f t="shared" si="352"/>
        <v>172</v>
      </c>
      <c r="H4831" s="22">
        <f t="shared" si="350"/>
        <v>4830</v>
      </c>
      <c r="I4831" s="21">
        <f t="shared" ref="I4831:I4894" ca="1" si="354">IFERROR(SEARCH(INDIRECT(CELL("address")),A4831),0)</f>
        <v>0</v>
      </c>
      <c r="J4831" s="21" t="str">
        <f ca="1">IF(I4831=0,"",COUNTIF($I$2:I4831,"&gt;0"))</f>
        <v/>
      </c>
      <c r="K4831" s="21" t="str">
        <f t="shared" ca="1" si="351"/>
        <v/>
      </c>
    </row>
    <row r="4832" spans="1:11" s="18" customFormat="1" ht="14.25" x14ac:dyDescent="0.2">
      <c r="A4832" s="18" t="str">
        <f t="shared" si="353"/>
        <v>Eintrag 4831</v>
      </c>
      <c r="B4832" s="18">
        <v>100</v>
      </c>
      <c r="C4832" s="19">
        <v>100</v>
      </c>
      <c r="D4832" s="20">
        <v>10</v>
      </c>
      <c r="E4832" s="20">
        <v>10</v>
      </c>
      <c r="F4832" s="20">
        <v>10</v>
      </c>
      <c r="G4832" s="19">
        <f t="shared" si="352"/>
        <v>172</v>
      </c>
      <c r="H4832" s="22">
        <f t="shared" si="350"/>
        <v>4831</v>
      </c>
      <c r="I4832" s="21">
        <f t="shared" ca="1" si="354"/>
        <v>0</v>
      </c>
      <c r="J4832" s="21" t="str">
        <f ca="1">IF(I4832=0,"",COUNTIF($I$2:I4832,"&gt;0"))</f>
        <v/>
      </c>
      <c r="K4832" s="21" t="str">
        <f t="shared" ca="1" si="351"/>
        <v/>
      </c>
    </row>
    <row r="4833" spans="1:11" s="18" customFormat="1" ht="14.25" x14ac:dyDescent="0.2">
      <c r="A4833" s="18" t="str">
        <f t="shared" si="353"/>
        <v>Eintrag 4832</v>
      </c>
      <c r="B4833" s="18">
        <v>100</v>
      </c>
      <c r="C4833" s="19">
        <v>100</v>
      </c>
      <c r="D4833" s="20">
        <v>10</v>
      </c>
      <c r="E4833" s="20">
        <v>10</v>
      </c>
      <c r="F4833" s="20">
        <v>10</v>
      </c>
      <c r="G4833" s="19">
        <f t="shared" si="352"/>
        <v>172</v>
      </c>
      <c r="H4833" s="22">
        <f t="shared" si="350"/>
        <v>4832</v>
      </c>
      <c r="I4833" s="21">
        <f t="shared" ca="1" si="354"/>
        <v>0</v>
      </c>
      <c r="J4833" s="21" t="str">
        <f ca="1">IF(I4833=0,"",COUNTIF($I$2:I4833,"&gt;0"))</f>
        <v/>
      </c>
      <c r="K4833" s="21" t="str">
        <f t="shared" ca="1" si="351"/>
        <v/>
      </c>
    </row>
    <row r="4834" spans="1:11" s="18" customFormat="1" ht="14.25" x14ac:dyDescent="0.2">
      <c r="A4834" s="18" t="str">
        <f t="shared" si="353"/>
        <v>Eintrag 4833</v>
      </c>
      <c r="B4834" s="18">
        <v>100</v>
      </c>
      <c r="C4834" s="19">
        <v>100</v>
      </c>
      <c r="D4834" s="20">
        <v>10</v>
      </c>
      <c r="E4834" s="20">
        <v>10</v>
      </c>
      <c r="F4834" s="20">
        <v>10</v>
      </c>
      <c r="G4834" s="19">
        <f t="shared" si="352"/>
        <v>172</v>
      </c>
      <c r="H4834" s="22">
        <f t="shared" si="350"/>
        <v>4833</v>
      </c>
      <c r="I4834" s="21">
        <f t="shared" ca="1" si="354"/>
        <v>0</v>
      </c>
      <c r="J4834" s="21" t="str">
        <f ca="1">IF(I4834=0,"",COUNTIF($I$2:I4834,"&gt;0"))</f>
        <v/>
      </c>
      <c r="K4834" s="21" t="str">
        <f t="shared" ca="1" si="351"/>
        <v/>
      </c>
    </row>
    <row r="4835" spans="1:11" s="18" customFormat="1" ht="14.25" x14ac:dyDescent="0.2">
      <c r="A4835" s="18" t="str">
        <f t="shared" si="353"/>
        <v>Eintrag 4834</v>
      </c>
      <c r="B4835" s="18">
        <v>100</v>
      </c>
      <c r="C4835" s="19">
        <v>100</v>
      </c>
      <c r="D4835" s="20">
        <v>10</v>
      </c>
      <c r="E4835" s="20">
        <v>10</v>
      </c>
      <c r="F4835" s="20">
        <v>10</v>
      </c>
      <c r="G4835" s="19">
        <f t="shared" si="352"/>
        <v>172</v>
      </c>
      <c r="H4835" s="22">
        <f t="shared" si="350"/>
        <v>4834</v>
      </c>
      <c r="I4835" s="21">
        <f t="shared" ca="1" si="354"/>
        <v>0</v>
      </c>
      <c r="J4835" s="21" t="str">
        <f ca="1">IF(I4835=0,"",COUNTIF($I$2:I4835,"&gt;0"))</f>
        <v/>
      </c>
      <c r="K4835" s="21" t="str">
        <f t="shared" ca="1" si="351"/>
        <v/>
      </c>
    </row>
    <row r="4836" spans="1:11" s="18" customFormat="1" ht="14.25" x14ac:dyDescent="0.2">
      <c r="A4836" s="18" t="str">
        <f t="shared" si="353"/>
        <v>Eintrag 4835</v>
      </c>
      <c r="B4836" s="18">
        <v>100</v>
      </c>
      <c r="C4836" s="19">
        <v>100</v>
      </c>
      <c r="D4836" s="20">
        <v>10</v>
      </c>
      <c r="E4836" s="20">
        <v>10</v>
      </c>
      <c r="F4836" s="20">
        <v>10</v>
      </c>
      <c r="G4836" s="19">
        <f t="shared" si="352"/>
        <v>172</v>
      </c>
      <c r="H4836" s="22">
        <f t="shared" si="350"/>
        <v>4835</v>
      </c>
      <c r="I4836" s="21">
        <f t="shared" ca="1" si="354"/>
        <v>0</v>
      </c>
      <c r="J4836" s="21" t="str">
        <f ca="1">IF(I4836=0,"",COUNTIF($I$2:I4836,"&gt;0"))</f>
        <v/>
      </c>
      <c r="K4836" s="21" t="str">
        <f t="shared" ca="1" si="351"/>
        <v/>
      </c>
    </row>
    <row r="4837" spans="1:11" s="18" customFormat="1" ht="14.25" x14ac:dyDescent="0.2">
      <c r="A4837" s="18" t="str">
        <f t="shared" si="353"/>
        <v>Eintrag 4836</v>
      </c>
      <c r="B4837" s="18">
        <v>100</v>
      </c>
      <c r="C4837" s="19">
        <v>100</v>
      </c>
      <c r="D4837" s="20">
        <v>10</v>
      </c>
      <c r="E4837" s="20">
        <v>10</v>
      </c>
      <c r="F4837" s="20">
        <v>10</v>
      </c>
      <c r="G4837" s="19">
        <f t="shared" si="352"/>
        <v>172</v>
      </c>
      <c r="H4837" s="22">
        <f t="shared" ref="H4837:H4900" si="355">H4836+1</f>
        <v>4836</v>
      </c>
      <c r="I4837" s="21">
        <f t="shared" ca="1" si="354"/>
        <v>0</v>
      </c>
      <c r="J4837" s="21" t="str">
        <f ca="1">IF(I4837=0,"",COUNTIF($I$2:I4837,"&gt;0"))</f>
        <v/>
      </c>
      <c r="K4837" s="21" t="str">
        <f t="shared" ca="1" si="351"/>
        <v/>
      </c>
    </row>
    <row r="4838" spans="1:11" s="18" customFormat="1" ht="14.25" x14ac:dyDescent="0.2">
      <c r="A4838" s="18" t="str">
        <f t="shared" si="353"/>
        <v>Eintrag 4837</v>
      </c>
      <c r="B4838" s="18">
        <v>100</v>
      </c>
      <c r="C4838" s="19">
        <v>100</v>
      </c>
      <c r="D4838" s="20">
        <v>10</v>
      </c>
      <c r="E4838" s="20">
        <v>10</v>
      </c>
      <c r="F4838" s="20">
        <v>10</v>
      </c>
      <c r="G4838" s="19">
        <f t="shared" si="352"/>
        <v>172</v>
      </c>
      <c r="H4838" s="22">
        <f t="shared" si="355"/>
        <v>4837</v>
      </c>
      <c r="I4838" s="21">
        <f t="shared" ca="1" si="354"/>
        <v>0</v>
      </c>
      <c r="J4838" s="21" t="str">
        <f ca="1">IF(I4838=0,"",COUNTIF($I$2:I4838,"&gt;0"))</f>
        <v/>
      </c>
      <c r="K4838" s="21" t="str">
        <f t="shared" ca="1" si="351"/>
        <v/>
      </c>
    </row>
    <row r="4839" spans="1:11" s="18" customFormat="1" ht="14.25" x14ac:dyDescent="0.2">
      <c r="A4839" s="18" t="str">
        <f t="shared" si="353"/>
        <v>Eintrag 4838</v>
      </c>
      <c r="B4839" s="18">
        <v>100</v>
      </c>
      <c r="C4839" s="19">
        <v>100</v>
      </c>
      <c r="D4839" s="20">
        <v>10</v>
      </c>
      <c r="E4839" s="20">
        <v>10</v>
      </c>
      <c r="F4839" s="20">
        <v>10</v>
      </c>
      <c r="G4839" s="19">
        <f t="shared" si="352"/>
        <v>172</v>
      </c>
      <c r="H4839" s="22">
        <f t="shared" si="355"/>
        <v>4838</v>
      </c>
      <c r="I4839" s="21">
        <f t="shared" ca="1" si="354"/>
        <v>0</v>
      </c>
      <c r="J4839" s="21" t="str">
        <f ca="1">IF(I4839=0,"",COUNTIF($I$2:I4839,"&gt;0"))</f>
        <v/>
      </c>
      <c r="K4839" s="21" t="str">
        <f t="shared" ca="1" si="351"/>
        <v/>
      </c>
    </row>
    <row r="4840" spans="1:11" s="18" customFormat="1" ht="14.25" x14ac:dyDescent="0.2">
      <c r="A4840" s="18" t="str">
        <f t="shared" si="353"/>
        <v>Eintrag 4839</v>
      </c>
      <c r="B4840" s="18">
        <v>100</v>
      </c>
      <c r="C4840" s="19">
        <v>100</v>
      </c>
      <c r="D4840" s="20">
        <v>10</v>
      </c>
      <c r="E4840" s="20">
        <v>10</v>
      </c>
      <c r="F4840" s="20">
        <v>10</v>
      </c>
      <c r="G4840" s="19">
        <f t="shared" si="352"/>
        <v>172</v>
      </c>
      <c r="H4840" s="22">
        <f t="shared" si="355"/>
        <v>4839</v>
      </c>
      <c r="I4840" s="21">
        <f t="shared" ca="1" si="354"/>
        <v>0</v>
      </c>
      <c r="J4840" s="21" t="str">
        <f ca="1">IF(I4840=0,"",COUNTIF($I$2:I4840,"&gt;0"))</f>
        <v/>
      </c>
      <c r="K4840" s="21" t="str">
        <f t="shared" ca="1" si="351"/>
        <v/>
      </c>
    </row>
    <row r="4841" spans="1:11" s="18" customFormat="1" ht="14.25" x14ac:dyDescent="0.2">
      <c r="A4841" s="18" t="str">
        <f t="shared" si="353"/>
        <v>Eintrag 4840</v>
      </c>
      <c r="B4841" s="18">
        <v>100</v>
      </c>
      <c r="C4841" s="19">
        <v>100</v>
      </c>
      <c r="D4841" s="20">
        <v>10</v>
      </c>
      <c r="E4841" s="20">
        <v>10</v>
      </c>
      <c r="F4841" s="20">
        <v>10</v>
      </c>
      <c r="G4841" s="19">
        <f t="shared" si="352"/>
        <v>172</v>
      </c>
      <c r="H4841" s="22">
        <f t="shared" si="355"/>
        <v>4840</v>
      </c>
      <c r="I4841" s="21">
        <f t="shared" ca="1" si="354"/>
        <v>0</v>
      </c>
      <c r="J4841" s="21" t="str">
        <f ca="1">IF(I4841=0,"",COUNTIF($I$2:I4841,"&gt;0"))</f>
        <v/>
      </c>
      <c r="K4841" s="21" t="str">
        <f t="shared" ca="1" si="351"/>
        <v/>
      </c>
    </row>
    <row r="4842" spans="1:11" s="18" customFormat="1" ht="14.25" x14ac:dyDescent="0.2">
      <c r="A4842" s="18" t="str">
        <f t="shared" si="353"/>
        <v>Eintrag 4841</v>
      </c>
      <c r="B4842" s="18">
        <v>100</v>
      </c>
      <c r="C4842" s="19">
        <v>100</v>
      </c>
      <c r="D4842" s="20">
        <v>10</v>
      </c>
      <c r="E4842" s="20">
        <v>10</v>
      </c>
      <c r="F4842" s="20">
        <v>10</v>
      </c>
      <c r="G4842" s="19">
        <f t="shared" si="352"/>
        <v>172</v>
      </c>
      <c r="H4842" s="22">
        <f t="shared" si="355"/>
        <v>4841</v>
      </c>
      <c r="I4842" s="21">
        <f t="shared" ca="1" si="354"/>
        <v>0</v>
      </c>
      <c r="J4842" s="21" t="str">
        <f ca="1">IF(I4842=0,"",COUNTIF($I$2:I4842,"&gt;0"))</f>
        <v/>
      </c>
      <c r="K4842" s="21" t="str">
        <f t="shared" ca="1" si="351"/>
        <v/>
      </c>
    </row>
    <row r="4843" spans="1:11" s="18" customFormat="1" ht="14.25" x14ac:dyDescent="0.2">
      <c r="A4843" s="18" t="str">
        <f t="shared" si="353"/>
        <v>Eintrag 4842</v>
      </c>
      <c r="B4843" s="18">
        <v>100</v>
      </c>
      <c r="C4843" s="19">
        <v>100</v>
      </c>
      <c r="D4843" s="20">
        <v>10</v>
      </c>
      <c r="E4843" s="20">
        <v>10</v>
      </c>
      <c r="F4843" s="20">
        <v>10</v>
      </c>
      <c r="G4843" s="19">
        <f t="shared" si="352"/>
        <v>172</v>
      </c>
      <c r="H4843" s="22">
        <f t="shared" si="355"/>
        <v>4842</v>
      </c>
      <c r="I4843" s="21">
        <f t="shared" ca="1" si="354"/>
        <v>0</v>
      </c>
      <c r="J4843" s="21" t="str">
        <f ca="1">IF(I4843=0,"",COUNTIF($I$2:I4843,"&gt;0"))</f>
        <v/>
      </c>
      <c r="K4843" s="21" t="str">
        <f t="shared" ca="1" si="351"/>
        <v/>
      </c>
    </row>
    <row r="4844" spans="1:11" s="18" customFormat="1" ht="14.25" x14ac:dyDescent="0.2">
      <c r="A4844" s="18" t="str">
        <f t="shared" si="353"/>
        <v>Eintrag 4843</v>
      </c>
      <c r="B4844" s="18">
        <v>100</v>
      </c>
      <c r="C4844" s="19">
        <v>100</v>
      </c>
      <c r="D4844" s="20">
        <v>10</v>
      </c>
      <c r="E4844" s="20">
        <v>10</v>
      </c>
      <c r="F4844" s="20">
        <v>10</v>
      </c>
      <c r="G4844" s="19">
        <f t="shared" si="352"/>
        <v>172</v>
      </c>
      <c r="H4844" s="22">
        <f t="shared" si="355"/>
        <v>4843</v>
      </c>
      <c r="I4844" s="21">
        <f t="shared" ca="1" si="354"/>
        <v>0</v>
      </c>
      <c r="J4844" s="21" t="str">
        <f ca="1">IF(I4844=0,"",COUNTIF($I$2:I4844,"&gt;0"))</f>
        <v/>
      </c>
      <c r="K4844" s="21" t="str">
        <f t="shared" ca="1" si="351"/>
        <v/>
      </c>
    </row>
    <row r="4845" spans="1:11" s="18" customFormat="1" ht="14.25" x14ac:dyDescent="0.2">
      <c r="A4845" s="18" t="str">
        <f t="shared" si="353"/>
        <v>Eintrag 4844</v>
      </c>
      <c r="B4845" s="18">
        <v>100</v>
      </c>
      <c r="C4845" s="19">
        <v>100</v>
      </c>
      <c r="D4845" s="20">
        <v>10</v>
      </c>
      <c r="E4845" s="20">
        <v>10</v>
      </c>
      <c r="F4845" s="20">
        <v>10</v>
      </c>
      <c r="G4845" s="19">
        <f t="shared" si="352"/>
        <v>172</v>
      </c>
      <c r="H4845" s="22">
        <f t="shared" si="355"/>
        <v>4844</v>
      </c>
      <c r="I4845" s="21">
        <f t="shared" ca="1" si="354"/>
        <v>0</v>
      </c>
      <c r="J4845" s="21" t="str">
        <f ca="1">IF(I4845=0,"",COUNTIF($I$2:I4845,"&gt;0"))</f>
        <v/>
      </c>
      <c r="K4845" s="21" t="str">
        <f t="shared" ca="1" si="351"/>
        <v/>
      </c>
    </row>
    <row r="4846" spans="1:11" s="18" customFormat="1" ht="14.25" x14ac:dyDescent="0.2">
      <c r="A4846" s="18" t="str">
        <f t="shared" si="353"/>
        <v>Eintrag 4845</v>
      </c>
      <c r="B4846" s="18">
        <v>100</v>
      </c>
      <c r="C4846" s="19">
        <v>100</v>
      </c>
      <c r="D4846" s="20">
        <v>10</v>
      </c>
      <c r="E4846" s="20">
        <v>10</v>
      </c>
      <c r="F4846" s="20">
        <v>10</v>
      </c>
      <c r="G4846" s="19">
        <f t="shared" si="352"/>
        <v>172</v>
      </c>
      <c r="H4846" s="22">
        <f t="shared" si="355"/>
        <v>4845</v>
      </c>
      <c r="I4846" s="21">
        <f t="shared" ca="1" si="354"/>
        <v>0</v>
      </c>
      <c r="J4846" s="21" t="str">
        <f ca="1">IF(I4846=0,"",COUNTIF($I$2:I4846,"&gt;0"))</f>
        <v/>
      </c>
      <c r="K4846" s="21" t="str">
        <f t="shared" ca="1" si="351"/>
        <v/>
      </c>
    </row>
    <row r="4847" spans="1:11" s="18" customFormat="1" ht="14.25" x14ac:dyDescent="0.2">
      <c r="A4847" s="18" t="str">
        <f t="shared" si="353"/>
        <v>Eintrag 4846</v>
      </c>
      <c r="B4847" s="18">
        <v>100</v>
      </c>
      <c r="C4847" s="19">
        <v>100</v>
      </c>
      <c r="D4847" s="20">
        <v>10</v>
      </c>
      <c r="E4847" s="20">
        <v>10</v>
      </c>
      <c r="F4847" s="20">
        <v>10</v>
      </c>
      <c r="G4847" s="19">
        <f t="shared" si="352"/>
        <v>172</v>
      </c>
      <c r="H4847" s="22">
        <f t="shared" si="355"/>
        <v>4846</v>
      </c>
      <c r="I4847" s="21">
        <f t="shared" ca="1" si="354"/>
        <v>0</v>
      </c>
      <c r="J4847" s="21" t="str">
        <f ca="1">IF(I4847=0,"",COUNTIF($I$2:I4847,"&gt;0"))</f>
        <v/>
      </c>
      <c r="K4847" s="21" t="str">
        <f t="shared" ca="1" si="351"/>
        <v/>
      </c>
    </row>
    <row r="4848" spans="1:11" s="18" customFormat="1" ht="14.25" x14ac:dyDescent="0.2">
      <c r="A4848" s="18" t="str">
        <f t="shared" si="353"/>
        <v>Eintrag 4847</v>
      </c>
      <c r="B4848" s="18">
        <v>100</v>
      </c>
      <c r="C4848" s="19">
        <v>100</v>
      </c>
      <c r="D4848" s="20">
        <v>10</v>
      </c>
      <c r="E4848" s="20">
        <v>10</v>
      </c>
      <c r="F4848" s="20">
        <v>10</v>
      </c>
      <c r="G4848" s="19">
        <f t="shared" si="352"/>
        <v>172</v>
      </c>
      <c r="H4848" s="22">
        <f t="shared" si="355"/>
        <v>4847</v>
      </c>
      <c r="I4848" s="21">
        <f t="shared" ca="1" si="354"/>
        <v>0</v>
      </c>
      <c r="J4848" s="21" t="str">
        <f ca="1">IF(I4848=0,"",COUNTIF($I$2:I4848,"&gt;0"))</f>
        <v/>
      </c>
      <c r="K4848" s="21" t="str">
        <f t="shared" ca="1" si="351"/>
        <v/>
      </c>
    </row>
    <row r="4849" spans="1:11" s="18" customFormat="1" ht="14.25" x14ac:dyDescent="0.2">
      <c r="A4849" s="18" t="str">
        <f t="shared" si="353"/>
        <v>Eintrag 4848</v>
      </c>
      <c r="B4849" s="18">
        <v>100</v>
      </c>
      <c r="C4849" s="19">
        <v>100</v>
      </c>
      <c r="D4849" s="20">
        <v>10</v>
      </c>
      <c r="E4849" s="20">
        <v>10</v>
      </c>
      <c r="F4849" s="20">
        <v>10</v>
      </c>
      <c r="G4849" s="19">
        <f t="shared" si="352"/>
        <v>172</v>
      </c>
      <c r="H4849" s="22">
        <f t="shared" si="355"/>
        <v>4848</v>
      </c>
      <c r="I4849" s="21">
        <f t="shared" ca="1" si="354"/>
        <v>0</v>
      </c>
      <c r="J4849" s="21" t="str">
        <f ca="1">IF(I4849=0,"",COUNTIF($I$2:I4849,"&gt;0"))</f>
        <v/>
      </c>
      <c r="K4849" s="21" t="str">
        <f t="shared" ca="1" si="351"/>
        <v/>
      </c>
    </row>
    <row r="4850" spans="1:11" s="18" customFormat="1" ht="14.25" x14ac:dyDescent="0.2">
      <c r="A4850" s="18" t="str">
        <f t="shared" si="353"/>
        <v>Eintrag 4849</v>
      </c>
      <c r="B4850" s="18">
        <v>100</v>
      </c>
      <c r="C4850" s="19">
        <v>100</v>
      </c>
      <c r="D4850" s="20">
        <v>10</v>
      </c>
      <c r="E4850" s="20">
        <v>10</v>
      </c>
      <c r="F4850" s="20">
        <v>10</v>
      </c>
      <c r="G4850" s="19">
        <f t="shared" si="352"/>
        <v>172</v>
      </c>
      <c r="H4850" s="22">
        <f t="shared" si="355"/>
        <v>4849</v>
      </c>
      <c r="I4850" s="21">
        <f t="shared" ca="1" si="354"/>
        <v>0</v>
      </c>
      <c r="J4850" s="21" t="str">
        <f ca="1">IF(I4850=0,"",COUNTIF($I$2:I4850,"&gt;0"))</f>
        <v/>
      </c>
      <c r="K4850" s="21" t="str">
        <f t="shared" ca="1" si="351"/>
        <v/>
      </c>
    </row>
    <row r="4851" spans="1:11" s="18" customFormat="1" ht="14.25" x14ac:dyDescent="0.2">
      <c r="A4851" s="18" t="str">
        <f t="shared" si="353"/>
        <v>Eintrag 4850</v>
      </c>
      <c r="B4851" s="18">
        <v>100</v>
      </c>
      <c r="C4851" s="19">
        <v>100</v>
      </c>
      <c r="D4851" s="20">
        <v>10</v>
      </c>
      <c r="E4851" s="20">
        <v>10</v>
      </c>
      <c r="F4851" s="20">
        <v>10</v>
      </c>
      <c r="G4851" s="19">
        <f t="shared" si="352"/>
        <v>172</v>
      </c>
      <c r="H4851" s="22">
        <f t="shared" si="355"/>
        <v>4850</v>
      </c>
      <c r="I4851" s="21">
        <f t="shared" ca="1" si="354"/>
        <v>0</v>
      </c>
      <c r="J4851" s="21" t="str">
        <f ca="1">IF(I4851=0,"",COUNTIF($I$2:I4851,"&gt;0"))</f>
        <v/>
      </c>
      <c r="K4851" s="21" t="str">
        <f t="shared" ca="1" si="351"/>
        <v/>
      </c>
    </row>
    <row r="4852" spans="1:11" s="18" customFormat="1" ht="14.25" x14ac:dyDescent="0.2">
      <c r="A4852" s="18" t="str">
        <f t="shared" si="353"/>
        <v>Eintrag 4851</v>
      </c>
      <c r="B4852" s="18">
        <v>100</v>
      </c>
      <c r="C4852" s="19">
        <v>100</v>
      </c>
      <c r="D4852" s="20">
        <v>10</v>
      </c>
      <c r="E4852" s="20">
        <v>10</v>
      </c>
      <c r="F4852" s="20">
        <v>10</v>
      </c>
      <c r="G4852" s="19">
        <f t="shared" si="352"/>
        <v>172</v>
      </c>
      <c r="H4852" s="22">
        <f t="shared" si="355"/>
        <v>4851</v>
      </c>
      <c r="I4852" s="21">
        <f t="shared" ca="1" si="354"/>
        <v>0</v>
      </c>
      <c r="J4852" s="21" t="str">
        <f ca="1">IF(I4852=0,"",COUNTIF($I$2:I4852,"&gt;0"))</f>
        <v/>
      </c>
      <c r="K4852" s="21" t="str">
        <f t="shared" ca="1" si="351"/>
        <v/>
      </c>
    </row>
    <row r="4853" spans="1:11" s="18" customFormat="1" ht="14.25" x14ac:dyDescent="0.2">
      <c r="A4853" s="18" t="str">
        <f t="shared" si="353"/>
        <v>Eintrag 4852</v>
      </c>
      <c r="B4853" s="18">
        <v>100</v>
      </c>
      <c r="C4853" s="19">
        <v>100</v>
      </c>
      <c r="D4853" s="20">
        <v>10</v>
      </c>
      <c r="E4853" s="20">
        <v>10</v>
      </c>
      <c r="F4853" s="20">
        <v>10</v>
      </c>
      <c r="G4853" s="19">
        <f t="shared" si="352"/>
        <v>172</v>
      </c>
      <c r="H4853" s="22">
        <f t="shared" si="355"/>
        <v>4852</v>
      </c>
      <c r="I4853" s="21">
        <f t="shared" ca="1" si="354"/>
        <v>0</v>
      </c>
      <c r="J4853" s="21" t="str">
        <f ca="1">IF(I4853=0,"",COUNTIF($I$2:I4853,"&gt;0"))</f>
        <v/>
      </c>
      <c r="K4853" s="21" t="str">
        <f t="shared" ca="1" si="351"/>
        <v/>
      </c>
    </row>
    <row r="4854" spans="1:11" s="18" customFormat="1" ht="14.25" x14ac:dyDescent="0.2">
      <c r="A4854" s="18" t="str">
        <f t="shared" si="353"/>
        <v>Eintrag 4853</v>
      </c>
      <c r="B4854" s="18">
        <v>100</v>
      </c>
      <c r="C4854" s="19">
        <v>100</v>
      </c>
      <c r="D4854" s="20">
        <v>10</v>
      </c>
      <c r="E4854" s="20">
        <v>10</v>
      </c>
      <c r="F4854" s="20">
        <v>10</v>
      </c>
      <c r="G4854" s="19">
        <f t="shared" si="352"/>
        <v>172</v>
      </c>
      <c r="H4854" s="22">
        <f t="shared" si="355"/>
        <v>4853</v>
      </c>
      <c r="I4854" s="21">
        <f t="shared" ca="1" si="354"/>
        <v>0</v>
      </c>
      <c r="J4854" s="21" t="str">
        <f ca="1">IF(I4854=0,"",COUNTIF($I$2:I4854,"&gt;0"))</f>
        <v/>
      </c>
      <c r="K4854" s="21" t="str">
        <f t="shared" ca="1" si="351"/>
        <v/>
      </c>
    </row>
    <row r="4855" spans="1:11" s="18" customFormat="1" ht="14.25" x14ac:dyDescent="0.2">
      <c r="A4855" s="18" t="str">
        <f t="shared" si="353"/>
        <v>Eintrag 4854</v>
      </c>
      <c r="B4855" s="18">
        <v>100</v>
      </c>
      <c r="C4855" s="19">
        <v>100</v>
      </c>
      <c r="D4855" s="20">
        <v>10</v>
      </c>
      <c r="E4855" s="20">
        <v>10</v>
      </c>
      <c r="F4855" s="20">
        <v>10</v>
      </c>
      <c r="G4855" s="19">
        <f t="shared" si="352"/>
        <v>172</v>
      </c>
      <c r="H4855" s="22">
        <f t="shared" si="355"/>
        <v>4854</v>
      </c>
      <c r="I4855" s="21">
        <f t="shared" ca="1" si="354"/>
        <v>0</v>
      </c>
      <c r="J4855" s="21" t="str">
        <f ca="1">IF(I4855=0,"",COUNTIF($I$2:I4855,"&gt;0"))</f>
        <v/>
      </c>
      <c r="K4855" s="21" t="str">
        <f t="shared" ca="1" si="351"/>
        <v/>
      </c>
    </row>
    <row r="4856" spans="1:11" s="18" customFormat="1" ht="14.25" x14ac:dyDescent="0.2">
      <c r="A4856" s="18" t="str">
        <f t="shared" si="353"/>
        <v>Eintrag 4855</v>
      </c>
      <c r="B4856" s="18">
        <v>100</v>
      </c>
      <c r="C4856" s="19">
        <v>100</v>
      </c>
      <c r="D4856" s="20">
        <v>10</v>
      </c>
      <c r="E4856" s="20">
        <v>10</v>
      </c>
      <c r="F4856" s="20">
        <v>10</v>
      </c>
      <c r="G4856" s="19">
        <f t="shared" si="352"/>
        <v>172</v>
      </c>
      <c r="H4856" s="22">
        <f t="shared" si="355"/>
        <v>4855</v>
      </c>
      <c r="I4856" s="21">
        <f t="shared" ca="1" si="354"/>
        <v>0</v>
      </c>
      <c r="J4856" s="21" t="str">
        <f ca="1">IF(I4856=0,"",COUNTIF($I$2:I4856,"&gt;0"))</f>
        <v/>
      </c>
      <c r="K4856" s="21" t="str">
        <f t="shared" ca="1" si="351"/>
        <v/>
      </c>
    </row>
    <row r="4857" spans="1:11" s="18" customFormat="1" ht="14.25" x14ac:dyDescent="0.2">
      <c r="A4857" s="18" t="str">
        <f t="shared" si="353"/>
        <v>Eintrag 4856</v>
      </c>
      <c r="B4857" s="18">
        <v>100</v>
      </c>
      <c r="C4857" s="19">
        <v>100</v>
      </c>
      <c r="D4857" s="20">
        <v>10</v>
      </c>
      <c r="E4857" s="20">
        <v>10</v>
      </c>
      <c r="F4857" s="20">
        <v>10</v>
      </c>
      <c r="G4857" s="19">
        <f t="shared" si="352"/>
        <v>172</v>
      </c>
      <c r="H4857" s="22">
        <f t="shared" si="355"/>
        <v>4856</v>
      </c>
      <c r="I4857" s="21">
        <f t="shared" ca="1" si="354"/>
        <v>0</v>
      </c>
      <c r="J4857" s="21" t="str">
        <f ca="1">IF(I4857=0,"",COUNTIF($I$2:I4857,"&gt;0"))</f>
        <v/>
      </c>
      <c r="K4857" s="21" t="str">
        <f t="shared" ca="1" si="351"/>
        <v/>
      </c>
    </row>
    <row r="4858" spans="1:11" s="18" customFormat="1" ht="14.25" x14ac:dyDescent="0.2">
      <c r="A4858" s="18" t="str">
        <f t="shared" si="353"/>
        <v>Eintrag 4857</v>
      </c>
      <c r="B4858" s="18">
        <v>100</v>
      </c>
      <c r="C4858" s="19">
        <v>100</v>
      </c>
      <c r="D4858" s="20">
        <v>10</v>
      </c>
      <c r="E4858" s="20">
        <v>10</v>
      </c>
      <c r="F4858" s="20">
        <v>10</v>
      </c>
      <c r="G4858" s="19">
        <f t="shared" si="352"/>
        <v>172</v>
      </c>
      <c r="H4858" s="22">
        <f t="shared" si="355"/>
        <v>4857</v>
      </c>
      <c r="I4858" s="21">
        <f t="shared" ca="1" si="354"/>
        <v>0</v>
      </c>
      <c r="J4858" s="21" t="str">
        <f ca="1">IF(I4858=0,"",COUNTIF($I$2:I4858,"&gt;0"))</f>
        <v/>
      </c>
      <c r="K4858" s="21" t="str">
        <f t="shared" ca="1" si="351"/>
        <v/>
      </c>
    </row>
    <row r="4859" spans="1:11" s="18" customFormat="1" ht="14.25" x14ac:dyDescent="0.2">
      <c r="A4859" s="18" t="str">
        <f t="shared" si="353"/>
        <v>Eintrag 4858</v>
      </c>
      <c r="B4859" s="18">
        <v>100</v>
      </c>
      <c r="C4859" s="19">
        <v>100</v>
      </c>
      <c r="D4859" s="20">
        <v>10</v>
      </c>
      <c r="E4859" s="20">
        <v>10</v>
      </c>
      <c r="F4859" s="20">
        <v>10</v>
      </c>
      <c r="G4859" s="19">
        <f t="shared" si="352"/>
        <v>172</v>
      </c>
      <c r="H4859" s="22">
        <f t="shared" si="355"/>
        <v>4858</v>
      </c>
      <c r="I4859" s="21">
        <f t="shared" ca="1" si="354"/>
        <v>0</v>
      </c>
      <c r="J4859" s="21" t="str">
        <f ca="1">IF(I4859=0,"",COUNTIF($I$2:I4859,"&gt;0"))</f>
        <v/>
      </c>
      <c r="K4859" s="21" t="str">
        <f t="shared" ca="1" si="351"/>
        <v/>
      </c>
    </row>
    <row r="4860" spans="1:11" s="18" customFormat="1" ht="14.25" x14ac:dyDescent="0.2">
      <c r="A4860" s="18" t="str">
        <f t="shared" si="353"/>
        <v>Eintrag 4859</v>
      </c>
      <c r="B4860" s="18">
        <v>100</v>
      </c>
      <c r="C4860" s="19">
        <v>100</v>
      </c>
      <c r="D4860" s="20">
        <v>10</v>
      </c>
      <c r="E4860" s="20">
        <v>10</v>
      </c>
      <c r="F4860" s="20">
        <v>10</v>
      </c>
      <c r="G4860" s="19">
        <f t="shared" si="352"/>
        <v>172</v>
      </c>
      <c r="H4860" s="22">
        <f t="shared" si="355"/>
        <v>4859</v>
      </c>
      <c r="I4860" s="21">
        <f t="shared" ca="1" si="354"/>
        <v>0</v>
      </c>
      <c r="J4860" s="21" t="str">
        <f ca="1">IF(I4860=0,"",COUNTIF($I$2:I4860,"&gt;0"))</f>
        <v/>
      </c>
      <c r="K4860" s="21" t="str">
        <f t="shared" ca="1" si="351"/>
        <v/>
      </c>
    </row>
    <row r="4861" spans="1:11" s="18" customFormat="1" ht="14.25" x14ac:dyDescent="0.2">
      <c r="A4861" s="18" t="str">
        <f t="shared" si="353"/>
        <v>Eintrag 4860</v>
      </c>
      <c r="B4861" s="18">
        <v>100</v>
      </c>
      <c r="C4861" s="19">
        <v>100</v>
      </c>
      <c r="D4861" s="20">
        <v>10</v>
      </c>
      <c r="E4861" s="20">
        <v>10</v>
      </c>
      <c r="F4861" s="20">
        <v>10</v>
      </c>
      <c r="G4861" s="19">
        <f t="shared" si="352"/>
        <v>172</v>
      </c>
      <c r="H4861" s="22">
        <f t="shared" si="355"/>
        <v>4860</v>
      </c>
      <c r="I4861" s="21">
        <f t="shared" ca="1" si="354"/>
        <v>0</v>
      </c>
      <c r="J4861" s="21" t="str">
        <f ca="1">IF(I4861=0,"",COUNTIF($I$2:I4861,"&gt;0"))</f>
        <v/>
      </c>
      <c r="K4861" s="21" t="str">
        <f t="shared" ca="1" si="351"/>
        <v/>
      </c>
    </row>
    <row r="4862" spans="1:11" s="18" customFormat="1" ht="14.25" x14ac:dyDescent="0.2">
      <c r="A4862" s="18" t="str">
        <f t="shared" si="353"/>
        <v>Eintrag 4861</v>
      </c>
      <c r="B4862" s="18">
        <v>100</v>
      </c>
      <c r="C4862" s="19">
        <v>100</v>
      </c>
      <c r="D4862" s="20">
        <v>10</v>
      </c>
      <c r="E4862" s="20">
        <v>10</v>
      </c>
      <c r="F4862" s="20">
        <v>10</v>
      </c>
      <c r="G4862" s="19">
        <f t="shared" si="352"/>
        <v>172</v>
      </c>
      <c r="H4862" s="22">
        <f t="shared" si="355"/>
        <v>4861</v>
      </c>
      <c r="I4862" s="21">
        <f t="shared" ca="1" si="354"/>
        <v>0</v>
      </c>
      <c r="J4862" s="21" t="str">
        <f ca="1">IF(I4862=0,"",COUNTIF($I$2:I4862,"&gt;0"))</f>
        <v/>
      </c>
      <c r="K4862" s="21" t="str">
        <f t="shared" ca="1" si="351"/>
        <v/>
      </c>
    </row>
    <row r="4863" spans="1:11" s="18" customFormat="1" ht="14.25" x14ac:dyDescent="0.2">
      <c r="A4863" s="18" t="str">
        <f t="shared" si="353"/>
        <v>Eintrag 4862</v>
      </c>
      <c r="B4863" s="18">
        <v>100</v>
      </c>
      <c r="C4863" s="19">
        <v>100</v>
      </c>
      <c r="D4863" s="20">
        <v>10</v>
      </c>
      <c r="E4863" s="20">
        <v>10</v>
      </c>
      <c r="F4863" s="20">
        <v>10</v>
      </c>
      <c r="G4863" s="19">
        <f t="shared" si="352"/>
        <v>172</v>
      </c>
      <c r="H4863" s="22">
        <f t="shared" si="355"/>
        <v>4862</v>
      </c>
      <c r="I4863" s="21">
        <f t="shared" ca="1" si="354"/>
        <v>0</v>
      </c>
      <c r="J4863" s="21" t="str">
        <f ca="1">IF(I4863=0,"",COUNTIF($I$2:I4863,"&gt;0"))</f>
        <v/>
      </c>
      <c r="K4863" s="21" t="str">
        <f t="shared" ca="1" si="351"/>
        <v/>
      </c>
    </row>
    <row r="4864" spans="1:11" s="18" customFormat="1" ht="14.25" x14ac:dyDescent="0.2">
      <c r="A4864" s="18" t="str">
        <f t="shared" si="353"/>
        <v>Eintrag 4863</v>
      </c>
      <c r="B4864" s="18">
        <v>100</v>
      </c>
      <c r="C4864" s="19">
        <v>100</v>
      </c>
      <c r="D4864" s="20">
        <v>10</v>
      </c>
      <c r="E4864" s="20">
        <v>10</v>
      </c>
      <c r="F4864" s="20">
        <v>10</v>
      </c>
      <c r="G4864" s="19">
        <f t="shared" si="352"/>
        <v>172</v>
      </c>
      <c r="H4864" s="22">
        <f t="shared" si="355"/>
        <v>4863</v>
      </c>
      <c r="I4864" s="21">
        <f t="shared" ca="1" si="354"/>
        <v>0</v>
      </c>
      <c r="J4864" s="21" t="str">
        <f ca="1">IF(I4864=0,"",COUNTIF($I$2:I4864,"&gt;0"))</f>
        <v/>
      </c>
      <c r="K4864" s="21" t="str">
        <f t="shared" ca="1" si="351"/>
        <v/>
      </c>
    </row>
    <row r="4865" spans="1:11" s="18" customFormat="1" ht="14.25" x14ac:dyDescent="0.2">
      <c r="A4865" s="18" t="str">
        <f t="shared" si="353"/>
        <v>Eintrag 4864</v>
      </c>
      <c r="B4865" s="18">
        <v>100</v>
      </c>
      <c r="C4865" s="19">
        <v>100</v>
      </c>
      <c r="D4865" s="20">
        <v>10</v>
      </c>
      <c r="E4865" s="20">
        <v>10</v>
      </c>
      <c r="F4865" s="20">
        <v>10</v>
      </c>
      <c r="G4865" s="19">
        <f t="shared" si="352"/>
        <v>172</v>
      </c>
      <c r="H4865" s="22">
        <f t="shared" si="355"/>
        <v>4864</v>
      </c>
      <c r="I4865" s="21">
        <f t="shared" ca="1" si="354"/>
        <v>0</v>
      </c>
      <c r="J4865" s="21" t="str">
        <f ca="1">IF(I4865=0,"",COUNTIF($I$2:I4865,"&gt;0"))</f>
        <v/>
      </c>
      <c r="K4865" s="21" t="str">
        <f t="shared" ca="1" si="351"/>
        <v/>
      </c>
    </row>
    <row r="4866" spans="1:11" s="18" customFormat="1" ht="14.25" x14ac:dyDescent="0.2">
      <c r="A4866" s="18" t="str">
        <f t="shared" si="353"/>
        <v>Eintrag 4865</v>
      </c>
      <c r="B4866" s="18">
        <v>100</v>
      </c>
      <c r="C4866" s="19">
        <v>100</v>
      </c>
      <c r="D4866" s="20">
        <v>10</v>
      </c>
      <c r="E4866" s="20">
        <v>10</v>
      </c>
      <c r="F4866" s="20">
        <v>10</v>
      </c>
      <c r="G4866" s="19">
        <f t="shared" si="352"/>
        <v>172</v>
      </c>
      <c r="H4866" s="22">
        <f t="shared" si="355"/>
        <v>4865</v>
      </c>
      <c r="I4866" s="21">
        <f t="shared" ca="1" si="354"/>
        <v>0</v>
      </c>
      <c r="J4866" s="21" t="str">
        <f ca="1">IF(I4866=0,"",COUNTIF($I$2:I4866,"&gt;0"))</f>
        <v/>
      </c>
      <c r="K4866" s="21" t="str">
        <f t="shared" ref="K4866:K4929" ca="1" si="356">IFERROR(INDEX(A:A,MATCH(ROW(I4865),J:J,0)),"")</f>
        <v/>
      </c>
    </row>
    <row r="4867" spans="1:11" s="18" customFormat="1" ht="14.25" x14ac:dyDescent="0.2">
      <c r="A4867" s="18" t="str">
        <f t="shared" si="353"/>
        <v>Eintrag 4866</v>
      </c>
      <c r="B4867" s="18">
        <v>100</v>
      </c>
      <c r="C4867" s="19">
        <v>100</v>
      </c>
      <c r="D4867" s="20">
        <v>10</v>
      </c>
      <c r="E4867" s="20">
        <v>10</v>
      </c>
      <c r="F4867" s="20">
        <v>10</v>
      </c>
      <c r="G4867" s="19">
        <f t="shared" ref="G4867:G4930" si="357">D4867*9+E4867*4.1+F4867*4.1</f>
        <v>172</v>
      </c>
      <c r="H4867" s="22">
        <f t="shared" si="355"/>
        <v>4866</v>
      </c>
      <c r="I4867" s="21">
        <f t="shared" ca="1" si="354"/>
        <v>0</v>
      </c>
      <c r="J4867" s="21" t="str">
        <f ca="1">IF(I4867=0,"",COUNTIF($I$2:I4867,"&gt;0"))</f>
        <v/>
      </c>
      <c r="K4867" s="21" t="str">
        <f t="shared" ca="1" si="356"/>
        <v/>
      </c>
    </row>
    <row r="4868" spans="1:11" s="18" customFormat="1" ht="14.25" x14ac:dyDescent="0.2">
      <c r="A4868" s="18" t="str">
        <f t="shared" si="353"/>
        <v>Eintrag 4867</v>
      </c>
      <c r="B4868" s="18">
        <v>100</v>
      </c>
      <c r="C4868" s="19">
        <v>100</v>
      </c>
      <c r="D4868" s="20">
        <v>10</v>
      </c>
      <c r="E4868" s="20">
        <v>10</v>
      </c>
      <c r="F4868" s="20">
        <v>10</v>
      </c>
      <c r="G4868" s="19">
        <f t="shared" si="357"/>
        <v>172</v>
      </c>
      <c r="H4868" s="22">
        <f t="shared" si="355"/>
        <v>4867</v>
      </c>
      <c r="I4868" s="21">
        <f t="shared" ca="1" si="354"/>
        <v>0</v>
      </c>
      <c r="J4868" s="21" t="str">
        <f ca="1">IF(I4868=0,"",COUNTIF($I$2:I4868,"&gt;0"))</f>
        <v/>
      </c>
      <c r="K4868" s="21" t="str">
        <f t="shared" ca="1" si="356"/>
        <v/>
      </c>
    </row>
    <row r="4869" spans="1:11" s="18" customFormat="1" ht="14.25" x14ac:dyDescent="0.2">
      <c r="A4869" s="18" t="str">
        <f t="shared" si="353"/>
        <v>Eintrag 4868</v>
      </c>
      <c r="B4869" s="18">
        <v>100</v>
      </c>
      <c r="C4869" s="19">
        <v>100</v>
      </c>
      <c r="D4869" s="20">
        <v>10</v>
      </c>
      <c r="E4869" s="20">
        <v>10</v>
      </c>
      <c r="F4869" s="20">
        <v>10</v>
      </c>
      <c r="G4869" s="19">
        <f t="shared" si="357"/>
        <v>172</v>
      </c>
      <c r="H4869" s="22">
        <f t="shared" si="355"/>
        <v>4868</v>
      </c>
      <c r="I4869" s="21">
        <f t="shared" ca="1" si="354"/>
        <v>0</v>
      </c>
      <c r="J4869" s="21" t="str">
        <f ca="1">IF(I4869=0,"",COUNTIF($I$2:I4869,"&gt;0"))</f>
        <v/>
      </c>
      <c r="K4869" s="21" t="str">
        <f t="shared" ca="1" si="356"/>
        <v/>
      </c>
    </row>
    <row r="4870" spans="1:11" s="18" customFormat="1" ht="14.25" x14ac:dyDescent="0.2">
      <c r="A4870" s="18" t="str">
        <f t="shared" si="353"/>
        <v>Eintrag 4869</v>
      </c>
      <c r="B4870" s="18">
        <v>100</v>
      </c>
      <c r="C4870" s="19">
        <v>100</v>
      </c>
      <c r="D4870" s="20">
        <v>10</v>
      </c>
      <c r="E4870" s="20">
        <v>10</v>
      </c>
      <c r="F4870" s="20">
        <v>10</v>
      </c>
      <c r="G4870" s="19">
        <f t="shared" si="357"/>
        <v>172</v>
      </c>
      <c r="H4870" s="22">
        <f t="shared" si="355"/>
        <v>4869</v>
      </c>
      <c r="I4870" s="21">
        <f t="shared" ca="1" si="354"/>
        <v>0</v>
      </c>
      <c r="J4870" s="21" t="str">
        <f ca="1">IF(I4870=0,"",COUNTIF($I$2:I4870,"&gt;0"))</f>
        <v/>
      </c>
      <c r="K4870" s="21" t="str">
        <f t="shared" ca="1" si="356"/>
        <v/>
      </c>
    </row>
    <row r="4871" spans="1:11" s="18" customFormat="1" ht="14.25" x14ac:dyDescent="0.2">
      <c r="A4871" s="18" t="str">
        <f t="shared" si="353"/>
        <v>Eintrag 4870</v>
      </c>
      <c r="B4871" s="18">
        <v>100</v>
      </c>
      <c r="C4871" s="19">
        <v>100</v>
      </c>
      <c r="D4871" s="20">
        <v>10</v>
      </c>
      <c r="E4871" s="20">
        <v>10</v>
      </c>
      <c r="F4871" s="20">
        <v>10</v>
      </c>
      <c r="G4871" s="19">
        <f t="shared" si="357"/>
        <v>172</v>
      </c>
      <c r="H4871" s="22">
        <f t="shared" si="355"/>
        <v>4870</v>
      </c>
      <c r="I4871" s="21">
        <f t="shared" ca="1" si="354"/>
        <v>0</v>
      </c>
      <c r="J4871" s="21" t="str">
        <f ca="1">IF(I4871=0,"",COUNTIF($I$2:I4871,"&gt;0"))</f>
        <v/>
      </c>
      <c r="K4871" s="21" t="str">
        <f t="shared" ca="1" si="356"/>
        <v/>
      </c>
    </row>
    <row r="4872" spans="1:11" s="18" customFormat="1" ht="14.25" x14ac:dyDescent="0.2">
      <c r="A4872" s="18" t="str">
        <f t="shared" si="353"/>
        <v>Eintrag 4871</v>
      </c>
      <c r="B4872" s="18">
        <v>100</v>
      </c>
      <c r="C4872" s="19">
        <v>100</v>
      </c>
      <c r="D4872" s="20">
        <v>10</v>
      </c>
      <c r="E4872" s="20">
        <v>10</v>
      </c>
      <c r="F4872" s="20">
        <v>10</v>
      </c>
      <c r="G4872" s="19">
        <f t="shared" si="357"/>
        <v>172</v>
      </c>
      <c r="H4872" s="22">
        <f t="shared" si="355"/>
        <v>4871</v>
      </c>
      <c r="I4872" s="21">
        <f t="shared" ca="1" si="354"/>
        <v>0</v>
      </c>
      <c r="J4872" s="21" t="str">
        <f ca="1">IF(I4872=0,"",COUNTIF($I$2:I4872,"&gt;0"))</f>
        <v/>
      </c>
      <c r="K4872" s="21" t="str">
        <f t="shared" ca="1" si="356"/>
        <v/>
      </c>
    </row>
    <row r="4873" spans="1:11" s="18" customFormat="1" ht="14.25" x14ac:dyDescent="0.2">
      <c r="A4873" s="18" t="str">
        <f t="shared" si="353"/>
        <v>Eintrag 4872</v>
      </c>
      <c r="B4873" s="18">
        <v>100</v>
      </c>
      <c r="C4873" s="19">
        <v>100</v>
      </c>
      <c r="D4873" s="20">
        <v>10</v>
      </c>
      <c r="E4873" s="20">
        <v>10</v>
      </c>
      <c r="F4873" s="20">
        <v>10</v>
      </c>
      <c r="G4873" s="19">
        <f t="shared" si="357"/>
        <v>172</v>
      </c>
      <c r="H4873" s="22">
        <f t="shared" si="355"/>
        <v>4872</v>
      </c>
      <c r="I4873" s="21">
        <f t="shared" ca="1" si="354"/>
        <v>0</v>
      </c>
      <c r="J4873" s="21" t="str">
        <f ca="1">IF(I4873=0,"",COUNTIF($I$2:I4873,"&gt;0"))</f>
        <v/>
      </c>
      <c r="K4873" s="21" t="str">
        <f t="shared" ca="1" si="356"/>
        <v/>
      </c>
    </row>
    <row r="4874" spans="1:11" s="18" customFormat="1" ht="14.25" x14ac:dyDescent="0.2">
      <c r="A4874" s="18" t="str">
        <f t="shared" si="353"/>
        <v>Eintrag 4873</v>
      </c>
      <c r="B4874" s="18">
        <v>100</v>
      </c>
      <c r="C4874" s="19">
        <v>100</v>
      </c>
      <c r="D4874" s="20">
        <v>10</v>
      </c>
      <c r="E4874" s="20">
        <v>10</v>
      </c>
      <c r="F4874" s="20">
        <v>10</v>
      </c>
      <c r="G4874" s="19">
        <f t="shared" si="357"/>
        <v>172</v>
      </c>
      <c r="H4874" s="22">
        <f t="shared" si="355"/>
        <v>4873</v>
      </c>
      <c r="I4874" s="21">
        <f t="shared" ca="1" si="354"/>
        <v>0</v>
      </c>
      <c r="J4874" s="21" t="str">
        <f ca="1">IF(I4874=0,"",COUNTIF($I$2:I4874,"&gt;0"))</f>
        <v/>
      </c>
      <c r="K4874" s="21" t="str">
        <f t="shared" ca="1" si="356"/>
        <v/>
      </c>
    </row>
    <row r="4875" spans="1:11" s="18" customFormat="1" ht="14.25" x14ac:dyDescent="0.2">
      <c r="A4875" s="18" t="str">
        <f t="shared" si="353"/>
        <v>Eintrag 4874</v>
      </c>
      <c r="B4875" s="18">
        <v>100</v>
      </c>
      <c r="C4875" s="19">
        <v>100</v>
      </c>
      <c r="D4875" s="20">
        <v>10</v>
      </c>
      <c r="E4875" s="20">
        <v>10</v>
      </c>
      <c r="F4875" s="20">
        <v>10</v>
      </c>
      <c r="G4875" s="19">
        <f t="shared" si="357"/>
        <v>172</v>
      </c>
      <c r="H4875" s="22">
        <f t="shared" si="355"/>
        <v>4874</v>
      </c>
      <c r="I4875" s="21">
        <f t="shared" ca="1" si="354"/>
        <v>0</v>
      </c>
      <c r="J4875" s="21" t="str">
        <f ca="1">IF(I4875=0,"",COUNTIF($I$2:I4875,"&gt;0"))</f>
        <v/>
      </c>
      <c r="K4875" s="21" t="str">
        <f t="shared" ca="1" si="356"/>
        <v/>
      </c>
    </row>
    <row r="4876" spans="1:11" s="18" customFormat="1" ht="14.25" x14ac:dyDescent="0.2">
      <c r="A4876" s="18" t="str">
        <f t="shared" si="353"/>
        <v>Eintrag 4875</v>
      </c>
      <c r="B4876" s="18">
        <v>100</v>
      </c>
      <c r="C4876" s="19">
        <v>100</v>
      </c>
      <c r="D4876" s="20">
        <v>10</v>
      </c>
      <c r="E4876" s="20">
        <v>10</v>
      </c>
      <c r="F4876" s="20">
        <v>10</v>
      </c>
      <c r="G4876" s="19">
        <f t="shared" si="357"/>
        <v>172</v>
      </c>
      <c r="H4876" s="22">
        <f t="shared" si="355"/>
        <v>4875</v>
      </c>
      <c r="I4876" s="21">
        <f t="shared" ca="1" si="354"/>
        <v>0</v>
      </c>
      <c r="J4876" s="21" t="str">
        <f ca="1">IF(I4876=0,"",COUNTIF($I$2:I4876,"&gt;0"))</f>
        <v/>
      </c>
      <c r="K4876" s="21" t="str">
        <f t="shared" ca="1" si="356"/>
        <v/>
      </c>
    </row>
    <row r="4877" spans="1:11" s="18" customFormat="1" ht="14.25" x14ac:dyDescent="0.2">
      <c r="A4877" s="18" t="str">
        <f t="shared" si="353"/>
        <v>Eintrag 4876</v>
      </c>
      <c r="B4877" s="18">
        <v>100</v>
      </c>
      <c r="C4877" s="19">
        <v>100</v>
      </c>
      <c r="D4877" s="20">
        <v>10</v>
      </c>
      <c r="E4877" s="20">
        <v>10</v>
      </c>
      <c r="F4877" s="20">
        <v>10</v>
      </c>
      <c r="G4877" s="19">
        <f t="shared" si="357"/>
        <v>172</v>
      </c>
      <c r="H4877" s="22">
        <f t="shared" si="355"/>
        <v>4876</v>
      </c>
      <c r="I4877" s="21">
        <f t="shared" ca="1" si="354"/>
        <v>0</v>
      </c>
      <c r="J4877" s="21" t="str">
        <f ca="1">IF(I4877=0,"",COUNTIF($I$2:I4877,"&gt;0"))</f>
        <v/>
      </c>
      <c r="K4877" s="21" t="str">
        <f t="shared" ca="1" si="356"/>
        <v/>
      </c>
    </row>
    <row r="4878" spans="1:11" s="18" customFormat="1" ht="14.25" x14ac:dyDescent="0.2">
      <c r="A4878" s="18" t="str">
        <f t="shared" si="353"/>
        <v>Eintrag 4877</v>
      </c>
      <c r="B4878" s="18">
        <v>100</v>
      </c>
      <c r="C4878" s="19">
        <v>100</v>
      </c>
      <c r="D4878" s="20">
        <v>10</v>
      </c>
      <c r="E4878" s="20">
        <v>10</v>
      </c>
      <c r="F4878" s="20">
        <v>10</v>
      </c>
      <c r="G4878" s="19">
        <f t="shared" si="357"/>
        <v>172</v>
      </c>
      <c r="H4878" s="22">
        <f t="shared" si="355"/>
        <v>4877</v>
      </c>
      <c r="I4878" s="21">
        <f t="shared" ca="1" si="354"/>
        <v>0</v>
      </c>
      <c r="J4878" s="21" t="str">
        <f ca="1">IF(I4878=0,"",COUNTIF($I$2:I4878,"&gt;0"))</f>
        <v/>
      </c>
      <c r="K4878" s="21" t="str">
        <f t="shared" ca="1" si="356"/>
        <v/>
      </c>
    </row>
    <row r="4879" spans="1:11" s="18" customFormat="1" ht="14.25" x14ac:dyDescent="0.2">
      <c r="A4879" s="18" t="str">
        <f t="shared" si="353"/>
        <v>Eintrag 4878</v>
      </c>
      <c r="B4879" s="18">
        <v>100</v>
      </c>
      <c r="C4879" s="19">
        <v>100</v>
      </c>
      <c r="D4879" s="20">
        <v>10</v>
      </c>
      <c r="E4879" s="20">
        <v>10</v>
      </c>
      <c r="F4879" s="20">
        <v>10</v>
      </c>
      <c r="G4879" s="19">
        <f t="shared" si="357"/>
        <v>172</v>
      </c>
      <c r="H4879" s="22">
        <f t="shared" si="355"/>
        <v>4878</v>
      </c>
      <c r="I4879" s="21">
        <f t="shared" ca="1" si="354"/>
        <v>0</v>
      </c>
      <c r="J4879" s="21" t="str">
        <f ca="1">IF(I4879=0,"",COUNTIF($I$2:I4879,"&gt;0"))</f>
        <v/>
      </c>
      <c r="K4879" s="21" t="str">
        <f t="shared" ca="1" si="356"/>
        <v/>
      </c>
    </row>
    <row r="4880" spans="1:11" s="18" customFormat="1" ht="14.25" x14ac:dyDescent="0.2">
      <c r="A4880" s="18" t="str">
        <f t="shared" si="353"/>
        <v>Eintrag 4879</v>
      </c>
      <c r="B4880" s="18">
        <v>100</v>
      </c>
      <c r="C4880" s="19">
        <v>100</v>
      </c>
      <c r="D4880" s="20">
        <v>10</v>
      </c>
      <c r="E4880" s="20">
        <v>10</v>
      </c>
      <c r="F4880" s="20">
        <v>10</v>
      </c>
      <c r="G4880" s="19">
        <f t="shared" si="357"/>
        <v>172</v>
      </c>
      <c r="H4880" s="22">
        <f t="shared" si="355"/>
        <v>4879</v>
      </c>
      <c r="I4880" s="21">
        <f t="shared" ca="1" si="354"/>
        <v>0</v>
      </c>
      <c r="J4880" s="21" t="str">
        <f ca="1">IF(I4880=0,"",COUNTIF($I$2:I4880,"&gt;0"))</f>
        <v/>
      </c>
      <c r="K4880" s="21" t="str">
        <f t="shared" ca="1" si="356"/>
        <v/>
      </c>
    </row>
    <row r="4881" spans="1:11" s="18" customFormat="1" ht="14.25" x14ac:dyDescent="0.2">
      <c r="A4881" s="18" t="str">
        <f t="shared" si="353"/>
        <v>Eintrag 4880</v>
      </c>
      <c r="B4881" s="18">
        <v>100</v>
      </c>
      <c r="C4881" s="19">
        <v>100</v>
      </c>
      <c r="D4881" s="20">
        <v>10</v>
      </c>
      <c r="E4881" s="20">
        <v>10</v>
      </c>
      <c r="F4881" s="20">
        <v>10</v>
      </c>
      <c r="G4881" s="19">
        <f t="shared" si="357"/>
        <v>172</v>
      </c>
      <c r="H4881" s="22">
        <f t="shared" si="355"/>
        <v>4880</v>
      </c>
      <c r="I4881" s="21">
        <f t="shared" ca="1" si="354"/>
        <v>0</v>
      </c>
      <c r="J4881" s="21" t="str">
        <f ca="1">IF(I4881=0,"",COUNTIF($I$2:I4881,"&gt;0"))</f>
        <v/>
      </c>
      <c r="K4881" s="21" t="str">
        <f t="shared" ca="1" si="356"/>
        <v/>
      </c>
    </row>
    <row r="4882" spans="1:11" s="18" customFormat="1" ht="14.25" x14ac:dyDescent="0.2">
      <c r="A4882" s="18" t="str">
        <f t="shared" si="353"/>
        <v>Eintrag 4881</v>
      </c>
      <c r="B4882" s="18">
        <v>100</v>
      </c>
      <c r="C4882" s="19">
        <v>100</v>
      </c>
      <c r="D4882" s="20">
        <v>10</v>
      </c>
      <c r="E4882" s="20">
        <v>10</v>
      </c>
      <c r="F4882" s="20">
        <v>10</v>
      </c>
      <c r="G4882" s="19">
        <f t="shared" si="357"/>
        <v>172</v>
      </c>
      <c r="H4882" s="22">
        <f t="shared" si="355"/>
        <v>4881</v>
      </c>
      <c r="I4882" s="21">
        <f t="shared" ca="1" si="354"/>
        <v>0</v>
      </c>
      <c r="J4882" s="21" t="str">
        <f ca="1">IF(I4882=0,"",COUNTIF($I$2:I4882,"&gt;0"))</f>
        <v/>
      </c>
      <c r="K4882" s="21" t="str">
        <f t="shared" ca="1" si="356"/>
        <v/>
      </c>
    </row>
    <row r="4883" spans="1:11" s="18" customFormat="1" ht="14.25" x14ac:dyDescent="0.2">
      <c r="A4883" s="18" t="str">
        <f t="shared" si="353"/>
        <v>Eintrag 4882</v>
      </c>
      <c r="B4883" s="18">
        <v>100</v>
      </c>
      <c r="C4883" s="19">
        <v>100</v>
      </c>
      <c r="D4883" s="20">
        <v>10</v>
      </c>
      <c r="E4883" s="20">
        <v>10</v>
      </c>
      <c r="F4883" s="20">
        <v>10</v>
      </c>
      <c r="G4883" s="19">
        <f t="shared" si="357"/>
        <v>172</v>
      </c>
      <c r="H4883" s="22">
        <f t="shared" si="355"/>
        <v>4882</v>
      </c>
      <c r="I4883" s="21">
        <f t="shared" ca="1" si="354"/>
        <v>0</v>
      </c>
      <c r="J4883" s="21" t="str">
        <f ca="1">IF(I4883=0,"",COUNTIF($I$2:I4883,"&gt;0"))</f>
        <v/>
      </c>
      <c r="K4883" s="21" t="str">
        <f t="shared" ca="1" si="356"/>
        <v/>
      </c>
    </row>
    <row r="4884" spans="1:11" s="18" customFormat="1" ht="14.25" x14ac:dyDescent="0.2">
      <c r="A4884" s="18" t="str">
        <f t="shared" si="353"/>
        <v>Eintrag 4883</v>
      </c>
      <c r="B4884" s="18">
        <v>100</v>
      </c>
      <c r="C4884" s="19">
        <v>100</v>
      </c>
      <c r="D4884" s="20">
        <v>10</v>
      </c>
      <c r="E4884" s="20">
        <v>10</v>
      </c>
      <c r="F4884" s="20">
        <v>10</v>
      </c>
      <c r="G4884" s="19">
        <f t="shared" si="357"/>
        <v>172</v>
      </c>
      <c r="H4884" s="22">
        <f t="shared" si="355"/>
        <v>4883</v>
      </c>
      <c r="I4884" s="21">
        <f t="shared" ca="1" si="354"/>
        <v>0</v>
      </c>
      <c r="J4884" s="21" t="str">
        <f ca="1">IF(I4884=0,"",COUNTIF($I$2:I4884,"&gt;0"))</f>
        <v/>
      </c>
      <c r="K4884" s="21" t="str">
        <f t="shared" ca="1" si="356"/>
        <v/>
      </c>
    </row>
    <row r="4885" spans="1:11" s="18" customFormat="1" ht="14.25" x14ac:dyDescent="0.2">
      <c r="A4885" s="18" t="str">
        <f t="shared" si="353"/>
        <v>Eintrag 4884</v>
      </c>
      <c r="B4885" s="18">
        <v>100</v>
      </c>
      <c r="C4885" s="19">
        <v>100</v>
      </c>
      <c r="D4885" s="20">
        <v>10</v>
      </c>
      <c r="E4885" s="20">
        <v>10</v>
      </c>
      <c r="F4885" s="20">
        <v>10</v>
      </c>
      <c r="G4885" s="19">
        <f t="shared" si="357"/>
        <v>172</v>
      </c>
      <c r="H4885" s="22">
        <f t="shared" si="355"/>
        <v>4884</v>
      </c>
      <c r="I4885" s="21">
        <f t="shared" ca="1" si="354"/>
        <v>0</v>
      </c>
      <c r="J4885" s="21" t="str">
        <f ca="1">IF(I4885=0,"",COUNTIF($I$2:I4885,"&gt;0"))</f>
        <v/>
      </c>
      <c r="K4885" s="21" t="str">
        <f t="shared" ca="1" si="356"/>
        <v/>
      </c>
    </row>
    <row r="4886" spans="1:11" s="18" customFormat="1" ht="14.25" x14ac:dyDescent="0.2">
      <c r="A4886" s="18" t="str">
        <f t="shared" si="353"/>
        <v>Eintrag 4885</v>
      </c>
      <c r="B4886" s="18">
        <v>100</v>
      </c>
      <c r="C4886" s="19">
        <v>100</v>
      </c>
      <c r="D4886" s="20">
        <v>10</v>
      </c>
      <c r="E4886" s="20">
        <v>10</v>
      </c>
      <c r="F4886" s="20">
        <v>10</v>
      </c>
      <c r="G4886" s="19">
        <f t="shared" si="357"/>
        <v>172</v>
      </c>
      <c r="H4886" s="22">
        <f t="shared" si="355"/>
        <v>4885</v>
      </c>
      <c r="I4886" s="21">
        <f t="shared" ca="1" si="354"/>
        <v>0</v>
      </c>
      <c r="J4886" s="21" t="str">
        <f ca="1">IF(I4886=0,"",COUNTIF($I$2:I4886,"&gt;0"))</f>
        <v/>
      </c>
      <c r="K4886" s="21" t="str">
        <f t="shared" ca="1" si="356"/>
        <v/>
      </c>
    </row>
    <row r="4887" spans="1:11" s="18" customFormat="1" ht="14.25" x14ac:dyDescent="0.2">
      <c r="A4887" s="18" t="str">
        <f t="shared" si="353"/>
        <v>Eintrag 4886</v>
      </c>
      <c r="B4887" s="18">
        <v>100</v>
      </c>
      <c r="C4887" s="19">
        <v>100</v>
      </c>
      <c r="D4887" s="20">
        <v>10</v>
      </c>
      <c r="E4887" s="20">
        <v>10</v>
      </c>
      <c r="F4887" s="20">
        <v>10</v>
      </c>
      <c r="G4887" s="19">
        <f t="shared" si="357"/>
        <v>172</v>
      </c>
      <c r="H4887" s="22">
        <f t="shared" si="355"/>
        <v>4886</v>
      </c>
      <c r="I4887" s="21">
        <f t="shared" ca="1" si="354"/>
        <v>0</v>
      </c>
      <c r="J4887" s="21" t="str">
        <f ca="1">IF(I4887=0,"",COUNTIF($I$2:I4887,"&gt;0"))</f>
        <v/>
      </c>
      <c r="K4887" s="21" t="str">
        <f t="shared" ca="1" si="356"/>
        <v/>
      </c>
    </row>
    <row r="4888" spans="1:11" s="18" customFormat="1" ht="14.25" x14ac:dyDescent="0.2">
      <c r="A4888" s="18" t="str">
        <f t="shared" si="353"/>
        <v>Eintrag 4887</v>
      </c>
      <c r="B4888" s="18">
        <v>100</v>
      </c>
      <c r="C4888" s="19">
        <v>100</v>
      </c>
      <c r="D4888" s="20">
        <v>10</v>
      </c>
      <c r="E4888" s="20">
        <v>10</v>
      </c>
      <c r="F4888" s="20">
        <v>10</v>
      </c>
      <c r="G4888" s="19">
        <f t="shared" si="357"/>
        <v>172</v>
      </c>
      <c r="H4888" s="22">
        <f t="shared" si="355"/>
        <v>4887</v>
      </c>
      <c r="I4888" s="21">
        <f t="shared" ca="1" si="354"/>
        <v>0</v>
      </c>
      <c r="J4888" s="21" t="str">
        <f ca="1">IF(I4888=0,"",COUNTIF($I$2:I4888,"&gt;0"))</f>
        <v/>
      </c>
      <c r="K4888" s="21" t="str">
        <f t="shared" ca="1" si="356"/>
        <v/>
      </c>
    </row>
    <row r="4889" spans="1:11" s="18" customFormat="1" ht="14.25" x14ac:dyDescent="0.2">
      <c r="A4889" s="18" t="str">
        <f t="shared" si="353"/>
        <v>Eintrag 4888</v>
      </c>
      <c r="B4889" s="18">
        <v>100</v>
      </c>
      <c r="C4889" s="19">
        <v>100</v>
      </c>
      <c r="D4889" s="20">
        <v>10</v>
      </c>
      <c r="E4889" s="20">
        <v>10</v>
      </c>
      <c r="F4889" s="20">
        <v>10</v>
      </c>
      <c r="G4889" s="19">
        <f t="shared" si="357"/>
        <v>172</v>
      </c>
      <c r="H4889" s="22">
        <f t="shared" si="355"/>
        <v>4888</v>
      </c>
      <c r="I4889" s="21">
        <f t="shared" ca="1" si="354"/>
        <v>0</v>
      </c>
      <c r="J4889" s="21" t="str">
        <f ca="1">IF(I4889=0,"",COUNTIF($I$2:I4889,"&gt;0"))</f>
        <v/>
      </c>
      <c r="K4889" s="21" t="str">
        <f t="shared" ca="1" si="356"/>
        <v/>
      </c>
    </row>
    <row r="4890" spans="1:11" s="18" customFormat="1" ht="14.25" x14ac:dyDescent="0.2">
      <c r="A4890" s="18" t="str">
        <f t="shared" si="353"/>
        <v>Eintrag 4889</v>
      </c>
      <c r="B4890" s="18">
        <v>100</v>
      </c>
      <c r="C4890" s="19">
        <v>100</v>
      </c>
      <c r="D4890" s="20">
        <v>10</v>
      </c>
      <c r="E4890" s="20">
        <v>10</v>
      </c>
      <c r="F4890" s="20">
        <v>10</v>
      </c>
      <c r="G4890" s="19">
        <f t="shared" si="357"/>
        <v>172</v>
      </c>
      <c r="H4890" s="22">
        <f t="shared" si="355"/>
        <v>4889</v>
      </c>
      <c r="I4890" s="21">
        <f t="shared" ca="1" si="354"/>
        <v>0</v>
      </c>
      <c r="J4890" s="21" t="str">
        <f ca="1">IF(I4890=0,"",COUNTIF($I$2:I4890,"&gt;0"))</f>
        <v/>
      </c>
      <c r="K4890" s="21" t="str">
        <f t="shared" ca="1" si="356"/>
        <v/>
      </c>
    </row>
    <row r="4891" spans="1:11" s="18" customFormat="1" ht="14.25" x14ac:dyDescent="0.2">
      <c r="A4891" s="18" t="str">
        <f t="shared" si="353"/>
        <v>Eintrag 4890</v>
      </c>
      <c r="B4891" s="18">
        <v>100</v>
      </c>
      <c r="C4891" s="19">
        <v>100</v>
      </c>
      <c r="D4891" s="20">
        <v>10</v>
      </c>
      <c r="E4891" s="20">
        <v>10</v>
      </c>
      <c r="F4891" s="20">
        <v>10</v>
      </c>
      <c r="G4891" s="19">
        <f t="shared" si="357"/>
        <v>172</v>
      </c>
      <c r="H4891" s="22">
        <f t="shared" si="355"/>
        <v>4890</v>
      </c>
      <c r="I4891" s="21">
        <f t="shared" ca="1" si="354"/>
        <v>0</v>
      </c>
      <c r="J4891" s="21" t="str">
        <f ca="1">IF(I4891=0,"",COUNTIF($I$2:I4891,"&gt;0"))</f>
        <v/>
      </c>
      <c r="K4891" s="21" t="str">
        <f t="shared" ca="1" si="356"/>
        <v/>
      </c>
    </row>
    <row r="4892" spans="1:11" s="18" customFormat="1" ht="14.25" x14ac:dyDescent="0.2">
      <c r="A4892" s="18" t="str">
        <f t="shared" si="353"/>
        <v>Eintrag 4891</v>
      </c>
      <c r="B4892" s="18">
        <v>100</v>
      </c>
      <c r="C4892" s="19">
        <v>100</v>
      </c>
      <c r="D4892" s="20">
        <v>10</v>
      </c>
      <c r="E4892" s="20">
        <v>10</v>
      </c>
      <c r="F4892" s="20">
        <v>10</v>
      </c>
      <c r="G4892" s="19">
        <f t="shared" si="357"/>
        <v>172</v>
      </c>
      <c r="H4892" s="22">
        <f t="shared" si="355"/>
        <v>4891</v>
      </c>
      <c r="I4892" s="21">
        <f t="shared" ca="1" si="354"/>
        <v>0</v>
      </c>
      <c r="J4892" s="21" t="str">
        <f ca="1">IF(I4892=0,"",COUNTIF($I$2:I4892,"&gt;0"))</f>
        <v/>
      </c>
      <c r="K4892" s="21" t="str">
        <f t="shared" ca="1" si="356"/>
        <v/>
      </c>
    </row>
    <row r="4893" spans="1:11" s="18" customFormat="1" ht="14.25" x14ac:dyDescent="0.2">
      <c r="A4893" s="18" t="str">
        <f t="shared" si="353"/>
        <v>Eintrag 4892</v>
      </c>
      <c r="B4893" s="18">
        <v>100</v>
      </c>
      <c r="C4893" s="19">
        <v>100</v>
      </c>
      <c r="D4893" s="20">
        <v>10</v>
      </c>
      <c r="E4893" s="20">
        <v>10</v>
      </c>
      <c r="F4893" s="20">
        <v>10</v>
      </c>
      <c r="G4893" s="19">
        <f t="shared" si="357"/>
        <v>172</v>
      </c>
      <c r="H4893" s="22">
        <f t="shared" si="355"/>
        <v>4892</v>
      </c>
      <c r="I4893" s="21">
        <f t="shared" ca="1" si="354"/>
        <v>0</v>
      </c>
      <c r="J4893" s="21" t="str">
        <f ca="1">IF(I4893=0,"",COUNTIF($I$2:I4893,"&gt;0"))</f>
        <v/>
      </c>
      <c r="K4893" s="21" t="str">
        <f t="shared" ca="1" si="356"/>
        <v/>
      </c>
    </row>
    <row r="4894" spans="1:11" s="18" customFormat="1" ht="14.25" x14ac:dyDescent="0.2">
      <c r="A4894" s="18" t="str">
        <f t="shared" si="353"/>
        <v>Eintrag 4893</v>
      </c>
      <c r="B4894" s="18">
        <v>100</v>
      </c>
      <c r="C4894" s="19">
        <v>100</v>
      </c>
      <c r="D4894" s="20">
        <v>10</v>
      </c>
      <c r="E4894" s="20">
        <v>10</v>
      </c>
      <c r="F4894" s="20">
        <v>10</v>
      </c>
      <c r="G4894" s="19">
        <f t="shared" si="357"/>
        <v>172</v>
      </c>
      <c r="H4894" s="22">
        <f t="shared" si="355"/>
        <v>4893</v>
      </c>
      <c r="I4894" s="21">
        <f t="shared" ca="1" si="354"/>
        <v>0</v>
      </c>
      <c r="J4894" s="21" t="str">
        <f ca="1">IF(I4894=0,"",COUNTIF($I$2:I4894,"&gt;0"))</f>
        <v/>
      </c>
      <c r="K4894" s="21" t="str">
        <f t="shared" ca="1" si="356"/>
        <v/>
      </c>
    </row>
    <row r="4895" spans="1:11" s="18" customFormat="1" ht="14.25" x14ac:dyDescent="0.2">
      <c r="A4895" s="18" t="str">
        <f t="shared" si="353"/>
        <v>Eintrag 4894</v>
      </c>
      <c r="B4895" s="18">
        <v>100</v>
      </c>
      <c r="C4895" s="19">
        <v>100</v>
      </c>
      <c r="D4895" s="20">
        <v>10</v>
      </c>
      <c r="E4895" s="20">
        <v>10</v>
      </c>
      <c r="F4895" s="20">
        <v>10</v>
      </c>
      <c r="G4895" s="19">
        <f t="shared" si="357"/>
        <v>172</v>
      </c>
      <c r="H4895" s="22">
        <f t="shared" si="355"/>
        <v>4894</v>
      </c>
      <c r="I4895" s="21">
        <f t="shared" ref="I4895:I4958" ca="1" si="358">IFERROR(SEARCH(INDIRECT(CELL("address")),A4895),0)</f>
        <v>0</v>
      </c>
      <c r="J4895" s="21" t="str">
        <f ca="1">IF(I4895=0,"",COUNTIF($I$2:I4895,"&gt;0"))</f>
        <v/>
      </c>
      <c r="K4895" s="21" t="str">
        <f t="shared" ca="1" si="356"/>
        <v/>
      </c>
    </row>
    <row r="4896" spans="1:11" s="18" customFormat="1" ht="14.25" x14ac:dyDescent="0.2">
      <c r="A4896" s="18" t="str">
        <f t="shared" si="353"/>
        <v>Eintrag 4895</v>
      </c>
      <c r="B4896" s="18">
        <v>100</v>
      </c>
      <c r="C4896" s="19">
        <v>100</v>
      </c>
      <c r="D4896" s="20">
        <v>10</v>
      </c>
      <c r="E4896" s="20">
        <v>10</v>
      </c>
      <c r="F4896" s="20">
        <v>10</v>
      </c>
      <c r="G4896" s="19">
        <f t="shared" si="357"/>
        <v>172</v>
      </c>
      <c r="H4896" s="22">
        <f t="shared" si="355"/>
        <v>4895</v>
      </c>
      <c r="I4896" s="21">
        <f t="shared" ca="1" si="358"/>
        <v>0</v>
      </c>
      <c r="J4896" s="21" t="str">
        <f ca="1">IF(I4896=0,"",COUNTIF($I$2:I4896,"&gt;0"))</f>
        <v/>
      </c>
      <c r="K4896" s="21" t="str">
        <f t="shared" ca="1" si="356"/>
        <v/>
      </c>
    </row>
    <row r="4897" spans="1:11" s="18" customFormat="1" ht="14.25" x14ac:dyDescent="0.2">
      <c r="A4897" s="18" t="str">
        <f t="shared" si="353"/>
        <v>Eintrag 4896</v>
      </c>
      <c r="B4897" s="18">
        <v>100</v>
      </c>
      <c r="C4897" s="19">
        <v>100</v>
      </c>
      <c r="D4897" s="20">
        <v>10</v>
      </c>
      <c r="E4897" s="20">
        <v>10</v>
      </c>
      <c r="F4897" s="20">
        <v>10</v>
      </c>
      <c r="G4897" s="19">
        <f t="shared" si="357"/>
        <v>172</v>
      </c>
      <c r="H4897" s="22">
        <f t="shared" si="355"/>
        <v>4896</v>
      </c>
      <c r="I4897" s="21">
        <f t="shared" ca="1" si="358"/>
        <v>0</v>
      </c>
      <c r="J4897" s="21" t="str">
        <f ca="1">IF(I4897=0,"",COUNTIF($I$2:I4897,"&gt;0"))</f>
        <v/>
      </c>
      <c r="K4897" s="21" t="str">
        <f t="shared" ca="1" si="356"/>
        <v/>
      </c>
    </row>
    <row r="4898" spans="1:11" s="18" customFormat="1" ht="14.25" x14ac:dyDescent="0.2">
      <c r="A4898" s="18" t="str">
        <f t="shared" si="353"/>
        <v>Eintrag 4897</v>
      </c>
      <c r="B4898" s="18">
        <v>100</v>
      </c>
      <c r="C4898" s="19">
        <v>100</v>
      </c>
      <c r="D4898" s="20">
        <v>10</v>
      </c>
      <c r="E4898" s="20">
        <v>10</v>
      </c>
      <c r="F4898" s="20">
        <v>10</v>
      </c>
      <c r="G4898" s="19">
        <f t="shared" si="357"/>
        <v>172</v>
      </c>
      <c r="H4898" s="22">
        <f t="shared" si="355"/>
        <v>4897</v>
      </c>
      <c r="I4898" s="21">
        <f t="shared" ca="1" si="358"/>
        <v>0</v>
      </c>
      <c r="J4898" s="21" t="str">
        <f ca="1">IF(I4898=0,"",COUNTIF($I$2:I4898,"&gt;0"))</f>
        <v/>
      </c>
      <c r="K4898" s="21" t="str">
        <f t="shared" ca="1" si="356"/>
        <v/>
      </c>
    </row>
    <row r="4899" spans="1:11" s="18" customFormat="1" ht="14.25" x14ac:dyDescent="0.2">
      <c r="A4899" s="18" t="str">
        <f t="shared" si="353"/>
        <v>Eintrag 4898</v>
      </c>
      <c r="B4899" s="18">
        <v>100</v>
      </c>
      <c r="C4899" s="19">
        <v>100</v>
      </c>
      <c r="D4899" s="20">
        <v>10</v>
      </c>
      <c r="E4899" s="20">
        <v>10</v>
      </c>
      <c r="F4899" s="20">
        <v>10</v>
      </c>
      <c r="G4899" s="19">
        <f t="shared" si="357"/>
        <v>172</v>
      </c>
      <c r="H4899" s="22">
        <f t="shared" si="355"/>
        <v>4898</v>
      </c>
      <c r="I4899" s="21">
        <f t="shared" ca="1" si="358"/>
        <v>0</v>
      </c>
      <c r="J4899" s="21" t="str">
        <f ca="1">IF(I4899=0,"",COUNTIF($I$2:I4899,"&gt;0"))</f>
        <v/>
      </c>
      <c r="K4899" s="21" t="str">
        <f t="shared" ca="1" si="356"/>
        <v/>
      </c>
    </row>
    <row r="4900" spans="1:11" s="18" customFormat="1" ht="14.25" x14ac:dyDescent="0.2">
      <c r="A4900" s="18" t="str">
        <f t="shared" si="353"/>
        <v>Eintrag 4899</v>
      </c>
      <c r="B4900" s="18">
        <v>100</v>
      </c>
      <c r="C4900" s="19">
        <v>100</v>
      </c>
      <c r="D4900" s="20">
        <v>10</v>
      </c>
      <c r="E4900" s="20">
        <v>10</v>
      </c>
      <c r="F4900" s="20">
        <v>10</v>
      </c>
      <c r="G4900" s="19">
        <f t="shared" si="357"/>
        <v>172</v>
      </c>
      <c r="H4900" s="22">
        <f t="shared" si="355"/>
        <v>4899</v>
      </c>
      <c r="I4900" s="21">
        <f t="shared" ca="1" si="358"/>
        <v>0</v>
      </c>
      <c r="J4900" s="21" t="str">
        <f ca="1">IF(I4900=0,"",COUNTIF($I$2:I4900,"&gt;0"))</f>
        <v/>
      </c>
      <c r="K4900" s="21" t="str">
        <f t="shared" ca="1" si="356"/>
        <v/>
      </c>
    </row>
    <row r="4901" spans="1:11" s="18" customFormat="1" ht="14.25" x14ac:dyDescent="0.2">
      <c r="A4901" s="18" t="str">
        <f t="shared" si="353"/>
        <v>Eintrag 4900</v>
      </c>
      <c r="B4901" s="18">
        <v>100</v>
      </c>
      <c r="C4901" s="19">
        <v>100</v>
      </c>
      <c r="D4901" s="20">
        <v>10</v>
      </c>
      <c r="E4901" s="20">
        <v>10</v>
      </c>
      <c r="F4901" s="20">
        <v>10</v>
      </c>
      <c r="G4901" s="19">
        <f t="shared" si="357"/>
        <v>172</v>
      </c>
      <c r="H4901" s="22">
        <f t="shared" ref="H4901:H4964" si="359">H4900+1</f>
        <v>4900</v>
      </c>
      <c r="I4901" s="21">
        <f t="shared" ca="1" si="358"/>
        <v>0</v>
      </c>
      <c r="J4901" s="21" t="str">
        <f ca="1">IF(I4901=0,"",COUNTIF($I$2:I4901,"&gt;0"))</f>
        <v/>
      </c>
      <c r="K4901" s="21" t="str">
        <f t="shared" ca="1" si="356"/>
        <v/>
      </c>
    </row>
    <row r="4902" spans="1:11" s="18" customFormat="1" ht="14.25" x14ac:dyDescent="0.2">
      <c r="A4902" s="18" t="str">
        <f t="shared" si="353"/>
        <v>Eintrag 4901</v>
      </c>
      <c r="B4902" s="18">
        <v>100</v>
      </c>
      <c r="C4902" s="19">
        <v>100</v>
      </c>
      <c r="D4902" s="20">
        <v>10</v>
      </c>
      <c r="E4902" s="20">
        <v>10</v>
      </c>
      <c r="F4902" s="20">
        <v>10</v>
      </c>
      <c r="G4902" s="19">
        <f t="shared" si="357"/>
        <v>172</v>
      </c>
      <c r="H4902" s="22">
        <f t="shared" si="359"/>
        <v>4901</v>
      </c>
      <c r="I4902" s="21">
        <f t="shared" ca="1" si="358"/>
        <v>0</v>
      </c>
      <c r="J4902" s="21" t="str">
        <f ca="1">IF(I4902=0,"",COUNTIF($I$2:I4902,"&gt;0"))</f>
        <v/>
      </c>
      <c r="K4902" s="21" t="str">
        <f t="shared" ca="1" si="356"/>
        <v/>
      </c>
    </row>
    <row r="4903" spans="1:11" s="18" customFormat="1" ht="14.25" x14ac:dyDescent="0.2">
      <c r="A4903" s="18" t="str">
        <f t="shared" si="353"/>
        <v>Eintrag 4902</v>
      </c>
      <c r="B4903" s="18">
        <v>100</v>
      </c>
      <c r="C4903" s="19">
        <v>100</v>
      </c>
      <c r="D4903" s="20">
        <v>10</v>
      </c>
      <c r="E4903" s="20">
        <v>10</v>
      </c>
      <c r="F4903" s="20">
        <v>10</v>
      </c>
      <c r="G4903" s="19">
        <f t="shared" si="357"/>
        <v>172</v>
      </c>
      <c r="H4903" s="22">
        <f t="shared" si="359"/>
        <v>4902</v>
      </c>
      <c r="I4903" s="21">
        <f t="shared" ca="1" si="358"/>
        <v>0</v>
      </c>
      <c r="J4903" s="21" t="str">
        <f ca="1">IF(I4903=0,"",COUNTIF($I$2:I4903,"&gt;0"))</f>
        <v/>
      </c>
      <c r="K4903" s="21" t="str">
        <f t="shared" ca="1" si="356"/>
        <v/>
      </c>
    </row>
    <row r="4904" spans="1:11" s="18" customFormat="1" ht="14.25" x14ac:dyDescent="0.2">
      <c r="A4904" s="18" t="str">
        <f t="shared" si="353"/>
        <v>Eintrag 4903</v>
      </c>
      <c r="B4904" s="18">
        <v>100</v>
      </c>
      <c r="C4904" s="19">
        <v>100</v>
      </c>
      <c r="D4904" s="20">
        <v>10</v>
      </c>
      <c r="E4904" s="20">
        <v>10</v>
      </c>
      <c r="F4904" s="20">
        <v>10</v>
      </c>
      <c r="G4904" s="19">
        <f t="shared" si="357"/>
        <v>172</v>
      </c>
      <c r="H4904" s="22">
        <f t="shared" si="359"/>
        <v>4903</v>
      </c>
      <c r="I4904" s="21">
        <f t="shared" ca="1" si="358"/>
        <v>0</v>
      </c>
      <c r="J4904" s="21" t="str">
        <f ca="1">IF(I4904=0,"",COUNTIF($I$2:I4904,"&gt;0"))</f>
        <v/>
      </c>
      <c r="K4904" s="21" t="str">
        <f t="shared" ca="1" si="356"/>
        <v/>
      </c>
    </row>
    <row r="4905" spans="1:11" s="18" customFormat="1" ht="14.25" x14ac:dyDescent="0.2">
      <c r="A4905" s="18" t="str">
        <f t="shared" si="353"/>
        <v>Eintrag 4904</v>
      </c>
      <c r="B4905" s="18">
        <v>100</v>
      </c>
      <c r="C4905" s="19">
        <v>100</v>
      </c>
      <c r="D4905" s="20">
        <v>10</v>
      </c>
      <c r="E4905" s="20">
        <v>10</v>
      </c>
      <c r="F4905" s="20">
        <v>10</v>
      </c>
      <c r="G4905" s="19">
        <f t="shared" si="357"/>
        <v>172</v>
      </c>
      <c r="H4905" s="22">
        <f t="shared" si="359"/>
        <v>4904</v>
      </c>
      <c r="I4905" s="21">
        <f t="shared" ca="1" si="358"/>
        <v>0</v>
      </c>
      <c r="J4905" s="21" t="str">
        <f ca="1">IF(I4905=0,"",COUNTIF($I$2:I4905,"&gt;0"))</f>
        <v/>
      </c>
      <c r="K4905" s="21" t="str">
        <f t="shared" ca="1" si="356"/>
        <v/>
      </c>
    </row>
    <row r="4906" spans="1:11" s="18" customFormat="1" ht="14.25" x14ac:dyDescent="0.2">
      <c r="A4906" s="18" t="str">
        <f t="shared" si="353"/>
        <v>Eintrag 4905</v>
      </c>
      <c r="B4906" s="18">
        <v>100</v>
      </c>
      <c r="C4906" s="19">
        <v>100</v>
      </c>
      <c r="D4906" s="20">
        <v>10</v>
      </c>
      <c r="E4906" s="20">
        <v>10</v>
      </c>
      <c r="F4906" s="20">
        <v>10</v>
      </c>
      <c r="G4906" s="19">
        <f t="shared" si="357"/>
        <v>172</v>
      </c>
      <c r="H4906" s="22">
        <f t="shared" si="359"/>
        <v>4905</v>
      </c>
      <c r="I4906" s="21">
        <f t="shared" ca="1" si="358"/>
        <v>0</v>
      </c>
      <c r="J4906" s="21" t="str">
        <f ca="1">IF(I4906=0,"",COUNTIF($I$2:I4906,"&gt;0"))</f>
        <v/>
      </c>
      <c r="K4906" s="21" t="str">
        <f t="shared" ca="1" si="356"/>
        <v/>
      </c>
    </row>
    <row r="4907" spans="1:11" s="18" customFormat="1" ht="14.25" x14ac:dyDescent="0.2">
      <c r="A4907" s="18" t="str">
        <f t="shared" si="353"/>
        <v>Eintrag 4906</v>
      </c>
      <c r="B4907" s="18">
        <v>100</v>
      </c>
      <c r="C4907" s="19">
        <v>100</v>
      </c>
      <c r="D4907" s="20">
        <v>10</v>
      </c>
      <c r="E4907" s="20">
        <v>10</v>
      </c>
      <c r="F4907" s="20">
        <v>10</v>
      </c>
      <c r="G4907" s="19">
        <f t="shared" si="357"/>
        <v>172</v>
      </c>
      <c r="H4907" s="22">
        <f t="shared" si="359"/>
        <v>4906</v>
      </c>
      <c r="I4907" s="21">
        <f t="shared" ca="1" si="358"/>
        <v>0</v>
      </c>
      <c r="J4907" s="21" t="str">
        <f ca="1">IF(I4907=0,"",COUNTIF($I$2:I4907,"&gt;0"))</f>
        <v/>
      </c>
      <c r="K4907" s="21" t="str">
        <f t="shared" ca="1" si="356"/>
        <v/>
      </c>
    </row>
    <row r="4908" spans="1:11" s="18" customFormat="1" ht="14.25" x14ac:dyDescent="0.2">
      <c r="A4908" s="18" t="str">
        <f t="shared" si="353"/>
        <v>Eintrag 4907</v>
      </c>
      <c r="B4908" s="18">
        <v>100</v>
      </c>
      <c r="C4908" s="19">
        <v>100</v>
      </c>
      <c r="D4908" s="20">
        <v>10</v>
      </c>
      <c r="E4908" s="20">
        <v>10</v>
      </c>
      <c r="F4908" s="20">
        <v>10</v>
      </c>
      <c r="G4908" s="19">
        <f t="shared" si="357"/>
        <v>172</v>
      </c>
      <c r="H4908" s="22">
        <f t="shared" si="359"/>
        <v>4907</v>
      </c>
      <c r="I4908" s="21">
        <f t="shared" ca="1" si="358"/>
        <v>0</v>
      </c>
      <c r="J4908" s="21" t="str">
        <f ca="1">IF(I4908=0,"",COUNTIF($I$2:I4908,"&gt;0"))</f>
        <v/>
      </c>
      <c r="K4908" s="21" t="str">
        <f t="shared" ca="1" si="356"/>
        <v/>
      </c>
    </row>
    <row r="4909" spans="1:11" s="18" customFormat="1" ht="14.25" x14ac:dyDescent="0.2">
      <c r="A4909" s="18" t="str">
        <f t="shared" si="353"/>
        <v>Eintrag 4908</v>
      </c>
      <c r="B4909" s="18">
        <v>100</v>
      </c>
      <c r="C4909" s="19">
        <v>100</v>
      </c>
      <c r="D4909" s="20">
        <v>10</v>
      </c>
      <c r="E4909" s="20">
        <v>10</v>
      </c>
      <c r="F4909" s="20">
        <v>10</v>
      </c>
      <c r="G4909" s="19">
        <f t="shared" si="357"/>
        <v>172</v>
      </c>
      <c r="H4909" s="22">
        <f t="shared" si="359"/>
        <v>4908</v>
      </c>
      <c r="I4909" s="21">
        <f t="shared" ca="1" si="358"/>
        <v>0</v>
      </c>
      <c r="J4909" s="21" t="str">
        <f ca="1">IF(I4909=0,"",COUNTIF($I$2:I4909,"&gt;0"))</f>
        <v/>
      </c>
      <c r="K4909" s="21" t="str">
        <f t="shared" ca="1" si="356"/>
        <v/>
      </c>
    </row>
    <row r="4910" spans="1:11" s="18" customFormat="1" ht="14.25" x14ac:dyDescent="0.2">
      <c r="A4910" s="18" t="str">
        <f t="shared" si="353"/>
        <v>Eintrag 4909</v>
      </c>
      <c r="B4910" s="18">
        <v>100</v>
      </c>
      <c r="C4910" s="19">
        <v>100</v>
      </c>
      <c r="D4910" s="20">
        <v>10</v>
      </c>
      <c r="E4910" s="20">
        <v>10</v>
      </c>
      <c r="F4910" s="20">
        <v>10</v>
      </c>
      <c r="G4910" s="19">
        <f t="shared" si="357"/>
        <v>172</v>
      </c>
      <c r="H4910" s="22">
        <f t="shared" si="359"/>
        <v>4909</v>
      </c>
      <c r="I4910" s="21">
        <f t="shared" ca="1" si="358"/>
        <v>0</v>
      </c>
      <c r="J4910" s="21" t="str">
        <f ca="1">IF(I4910=0,"",COUNTIF($I$2:I4910,"&gt;0"))</f>
        <v/>
      </c>
      <c r="K4910" s="21" t="str">
        <f t="shared" ca="1" si="356"/>
        <v/>
      </c>
    </row>
    <row r="4911" spans="1:11" s="18" customFormat="1" ht="14.25" x14ac:dyDescent="0.2">
      <c r="A4911" s="18" t="str">
        <f t="shared" si="353"/>
        <v>Eintrag 4910</v>
      </c>
      <c r="B4911" s="18">
        <v>100</v>
      </c>
      <c r="C4911" s="19">
        <v>100</v>
      </c>
      <c r="D4911" s="20">
        <v>10</v>
      </c>
      <c r="E4911" s="20">
        <v>10</v>
      </c>
      <c r="F4911" s="20">
        <v>10</v>
      </c>
      <c r="G4911" s="19">
        <f t="shared" si="357"/>
        <v>172</v>
      </c>
      <c r="H4911" s="22">
        <f t="shared" si="359"/>
        <v>4910</v>
      </c>
      <c r="I4911" s="21">
        <f t="shared" ca="1" si="358"/>
        <v>0</v>
      </c>
      <c r="J4911" s="21" t="str">
        <f ca="1">IF(I4911=0,"",COUNTIF($I$2:I4911,"&gt;0"))</f>
        <v/>
      </c>
      <c r="K4911" s="21" t="str">
        <f t="shared" ca="1" si="356"/>
        <v/>
      </c>
    </row>
    <row r="4912" spans="1:11" s="18" customFormat="1" ht="14.25" x14ac:dyDescent="0.2">
      <c r="A4912" s="18" t="str">
        <f t="shared" si="353"/>
        <v>Eintrag 4911</v>
      </c>
      <c r="B4912" s="18">
        <v>100</v>
      </c>
      <c r="C4912" s="19">
        <v>100</v>
      </c>
      <c r="D4912" s="20">
        <v>10</v>
      </c>
      <c r="E4912" s="20">
        <v>10</v>
      </c>
      <c r="F4912" s="20">
        <v>10</v>
      </c>
      <c r="G4912" s="19">
        <f t="shared" si="357"/>
        <v>172</v>
      </c>
      <c r="H4912" s="22">
        <f t="shared" si="359"/>
        <v>4911</v>
      </c>
      <c r="I4912" s="21">
        <f t="shared" ca="1" si="358"/>
        <v>0</v>
      </c>
      <c r="J4912" s="21" t="str">
        <f ca="1">IF(I4912=0,"",COUNTIF($I$2:I4912,"&gt;0"))</f>
        <v/>
      </c>
      <c r="K4912" s="21" t="str">
        <f t="shared" ca="1" si="356"/>
        <v/>
      </c>
    </row>
    <row r="4913" spans="1:11" s="18" customFormat="1" ht="14.25" x14ac:dyDescent="0.2">
      <c r="A4913" s="18" t="str">
        <f t="shared" si="353"/>
        <v>Eintrag 4912</v>
      </c>
      <c r="B4913" s="18">
        <v>100</v>
      </c>
      <c r="C4913" s="19">
        <v>100</v>
      </c>
      <c r="D4913" s="20">
        <v>10</v>
      </c>
      <c r="E4913" s="20">
        <v>10</v>
      </c>
      <c r="F4913" s="20">
        <v>10</v>
      </c>
      <c r="G4913" s="19">
        <f t="shared" si="357"/>
        <v>172</v>
      </c>
      <c r="H4913" s="22">
        <f t="shared" si="359"/>
        <v>4912</v>
      </c>
      <c r="I4913" s="21">
        <f t="shared" ca="1" si="358"/>
        <v>0</v>
      </c>
      <c r="J4913" s="21" t="str">
        <f ca="1">IF(I4913=0,"",COUNTIF($I$2:I4913,"&gt;0"))</f>
        <v/>
      </c>
      <c r="K4913" s="21" t="str">
        <f t="shared" ca="1" si="356"/>
        <v/>
      </c>
    </row>
    <row r="4914" spans="1:11" s="18" customFormat="1" ht="14.25" x14ac:dyDescent="0.2">
      <c r="A4914" s="18" t="str">
        <f t="shared" si="353"/>
        <v>Eintrag 4913</v>
      </c>
      <c r="B4914" s="18">
        <v>100</v>
      </c>
      <c r="C4914" s="19">
        <v>100</v>
      </c>
      <c r="D4914" s="20">
        <v>10</v>
      </c>
      <c r="E4914" s="20">
        <v>10</v>
      </c>
      <c r="F4914" s="20">
        <v>10</v>
      </c>
      <c r="G4914" s="19">
        <f t="shared" si="357"/>
        <v>172</v>
      </c>
      <c r="H4914" s="22">
        <f t="shared" si="359"/>
        <v>4913</v>
      </c>
      <c r="I4914" s="21">
        <f t="shared" ca="1" si="358"/>
        <v>0</v>
      </c>
      <c r="J4914" s="21" t="str">
        <f ca="1">IF(I4914=0,"",COUNTIF($I$2:I4914,"&gt;0"))</f>
        <v/>
      </c>
      <c r="K4914" s="21" t="str">
        <f t="shared" ca="1" si="356"/>
        <v/>
      </c>
    </row>
    <row r="4915" spans="1:11" s="18" customFormat="1" ht="14.25" x14ac:dyDescent="0.2">
      <c r="A4915" s="18" t="str">
        <f t="shared" si="353"/>
        <v>Eintrag 4914</v>
      </c>
      <c r="B4915" s="18">
        <v>100</v>
      </c>
      <c r="C4915" s="19">
        <v>100</v>
      </c>
      <c r="D4915" s="20">
        <v>10</v>
      </c>
      <c r="E4915" s="20">
        <v>10</v>
      </c>
      <c r="F4915" s="20">
        <v>10</v>
      </c>
      <c r="G4915" s="19">
        <f t="shared" si="357"/>
        <v>172</v>
      </c>
      <c r="H4915" s="22">
        <f t="shared" si="359"/>
        <v>4914</v>
      </c>
      <c r="I4915" s="21">
        <f t="shared" ca="1" si="358"/>
        <v>0</v>
      </c>
      <c r="J4915" s="21" t="str">
        <f ca="1">IF(I4915=0,"",COUNTIF($I$2:I4915,"&gt;0"))</f>
        <v/>
      </c>
      <c r="K4915" s="21" t="str">
        <f t="shared" ca="1" si="356"/>
        <v/>
      </c>
    </row>
    <row r="4916" spans="1:11" s="18" customFormat="1" ht="14.25" x14ac:dyDescent="0.2">
      <c r="A4916" s="18" t="str">
        <f t="shared" si="353"/>
        <v>Eintrag 4915</v>
      </c>
      <c r="B4916" s="18">
        <v>100</v>
      </c>
      <c r="C4916" s="19">
        <v>100</v>
      </c>
      <c r="D4916" s="20">
        <v>10</v>
      </c>
      <c r="E4916" s="20">
        <v>10</v>
      </c>
      <c r="F4916" s="20">
        <v>10</v>
      </c>
      <c r="G4916" s="19">
        <f t="shared" si="357"/>
        <v>172</v>
      </c>
      <c r="H4916" s="22">
        <f t="shared" si="359"/>
        <v>4915</v>
      </c>
      <c r="I4916" s="21">
        <f t="shared" ca="1" si="358"/>
        <v>0</v>
      </c>
      <c r="J4916" s="21" t="str">
        <f ca="1">IF(I4916=0,"",COUNTIF($I$2:I4916,"&gt;0"))</f>
        <v/>
      </c>
      <c r="K4916" s="21" t="str">
        <f t="shared" ca="1" si="356"/>
        <v/>
      </c>
    </row>
    <row r="4917" spans="1:11" s="18" customFormat="1" ht="14.25" x14ac:dyDescent="0.2">
      <c r="A4917" s="18" t="str">
        <f t="shared" si="353"/>
        <v>Eintrag 4916</v>
      </c>
      <c r="B4917" s="18">
        <v>100</v>
      </c>
      <c r="C4917" s="19">
        <v>100</v>
      </c>
      <c r="D4917" s="20">
        <v>10</v>
      </c>
      <c r="E4917" s="20">
        <v>10</v>
      </c>
      <c r="F4917" s="20">
        <v>10</v>
      </c>
      <c r="G4917" s="19">
        <f t="shared" si="357"/>
        <v>172</v>
      </c>
      <c r="H4917" s="22">
        <f t="shared" si="359"/>
        <v>4916</v>
      </c>
      <c r="I4917" s="21">
        <f t="shared" ca="1" si="358"/>
        <v>0</v>
      </c>
      <c r="J4917" s="21" t="str">
        <f ca="1">IF(I4917=0,"",COUNTIF($I$2:I4917,"&gt;0"))</f>
        <v/>
      </c>
      <c r="K4917" s="21" t="str">
        <f t="shared" ca="1" si="356"/>
        <v/>
      </c>
    </row>
    <row r="4918" spans="1:11" s="18" customFormat="1" ht="14.25" x14ac:dyDescent="0.2">
      <c r="A4918" s="18" t="str">
        <f t="shared" si="353"/>
        <v>Eintrag 4917</v>
      </c>
      <c r="B4918" s="18">
        <v>100</v>
      </c>
      <c r="C4918" s="19">
        <v>100</v>
      </c>
      <c r="D4918" s="20">
        <v>10</v>
      </c>
      <c r="E4918" s="20">
        <v>10</v>
      </c>
      <c r="F4918" s="20">
        <v>10</v>
      </c>
      <c r="G4918" s="19">
        <f t="shared" si="357"/>
        <v>172</v>
      </c>
      <c r="H4918" s="22">
        <f t="shared" si="359"/>
        <v>4917</v>
      </c>
      <c r="I4918" s="21">
        <f t="shared" ca="1" si="358"/>
        <v>0</v>
      </c>
      <c r="J4918" s="21" t="str">
        <f ca="1">IF(I4918=0,"",COUNTIF($I$2:I4918,"&gt;0"))</f>
        <v/>
      </c>
      <c r="K4918" s="21" t="str">
        <f t="shared" ca="1" si="356"/>
        <v/>
      </c>
    </row>
    <row r="4919" spans="1:11" s="18" customFormat="1" ht="14.25" x14ac:dyDescent="0.2">
      <c r="A4919" s="18" t="str">
        <f t="shared" si="353"/>
        <v>Eintrag 4918</v>
      </c>
      <c r="B4919" s="18">
        <v>100</v>
      </c>
      <c r="C4919" s="19">
        <v>100</v>
      </c>
      <c r="D4919" s="20">
        <v>10</v>
      </c>
      <c r="E4919" s="20">
        <v>10</v>
      </c>
      <c r="F4919" s="20">
        <v>10</v>
      </c>
      <c r="G4919" s="19">
        <f t="shared" si="357"/>
        <v>172</v>
      </c>
      <c r="H4919" s="22">
        <f t="shared" si="359"/>
        <v>4918</v>
      </c>
      <c r="I4919" s="21">
        <f t="shared" ca="1" si="358"/>
        <v>0</v>
      </c>
      <c r="J4919" s="21" t="str">
        <f ca="1">IF(I4919=0,"",COUNTIF($I$2:I4919,"&gt;0"))</f>
        <v/>
      </c>
      <c r="K4919" s="21" t="str">
        <f t="shared" ca="1" si="356"/>
        <v/>
      </c>
    </row>
    <row r="4920" spans="1:11" s="18" customFormat="1" ht="14.25" x14ac:dyDescent="0.2">
      <c r="A4920" s="18" t="str">
        <f t="shared" si="353"/>
        <v>Eintrag 4919</v>
      </c>
      <c r="B4920" s="18">
        <v>100</v>
      </c>
      <c r="C4920" s="19">
        <v>100</v>
      </c>
      <c r="D4920" s="20">
        <v>10</v>
      </c>
      <c r="E4920" s="20">
        <v>10</v>
      </c>
      <c r="F4920" s="20">
        <v>10</v>
      </c>
      <c r="G4920" s="19">
        <f t="shared" si="357"/>
        <v>172</v>
      </c>
      <c r="H4920" s="22">
        <f t="shared" si="359"/>
        <v>4919</v>
      </c>
      <c r="I4920" s="21">
        <f t="shared" ca="1" si="358"/>
        <v>0</v>
      </c>
      <c r="J4920" s="21" t="str">
        <f ca="1">IF(I4920=0,"",COUNTIF($I$2:I4920,"&gt;0"))</f>
        <v/>
      </c>
      <c r="K4920" s="21" t="str">
        <f t="shared" ca="1" si="356"/>
        <v/>
      </c>
    </row>
    <row r="4921" spans="1:11" s="18" customFormat="1" ht="14.25" x14ac:dyDescent="0.2">
      <c r="A4921" s="18" t="str">
        <f t="shared" si="353"/>
        <v>Eintrag 4920</v>
      </c>
      <c r="B4921" s="18">
        <v>100</v>
      </c>
      <c r="C4921" s="19">
        <v>100</v>
      </c>
      <c r="D4921" s="20">
        <v>10</v>
      </c>
      <c r="E4921" s="20">
        <v>10</v>
      </c>
      <c r="F4921" s="20">
        <v>10</v>
      </c>
      <c r="G4921" s="19">
        <f t="shared" si="357"/>
        <v>172</v>
      </c>
      <c r="H4921" s="22">
        <f t="shared" si="359"/>
        <v>4920</v>
      </c>
      <c r="I4921" s="21">
        <f t="shared" ca="1" si="358"/>
        <v>0</v>
      </c>
      <c r="J4921" s="21" t="str">
        <f ca="1">IF(I4921=0,"",COUNTIF($I$2:I4921,"&gt;0"))</f>
        <v/>
      </c>
      <c r="K4921" s="21" t="str">
        <f t="shared" ca="1" si="356"/>
        <v/>
      </c>
    </row>
    <row r="4922" spans="1:11" s="18" customFormat="1" ht="14.25" x14ac:dyDescent="0.2">
      <c r="A4922" s="18" t="str">
        <f t="shared" si="353"/>
        <v>Eintrag 4921</v>
      </c>
      <c r="B4922" s="18">
        <v>100</v>
      </c>
      <c r="C4922" s="19">
        <v>100</v>
      </c>
      <c r="D4922" s="20">
        <v>10</v>
      </c>
      <c r="E4922" s="20">
        <v>10</v>
      </c>
      <c r="F4922" s="20">
        <v>10</v>
      </c>
      <c r="G4922" s="19">
        <f t="shared" si="357"/>
        <v>172</v>
      </c>
      <c r="H4922" s="22">
        <f t="shared" si="359"/>
        <v>4921</v>
      </c>
      <c r="I4922" s="21">
        <f t="shared" ca="1" si="358"/>
        <v>0</v>
      </c>
      <c r="J4922" s="21" t="str">
        <f ca="1">IF(I4922=0,"",COUNTIF($I$2:I4922,"&gt;0"))</f>
        <v/>
      </c>
      <c r="K4922" s="21" t="str">
        <f t="shared" ca="1" si="356"/>
        <v/>
      </c>
    </row>
    <row r="4923" spans="1:11" s="18" customFormat="1" ht="14.25" x14ac:dyDescent="0.2">
      <c r="A4923" s="18" t="str">
        <f t="shared" si="353"/>
        <v>Eintrag 4922</v>
      </c>
      <c r="B4923" s="18">
        <v>100</v>
      </c>
      <c r="C4923" s="19">
        <v>100</v>
      </c>
      <c r="D4923" s="20">
        <v>10</v>
      </c>
      <c r="E4923" s="20">
        <v>10</v>
      </c>
      <c r="F4923" s="20">
        <v>10</v>
      </c>
      <c r="G4923" s="19">
        <f t="shared" si="357"/>
        <v>172</v>
      </c>
      <c r="H4923" s="22">
        <f t="shared" si="359"/>
        <v>4922</v>
      </c>
      <c r="I4923" s="21">
        <f t="shared" ca="1" si="358"/>
        <v>0</v>
      </c>
      <c r="J4923" s="21" t="str">
        <f ca="1">IF(I4923=0,"",COUNTIF($I$2:I4923,"&gt;0"))</f>
        <v/>
      </c>
      <c r="K4923" s="21" t="str">
        <f t="shared" ca="1" si="356"/>
        <v/>
      </c>
    </row>
    <row r="4924" spans="1:11" s="18" customFormat="1" ht="14.25" x14ac:dyDescent="0.2">
      <c r="A4924" s="18" t="str">
        <f t="shared" si="353"/>
        <v>Eintrag 4923</v>
      </c>
      <c r="B4924" s="18">
        <v>100</v>
      </c>
      <c r="C4924" s="19">
        <v>100</v>
      </c>
      <c r="D4924" s="20">
        <v>10</v>
      </c>
      <c r="E4924" s="20">
        <v>10</v>
      </c>
      <c r="F4924" s="20">
        <v>10</v>
      </c>
      <c r="G4924" s="19">
        <f t="shared" si="357"/>
        <v>172</v>
      </c>
      <c r="H4924" s="22">
        <f t="shared" si="359"/>
        <v>4923</v>
      </c>
      <c r="I4924" s="21">
        <f t="shared" ca="1" si="358"/>
        <v>0</v>
      </c>
      <c r="J4924" s="21" t="str">
        <f ca="1">IF(I4924=0,"",COUNTIF($I$2:I4924,"&gt;0"))</f>
        <v/>
      </c>
      <c r="K4924" s="21" t="str">
        <f t="shared" ca="1" si="356"/>
        <v/>
      </c>
    </row>
    <row r="4925" spans="1:11" s="18" customFormat="1" ht="14.25" x14ac:dyDescent="0.2">
      <c r="A4925" s="18" t="str">
        <f t="shared" si="353"/>
        <v>Eintrag 4924</v>
      </c>
      <c r="B4925" s="18">
        <v>100</v>
      </c>
      <c r="C4925" s="19">
        <v>100</v>
      </c>
      <c r="D4925" s="20">
        <v>10</v>
      </c>
      <c r="E4925" s="20">
        <v>10</v>
      </c>
      <c r="F4925" s="20">
        <v>10</v>
      </c>
      <c r="G4925" s="19">
        <f t="shared" si="357"/>
        <v>172</v>
      </c>
      <c r="H4925" s="22">
        <f t="shared" si="359"/>
        <v>4924</v>
      </c>
      <c r="I4925" s="21">
        <f t="shared" ca="1" si="358"/>
        <v>0</v>
      </c>
      <c r="J4925" s="21" t="str">
        <f ca="1">IF(I4925=0,"",COUNTIF($I$2:I4925,"&gt;0"))</f>
        <v/>
      </c>
      <c r="K4925" s="21" t="str">
        <f t="shared" ca="1" si="356"/>
        <v/>
      </c>
    </row>
    <row r="4926" spans="1:11" s="18" customFormat="1" ht="14.25" x14ac:dyDescent="0.2">
      <c r="A4926" s="18" t="str">
        <f t="shared" si="353"/>
        <v>Eintrag 4925</v>
      </c>
      <c r="B4926" s="18">
        <v>100</v>
      </c>
      <c r="C4926" s="19">
        <v>100</v>
      </c>
      <c r="D4926" s="20">
        <v>10</v>
      </c>
      <c r="E4926" s="20">
        <v>10</v>
      </c>
      <c r="F4926" s="20">
        <v>10</v>
      </c>
      <c r="G4926" s="19">
        <f t="shared" si="357"/>
        <v>172</v>
      </c>
      <c r="H4926" s="22">
        <f t="shared" si="359"/>
        <v>4925</v>
      </c>
      <c r="I4926" s="21">
        <f t="shared" ca="1" si="358"/>
        <v>0</v>
      </c>
      <c r="J4926" s="21" t="str">
        <f ca="1">IF(I4926=0,"",COUNTIF($I$2:I4926,"&gt;0"))</f>
        <v/>
      </c>
      <c r="K4926" s="21" t="str">
        <f t="shared" ca="1" si="356"/>
        <v/>
      </c>
    </row>
    <row r="4927" spans="1:11" s="18" customFormat="1" ht="14.25" x14ac:dyDescent="0.2">
      <c r="A4927" s="18" t="str">
        <f t="shared" si="353"/>
        <v>Eintrag 4926</v>
      </c>
      <c r="B4927" s="18">
        <v>100</v>
      </c>
      <c r="C4927" s="19">
        <v>100</v>
      </c>
      <c r="D4927" s="20">
        <v>10</v>
      </c>
      <c r="E4927" s="20">
        <v>10</v>
      </c>
      <c r="F4927" s="20">
        <v>10</v>
      </c>
      <c r="G4927" s="19">
        <f t="shared" si="357"/>
        <v>172</v>
      </c>
      <c r="H4927" s="22">
        <f t="shared" si="359"/>
        <v>4926</v>
      </c>
      <c r="I4927" s="21">
        <f t="shared" ca="1" si="358"/>
        <v>0</v>
      </c>
      <c r="J4927" s="21" t="str">
        <f ca="1">IF(I4927=0,"",COUNTIF($I$2:I4927,"&gt;0"))</f>
        <v/>
      </c>
      <c r="K4927" s="21" t="str">
        <f t="shared" ca="1" si="356"/>
        <v/>
      </c>
    </row>
    <row r="4928" spans="1:11" s="18" customFormat="1" ht="14.25" x14ac:dyDescent="0.2">
      <c r="A4928" s="18" t="str">
        <f t="shared" si="353"/>
        <v>Eintrag 4927</v>
      </c>
      <c r="B4928" s="18">
        <v>100</v>
      </c>
      <c r="C4928" s="19">
        <v>100</v>
      </c>
      <c r="D4928" s="20">
        <v>10</v>
      </c>
      <c r="E4928" s="20">
        <v>10</v>
      </c>
      <c r="F4928" s="20">
        <v>10</v>
      </c>
      <c r="G4928" s="19">
        <f t="shared" si="357"/>
        <v>172</v>
      </c>
      <c r="H4928" s="22">
        <f t="shared" si="359"/>
        <v>4927</v>
      </c>
      <c r="I4928" s="21">
        <f t="shared" ca="1" si="358"/>
        <v>0</v>
      </c>
      <c r="J4928" s="21" t="str">
        <f ca="1">IF(I4928=0,"",COUNTIF($I$2:I4928,"&gt;0"))</f>
        <v/>
      </c>
      <c r="K4928" s="21" t="str">
        <f t="shared" ca="1" si="356"/>
        <v/>
      </c>
    </row>
    <row r="4929" spans="1:11" s="18" customFormat="1" ht="14.25" x14ac:dyDescent="0.2">
      <c r="A4929" s="18" t="str">
        <f t="shared" si="353"/>
        <v>Eintrag 4928</v>
      </c>
      <c r="B4929" s="18">
        <v>100</v>
      </c>
      <c r="C4929" s="19">
        <v>100</v>
      </c>
      <c r="D4929" s="20">
        <v>10</v>
      </c>
      <c r="E4929" s="20">
        <v>10</v>
      </c>
      <c r="F4929" s="20">
        <v>10</v>
      </c>
      <c r="G4929" s="19">
        <f t="shared" si="357"/>
        <v>172</v>
      </c>
      <c r="H4929" s="22">
        <f t="shared" si="359"/>
        <v>4928</v>
      </c>
      <c r="I4929" s="21">
        <f t="shared" ca="1" si="358"/>
        <v>0</v>
      </c>
      <c r="J4929" s="21" t="str">
        <f ca="1">IF(I4929=0,"",COUNTIF($I$2:I4929,"&gt;0"))</f>
        <v/>
      </c>
      <c r="K4929" s="21" t="str">
        <f t="shared" ca="1" si="356"/>
        <v/>
      </c>
    </row>
    <row r="4930" spans="1:11" s="18" customFormat="1" ht="14.25" x14ac:dyDescent="0.2">
      <c r="A4930" s="18" t="str">
        <f t="shared" si="353"/>
        <v>Eintrag 4929</v>
      </c>
      <c r="B4930" s="18">
        <v>100</v>
      </c>
      <c r="C4930" s="19">
        <v>100</v>
      </c>
      <c r="D4930" s="20">
        <v>10</v>
      </c>
      <c r="E4930" s="20">
        <v>10</v>
      </c>
      <c r="F4930" s="20">
        <v>10</v>
      </c>
      <c r="G4930" s="19">
        <f t="shared" si="357"/>
        <v>172</v>
      </c>
      <c r="H4930" s="22">
        <f t="shared" si="359"/>
        <v>4929</v>
      </c>
      <c r="I4930" s="21">
        <f t="shared" ca="1" si="358"/>
        <v>0</v>
      </c>
      <c r="J4930" s="21" t="str">
        <f ca="1">IF(I4930=0,"",COUNTIF($I$2:I4930,"&gt;0"))</f>
        <v/>
      </c>
      <c r="K4930" s="21" t="str">
        <f t="shared" ref="K4930:K4992" ca="1" si="360">IFERROR(INDEX(A:A,MATCH(ROW(I4929),J:J,0)),"")</f>
        <v/>
      </c>
    </row>
    <row r="4931" spans="1:11" s="18" customFormat="1" ht="14.25" x14ac:dyDescent="0.2">
      <c r="A4931" s="18" t="str">
        <f t="shared" si="353"/>
        <v>Eintrag 4930</v>
      </c>
      <c r="B4931" s="18">
        <v>100</v>
      </c>
      <c r="C4931" s="19">
        <v>100</v>
      </c>
      <c r="D4931" s="20">
        <v>10</v>
      </c>
      <c r="E4931" s="20">
        <v>10</v>
      </c>
      <c r="F4931" s="20">
        <v>10</v>
      </c>
      <c r="G4931" s="19">
        <f t="shared" ref="G4931:G4992" si="361">D4931*9+E4931*4.1+F4931*4.1</f>
        <v>172</v>
      </c>
      <c r="H4931" s="22">
        <f t="shared" si="359"/>
        <v>4930</v>
      </c>
      <c r="I4931" s="21">
        <f t="shared" ca="1" si="358"/>
        <v>0</v>
      </c>
      <c r="J4931" s="21" t="str">
        <f ca="1">IF(I4931=0,"",COUNTIF($I$2:I4931,"&gt;0"))</f>
        <v/>
      </c>
      <c r="K4931" s="21" t="str">
        <f t="shared" ca="1" si="360"/>
        <v/>
      </c>
    </row>
    <row r="4932" spans="1:11" s="18" customFormat="1" ht="14.25" x14ac:dyDescent="0.2">
      <c r="A4932" s="18" t="str">
        <f t="shared" si="353"/>
        <v>Eintrag 4931</v>
      </c>
      <c r="B4932" s="18">
        <v>100</v>
      </c>
      <c r="C4932" s="19">
        <v>100</v>
      </c>
      <c r="D4932" s="20">
        <v>10</v>
      </c>
      <c r="E4932" s="20">
        <v>10</v>
      </c>
      <c r="F4932" s="20">
        <v>10</v>
      </c>
      <c r="G4932" s="19">
        <f t="shared" si="361"/>
        <v>172</v>
      </c>
      <c r="H4932" s="22">
        <f t="shared" si="359"/>
        <v>4931</v>
      </c>
      <c r="I4932" s="21">
        <f t="shared" ca="1" si="358"/>
        <v>0</v>
      </c>
      <c r="J4932" s="21" t="str">
        <f ca="1">IF(I4932=0,"",COUNTIF($I$2:I4932,"&gt;0"))</f>
        <v/>
      </c>
      <c r="K4932" s="21" t="str">
        <f t="shared" ca="1" si="360"/>
        <v/>
      </c>
    </row>
    <row r="4933" spans="1:11" s="18" customFormat="1" ht="14.25" x14ac:dyDescent="0.2">
      <c r="A4933" s="18" t="str">
        <f t="shared" si="353"/>
        <v>Eintrag 4932</v>
      </c>
      <c r="B4933" s="18">
        <v>100</v>
      </c>
      <c r="C4933" s="19">
        <v>100</v>
      </c>
      <c r="D4933" s="20">
        <v>10</v>
      </c>
      <c r="E4933" s="20">
        <v>10</v>
      </c>
      <c r="F4933" s="20">
        <v>10</v>
      </c>
      <c r="G4933" s="19">
        <f t="shared" si="361"/>
        <v>172</v>
      </c>
      <c r="H4933" s="22">
        <f t="shared" si="359"/>
        <v>4932</v>
      </c>
      <c r="I4933" s="21">
        <f t="shared" ca="1" si="358"/>
        <v>0</v>
      </c>
      <c r="J4933" s="21" t="str">
        <f ca="1">IF(I4933=0,"",COUNTIF($I$2:I4933,"&gt;0"))</f>
        <v/>
      </c>
      <c r="K4933" s="21" t="str">
        <f t="shared" ca="1" si="360"/>
        <v/>
      </c>
    </row>
    <row r="4934" spans="1:11" s="18" customFormat="1" ht="14.25" x14ac:dyDescent="0.2">
      <c r="A4934" s="18" t="str">
        <f t="shared" si="353"/>
        <v>Eintrag 4933</v>
      </c>
      <c r="B4934" s="18">
        <v>100</v>
      </c>
      <c r="C4934" s="19">
        <v>100</v>
      </c>
      <c r="D4934" s="20">
        <v>10</v>
      </c>
      <c r="E4934" s="20">
        <v>10</v>
      </c>
      <c r="F4934" s="20">
        <v>10</v>
      </c>
      <c r="G4934" s="19">
        <f t="shared" si="361"/>
        <v>172</v>
      </c>
      <c r="H4934" s="22">
        <f t="shared" si="359"/>
        <v>4933</v>
      </c>
      <c r="I4934" s="21">
        <f t="shared" ca="1" si="358"/>
        <v>0</v>
      </c>
      <c r="J4934" s="21" t="str">
        <f ca="1">IF(I4934=0,"",COUNTIF($I$2:I4934,"&gt;0"))</f>
        <v/>
      </c>
      <c r="K4934" s="21" t="str">
        <f t="shared" ca="1" si="360"/>
        <v/>
      </c>
    </row>
    <row r="4935" spans="1:11" s="18" customFormat="1" ht="14.25" x14ac:dyDescent="0.2">
      <c r="A4935" s="18" t="str">
        <f t="shared" si="353"/>
        <v>Eintrag 4934</v>
      </c>
      <c r="B4935" s="18">
        <v>100</v>
      </c>
      <c r="C4935" s="19">
        <v>100</v>
      </c>
      <c r="D4935" s="20">
        <v>10</v>
      </c>
      <c r="E4935" s="20">
        <v>10</v>
      </c>
      <c r="F4935" s="20">
        <v>10</v>
      </c>
      <c r="G4935" s="19">
        <f t="shared" si="361"/>
        <v>172</v>
      </c>
      <c r="H4935" s="22">
        <f t="shared" si="359"/>
        <v>4934</v>
      </c>
      <c r="I4935" s="21">
        <f t="shared" ca="1" si="358"/>
        <v>0</v>
      </c>
      <c r="J4935" s="21" t="str">
        <f ca="1">IF(I4935=0,"",COUNTIF($I$2:I4935,"&gt;0"))</f>
        <v/>
      </c>
      <c r="K4935" s="21" t="str">
        <f t="shared" ca="1" si="360"/>
        <v/>
      </c>
    </row>
    <row r="4936" spans="1:11" s="18" customFormat="1" ht="14.25" x14ac:dyDescent="0.2">
      <c r="A4936" s="18" t="str">
        <f t="shared" si="353"/>
        <v>Eintrag 4935</v>
      </c>
      <c r="B4936" s="18">
        <v>100</v>
      </c>
      <c r="C4936" s="19">
        <v>100</v>
      </c>
      <c r="D4936" s="20">
        <v>10</v>
      </c>
      <c r="E4936" s="20">
        <v>10</v>
      </c>
      <c r="F4936" s="20">
        <v>10</v>
      </c>
      <c r="G4936" s="19">
        <f t="shared" si="361"/>
        <v>172</v>
      </c>
      <c r="H4936" s="22">
        <f t="shared" si="359"/>
        <v>4935</v>
      </c>
      <c r="I4936" s="21">
        <f t="shared" ca="1" si="358"/>
        <v>0</v>
      </c>
      <c r="J4936" s="21" t="str">
        <f ca="1">IF(I4936=0,"",COUNTIF($I$2:I4936,"&gt;0"))</f>
        <v/>
      </c>
      <c r="K4936" s="21" t="str">
        <f t="shared" ca="1" si="360"/>
        <v/>
      </c>
    </row>
    <row r="4937" spans="1:11" s="18" customFormat="1" ht="14.25" x14ac:dyDescent="0.2">
      <c r="A4937" s="18" t="str">
        <f t="shared" si="353"/>
        <v>Eintrag 4936</v>
      </c>
      <c r="B4937" s="18">
        <v>100</v>
      </c>
      <c r="C4937" s="19">
        <v>100</v>
      </c>
      <c r="D4937" s="20">
        <v>10</v>
      </c>
      <c r="E4937" s="20">
        <v>10</v>
      </c>
      <c r="F4937" s="20">
        <v>10</v>
      </c>
      <c r="G4937" s="19">
        <f t="shared" si="361"/>
        <v>172</v>
      </c>
      <c r="H4937" s="22">
        <f t="shared" si="359"/>
        <v>4936</v>
      </c>
      <c r="I4937" s="21">
        <f t="shared" ca="1" si="358"/>
        <v>0</v>
      </c>
      <c r="J4937" s="21" t="str">
        <f ca="1">IF(I4937=0,"",COUNTIF($I$2:I4937,"&gt;0"))</f>
        <v/>
      </c>
      <c r="K4937" s="21" t="str">
        <f t="shared" ca="1" si="360"/>
        <v/>
      </c>
    </row>
    <row r="4938" spans="1:11" s="18" customFormat="1" ht="14.25" x14ac:dyDescent="0.2">
      <c r="A4938" s="18" t="str">
        <f t="shared" si="353"/>
        <v>Eintrag 4937</v>
      </c>
      <c r="B4938" s="18">
        <v>100</v>
      </c>
      <c r="C4938" s="19">
        <v>100</v>
      </c>
      <c r="D4938" s="20">
        <v>10</v>
      </c>
      <c r="E4938" s="20">
        <v>10</v>
      </c>
      <c r="F4938" s="20">
        <v>10</v>
      </c>
      <c r="G4938" s="19">
        <f t="shared" si="361"/>
        <v>172</v>
      </c>
      <c r="H4938" s="22">
        <f t="shared" si="359"/>
        <v>4937</v>
      </c>
      <c r="I4938" s="21">
        <f t="shared" ca="1" si="358"/>
        <v>0</v>
      </c>
      <c r="J4938" s="21" t="str">
        <f ca="1">IF(I4938=0,"",COUNTIF($I$2:I4938,"&gt;0"))</f>
        <v/>
      </c>
      <c r="K4938" s="21" t="str">
        <f t="shared" ca="1" si="360"/>
        <v/>
      </c>
    </row>
    <row r="4939" spans="1:11" s="18" customFormat="1" ht="14.25" x14ac:dyDescent="0.2">
      <c r="A4939" s="18" t="str">
        <f t="shared" si="353"/>
        <v>Eintrag 4938</v>
      </c>
      <c r="B4939" s="18">
        <v>100</v>
      </c>
      <c r="C4939" s="19">
        <v>100</v>
      </c>
      <c r="D4939" s="20">
        <v>10</v>
      </c>
      <c r="E4939" s="20">
        <v>10</v>
      </c>
      <c r="F4939" s="20">
        <v>10</v>
      </c>
      <c r="G4939" s="19">
        <f t="shared" si="361"/>
        <v>172</v>
      </c>
      <c r="H4939" s="22">
        <f t="shared" si="359"/>
        <v>4938</v>
      </c>
      <c r="I4939" s="21">
        <f t="shared" ca="1" si="358"/>
        <v>0</v>
      </c>
      <c r="J4939" s="21" t="str">
        <f ca="1">IF(I4939=0,"",COUNTIF($I$2:I4939,"&gt;0"))</f>
        <v/>
      </c>
      <c r="K4939" s="21" t="str">
        <f t="shared" ca="1" si="360"/>
        <v/>
      </c>
    </row>
    <row r="4940" spans="1:11" s="18" customFormat="1" ht="14.25" x14ac:dyDescent="0.2">
      <c r="A4940" s="18" t="str">
        <f t="shared" si="353"/>
        <v>Eintrag 4939</v>
      </c>
      <c r="B4940" s="18">
        <v>100</v>
      </c>
      <c r="C4940" s="19">
        <v>100</v>
      </c>
      <c r="D4940" s="20">
        <v>10</v>
      </c>
      <c r="E4940" s="20">
        <v>10</v>
      </c>
      <c r="F4940" s="20">
        <v>10</v>
      </c>
      <c r="G4940" s="19">
        <f t="shared" si="361"/>
        <v>172</v>
      </c>
      <c r="H4940" s="22">
        <f t="shared" si="359"/>
        <v>4939</v>
      </c>
      <c r="I4940" s="21">
        <f t="shared" ca="1" si="358"/>
        <v>0</v>
      </c>
      <c r="J4940" s="21" t="str">
        <f ca="1">IF(I4940=0,"",COUNTIF($I$2:I4940,"&gt;0"))</f>
        <v/>
      </c>
      <c r="K4940" s="21" t="str">
        <f t="shared" ca="1" si="360"/>
        <v/>
      </c>
    </row>
    <row r="4941" spans="1:11" s="18" customFormat="1" ht="14.25" x14ac:dyDescent="0.2">
      <c r="A4941" s="18" t="str">
        <f t="shared" si="353"/>
        <v>Eintrag 4940</v>
      </c>
      <c r="B4941" s="18">
        <v>100</v>
      </c>
      <c r="C4941" s="19">
        <v>100</v>
      </c>
      <c r="D4941" s="20">
        <v>10</v>
      </c>
      <c r="E4941" s="20">
        <v>10</v>
      </c>
      <c r="F4941" s="20">
        <v>10</v>
      </c>
      <c r="G4941" s="19">
        <f t="shared" si="361"/>
        <v>172</v>
      </c>
      <c r="H4941" s="22">
        <f t="shared" si="359"/>
        <v>4940</v>
      </c>
      <c r="I4941" s="21">
        <f t="shared" ca="1" si="358"/>
        <v>0</v>
      </c>
      <c r="J4941" s="21" t="str">
        <f ca="1">IF(I4941=0,"",COUNTIF($I$2:I4941,"&gt;0"))</f>
        <v/>
      </c>
      <c r="K4941" s="21" t="str">
        <f t="shared" ca="1" si="360"/>
        <v/>
      </c>
    </row>
    <row r="4942" spans="1:11" s="18" customFormat="1" ht="14.25" x14ac:dyDescent="0.2">
      <c r="A4942" s="18" t="str">
        <f t="shared" si="353"/>
        <v>Eintrag 4941</v>
      </c>
      <c r="B4942" s="18">
        <v>100</v>
      </c>
      <c r="C4942" s="19">
        <v>100</v>
      </c>
      <c r="D4942" s="20">
        <v>10</v>
      </c>
      <c r="E4942" s="20">
        <v>10</v>
      </c>
      <c r="F4942" s="20">
        <v>10</v>
      </c>
      <c r="G4942" s="19">
        <f t="shared" si="361"/>
        <v>172</v>
      </c>
      <c r="H4942" s="22">
        <f t="shared" si="359"/>
        <v>4941</v>
      </c>
      <c r="I4942" s="21">
        <f t="shared" ca="1" si="358"/>
        <v>0</v>
      </c>
      <c r="J4942" s="21" t="str">
        <f ca="1">IF(I4942=0,"",COUNTIF($I$2:I4942,"&gt;0"))</f>
        <v/>
      </c>
      <c r="K4942" s="21" t="str">
        <f t="shared" ca="1" si="360"/>
        <v/>
      </c>
    </row>
    <row r="4943" spans="1:11" s="18" customFormat="1" ht="14.25" x14ac:dyDescent="0.2">
      <c r="A4943" s="18" t="str">
        <f t="shared" si="353"/>
        <v>Eintrag 4942</v>
      </c>
      <c r="B4943" s="18">
        <v>100</v>
      </c>
      <c r="C4943" s="19">
        <v>100</v>
      </c>
      <c r="D4943" s="20">
        <v>10</v>
      </c>
      <c r="E4943" s="20">
        <v>10</v>
      </c>
      <c r="F4943" s="20">
        <v>10</v>
      </c>
      <c r="G4943" s="19">
        <f t="shared" si="361"/>
        <v>172</v>
      </c>
      <c r="H4943" s="22">
        <f t="shared" si="359"/>
        <v>4942</v>
      </c>
      <c r="I4943" s="21">
        <f t="shared" ca="1" si="358"/>
        <v>0</v>
      </c>
      <c r="J4943" s="21" t="str">
        <f ca="1">IF(I4943=0,"",COUNTIF($I$2:I4943,"&gt;0"))</f>
        <v/>
      </c>
      <c r="K4943" s="21" t="str">
        <f t="shared" ca="1" si="360"/>
        <v/>
      </c>
    </row>
    <row r="4944" spans="1:11" s="18" customFormat="1" ht="14.25" x14ac:dyDescent="0.2">
      <c r="A4944" s="18" t="str">
        <f t="shared" si="353"/>
        <v>Eintrag 4943</v>
      </c>
      <c r="B4944" s="18">
        <v>100</v>
      </c>
      <c r="C4944" s="19">
        <v>100</v>
      </c>
      <c r="D4944" s="20">
        <v>10</v>
      </c>
      <c r="E4944" s="20">
        <v>10</v>
      </c>
      <c r="F4944" s="20">
        <v>10</v>
      </c>
      <c r="G4944" s="19">
        <f t="shared" si="361"/>
        <v>172</v>
      </c>
      <c r="H4944" s="22">
        <f t="shared" si="359"/>
        <v>4943</v>
      </c>
      <c r="I4944" s="21">
        <f t="shared" ca="1" si="358"/>
        <v>0</v>
      </c>
      <c r="J4944" s="21" t="str">
        <f ca="1">IF(I4944=0,"",COUNTIF($I$2:I4944,"&gt;0"))</f>
        <v/>
      </c>
      <c r="K4944" s="21" t="str">
        <f t="shared" ca="1" si="360"/>
        <v/>
      </c>
    </row>
    <row r="4945" spans="1:11" s="18" customFormat="1" ht="14.25" x14ac:dyDescent="0.2">
      <c r="A4945" s="18" t="str">
        <f t="shared" si="353"/>
        <v>Eintrag 4944</v>
      </c>
      <c r="B4945" s="18">
        <v>100</v>
      </c>
      <c r="C4945" s="19">
        <v>100</v>
      </c>
      <c r="D4945" s="20">
        <v>10</v>
      </c>
      <c r="E4945" s="20">
        <v>10</v>
      </c>
      <c r="F4945" s="20">
        <v>10</v>
      </c>
      <c r="G4945" s="19">
        <f t="shared" si="361"/>
        <v>172</v>
      </c>
      <c r="H4945" s="22">
        <f t="shared" si="359"/>
        <v>4944</v>
      </c>
      <c r="I4945" s="21">
        <f t="shared" ca="1" si="358"/>
        <v>0</v>
      </c>
      <c r="J4945" s="21" t="str">
        <f ca="1">IF(I4945=0,"",COUNTIF($I$2:I4945,"&gt;0"))</f>
        <v/>
      </c>
      <c r="K4945" s="21" t="str">
        <f t="shared" ca="1" si="360"/>
        <v/>
      </c>
    </row>
    <row r="4946" spans="1:11" s="18" customFormat="1" ht="14.25" x14ac:dyDescent="0.2">
      <c r="A4946" s="18" t="str">
        <f t="shared" si="353"/>
        <v>Eintrag 4945</v>
      </c>
      <c r="B4946" s="18">
        <v>100</v>
      </c>
      <c r="C4946" s="19">
        <v>100</v>
      </c>
      <c r="D4946" s="20">
        <v>10</v>
      </c>
      <c r="E4946" s="20">
        <v>10</v>
      </c>
      <c r="F4946" s="20">
        <v>10</v>
      </c>
      <c r="G4946" s="19">
        <f t="shared" si="361"/>
        <v>172</v>
      </c>
      <c r="H4946" s="22">
        <f t="shared" si="359"/>
        <v>4945</v>
      </c>
      <c r="I4946" s="21">
        <f t="shared" ca="1" si="358"/>
        <v>0</v>
      </c>
      <c r="J4946" s="21" t="str">
        <f ca="1">IF(I4946=0,"",COUNTIF($I$2:I4946,"&gt;0"))</f>
        <v/>
      </c>
      <c r="K4946" s="21" t="str">
        <f t="shared" ca="1" si="360"/>
        <v/>
      </c>
    </row>
    <row r="4947" spans="1:11" s="18" customFormat="1" ht="14.25" x14ac:dyDescent="0.2">
      <c r="A4947" s="18" t="str">
        <f t="shared" si="353"/>
        <v>Eintrag 4946</v>
      </c>
      <c r="B4947" s="18">
        <v>100</v>
      </c>
      <c r="C4947" s="19">
        <v>100</v>
      </c>
      <c r="D4947" s="20">
        <v>10</v>
      </c>
      <c r="E4947" s="20">
        <v>10</v>
      </c>
      <c r="F4947" s="20">
        <v>10</v>
      </c>
      <c r="G4947" s="19">
        <f t="shared" si="361"/>
        <v>172</v>
      </c>
      <c r="H4947" s="22">
        <f t="shared" si="359"/>
        <v>4946</v>
      </c>
      <c r="I4947" s="21">
        <f t="shared" ca="1" si="358"/>
        <v>0</v>
      </c>
      <c r="J4947" s="21" t="str">
        <f ca="1">IF(I4947=0,"",COUNTIF($I$2:I4947,"&gt;0"))</f>
        <v/>
      </c>
      <c r="K4947" s="21" t="str">
        <f t="shared" ca="1" si="360"/>
        <v/>
      </c>
    </row>
    <row r="4948" spans="1:11" s="18" customFormat="1" ht="14.25" x14ac:dyDescent="0.2">
      <c r="A4948" s="18" t="str">
        <f t="shared" si="353"/>
        <v>Eintrag 4947</v>
      </c>
      <c r="B4948" s="18">
        <v>100</v>
      </c>
      <c r="C4948" s="19">
        <v>100</v>
      </c>
      <c r="D4948" s="20">
        <v>10</v>
      </c>
      <c r="E4948" s="20">
        <v>10</v>
      </c>
      <c r="F4948" s="20">
        <v>10</v>
      </c>
      <c r="G4948" s="19">
        <f t="shared" si="361"/>
        <v>172</v>
      </c>
      <c r="H4948" s="22">
        <f t="shared" si="359"/>
        <v>4947</v>
      </c>
      <c r="I4948" s="21">
        <f t="shared" ca="1" si="358"/>
        <v>0</v>
      </c>
      <c r="J4948" s="21" t="str">
        <f ca="1">IF(I4948=0,"",COUNTIF($I$2:I4948,"&gt;0"))</f>
        <v/>
      </c>
      <c r="K4948" s="21" t="str">
        <f t="shared" ca="1" si="360"/>
        <v/>
      </c>
    </row>
    <row r="4949" spans="1:11" s="18" customFormat="1" ht="14.25" x14ac:dyDescent="0.2">
      <c r="A4949" s="18" t="str">
        <f t="shared" si="353"/>
        <v>Eintrag 4948</v>
      </c>
      <c r="B4949" s="18">
        <v>100</v>
      </c>
      <c r="C4949" s="19">
        <v>100</v>
      </c>
      <c r="D4949" s="20">
        <v>10</v>
      </c>
      <c r="E4949" s="20">
        <v>10</v>
      </c>
      <c r="F4949" s="20">
        <v>10</v>
      </c>
      <c r="G4949" s="19">
        <f t="shared" si="361"/>
        <v>172</v>
      </c>
      <c r="H4949" s="22">
        <f t="shared" si="359"/>
        <v>4948</v>
      </c>
      <c r="I4949" s="21">
        <f t="shared" ca="1" si="358"/>
        <v>0</v>
      </c>
      <c r="J4949" s="21" t="str">
        <f ca="1">IF(I4949=0,"",COUNTIF($I$2:I4949,"&gt;0"))</f>
        <v/>
      </c>
      <c r="K4949" s="21" t="str">
        <f t="shared" ca="1" si="360"/>
        <v/>
      </c>
    </row>
    <row r="4950" spans="1:11" s="18" customFormat="1" ht="14.25" x14ac:dyDescent="0.2">
      <c r="A4950" s="18" t="str">
        <f t="shared" si="353"/>
        <v>Eintrag 4949</v>
      </c>
      <c r="B4950" s="18">
        <v>100</v>
      </c>
      <c r="C4950" s="19">
        <v>100</v>
      </c>
      <c r="D4950" s="20">
        <v>10</v>
      </c>
      <c r="E4950" s="20">
        <v>10</v>
      </c>
      <c r="F4950" s="20">
        <v>10</v>
      </c>
      <c r="G4950" s="19">
        <f t="shared" si="361"/>
        <v>172</v>
      </c>
      <c r="H4950" s="22">
        <f t="shared" si="359"/>
        <v>4949</v>
      </c>
      <c r="I4950" s="21">
        <f t="shared" ca="1" si="358"/>
        <v>0</v>
      </c>
      <c r="J4950" s="21" t="str">
        <f ca="1">IF(I4950=0,"",COUNTIF($I$2:I4950,"&gt;0"))</f>
        <v/>
      </c>
      <c r="K4950" s="21" t="str">
        <f t="shared" ca="1" si="360"/>
        <v/>
      </c>
    </row>
    <row r="4951" spans="1:11" s="18" customFormat="1" ht="14.25" x14ac:dyDescent="0.2">
      <c r="A4951" s="18" t="str">
        <f t="shared" si="353"/>
        <v>Eintrag 4950</v>
      </c>
      <c r="B4951" s="18">
        <v>100</v>
      </c>
      <c r="C4951" s="19">
        <v>100</v>
      </c>
      <c r="D4951" s="20">
        <v>10</v>
      </c>
      <c r="E4951" s="20">
        <v>10</v>
      </c>
      <c r="F4951" s="20">
        <v>10</v>
      </c>
      <c r="G4951" s="19">
        <f t="shared" si="361"/>
        <v>172</v>
      </c>
      <c r="H4951" s="22">
        <f t="shared" si="359"/>
        <v>4950</v>
      </c>
      <c r="I4951" s="21">
        <f t="shared" ca="1" si="358"/>
        <v>0</v>
      </c>
      <c r="J4951" s="21" t="str">
        <f ca="1">IF(I4951=0,"",COUNTIF($I$2:I4951,"&gt;0"))</f>
        <v/>
      </c>
      <c r="K4951" s="21" t="str">
        <f t="shared" ca="1" si="360"/>
        <v/>
      </c>
    </row>
    <row r="4952" spans="1:11" s="18" customFormat="1" ht="14.25" x14ac:dyDescent="0.2">
      <c r="A4952" s="18" t="str">
        <f t="shared" si="353"/>
        <v>Eintrag 4951</v>
      </c>
      <c r="B4952" s="18">
        <v>100</v>
      </c>
      <c r="C4952" s="19">
        <v>100</v>
      </c>
      <c r="D4952" s="20">
        <v>10</v>
      </c>
      <c r="E4952" s="20">
        <v>10</v>
      </c>
      <c r="F4952" s="20">
        <v>10</v>
      </c>
      <c r="G4952" s="19">
        <f t="shared" si="361"/>
        <v>172</v>
      </c>
      <c r="H4952" s="22">
        <f t="shared" si="359"/>
        <v>4951</v>
      </c>
      <c r="I4952" s="21">
        <f t="shared" ca="1" si="358"/>
        <v>0</v>
      </c>
      <c r="J4952" s="21" t="str">
        <f ca="1">IF(I4952=0,"",COUNTIF($I$2:I4952,"&gt;0"))</f>
        <v/>
      </c>
      <c r="K4952" s="21" t="str">
        <f t="shared" ca="1" si="360"/>
        <v/>
      </c>
    </row>
    <row r="4953" spans="1:11" s="18" customFormat="1" ht="14.25" x14ac:dyDescent="0.2">
      <c r="A4953" s="18" t="str">
        <f t="shared" si="353"/>
        <v>Eintrag 4952</v>
      </c>
      <c r="B4953" s="18">
        <v>100</v>
      </c>
      <c r="C4953" s="19">
        <v>100</v>
      </c>
      <c r="D4953" s="20">
        <v>10</v>
      </c>
      <c r="E4953" s="20">
        <v>10</v>
      </c>
      <c r="F4953" s="20">
        <v>10</v>
      </c>
      <c r="G4953" s="19">
        <f t="shared" si="361"/>
        <v>172</v>
      </c>
      <c r="H4953" s="22">
        <f t="shared" si="359"/>
        <v>4952</v>
      </c>
      <c r="I4953" s="21">
        <f t="shared" ca="1" si="358"/>
        <v>0</v>
      </c>
      <c r="J4953" s="21" t="str">
        <f ca="1">IF(I4953=0,"",COUNTIF($I$2:I4953,"&gt;0"))</f>
        <v/>
      </c>
      <c r="K4953" s="21" t="str">
        <f t="shared" ca="1" si="360"/>
        <v/>
      </c>
    </row>
    <row r="4954" spans="1:11" s="18" customFormat="1" ht="14.25" x14ac:dyDescent="0.2">
      <c r="A4954" s="18" t="str">
        <f t="shared" si="353"/>
        <v>Eintrag 4953</v>
      </c>
      <c r="B4954" s="18">
        <v>100</v>
      </c>
      <c r="C4954" s="19">
        <v>100</v>
      </c>
      <c r="D4954" s="20">
        <v>10</v>
      </c>
      <c r="E4954" s="20">
        <v>10</v>
      </c>
      <c r="F4954" s="20">
        <v>10</v>
      </c>
      <c r="G4954" s="19">
        <f t="shared" si="361"/>
        <v>172</v>
      </c>
      <c r="H4954" s="22">
        <f t="shared" si="359"/>
        <v>4953</v>
      </c>
      <c r="I4954" s="21">
        <f t="shared" ca="1" si="358"/>
        <v>0</v>
      </c>
      <c r="J4954" s="21" t="str">
        <f ca="1">IF(I4954=0,"",COUNTIF($I$2:I4954,"&gt;0"))</f>
        <v/>
      </c>
      <c r="K4954" s="21" t="str">
        <f t="shared" ca="1" si="360"/>
        <v/>
      </c>
    </row>
    <row r="4955" spans="1:11" s="18" customFormat="1" ht="14.25" x14ac:dyDescent="0.2">
      <c r="A4955" s="18" t="str">
        <f t="shared" si="353"/>
        <v>Eintrag 4954</v>
      </c>
      <c r="B4955" s="18">
        <v>100</v>
      </c>
      <c r="C4955" s="19">
        <v>100</v>
      </c>
      <c r="D4955" s="20">
        <v>10</v>
      </c>
      <c r="E4955" s="20">
        <v>10</v>
      </c>
      <c r="F4955" s="20">
        <v>10</v>
      </c>
      <c r="G4955" s="19">
        <f t="shared" si="361"/>
        <v>172</v>
      </c>
      <c r="H4955" s="22">
        <f t="shared" si="359"/>
        <v>4954</v>
      </c>
      <c r="I4955" s="21">
        <f t="shared" ca="1" si="358"/>
        <v>0</v>
      </c>
      <c r="J4955" s="21" t="str">
        <f ca="1">IF(I4955=0,"",COUNTIF($I$2:I4955,"&gt;0"))</f>
        <v/>
      </c>
      <c r="K4955" s="21" t="str">
        <f t="shared" ca="1" si="360"/>
        <v/>
      </c>
    </row>
    <row r="4956" spans="1:11" s="18" customFormat="1" ht="14.25" x14ac:dyDescent="0.2">
      <c r="A4956" s="18" t="str">
        <f t="shared" si="353"/>
        <v>Eintrag 4955</v>
      </c>
      <c r="B4956" s="18">
        <v>100</v>
      </c>
      <c r="C4956" s="19">
        <v>100</v>
      </c>
      <c r="D4956" s="20">
        <v>10</v>
      </c>
      <c r="E4956" s="20">
        <v>10</v>
      </c>
      <c r="F4956" s="20">
        <v>10</v>
      </c>
      <c r="G4956" s="19">
        <f t="shared" si="361"/>
        <v>172</v>
      </c>
      <c r="H4956" s="22">
        <f t="shared" si="359"/>
        <v>4955</v>
      </c>
      <c r="I4956" s="21">
        <f t="shared" ca="1" si="358"/>
        <v>0</v>
      </c>
      <c r="J4956" s="21" t="str">
        <f ca="1">IF(I4956=0,"",COUNTIF($I$2:I4956,"&gt;0"))</f>
        <v/>
      </c>
      <c r="K4956" s="21" t="str">
        <f t="shared" ca="1" si="360"/>
        <v/>
      </c>
    </row>
    <row r="4957" spans="1:11" s="18" customFormat="1" ht="14.25" x14ac:dyDescent="0.2">
      <c r="A4957" s="18" t="str">
        <f t="shared" si="353"/>
        <v>Eintrag 4956</v>
      </c>
      <c r="B4957" s="18">
        <v>100</v>
      </c>
      <c r="C4957" s="19">
        <v>100</v>
      </c>
      <c r="D4957" s="20">
        <v>10</v>
      </c>
      <c r="E4957" s="20">
        <v>10</v>
      </c>
      <c r="F4957" s="20">
        <v>10</v>
      </c>
      <c r="G4957" s="19">
        <f t="shared" si="361"/>
        <v>172</v>
      </c>
      <c r="H4957" s="22">
        <f t="shared" si="359"/>
        <v>4956</v>
      </c>
      <c r="I4957" s="21">
        <f t="shared" ca="1" si="358"/>
        <v>0</v>
      </c>
      <c r="J4957" s="21" t="str">
        <f ca="1">IF(I4957=0,"",COUNTIF($I$2:I4957,"&gt;0"))</f>
        <v/>
      </c>
      <c r="K4957" s="21" t="str">
        <f t="shared" ca="1" si="360"/>
        <v/>
      </c>
    </row>
    <row r="4958" spans="1:11" s="18" customFormat="1" ht="14.25" x14ac:dyDescent="0.2">
      <c r="A4958" s="18" t="str">
        <f t="shared" si="353"/>
        <v>Eintrag 4957</v>
      </c>
      <c r="B4958" s="18">
        <v>100</v>
      </c>
      <c r="C4958" s="19">
        <v>100</v>
      </c>
      <c r="D4958" s="20">
        <v>10</v>
      </c>
      <c r="E4958" s="20">
        <v>10</v>
      </c>
      <c r="F4958" s="20">
        <v>10</v>
      </c>
      <c r="G4958" s="19">
        <f t="shared" si="361"/>
        <v>172</v>
      </c>
      <c r="H4958" s="22">
        <f t="shared" si="359"/>
        <v>4957</v>
      </c>
      <c r="I4958" s="21">
        <f t="shared" ca="1" si="358"/>
        <v>0</v>
      </c>
      <c r="J4958" s="21" t="str">
        <f ca="1">IF(I4958=0,"",COUNTIF($I$2:I4958,"&gt;0"))</f>
        <v/>
      </c>
      <c r="K4958" s="21" t="str">
        <f t="shared" ca="1" si="360"/>
        <v/>
      </c>
    </row>
    <row r="4959" spans="1:11" s="18" customFormat="1" ht="14.25" x14ac:dyDescent="0.2">
      <c r="A4959" s="18" t="str">
        <f t="shared" si="353"/>
        <v>Eintrag 4958</v>
      </c>
      <c r="B4959" s="18">
        <v>100</v>
      </c>
      <c r="C4959" s="19">
        <v>100</v>
      </c>
      <c r="D4959" s="20">
        <v>10</v>
      </c>
      <c r="E4959" s="20">
        <v>10</v>
      </c>
      <c r="F4959" s="20">
        <v>10</v>
      </c>
      <c r="G4959" s="19">
        <f t="shared" si="361"/>
        <v>172</v>
      </c>
      <c r="H4959" s="22">
        <f t="shared" si="359"/>
        <v>4958</v>
      </c>
      <c r="I4959" s="21">
        <f t="shared" ref="I4959:I4992" ca="1" si="362">IFERROR(SEARCH(INDIRECT(CELL("address")),A4959),0)</f>
        <v>0</v>
      </c>
      <c r="J4959" s="21" t="str">
        <f ca="1">IF(I4959=0,"",COUNTIF($I$2:I4959,"&gt;0"))</f>
        <v/>
      </c>
      <c r="K4959" s="21" t="str">
        <f t="shared" ca="1" si="360"/>
        <v/>
      </c>
    </row>
    <row r="4960" spans="1:11" s="18" customFormat="1" ht="14.25" x14ac:dyDescent="0.2">
      <c r="A4960" s="18" t="str">
        <f t="shared" si="353"/>
        <v>Eintrag 4959</v>
      </c>
      <c r="B4960" s="18">
        <v>100</v>
      </c>
      <c r="C4960" s="19">
        <v>100</v>
      </c>
      <c r="D4960" s="20">
        <v>10</v>
      </c>
      <c r="E4960" s="20">
        <v>10</v>
      </c>
      <c r="F4960" s="20">
        <v>10</v>
      </c>
      <c r="G4960" s="19">
        <f t="shared" si="361"/>
        <v>172</v>
      </c>
      <c r="H4960" s="22">
        <f t="shared" si="359"/>
        <v>4959</v>
      </c>
      <c r="I4960" s="21">
        <f t="shared" ca="1" si="362"/>
        <v>0</v>
      </c>
      <c r="J4960" s="21" t="str">
        <f ca="1">IF(I4960=0,"",COUNTIF($I$2:I4960,"&gt;0"))</f>
        <v/>
      </c>
      <c r="K4960" s="21" t="str">
        <f t="shared" ca="1" si="360"/>
        <v/>
      </c>
    </row>
    <row r="4961" spans="1:11" s="18" customFormat="1" ht="14.25" x14ac:dyDescent="0.2">
      <c r="A4961" s="18" t="str">
        <f t="shared" si="353"/>
        <v>Eintrag 4960</v>
      </c>
      <c r="B4961" s="18">
        <v>100</v>
      </c>
      <c r="C4961" s="19">
        <v>100</v>
      </c>
      <c r="D4961" s="20">
        <v>10</v>
      </c>
      <c r="E4961" s="20">
        <v>10</v>
      </c>
      <c r="F4961" s="20">
        <v>10</v>
      </c>
      <c r="G4961" s="19">
        <f t="shared" si="361"/>
        <v>172</v>
      </c>
      <c r="H4961" s="22">
        <f t="shared" si="359"/>
        <v>4960</v>
      </c>
      <c r="I4961" s="21">
        <f t="shared" ca="1" si="362"/>
        <v>0</v>
      </c>
      <c r="J4961" s="21" t="str">
        <f ca="1">IF(I4961=0,"",COUNTIF($I$2:I4961,"&gt;0"))</f>
        <v/>
      </c>
      <c r="K4961" s="21" t="str">
        <f t="shared" ca="1" si="360"/>
        <v/>
      </c>
    </row>
    <row r="4962" spans="1:11" s="18" customFormat="1" ht="14.25" x14ac:dyDescent="0.2">
      <c r="A4962" s="18" t="str">
        <f t="shared" si="353"/>
        <v>Eintrag 4961</v>
      </c>
      <c r="B4962" s="18">
        <v>100</v>
      </c>
      <c r="C4962" s="19">
        <v>100</v>
      </c>
      <c r="D4962" s="20">
        <v>10</v>
      </c>
      <c r="E4962" s="20">
        <v>10</v>
      </c>
      <c r="F4962" s="20">
        <v>10</v>
      </c>
      <c r="G4962" s="19">
        <f t="shared" si="361"/>
        <v>172</v>
      </c>
      <c r="H4962" s="22">
        <f t="shared" si="359"/>
        <v>4961</v>
      </c>
      <c r="I4962" s="21">
        <f t="shared" ca="1" si="362"/>
        <v>0</v>
      </c>
      <c r="J4962" s="21" t="str">
        <f ca="1">IF(I4962=0,"",COUNTIF($I$2:I4962,"&gt;0"))</f>
        <v/>
      </c>
      <c r="K4962" s="21" t="str">
        <f t="shared" ca="1" si="360"/>
        <v/>
      </c>
    </row>
    <row r="4963" spans="1:11" s="18" customFormat="1" ht="14.25" x14ac:dyDescent="0.2">
      <c r="A4963" s="18" t="str">
        <f t="shared" si="353"/>
        <v>Eintrag 4962</v>
      </c>
      <c r="B4963" s="18">
        <v>100</v>
      </c>
      <c r="C4963" s="19">
        <v>100</v>
      </c>
      <c r="D4963" s="20">
        <v>10</v>
      </c>
      <c r="E4963" s="20">
        <v>10</v>
      </c>
      <c r="F4963" s="20">
        <v>10</v>
      </c>
      <c r="G4963" s="19">
        <f t="shared" si="361"/>
        <v>172</v>
      </c>
      <c r="H4963" s="22">
        <f t="shared" si="359"/>
        <v>4962</v>
      </c>
      <c r="I4963" s="21">
        <f t="shared" ca="1" si="362"/>
        <v>0</v>
      </c>
      <c r="J4963" s="21" t="str">
        <f ca="1">IF(I4963=0,"",COUNTIF($I$2:I4963,"&gt;0"))</f>
        <v/>
      </c>
      <c r="K4963" s="21" t="str">
        <f t="shared" ca="1" si="360"/>
        <v/>
      </c>
    </row>
    <row r="4964" spans="1:11" s="18" customFormat="1" ht="14.25" x14ac:dyDescent="0.2">
      <c r="A4964" s="18" t="str">
        <f t="shared" si="353"/>
        <v>Eintrag 4963</v>
      </c>
      <c r="B4964" s="18">
        <v>100</v>
      </c>
      <c r="C4964" s="19">
        <v>100</v>
      </c>
      <c r="D4964" s="20">
        <v>10</v>
      </c>
      <c r="E4964" s="20">
        <v>10</v>
      </c>
      <c r="F4964" s="20">
        <v>10</v>
      </c>
      <c r="G4964" s="19">
        <f t="shared" si="361"/>
        <v>172</v>
      </c>
      <c r="H4964" s="22">
        <f t="shared" si="359"/>
        <v>4963</v>
      </c>
      <c r="I4964" s="21">
        <f t="shared" ca="1" si="362"/>
        <v>0</v>
      </c>
      <c r="J4964" s="21" t="str">
        <f ca="1">IF(I4964=0,"",COUNTIF($I$2:I4964,"&gt;0"))</f>
        <v/>
      </c>
      <c r="K4964" s="21" t="str">
        <f t="shared" ca="1" si="360"/>
        <v/>
      </c>
    </row>
    <row r="4965" spans="1:11" s="18" customFormat="1" ht="14.25" x14ac:dyDescent="0.2">
      <c r="A4965" s="18" t="str">
        <f t="shared" si="353"/>
        <v>Eintrag 4964</v>
      </c>
      <c r="B4965" s="18">
        <v>100</v>
      </c>
      <c r="C4965" s="19">
        <v>100</v>
      </c>
      <c r="D4965" s="20">
        <v>10</v>
      </c>
      <c r="E4965" s="20">
        <v>10</v>
      </c>
      <c r="F4965" s="20">
        <v>10</v>
      </c>
      <c r="G4965" s="19">
        <f t="shared" si="361"/>
        <v>172</v>
      </c>
      <c r="H4965" s="22">
        <f t="shared" ref="H4965:H5001" si="363">H4964+1</f>
        <v>4964</v>
      </c>
      <c r="I4965" s="21">
        <f t="shared" ca="1" si="362"/>
        <v>0</v>
      </c>
      <c r="J4965" s="21" t="str">
        <f ca="1">IF(I4965=0,"",COUNTIF($I$2:I4965,"&gt;0"))</f>
        <v/>
      </c>
      <c r="K4965" s="21" t="str">
        <f t="shared" ca="1" si="360"/>
        <v/>
      </c>
    </row>
    <row r="4966" spans="1:11" s="18" customFormat="1" ht="14.25" x14ac:dyDescent="0.2">
      <c r="A4966" s="18" t="str">
        <f t="shared" si="353"/>
        <v>Eintrag 4965</v>
      </c>
      <c r="B4966" s="18">
        <v>100</v>
      </c>
      <c r="C4966" s="19">
        <v>100</v>
      </c>
      <c r="D4966" s="20">
        <v>10</v>
      </c>
      <c r="E4966" s="20">
        <v>10</v>
      </c>
      <c r="F4966" s="20">
        <v>10</v>
      </c>
      <c r="G4966" s="19">
        <f t="shared" si="361"/>
        <v>172</v>
      </c>
      <c r="H4966" s="22">
        <f t="shared" si="363"/>
        <v>4965</v>
      </c>
      <c r="I4966" s="21">
        <f t="shared" ca="1" si="362"/>
        <v>0</v>
      </c>
      <c r="J4966" s="21" t="str">
        <f ca="1">IF(I4966=0,"",COUNTIF($I$2:I4966,"&gt;0"))</f>
        <v/>
      </c>
      <c r="K4966" s="21" t="str">
        <f t="shared" ca="1" si="360"/>
        <v/>
      </c>
    </row>
    <row r="4967" spans="1:11" s="18" customFormat="1" ht="14.25" x14ac:dyDescent="0.2">
      <c r="A4967" s="18" t="str">
        <f t="shared" si="353"/>
        <v>Eintrag 4966</v>
      </c>
      <c r="B4967" s="18">
        <v>100</v>
      </c>
      <c r="C4967" s="19">
        <v>100</v>
      </c>
      <c r="D4967" s="20">
        <v>10</v>
      </c>
      <c r="E4967" s="20">
        <v>10</v>
      </c>
      <c r="F4967" s="20">
        <v>10</v>
      </c>
      <c r="G4967" s="19">
        <f t="shared" si="361"/>
        <v>172</v>
      </c>
      <c r="H4967" s="22">
        <f t="shared" si="363"/>
        <v>4966</v>
      </c>
      <c r="I4967" s="21">
        <f t="shared" ca="1" si="362"/>
        <v>0</v>
      </c>
      <c r="J4967" s="21" t="str">
        <f ca="1">IF(I4967=0,"",COUNTIF($I$2:I4967,"&gt;0"))</f>
        <v/>
      </c>
      <c r="K4967" s="21" t="str">
        <f t="shared" ca="1" si="360"/>
        <v/>
      </c>
    </row>
    <row r="4968" spans="1:11" s="18" customFormat="1" ht="14.25" x14ac:dyDescent="0.2">
      <c r="A4968" s="18" t="str">
        <f t="shared" si="353"/>
        <v>Eintrag 4967</v>
      </c>
      <c r="B4968" s="18">
        <v>100</v>
      </c>
      <c r="C4968" s="19">
        <v>100</v>
      </c>
      <c r="D4968" s="20">
        <v>10</v>
      </c>
      <c r="E4968" s="20">
        <v>10</v>
      </c>
      <c r="F4968" s="20">
        <v>10</v>
      </c>
      <c r="G4968" s="19">
        <f t="shared" si="361"/>
        <v>172</v>
      </c>
      <c r="H4968" s="22">
        <f t="shared" si="363"/>
        <v>4967</v>
      </c>
      <c r="I4968" s="21">
        <f t="shared" ca="1" si="362"/>
        <v>0</v>
      </c>
      <c r="J4968" s="21" t="str">
        <f ca="1">IF(I4968=0,"",COUNTIF($I$2:I4968,"&gt;0"))</f>
        <v/>
      </c>
      <c r="K4968" s="21" t="str">
        <f t="shared" ca="1" si="360"/>
        <v/>
      </c>
    </row>
    <row r="4969" spans="1:11" s="18" customFormat="1" ht="14.25" x14ac:dyDescent="0.2">
      <c r="A4969" s="18" t="str">
        <f t="shared" si="353"/>
        <v>Eintrag 4968</v>
      </c>
      <c r="B4969" s="18">
        <v>100</v>
      </c>
      <c r="C4969" s="19">
        <v>100</v>
      </c>
      <c r="D4969" s="20">
        <v>10</v>
      </c>
      <c r="E4969" s="20">
        <v>10</v>
      </c>
      <c r="F4969" s="20">
        <v>10</v>
      </c>
      <c r="G4969" s="19">
        <f t="shared" si="361"/>
        <v>172</v>
      </c>
      <c r="H4969" s="22">
        <f t="shared" si="363"/>
        <v>4968</v>
      </c>
      <c r="I4969" s="21">
        <f t="shared" ca="1" si="362"/>
        <v>0</v>
      </c>
      <c r="J4969" s="21" t="str">
        <f ca="1">IF(I4969=0,"",COUNTIF($I$2:I4969,"&gt;0"))</f>
        <v/>
      </c>
      <c r="K4969" s="21" t="str">
        <f t="shared" ca="1" si="360"/>
        <v/>
      </c>
    </row>
    <row r="4970" spans="1:11" s="18" customFormat="1" ht="14.25" x14ac:dyDescent="0.2">
      <c r="A4970" s="18" t="str">
        <f t="shared" si="353"/>
        <v>Eintrag 4969</v>
      </c>
      <c r="B4970" s="18">
        <v>100</v>
      </c>
      <c r="C4970" s="19">
        <v>100</v>
      </c>
      <c r="D4970" s="20">
        <v>10</v>
      </c>
      <c r="E4970" s="20">
        <v>10</v>
      </c>
      <c r="F4970" s="20">
        <v>10</v>
      </c>
      <c r="G4970" s="19">
        <f t="shared" si="361"/>
        <v>172</v>
      </c>
      <c r="H4970" s="22">
        <f t="shared" si="363"/>
        <v>4969</v>
      </c>
      <c r="I4970" s="21">
        <f t="shared" ca="1" si="362"/>
        <v>0</v>
      </c>
      <c r="J4970" s="21" t="str">
        <f ca="1">IF(I4970=0,"",COUNTIF($I$2:I4970,"&gt;0"))</f>
        <v/>
      </c>
      <c r="K4970" s="21" t="str">
        <f t="shared" ca="1" si="360"/>
        <v/>
      </c>
    </row>
    <row r="4971" spans="1:11" s="18" customFormat="1" ht="14.25" x14ac:dyDescent="0.2">
      <c r="A4971" s="18" t="str">
        <f t="shared" si="353"/>
        <v>Eintrag 4970</v>
      </c>
      <c r="B4971" s="18">
        <v>100</v>
      </c>
      <c r="C4971" s="19">
        <v>100</v>
      </c>
      <c r="D4971" s="20">
        <v>10</v>
      </c>
      <c r="E4971" s="20">
        <v>10</v>
      </c>
      <c r="F4971" s="20">
        <v>10</v>
      </c>
      <c r="G4971" s="19">
        <f t="shared" si="361"/>
        <v>172</v>
      </c>
      <c r="H4971" s="22">
        <f t="shared" si="363"/>
        <v>4970</v>
      </c>
      <c r="I4971" s="21">
        <f t="shared" ca="1" si="362"/>
        <v>0</v>
      </c>
      <c r="J4971" s="21" t="str">
        <f ca="1">IF(I4971=0,"",COUNTIF($I$2:I4971,"&gt;0"))</f>
        <v/>
      </c>
      <c r="K4971" s="21" t="str">
        <f t="shared" ca="1" si="360"/>
        <v/>
      </c>
    </row>
    <row r="4972" spans="1:11" s="18" customFormat="1" ht="14.25" x14ac:dyDescent="0.2">
      <c r="A4972" s="18" t="str">
        <f t="shared" si="353"/>
        <v>Eintrag 4971</v>
      </c>
      <c r="B4972" s="18">
        <v>100</v>
      </c>
      <c r="C4972" s="19">
        <v>100</v>
      </c>
      <c r="D4972" s="20">
        <v>10</v>
      </c>
      <c r="E4972" s="20">
        <v>10</v>
      </c>
      <c r="F4972" s="20">
        <v>10</v>
      </c>
      <c r="G4972" s="19">
        <f t="shared" si="361"/>
        <v>172</v>
      </c>
      <c r="H4972" s="22">
        <f t="shared" si="363"/>
        <v>4971</v>
      </c>
      <c r="I4972" s="21">
        <f t="shared" ca="1" si="362"/>
        <v>0</v>
      </c>
      <c r="J4972" s="21" t="str">
        <f ca="1">IF(I4972=0,"",COUNTIF($I$2:I4972,"&gt;0"))</f>
        <v/>
      </c>
      <c r="K4972" s="21" t="str">
        <f t="shared" ca="1" si="360"/>
        <v/>
      </c>
    </row>
    <row r="4973" spans="1:11" s="18" customFormat="1" ht="14.25" x14ac:dyDescent="0.2">
      <c r="A4973" s="18" t="str">
        <f t="shared" si="353"/>
        <v>Eintrag 4972</v>
      </c>
      <c r="B4973" s="18">
        <v>100</v>
      </c>
      <c r="C4973" s="19">
        <v>100</v>
      </c>
      <c r="D4973" s="20">
        <v>10</v>
      </c>
      <c r="E4973" s="20">
        <v>10</v>
      </c>
      <c r="F4973" s="20">
        <v>10</v>
      </c>
      <c r="G4973" s="19">
        <f t="shared" si="361"/>
        <v>172</v>
      </c>
      <c r="H4973" s="22">
        <f t="shared" si="363"/>
        <v>4972</v>
      </c>
      <c r="I4973" s="21">
        <f t="shared" ca="1" si="362"/>
        <v>0</v>
      </c>
      <c r="J4973" s="21" t="str">
        <f ca="1">IF(I4973=0,"",COUNTIF($I$2:I4973,"&gt;0"))</f>
        <v/>
      </c>
      <c r="K4973" s="21" t="str">
        <f t="shared" ca="1" si="360"/>
        <v/>
      </c>
    </row>
    <row r="4974" spans="1:11" s="18" customFormat="1" ht="14.25" x14ac:dyDescent="0.2">
      <c r="A4974" s="18" t="str">
        <f t="shared" si="353"/>
        <v>Eintrag 4973</v>
      </c>
      <c r="B4974" s="18">
        <v>100</v>
      </c>
      <c r="C4974" s="19">
        <v>100</v>
      </c>
      <c r="D4974" s="20">
        <v>10</v>
      </c>
      <c r="E4974" s="20">
        <v>10</v>
      </c>
      <c r="F4974" s="20">
        <v>10</v>
      </c>
      <c r="G4974" s="19">
        <f t="shared" si="361"/>
        <v>172</v>
      </c>
      <c r="H4974" s="22">
        <f t="shared" si="363"/>
        <v>4973</v>
      </c>
      <c r="I4974" s="21">
        <f t="shared" ca="1" si="362"/>
        <v>0</v>
      </c>
      <c r="J4974" s="21" t="str">
        <f ca="1">IF(I4974=0,"",COUNTIF($I$2:I4974,"&gt;0"))</f>
        <v/>
      </c>
      <c r="K4974" s="21" t="str">
        <f t="shared" ca="1" si="360"/>
        <v/>
      </c>
    </row>
    <row r="4975" spans="1:11" s="18" customFormat="1" ht="14.25" x14ac:dyDescent="0.2">
      <c r="A4975" s="18" t="str">
        <f t="shared" si="353"/>
        <v>Eintrag 4974</v>
      </c>
      <c r="B4975" s="18">
        <v>100</v>
      </c>
      <c r="C4975" s="19">
        <v>100</v>
      </c>
      <c r="D4975" s="20">
        <v>10</v>
      </c>
      <c r="E4975" s="20">
        <v>10</v>
      </c>
      <c r="F4975" s="20">
        <v>10</v>
      </c>
      <c r="G4975" s="19">
        <f t="shared" si="361"/>
        <v>172</v>
      </c>
      <c r="H4975" s="22">
        <f t="shared" si="363"/>
        <v>4974</v>
      </c>
      <c r="I4975" s="21">
        <f t="shared" ca="1" si="362"/>
        <v>0</v>
      </c>
      <c r="J4975" s="21" t="str">
        <f ca="1">IF(I4975=0,"",COUNTIF($I$2:I4975,"&gt;0"))</f>
        <v/>
      </c>
      <c r="K4975" s="21" t="str">
        <f t="shared" ca="1" si="360"/>
        <v/>
      </c>
    </row>
    <row r="4976" spans="1:11" s="18" customFormat="1" ht="14.25" x14ac:dyDescent="0.2">
      <c r="A4976" s="18" t="str">
        <f t="shared" si="353"/>
        <v>Eintrag 4975</v>
      </c>
      <c r="B4976" s="18">
        <v>100</v>
      </c>
      <c r="C4976" s="19">
        <v>100</v>
      </c>
      <c r="D4976" s="20">
        <v>10</v>
      </c>
      <c r="E4976" s="20">
        <v>10</v>
      </c>
      <c r="F4976" s="20">
        <v>10</v>
      </c>
      <c r="G4976" s="19">
        <f t="shared" si="361"/>
        <v>172</v>
      </c>
      <c r="H4976" s="22">
        <f t="shared" si="363"/>
        <v>4975</v>
      </c>
      <c r="I4976" s="21">
        <f t="shared" ca="1" si="362"/>
        <v>0</v>
      </c>
      <c r="J4976" s="21" t="str">
        <f ca="1">IF(I4976=0,"",COUNTIF($I$2:I4976,"&gt;0"))</f>
        <v/>
      </c>
      <c r="K4976" s="21" t="str">
        <f t="shared" ca="1" si="360"/>
        <v/>
      </c>
    </row>
    <row r="4977" spans="1:11" s="18" customFormat="1" ht="14.25" x14ac:dyDescent="0.2">
      <c r="A4977" s="18" t="str">
        <f t="shared" si="353"/>
        <v>Eintrag 4976</v>
      </c>
      <c r="B4977" s="18">
        <v>100</v>
      </c>
      <c r="C4977" s="19">
        <v>100</v>
      </c>
      <c r="D4977" s="20">
        <v>10</v>
      </c>
      <c r="E4977" s="20">
        <v>10</v>
      </c>
      <c r="F4977" s="20">
        <v>10</v>
      </c>
      <c r="G4977" s="19">
        <f t="shared" si="361"/>
        <v>172</v>
      </c>
      <c r="H4977" s="22">
        <f t="shared" si="363"/>
        <v>4976</v>
      </c>
      <c r="I4977" s="21">
        <f t="shared" ca="1" si="362"/>
        <v>0</v>
      </c>
      <c r="J4977" s="21" t="str">
        <f ca="1">IF(I4977=0,"",COUNTIF($I$2:I4977,"&gt;0"))</f>
        <v/>
      </c>
      <c r="K4977" s="21" t="str">
        <f t="shared" ca="1" si="360"/>
        <v/>
      </c>
    </row>
    <row r="4978" spans="1:11" s="18" customFormat="1" ht="14.25" x14ac:dyDescent="0.2">
      <c r="A4978" s="18" t="str">
        <f t="shared" si="353"/>
        <v>Eintrag 4977</v>
      </c>
      <c r="B4978" s="18">
        <v>100</v>
      </c>
      <c r="C4978" s="19">
        <v>100</v>
      </c>
      <c r="D4978" s="20">
        <v>10</v>
      </c>
      <c r="E4978" s="20">
        <v>10</v>
      </c>
      <c r="F4978" s="20">
        <v>10</v>
      </c>
      <c r="G4978" s="19">
        <f t="shared" si="361"/>
        <v>172</v>
      </c>
      <c r="H4978" s="22">
        <f t="shared" si="363"/>
        <v>4977</v>
      </c>
      <c r="I4978" s="21">
        <f t="shared" ca="1" si="362"/>
        <v>0</v>
      </c>
      <c r="J4978" s="21" t="str">
        <f ca="1">IF(I4978=0,"",COUNTIF($I$2:I4978,"&gt;0"))</f>
        <v/>
      </c>
      <c r="K4978" s="21" t="str">
        <f t="shared" ca="1" si="360"/>
        <v/>
      </c>
    </row>
    <row r="4979" spans="1:11" s="18" customFormat="1" ht="14.25" x14ac:dyDescent="0.2">
      <c r="A4979" s="18" t="str">
        <f t="shared" si="353"/>
        <v>Eintrag 4978</v>
      </c>
      <c r="B4979" s="18">
        <v>100</v>
      </c>
      <c r="C4979" s="19">
        <v>100</v>
      </c>
      <c r="D4979" s="20">
        <v>10</v>
      </c>
      <c r="E4979" s="20">
        <v>10</v>
      </c>
      <c r="F4979" s="20">
        <v>10</v>
      </c>
      <c r="G4979" s="19">
        <f t="shared" si="361"/>
        <v>172</v>
      </c>
      <c r="H4979" s="22">
        <f t="shared" si="363"/>
        <v>4978</v>
      </c>
      <c r="I4979" s="21">
        <f t="shared" ca="1" si="362"/>
        <v>0</v>
      </c>
      <c r="J4979" s="21" t="str">
        <f ca="1">IF(I4979=0,"",COUNTIF($I$2:I4979,"&gt;0"))</f>
        <v/>
      </c>
      <c r="K4979" s="21" t="str">
        <f t="shared" ca="1" si="360"/>
        <v/>
      </c>
    </row>
    <row r="4980" spans="1:11" s="18" customFormat="1" ht="14.25" x14ac:dyDescent="0.2">
      <c r="A4980" s="18" t="str">
        <f t="shared" si="353"/>
        <v>Eintrag 4979</v>
      </c>
      <c r="B4980" s="18">
        <v>100</v>
      </c>
      <c r="C4980" s="19">
        <v>100</v>
      </c>
      <c r="D4980" s="20">
        <v>10</v>
      </c>
      <c r="E4980" s="20">
        <v>10</v>
      </c>
      <c r="F4980" s="20">
        <v>10</v>
      </c>
      <c r="G4980" s="19">
        <f t="shared" si="361"/>
        <v>172</v>
      </c>
      <c r="H4980" s="22">
        <f t="shared" si="363"/>
        <v>4979</v>
      </c>
      <c r="I4980" s="21">
        <f t="shared" ca="1" si="362"/>
        <v>0</v>
      </c>
      <c r="J4980" s="21" t="str">
        <f ca="1">IF(I4980=0,"",COUNTIF($I$2:I4980,"&gt;0"))</f>
        <v/>
      </c>
      <c r="K4980" s="21" t="str">
        <f t="shared" ca="1" si="360"/>
        <v/>
      </c>
    </row>
    <row r="4981" spans="1:11" s="18" customFormat="1" ht="14.25" x14ac:dyDescent="0.2">
      <c r="A4981" s="18" t="str">
        <f t="shared" si="353"/>
        <v>Eintrag 4980</v>
      </c>
      <c r="B4981" s="18">
        <v>100</v>
      </c>
      <c r="C4981" s="19">
        <v>100</v>
      </c>
      <c r="D4981" s="20">
        <v>10</v>
      </c>
      <c r="E4981" s="20">
        <v>10</v>
      </c>
      <c r="F4981" s="20">
        <v>10</v>
      </c>
      <c r="G4981" s="19">
        <f t="shared" si="361"/>
        <v>172</v>
      </c>
      <c r="H4981" s="22">
        <f t="shared" si="363"/>
        <v>4980</v>
      </c>
      <c r="I4981" s="21">
        <f t="shared" ca="1" si="362"/>
        <v>0</v>
      </c>
      <c r="J4981" s="21" t="str">
        <f ca="1">IF(I4981=0,"",COUNTIF($I$2:I4981,"&gt;0"))</f>
        <v/>
      </c>
      <c r="K4981" s="21" t="str">
        <f t="shared" ca="1" si="360"/>
        <v/>
      </c>
    </row>
    <row r="4982" spans="1:11" s="18" customFormat="1" ht="14.25" x14ac:dyDescent="0.2">
      <c r="A4982" s="18" t="str">
        <f t="shared" si="353"/>
        <v>Eintrag 4981</v>
      </c>
      <c r="B4982" s="18">
        <v>100</v>
      </c>
      <c r="C4982" s="19">
        <v>100</v>
      </c>
      <c r="D4982" s="20">
        <v>10</v>
      </c>
      <c r="E4982" s="20">
        <v>10</v>
      </c>
      <c r="F4982" s="20">
        <v>10</v>
      </c>
      <c r="G4982" s="19">
        <f t="shared" si="361"/>
        <v>172</v>
      </c>
      <c r="H4982" s="22">
        <f t="shared" si="363"/>
        <v>4981</v>
      </c>
      <c r="I4982" s="21">
        <f t="shared" ca="1" si="362"/>
        <v>0</v>
      </c>
      <c r="J4982" s="21" t="str">
        <f ca="1">IF(I4982=0,"",COUNTIF($I$2:I4982,"&gt;0"))</f>
        <v/>
      </c>
      <c r="K4982" s="21" t="str">
        <f t="shared" ca="1" si="360"/>
        <v/>
      </c>
    </row>
    <row r="4983" spans="1:11" s="18" customFormat="1" ht="14.25" x14ac:dyDescent="0.2">
      <c r="A4983" s="18" t="str">
        <f t="shared" si="353"/>
        <v>Eintrag 4982</v>
      </c>
      <c r="B4983" s="18">
        <v>100</v>
      </c>
      <c r="C4983" s="19">
        <v>100</v>
      </c>
      <c r="D4983" s="20">
        <v>10</v>
      </c>
      <c r="E4983" s="20">
        <v>10</v>
      </c>
      <c r="F4983" s="20">
        <v>10</v>
      </c>
      <c r="G4983" s="19">
        <f t="shared" si="361"/>
        <v>172</v>
      </c>
      <c r="H4983" s="22">
        <f t="shared" si="363"/>
        <v>4982</v>
      </c>
      <c r="I4983" s="21">
        <f t="shared" ca="1" si="362"/>
        <v>0</v>
      </c>
      <c r="J4983" s="21" t="str">
        <f ca="1">IF(I4983=0,"",COUNTIF($I$2:I4983,"&gt;0"))</f>
        <v/>
      </c>
      <c r="K4983" s="21" t="str">
        <f t="shared" ca="1" si="360"/>
        <v/>
      </c>
    </row>
    <row r="4984" spans="1:11" s="18" customFormat="1" ht="14.25" x14ac:dyDescent="0.2">
      <c r="A4984" s="18" t="str">
        <f t="shared" si="353"/>
        <v>Eintrag 4983</v>
      </c>
      <c r="B4984" s="18">
        <v>100</v>
      </c>
      <c r="C4984" s="19">
        <v>100</v>
      </c>
      <c r="D4984" s="20">
        <v>10</v>
      </c>
      <c r="E4984" s="20">
        <v>10</v>
      </c>
      <c r="F4984" s="20">
        <v>10</v>
      </c>
      <c r="G4984" s="19">
        <f t="shared" si="361"/>
        <v>172</v>
      </c>
      <c r="H4984" s="22">
        <f t="shared" si="363"/>
        <v>4983</v>
      </c>
      <c r="I4984" s="21">
        <f t="shared" ca="1" si="362"/>
        <v>0</v>
      </c>
      <c r="J4984" s="21" t="str">
        <f ca="1">IF(I4984=0,"",COUNTIF($I$2:I4984,"&gt;0"))</f>
        <v/>
      </c>
      <c r="K4984" s="21" t="str">
        <f t="shared" ca="1" si="360"/>
        <v/>
      </c>
    </row>
    <row r="4985" spans="1:11" s="18" customFormat="1" ht="14.25" x14ac:dyDescent="0.2">
      <c r="A4985" s="18" t="str">
        <f t="shared" ref="A4985:A4992" si="364">CONCATENATE("Eintrag ",H4985)</f>
        <v>Eintrag 4984</v>
      </c>
      <c r="B4985" s="18">
        <v>100</v>
      </c>
      <c r="C4985" s="19">
        <v>100</v>
      </c>
      <c r="D4985" s="20">
        <v>10</v>
      </c>
      <c r="E4985" s="20">
        <v>10</v>
      </c>
      <c r="F4985" s="20">
        <v>10</v>
      </c>
      <c r="G4985" s="19">
        <f t="shared" si="361"/>
        <v>172</v>
      </c>
      <c r="H4985" s="22">
        <f t="shared" si="363"/>
        <v>4984</v>
      </c>
      <c r="I4985" s="21">
        <f t="shared" ca="1" si="362"/>
        <v>0</v>
      </c>
      <c r="J4985" s="21" t="str">
        <f ca="1">IF(I4985=0,"",COUNTIF($I$2:I4985,"&gt;0"))</f>
        <v/>
      </c>
      <c r="K4985" s="21" t="str">
        <f t="shared" ca="1" si="360"/>
        <v/>
      </c>
    </row>
    <row r="4986" spans="1:11" s="18" customFormat="1" ht="14.25" x14ac:dyDescent="0.2">
      <c r="A4986" s="18" t="str">
        <f t="shared" si="364"/>
        <v>Eintrag 4985</v>
      </c>
      <c r="B4986" s="18">
        <v>100</v>
      </c>
      <c r="C4986" s="19">
        <v>100</v>
      </c>
      <c r="D4986" s="20">
        <v>10</v>
      </c>
      <c r="E4986" s="20">
        <v>10</v>
      </c>
      <c r="F4986" s="20">
        <v>10</v>
      </c>
      <c r="G4986" s="19">
        <f t="shared" si="361"/>
        <v>172</v>
      </c>
      <c r="H4986" s="22">
        <f t="shared" si="363"/>
        <v>4985</v>
      </c>
      <c r="I4986" s="21">
        <f t="shared" ca="1" si="362"/>
        <v>0</v>
      </c>
      <c r="J4986" s="21" t="str">
        <f ca="1">IF(I4986=0,"",COUNTIF($I$2:I4986,"&gt;0"))</f>
        <v/>
      </c>
      <c r="K4986" s="21" t="str">
        <f t="shared" ca="1" si="360"/>
        <v/>
      </c>
    </row>
    <row r="4987" spans="1:11" s="18" customFormat="1" ht="14.25" x14ac:dyDescent="0.2">
      <c r="A4987" s="18" t="str">
        <f t="shared" si="364"/>
        <v>Eintrag 4986</v>
      </c>
      <c r="B4987" s="18">
        <v>100</v>
      </c>
      <c r="C4987" s="19">
        <v>100</v>
      </c>
      <c r="D4987" s="20">
        <v>10</v>
      </c>
      <c r="E4987" s="20">
        <v>10</v>
      </c>
      <c r="F4987" s="20">
        <v>10</v>
      </c>
      <c r="G4987" s="19">
        <f t="shared" si="361"/>
        <v>172</v>
      </c>
      <c r="H4987" s="22">
        <f t="shared" si="363"/>
        <v>4986</v>
      </c>
      <c r="I4987" s="21">
        <f t="shared" ca="1" si="362"/>
        <v>0</v>
      </c>
      <c r="J4987" s="21" t="str">
        <f ca="1">IF(I4987=0,"",COUNTIF($I$2:I4987,"&gt;0"))</f>
        <v/>
      </c>
      <c r="K4987" s="21" t="str">
        <f t="shared" ca="1" si="360"/>
        <v/>
      </c>
    </row>
    <row r="4988" spans="1:11" s="18" customFormat="1" ht="14.25" x14ac:dyDescent="0.2">
      <c r="A4988" s="18" t="str">
        <f t="shared" si="364"/>
        <v>Eintrag 4987</v>
      </c>
      <c r="B4988" s="18">
        <v>100</v>
      </c>
      <c r="C4988" s="19">
        <v>100</v>
      </c>
      <c r="D4988" s="20">
        <v>10</v>
      </c>
      <c r="E4988" s="20">
        <v>10</v>
      </c>
      <c r="F4988" s="20">
        <v>10</v>
      </c>
      <c r="G4988" s="19">
        <f t="shared" si="361"/>
        <v>172</v>
      </c>
      <c r="H4988" s="22">
        <f t="shared" si="363"/>
        <v>4987</v>
      </c>
      <c r="I4988" s="21">
        <f t="shared" ca="1" si="362"/>
        <v>0</v>
      </c>
      <c r="J4988" s="21" t="str">
        <f ca="1">IF(I4988=0,"",COUNTIF($I$2:I4988,"&gt;0"))</f>
        <v/>
      </c>
      <c r="K4988" s="21" t="str">
        <f t="shared" ca="1" si="360"/>
        <v/>
      </c>
    </row>
    <row r="4989" spans="1:11" s="18" customFormat="1" ht="14.25" x14ac:dyDescent="0.2">
      <c r="A4989" s="18" t="str">
        <f t="shared" si="364"/>
        <v>Eintrag 4988</v>
      </c>
      <c r="B4989" s="18">
        <v>100</v>
      </c>
      <c r="C4989" s="19">
        <v>100</v>
      </c>
      <c r="D4989" s="20">
        <v>10</v>
      </c>
      <c r="E4989" s="20">
        <v>10</v>
      </c>
      <c r="F4989" s="20">
        <v>10</v>
      </c>
      <c r="G4989" s="19">
        <f t="shared" si="361"/>
        <v>172</v>
      </c>
      <c r="H4989" s="22">
        <f t="shared" si="363"/>
        <v>4988</v>
      </c>
      <c r="I4989" s="21">
        <f t="shared" ca="1" si="362"/>
        <v>0</v>
      </c>
      <c r="J4989" s="21" t="str">
        <f ca="1">IF(I4989=0,"",COUNTIF($I$2:I4989,"&gt;0"))</f>
        <v/>
      </c>
      <c r="K4989" s="21" t="str">
        <f t="shared" ca="1" si="360"/>
        <v/>
      </c>
    </row>
    <row r="4990" spans="1:11" s="18" customFormat="1" ht="14.25" x14ac:dyDescent="0.2">
      <c r="A4990" s="18" t="str">
        <f t="shared" si="364"/>
        <v>Eintrag 4989</v>
      </c>
      <c r="B4990" s="18">
        <v>100</v>
      </c>
      <c r="C4990" s="19">
        <v>100</v>
      </c>
      <c r="D4990" s="20">
        <v>10</v>
      </c>
      <c r="E4990" s="20">
        <v>10</v>
      </c>
      <c r="F4990" s="20">
        <v>10</v>
      </c>
      <c r="G4990" s="19">
        <f t="shared" si="361"/>
        <v>172</v>
      </c>
      <c r="H4990" s="22">
        <f t="shared" si="363"/>
        <v>4989</v>
      </c>
      <c r="I4990" s="21">
        <f t="shared" ca="1" si="362"/>
        <v>0</v>
      </c>
      <c r="J4990" s="21" t="str">
        <f ca="1">IF(I4990=0,"",COUNTIF($I$2:I4990,"&gt;0"))</f>
        <v/>
      </c>
      <c r="K4990" s="21" t="str">
        <f t="shared" ca="1" si="360"/>
        <v/>
      </c>
    </row>
    <row r="4991" spans="1:11" s="18" customFormat="1" ht="14.25" x14ac:dyDescent="0.2">
      <c r="A4991" s="18" t="str">
        <f t="shared" si="364"/>
        <v>Eintrag 4990</v>
      </c>
      <c r="B4991" s="18">
        <v>100</v>
      </c>
      <c r="C4991" s="19">
        <v>100</v>
      </c>
      <c r="D4991" s="20">
        <v>10</v>
      </c>
      <c r="E4991" s="20">
        <v>10</v>
      </c>
      <c r="F4991" s="20">
        <v>10</v>
      </c>
      <c r="G4991" s="19">
        <f t="shared" si="361"/>
        <v>172</v>
      </c>
      <c r="H4991" s="22">
        <f t="shared" si="363"/>
        <v>4990</v>
      </c>
      <c r="I4991" s="21">
        <f t="shared" ca="1" si="362"/>
        <v>0</v>
      </c>
      <c r="J4991" s="21" t="str">
        <f ca="1">IF(I4991=0,"",COUNTIF($I$2:I4991,"&gt;0"))</f>
        <v/>
      </c>
      <c r="K4991" s="21" t="str">
        <f t="shared" ca="1" si="360"/>
        <v/>
      </c>
    </row>
    <row r="4992" spans="1:11" s="18" customFormat="1" ht="14.25" x14ac:dyDescent="0.2">
      <c r="A4992" s="18" t="str">
        <f t="shared" si="364"/>
        <v>Eintrag 4991</v>
      </c>
      <c r="B4992" s="18">
        <v>100</v>
      </c>
      <c r="C4992" s="19">
        <v>100</v>
      </c>
      <c r="D4992" s="20">
        <v>10</v>
      </c>
      <c r="E4992" s="20">
        <v>10</v>
      </c>
      <c r="F4992" s="20">
        <v>10</v>
      </c>
      <c r="G4992" s="19">
        <f t="shared" si="361"/>
        <v>172</v>
      </c>
      <c r="H4992" s="22">
        <f t="shared" si="363"/>
        <v>4991</v>
      </c>
      <c r="I4992" s="21">
        <f t="shared" ca="1" si="362"/>
        <v>0</v>
      </c>
      <c r="J4992" s="21" t="str">
        <f ca="1">IF(I4992=0,"",COUNTIF($I$2:I4992,"&gt;0"))</f>
        <v/>
      </c>
      <c r="K4992" s="21" t="str">
        <f t="shared" ca="1" si="360"/>
        <v/>
      </c>
    </row>
    <row r="4993" spans="1:11" s="18" customFormat="1" ht="14.25" x14ac:dyDescent="0.2">
      <c r="A4993" s="18" t="str">
        <f t="shared" ref="A4993:A5001" si="365">CONCATENATE("Eintrag ",H4993)</f>
        <v>Eintrag 4992</v>
      </c>
      <c r="B4993" s="18">
        <v>100</v>
      </c>
      <c r="C4993" s="19">
        <v>100</v>
      </c>
      <c r="D4993" s="20">
        <v>10</v>
      </c>
      <c r="E4993" s="20">
        <v>10</v>
      </c>
      <c r="F4993" s="20">
        <v>10</v>
      </c>
      <c r="G4993" s="19">
        <f t="shared" ref="G4993:G5001" si="366">D4993*9+E4993*4.1+F4993*4.1</f>
        <v>172</v>
      </c>
      <c r="H4993" s="22">
        <f t="shared" si="363"/>
        <v>4992</v>
      </c>
      <c r="I4993" s="21">
        <f t="shared" ref="I4993:I5001" ca="1" si="367">IFERROR(SEARCH(INDIRECT(CELL("address")),A4993),0)</f>
        <v>0</v>
      </c>
      <c r="J4993" s="21" t="str">
        <f ca="1">IF(I4993=0,"",COUNTIF($I$2:I4993,"&gt;0"))</f>
        <v/>
      </c>
      <c r="K4993" s="21" t="str">
        <f t="shared" ref="K4993:K5001" ca="1" si="368">IFERROR(INDEX(A:A,MATCH(ROW(I4992),J:J,0)),"")</f>
        <v/>
      </c>
    </row>
    <row r="4994" spans="1:11" s="18" customFormat="1" ht="14.25" x14ac:dyDescent="0.2">
      <c r="A4994" s="18" t="str">
        <f t="shared" si="365"/>
        <v>Eintrag 4993</v>
      </c>
      <c r="B4994" s="18">
        <v>100</v>
      </c>
      <c r="C4994" s="19">
        <v>100</v>
      </c>
      <c r="D4994" s="20">
        <v>10</v>
      </c>
      <c r="E4994" s="20">
        <v>10</v>
      </c>
      <c r="F4994" s="20">
        <v>10</v>
      </c>
      <c r="G4994" s="19">
        <f t="shared" si="366"/>
        <v>172</v>
      </c>
      <c r="H4994" s="22">
        <f t="shared" si="363"/>
        <v>4993</v>
      </c>
      <c r="I4994" s="21">
        <f t="shared" ca="1" si="367"/>
        <v>0</v>
      </c>
      <c r="J4994" s="21" t="str">
        <f ca="1">IF(I4994=0,"",COUNTIF($I$2:I4994,"&gt;0"))</f>
        <v/>
      </c>
      <c r="K4994" s="21" t="str">
        <f t="shared" ca="1" si="368"/>
        <v/>
      </c>
    </row>
    <row r="4995" spans="1:11" s="18" customFormat="1" ht="14.25" x14ac:dyDescent="0.2">
      <c r="A4995" s="18" t="str">
        <f t="shared" si="365"/>
        <v>Eintrag 4994</v>
      </c>
      <c r="B4995" s="18">
        <v>100</v>
      </c>
      <c r="C4995" s="19">
        <v>100</v>
      </c>
      <c r="D4995" s="20">
        <v>10</v>
      </c>
      <c r="E4995" s="20">
        <v>10</v>
      </c>
      <c r="F4995" s="20">
        <v>10</v>
      </c>
      <c r="G4995" s="19">
        <f t="shared" si="366"/>
        <v>172</v>
      </c>
      <c r="H4995" s="22">
        <f t="shared" si="363"/>
        <v>4994</v>
      </c>
      <c r="I4995" s="21">
        <f t="shared" ca="1" si="367"/>
        <v>0</v>
      </c>
      <c r="J4995" s="21" t="str">
        <f ca="1">IF(I4995=0,"",COUNTIF($I$2:I4995,"&gt;0"))</f>
        <v/>
      </c>
      <c r="K4995" s="21" t="str">
        <f t="shared" ca="1" si="368"/>
        <v/>
      </c>
    </row>
    <row r="4996" spans="1:11" s="18" customFormat="1" ht="14.25" x14ac:dyDescent="0.2">
      <c r="A4996" s="18" t="str">
        <f t="shared" si="365"/>
        <v>Eintrag 4995</v>
      </c>
      <c r="B4996" s="18">
        <v>100</v>
      </c>
      <c r="C4996" s="19">
        <v>100</v>
      </c>
      <c r="D4996" s="20">
        <v>10</v>
      </c>
      <c r="E4996" s="20">
        <v>10</v>
      </c>
      <c r="F4996" s="20">
        <v>10</v>
      </c>
      <c r="G4996" s="19">
        <f t="shared" si="366"/>
        <v>172</v>
      </c>
      <c r="H4996" s="22">
        <f t="shared" si="363"/>
        <v>4995</v>
      </c>
      <c r="I4996" s="21">
        <f t="shared" ca="1" si="367"/>
        <v>0</v>
      </c>
      <c r="J4996" s="21" t="str">
        <f ca="1">IF(I4996=0,"",COUNTIF($I$2:I4996,"&gt;0"))</f>
        <v/>
      </c>
      <c r="K4996" s="21" t="str">
        <f t="shared" ca="1" si="368"/>
        <v/>
      </c>
    </row>
    <row r="4997" spans="1:11" s="18" customFormat="1" ht="14.25" x14ac:dyDescent="0.2">
      <c r="A4997" s="18" t="str">
        <f t="shared" si="365"/>
        <v>Eintrag 4996</v>
      </c>
      <c r="B4997" s="18">
        <v>100</v>
      </c>
      <c r="C4997" s="19">
        <v>100</v>
      </c>
      <c r="D4997" s="20">
        <v>10</v>
      </c>
      <c r="E4997" s="20">
        <v>10</v>
      </c>
      <c r="F4997" s="20">
        <v>10</v>
      </c>
      <c r="G4997" s="19">
        <f t="shared" si="366"/>
        <v>172</v>
      </c>
      <c r="H4997" s="22">
        <f t="shared" si="363"/>
        <v>4996</v>
      </c>
      <c r="I4997" s="21">
        <f t="shared" ca="1" si="367"/>
        <v>0</v>
      </c>
      <c r="J4997" s="21" t="str">
        <f ca="1">IF(I4997=0,"",COUNTIF($I$2:I4997,"&gt;0"))</f>
        <v/>
      </c>
      <c r="K4997" s="21" t="str">
        <f t="shared" ca="1" si="368"/>
        <v/>
      </c>
    </row>
    <row r="4998" spans="1:11" s="18" customFormat="1" ht="14.25" x14ac:dyDescent="0.2">
      <c r="A4998" s="18" t="str">
        <f t="shared" si="365"/>
        <v>Eintrag 4997</v>
      </c>
      <c r="B4998" s="18">
        <v>100</v>
      </c>
      <c r="C4998" s="19">
        <v>100</v>
      </c>
      <c r="D4998" s="20">
        <v>10</v>
      </c>
      <c r="E4998" s="20">
        <v>10</v>
      </c>
      <c r="F4998" s="20">
        <v>10</v>
      </c>
      <c r="G4998" s="19">
        <f t="shared" si="366"/>
        <v>172</v>
      </c>
      <c r="H4998" s="22">
        <f t="shared" si="363"/>
        <v>4997</v>
      </c>
      <c r="I4998" s="21">
        <f t="shared" ca="1" si="367"/>
        <v>0</v>
      </c>
      <c r="J4998" s="21" t="str">
        <f ca="1">IF(I4998=0,"",COUNTIF($I$2:I4998,"&gt;0"))</f>
        <v/>
      </c>
      <c r="K4998" s="21" t="str">
        <f t="shared" ca="1" si="368"/>
        <v/>
      </c>
    </row>
    <row r="4999" spans="1:11" s="18" customFormat="1" ht="14.25" x14ac:dyDescent="0.2">
      <c r="A4999" s="18" t="str">
        <f t="shared" si="365"/>
        <v>Eintrag 4998</v>
      </c>
      <c r="B4999" s="18">
        <v>100</v>
      </c>
      <c r="C4999" s="19">
        <v>100</v>
      </c>
      <c r="D4999" s="20">
        <v>10</v>
      </c>
      <c r="E4999" s="20">
        <v>10</v>
      </c>
      <c r="F4999" s="20">
        <v>10</v>
      </c>
      <c r="G4999" s="19">
        <f t="shared" si="366"/>
        <v>172</v>
      </c>
      <c r="H4999" s="22">
        <f t="shared" si="363"/>
        <v>4998</v>
      </c>
      <c r="I4999" s="21">
        <f t="shared" ca="1" si="367"/>
        <v>0</v>
      </c>
      <c r="J4999" s="21" t="str">
        <f ca="1">IF(I4999=0,"",COUNTIF($I$2:I4999,"&gt;0"))</f>
        <v/>
      </c>
      <c r="K4999" s="21" t="str">
        <f t="shared" ca="1" si="368"/>
        <v/>
      </c>
    </row>
    <row r="5000" spans="1:11" s="18" customFormat="1" ht="14.25" x14ac:dyDescent="0.2">
      <c r="A5000" s="18" t="str">
        <f t="shared" si="365"/>
        <v>Eintrag 4999</v>
      </c>
      <c r="B5000" s="18">
        <v>100</v>
      </c>
      <c r="C5000" s="19">
        <v>100</v>
      </c>
      <c r="D5000" s="20">
        <v>10</v>
      </c>
      <c r="E5000" s="20">
        <v>10</v>
      </c>
      <c r="F5000" s="20">
        <v>10</v>
      </c>
      <c r="G5000" s="19">
        <f t="shared" si="366"/>
        <v>172</v>
      </c>
      <c r="H5000" s="22">
        <f t="shared" si="363"/>
        <v>4999</v>
      </c>
      <c r="I5000" s="21">
        <f t="shared" ca="1" si="367"/>
        <v>0</v>
      </c>
      <c r="J5000" s="21" t="str">
        <f ca="1">IF(I5000=0,"",COUNTIF($I$2:I5000,"&gt;0"))</f>
        <v/>
      </c>
      <c r="K5000" s="21" t="str">
        <f t="shared" ca="1" si="368"/>
        <v/>
      </c>
    </row>
    <row r="5001" spans="1:11" s="18" customFormat="1" ht="14.25" x14ac:dyDescent="0.2">
      <c r="A5001" s="18" t="str">
        <f t="shared" si="365"/>
        <v>Eintrag 5000</v>
      </c>
      <c r="B5001" s="18">
        <v>100</v>
      </c>
      <c r="C5001" s="19">
        <v>100</v>
      </c>
      <c r="D5001" s="20">
        <v>10</v>
      </c>
      <c r="E5001" s="20">
        <v>10</v>
      </c>
      <c r="F5001" s="20">
        <v>10</v>
      </c>
      <c r="G5001" s="19">
        <f t="shared" si="366"/>
        <v>172</v>
      </c>
      <c r="H5001" s="22">
        <f t="shared" si="363"/>
        <v>5000</v>
      </c>
      <c r="I5001" s="21">
        <f t="shared" ca="1" si="367"/>
        <v>0</v>
      </c>
      <c r="J5001" s="21" t="str">
        <f ca="1">IF(I5001=0,"",COUNTIF($I$2:I5001,"&gt;0"))</f>
        <v/>
      </c>
      <c r="K5001" s="21" t="str">
        <f t="shared" ca="1" si="368"/>
        <v/>
      </c>
    </row>
    <row r="5002" spans="1:11" x14ac:dyDescent="0.25">
      <c r="C5002" s="12"/>
      <c r="D5002" s="13"/>
      <c r="E5002" s="13"/>
      <c r="F5002" s="13"/>
      <c r="G5002" s="12"/>
      <c r="H5002" s="11"/>
    </row>
    <row r="5003" spans="1:11" x14ac:dyDescent="0.25">
      <c r="C5003" s="12"/>
      <c r="D5003" s="13"/>
      <c r="E5003" s="13"/>
      <c r="F5003" s="13"/>
      <c r="G5003" s="12"/>
      <c r="H5003" s="11"/>
    </row>
    <row r="5004" spans="1:11" x14ac:dyDescent="0.25">
      <c r="C5004" s="12"/>
      <c r="D5004" s="13"/>
      <c r="E5004" s="13"/>
      <c r="F5004" s="13"/>
      <c r="G5004" s="12"/>
      <c r="H5004" s="11"/>
    </row>
    <row r="5005" spans="1:11" x14ac:dyDescent="0.25">
      <c r="C5005" s="12"/>
      <c r="D5005" s="13"/>
      <c r="E5005" s="13"/>
      <c r="F5005" s="13"/>
      <c r="G5005" s="12"/>
      <c r="H5005" s="11"/>
    </row>
    <row r="5006" spans="1:11" x14ac:dyDescent="0.25">
      <c r="C5006" s="12"/>
      <c r="D5006" s="13"/>
      <c r="E5006" s="13"/>
      <c r="F5006" s="13"/>
      <c r="G5006" s="12"/>
      <c r="H5006" s="11"/>
    </row>
    <row r="5007" spans="1:11" x14ac:dyDescent="0.25">
      <c r="C5007" s="12"/>
      <c r="D5007" s="13"/>
      <c r="E5007" s="13"/>
      <c r="F5007" s="13"/>
      <c r="G5007" s="12"/>
      <c r="H5007" s="11"/>
    </row>
    <row r="5008" spans="1:11" x14ac:dyDescent="0.25">
      <c r="C5008" s="12"/>
      <c r="D5008" s="13"/>
      <c r="E5008" s="13"/>
      <c r="F5008" s="13"/>
      <c r="G5008" s="12"/>
      <c r="H5008" s="11"/>
    </row>
    <row r="5009" spans="3:8" x14ac:dyDescent="0.25">
      <c r="C5009" s="12"/>
      <c r="D5009" s="13"/>
      <c r="E5009" s="13"/>
      <c r="F5009" s="13"/>
      <c r="G5009" s="12"/>
      <c r="H5009" s="11"/>
    </row>
    <row r="5010" spans="3:8" x14ac:dyDescent="0.25">
      <c r="C5010" s="12"/>
      <c r="D5010" s="13"/>
      <c r="E5010" s="13"/>
      <c r="F5010" s="13"/>
      <c r="G5010" s="12"/>
      <c r="H5010" s="11"/>
    </row>
    <row r="5011" spans="3:8" x14ac:dyDescent="0.25">
      <c r="C5011" s="12"/>
      <c r="D5011" s="13"/>
      <c r="E5011" s="13"/>
      <c r="F5011" s="13"/>
      <c r="G5011" s="12"/>
      <c r="H5011" s="11"/>
    </row>
    <row r="5012" spans="3:8" x14ac:dyDescent="0.25">
      <c r="C5012" s="12"/>
      <c r="D5012" s="13"/>
      <c r="E5012" s="13"/>
      <c r="F5012" s="13"/>
      <c r="G5012" s="12"/>
      <c r="H5012" s="11"/>
    </row>
    <row r="5013" spans="3:8" x14ac:dyDescent="0.25">
      <c r="C5013" s="12"/>
      <c r="D5013" s="13"/>
      <c r="E5013" s="13"/>
      <c r="F5013" s="13"/>
      <c r="G5013" s="12"/>
      <c r="H5013" s="11"/>
    </row>
    <row r="5014" spans="3:8" x14ac:dyDescent="0.25">
      <c r="C5014" s="12"/>
      <c r="D5014" s="13"/>
      <c r="E5014" s="13"/>
      <c r="F5014" s="13"/>
      <c r="G5014" s="12"/>
      <c r="H5014" s="11"/>
    </row>
    <row r="5015" spans="3:8" x14ac:dyDescent="0.25">
      <c r="C5015" s="12"/>
      <c r="D5015" s="13"/>
      <c r="E5015" s="13"/>
      <c r="F5015" s="13"/>
      <c r="G5015" s="12"/>
      <c r="H5015" s="11"/>
    </row>
    <row r="5016" spans="3:8" x14ac:dyDescent="0.25">
      <c r="C5016" s="12"/>
      <c r="D5016" s="13"/>
      <c r="E5016" s="13"/>
      <c r="F5016" s="13"/>
      <c r="G5016" s="12"/>
      <c r="H5016" s="11"/>
    </row>
    <row r="5017" spans="3:8" x14ac:dyDescent="0.25">
      <c r="C5017" s="12"/>
      <c r="D5017" s="13"/>
      <c r="E5017" s="13"/>
      <c r="F5017" s="13"/>
      <c r="G5017" s="12"/>
      <c r="H5017" s="11"/>
    </row>
    <row r="5018" spans="3:8" x14ac:dyDescent="0.25">
      <c r="C5018" s="12"/>
      <c r="D5018" s="13"/>
      <c r="E5018" s="13"/>
      <c r="F5018" s="13"/>
      <c r="G5018" s="12"/>
      <c r="H5018" s="11"/>
    </row>
    <row r="5019" spans="3:8" x14ac:dyDescent="0.25">
      <c r="C5019" s="12"/>
      <c r="D5019" s="13"/>
      <c r="E5019" s="13"/>
      <c r="F5019" s="13"/>
      <c r="G5019" s="12"/>
      <c r="H5019" s="11"/>
    </row>
    <row r="5020" spans="3:8" x14ac:dyDescent="0.25">
      <c r="C5020" s="12"/>
      <c r="D5020" s="13"/>
      <c r="E5020" s="13"/>
      <c r="F5020" s="13"/>
      <c r="G5020" s="12"/>
      <c r="H5020" s="11"/>
    </row>
    <row r="5021" spans="3:8" x14ac:dyDescent="0.25">
      <c r="C5021" s="12"/>
      <c r="D5021" s="13"/>
      <c r="E5021" s="13"/>
      <c r="F5021" s="13"/>
      <c r="G5021" s="12"/>
      <c r="H5021" s="11"/>
    </row>
    <row r="5022" spans="3:8" x14ac:dyDescent="0.25">
      <c r="C5022" s="12"/>
      <c r="D5022" s="13"/>
      <c r="E5022" s="13"/>
      <c r="F5022" s="13"/>
      <c r="G5022" s="12"/>
      <c r="H5022" s="11"/>
    </row>
    <row r="5023" spans="3:8" x14ac:dyDescent="0.25">
      <c r="C5023" s="12"/>
      <c r="D5023" s="13"/>
      <c r="E5023" s="13"/>
      <c r="F5023" s="13"/>
      <c r="G5023" s="12"/>
      <c r="H5023" s="11"/>
    </row>
    <row r="5024" spans="3:8" x14ac:dyDescent="0.25">
      <c r="C5024" s="12"/>
      <c r="D5024" s="13"/>
      <c r="E5024" s="13"/>
      <c r="F5024" s="13"/>
      <c r="G5024" s="12"/>
      <c r="H5024" s="11"/>
    </row>
    <row r="5025" spans="3:8" x14ac:dyDescent="0.25">
      <c r="C5025" s="12"/>
      <c r="D5025" s="13"/>
      <c r="E5025" s="13"/>
      <c r="F5025" s="13"/>
      <c r="G5025" s="12"/>
      <c r="H5025" s="11"/>
    </row>
    <row r="5026" spans="3:8" x14ac:dyDescent="0.25">
      <c r="C5026" s="12"/>
      <c r="D5026" s="13"/>
      <c r="E5026" s="13"/>
      <c r="F5026" s="13"/>
      <c r="G5026" s="12"/>
      <c r="H5026" s="11"/>
    </row>
    <row r="5027" spans="3:8" x14ac:dyDescent="0.25">
      <c r="C5027" s="12"/>
      <c r="D5027" s="13"/>
      <c r="E5027" s="13"/>
      <c r="F5027" s="13"/>
      <c r="G5027" s="12"/>
      <c r="H5027" s="11"/>
    </row>
    <row r="5028" spans="3:8" x14ac:dyDescent="0.25">
      <c r="C5028" s="12"/>
      <c r="D5028" s="13"/>
      <c r="E5028" s="13"/>
      <c r="F5028" s="13"/>
      <c r="G5028" s="12"/>
      <c r="H5028" s="11"/>
    </row>
    <row r="5029" spans="3:8" x14ac:dyDescent="0.25">
      <c r="C5029" s="12"/>
      <c r="D5029" s="13"/>
      <c r="E5029" s="13"/>
      <c r="F5029" s="13"/>
      <c r="G5029" s="12"/>
      <c r="H5029" s="11"/>
    </row>
    <row r="5030" spans="3:8" x14ac:dyDescent="0.25">
      <c r="C5030" s="12"/>
      <c r="D5030" s="13"/>
      <c r="E5030" s="13"/>
      <c r="F5030" s="13"/>
      <c r="G5030" s="12"/>
      <c r="H5030" s="11"/>
    </row>
    <row r="5031" spans="3:8" x14ac:dyDescent="0.25">
      <c r="C5031" s="12"/>
      <c r="D5031" s="13"/>
      <c r="E5031" s="13"/>
      <c r="F5031" s="13"/>
      <c r="G5031" s="12"/>
      <c r="H5031" s="11"/>
    </row>
    <row r="5032" spans="3:8" x14ac:dyDescent="0.25">
      <c r="C5032" s="12"/>
      <c r="D5032" s="13"/>
      <c r="E5032" s="13"/>
      <c r="F5032" s="13"/>
      <c r="G5032" s="12"/>
      <c r="H5032" s="11"/>
    </row>
    <row r="5033" spans="3:8" x14ac:dyDescent="0.25">
      <c r="C5033" s="12"/>
      <c r="D5033" s="13"/>
      <c r="E5033" s="13"/>
      <c r="F5033" s="13"/>
      <c r="G5033" s="12"/>
      <c r="H5033" s="11"/>
    </row>
    <row r="5034" spans="3:8" x14ac:dyDescent="0.25">
      <c r="C5034" s="12"/>
      <c r="D5034" s="13"/>
      <c r="E5034" s="13"/>
      <c r="F5034" s="13"/>
      <c r="G5034" s="12"/>
      <c r="H5034" s="11"/>
    </row>
    <row r="5035" spans="3:8" x14ac:dyDescent="0.25">
      <c r="C5035" s="12"/>
      <c r="D5035" s="13"/>
      <c r="E5035" s="13"/>
      <c r="F5035" s="13"/>
      <c r="G5035" s="12"/>
      <c r="H5035" s="11"/>
    </row>
    <row r="5036" spans="3:8" x14ac:dyDescent="0.25">
      <c r="C5036" s="12"/>
      <c r="D5036" s="13"/>
      <c r="E5036" s="13"/>
      <c r="F5036" s="13"/>
      <c r="G5036" s="12"/>
      <c r="H5036" s="11"/>
    </row>
    <row r="5037" spans="3:8" x14ac:dyDescent="0.25">
      <c r="C5037" s="12"/>
      <c r="D5037" s="13"/>
      <c r="E5037" s="13"/>
      <c r="F5037" s="13"/>
      <c r="G5037" s="12"/>
      <c r="H5037" s="11"/>
    </row>
    <row r="5038" spans="3:8" x14ac:dyDescent="0.25">
      <c r="C5038" s="12"/>
      <c r="D5038" s="13"/>
      <c r="E5038" s="13"/>
      <c r="F5038" s="13"/>
      <c r="G5038" s="12"/>
      <c r="H5038" s="11"/>
    </row>
    <row r="5039" spans="3:8" x14ac:dyDescent="0.25">
      <c r="C5039" s="12"/>
      <c r="D5039" s="13"/>
      <c r="E5039" s="13"/>
      <c r="F5039" s="13"/>
      <c r="G5039" s="12"/>
      <c r="H5039" s="11"/>
    </row>
    <row r="5040" spans="3:8" x14ac:dyDescent="0.25">
      <c r="C5040" s="12"/>
      <c r="D5040" s="13"/>
      <c r="E5040" s="13"/>
      <c r="F5040" s="13"/>
      <c r="G5040" s="12"/>
      <c r="H5040" s="11"/>
    </row>
    <row r="5041" spans="3:8" x14ac:dyDescent="0.25">
      <c r="C5041" s="12"/>
      <c r="D5041" s="13"/>
      <c r="E5041" s="13"/>
      <c r="F5041" s="13"/>
      <c r="G5041" s="12"/>
      <c r="H5041" s="11"/>
    </row>
    <row r="5042" spans="3:8" x14ac:dyDescent="0.25">
      <c r="C5042" s="12"/>
      <c r="D5042" s="13"/>
      <c r="E5042" s="13"/>
      <c r="F5042" s="13"/>
      <c r="G5042" s="12"/>
      <c r="H5042" s="11"/>
    </row>
    <row r="5043" spans="3:8" x14ac:dyDescent="0.25">
      <c r="C5043" s="12"/>
      <c r="D5043" s="13"/>
      <c r="E5043" s="13"/>
      <c r="F5043" s="13"/>
      <c r="G5043" s="12"/>
      <c r="H5043" s="11"/>
    </row>
    <row r="5044" spans="3:8" x14ac:dyDescent="0.25">
      <c r="C5044" s="12"/>
      <c r="D5044" s="13"/>
      <c r="E5044" s="13"/>
      <c r="F5044" s="13"/>
      <c r="G5044" s="12"/>
      <c r="H5044" s="11"/>
    </row>
    <row r="5045" spans="3:8" x14ac:dyDescent="0.25">
      <c r="C5045" s="12"/>
      <c r="D5045" s="13"/>
      <c r="E5045" s="13"/>
      <c r="F5045" s="13"/>
      <c r="G5045" s="12"/>
      <c r="H5045" s="11"/>
    </row>
    <row r="5046" spans="3:8" x14ac:dyDescent="0.25">
      <c r="C5046" s="12"/>
      <c r="D5046" s="13"/>
      <c r="E5046" s="13"/>
      <c r="F5046" s="13"/>
      <c r="G5046" s="12"/>
      <c r="H5046" s="11"/>
    </row>
    <row r="5047" spans="3:8" x14ac:dyDescent="0.25">
      <c r="C5047" s="12"/>
      <c r="D5047" s="13"/>
      <c r="E5047" s="13"/>
      <c r="F5047" s="13"/>
      <c r="G5047" s="12"/>
      <c r="H5047" s="11"/>
    </row>
    <row r="5048" spans="3:8" x14ac:dyDescent="0.25">
      <c r="C5048" s="12"/>
      <c r="D5048" s="13"/>
      <c r="E5048" s="13"/>
      <c r="F5048" s="13"/>
      <c r="G5048" s="12"/>
      <c r="H5048" s="11"/>
    </row>
    <row r="5049" spans="3:8" x14ac:dyDescent="0.25">
      <c r="C5049" s="12"/>
      <c r="D5049" s="13"/>
      <c r="E5049" s="13"/>
      <c r="F5049" s="13"/>
      <c r="G5049" s="12"/>
      <c r="H5049" s="11"/>
    </row>
    <row r="5050" spans="3:8" x14ac:dyDescent="0.25">
      <c r="C5050" s="12"/>
      <c r="D5050" s="13"/>
      <c r="E5050" s="13"/>
      <c r="F5050" s="13"/>
      <c r="G5050" s="12"/>
      <c r="H5050" s="11"/>
    </row>
    <row r="5051" spans="3:8" x14ac:dyDescent="0.25">
      <c r="C5051" s="12"/>
      <c r="D5051" s="13"/>
      <c r="E5051" s="13"/>
      <c r="F5051" s="13"/>
      <c r="G5051" s="12"/>
      <c r="H5051" s="11"/>
    </row>
    <row r="5052" spans="3:8" x14ac:dyDescent="0.25">
      <c r="C5052" s="12"/>
      <c r="D5052" s="13"/>
      <c r="E5052" s="13"/>
      <c r="F5052" s="13"/>
      <c r="G5052" s="12"/>
      <c r="H5052" s="11"/>
    </row>
    <row r="5053" spans="3:8" x14ac:dyDescent="0.25">
      <c r="C5053" s="12"/>
      <c r="D5053" s="13"/>
      <c r="E5053" s="13"/>
      <c r="F5053" s="13"/>
      <c r="G5053" s="12"/>
      <c r="H5053" s="11"/>
    </row>
    <row r="5054" spans="3:8" x14ac:dyDescent="0.25">
      <c r="C5054" s="12"/>
      <c r="D5054" s="13"/>
      <c r="E5054" s="13"/>
      <c r="F5054" s="13"/>
      <c r="G5054" s="12"/>
      <c r="H5054" s="11"/>
    </row>
    <row r="5055" spans="3:8" x14ac:dyDescent="0.25">
      <c r="C5055" s="12"/>
      <c r="D5055" s="13"/>
      <c r="E5055" s="13"/>
      <c r="F5055" s="13"/>
      <c r="G5055" s="12"/>
      <c r="H5055" s="11"/>
    </row>
    <row r="5056" spans="3:8" x14ac:dyDescent="0.25">
      <c r="C5056" s="12"/>
      <c r="D5056" s="13"/>
      <c r="E5056" s="13"/>
      <c r="F5056" s="13"/>
      <c r="G5056" s="12"/>
      <c r="H5056" s="11"/>
    </row>
    <row r="5057" spans="3:8" x14ac:dyDescent="0.25">
      <c r="C5057" s="12"/>
      <c r="D5057" s="13"/>
      <c r="E5057" s="13"/>
      <c r="F5057" s="13"/>
      <c r="G5057" s="12"/>
      <c r="H5057" s="11"/>
    </row>
    <row r="5058" spans="3:8" x14ac:dyDescent="0.25">
      <c r="C5058" s="12"/>
      <c r="D5058" s="13"/>
      <c r="E5058" s="13"/>
      <c r="F5058" s="13"/>
      <c r="G5058" s="12"/>
      <c r="H5058" s="11"/>
    </row>
    <row r="5059" spans="3:8" x14ac:dyDescent="0.25">
      <c r="C5059" s="12"/>
      <c r="D5059" s="13"/>
      <c r="E5059" s="13"/>
      <c r="F5059" s="13"/>
      <c r="G5059" s="12"/>
      <c r="H5059" s="11"/>
    </row>
    <row r="5060" spans="3:8" x14ac:dyDescent="0.25">
      <c r="C5060" s="12"/>
      <c r="D5060" s="13"/>
      <c r="E5060" s="13"/>
      <c r="F5060" s="13"/>
      <c r="G5060" s="12"/>
      <c r="H5060" s="11"/>
    </row>
    <row r="5061" spans="3:8" x14ac:dyDescent="0.25">
      <c r="C5061" s="12"/>
      <c r="D5061" s="13"/>
      <c r="E5061" s="13"/>
      <c r="F5061" s="13"/>
      <c r="G5061" s="12"/>
      <c r="H5061" s="11"/>
    </row>
    <row r="5062" spans="3:8" x14ac:dyDescent="0.25">
      <c r="C5062" s="12"/>
      <c r="D5062" s="13"/>
      <c r="E5062" s="13"/>
      <c r="F5062" s="13"/>
      <c r="G5062" s="12"/>
      <c r="H5062" s="11"/>
    </row>
    <row r="5063" spans="3:8" x14ac:dyDescent="0.25">
      <c r="C5063" s="12"/>
      <c r="D5063" s="13"/>
      <c r="E5063" s="13"/>
      <c r="F5063" s="13"/>
      <c r="G5063" s="12"/>
      <c r="H5063" s="11"/>
    </row>
    <row r="5064" spans="3:8" x14ac:dyDescent="0.25">
      <c r="C5064" s="12"/>
      <c r="D5064" s="13"/>
      <c r="E5064" s="13"/>
      <c r="F5064" s="13"/>
      <c r="G5064" s="12"/>
      <c r="H5064" s="11"/>
    </row>
    <row r="5065" spans="3:8" x14ac:dyDescent="0.25">
      <c r="C5065" s="12"/>
      <c r="D5065" s="13"/>
      <c r="E5065" s="13"/>
      <c r="F5065" s="13"/>
      <c r="G5065" s="12"/>
      <c r="H5065" s="11"/>
    </row>
    <row r="5066" spans="3:8" x14ac:dyDescent="0.25">
      <c r="C5066" s="12"/>
      <c r="D5066" s="13"/>
      <c r="E5066" s="13"/>
      <c r="F5066" s="13"/>
      <c r="G5066" s="12"/>
      <c r="H5066" s="11"/>
    </row>
    <row r="5067" spans="3:8" x14ac:dyDescent="0.25">
      <c r="C5067" s="12"/>
      <c r="D5067" s="13"/>
      <c r="E5067" s="13"/>
      <c r="F5067" s="13"/>
      <c r="G5067" s="12"/>
      <c r="H5067" s="11"/>
    </row>
    <row r="5068" spans="3:8" x14ac:dyDescent="0.25">
      <c r="C5068" s="12"/>
      <c r="D5068" s="13"/>
      <c r="E5068" s="13"/>
      <c r="F5068" s="13"/>
      <c r="G5068" s="12"/>
      <c r="H5068" s="11"/>
    </row>
    <row r="5069" spans="3:8" x14ac:dyDescent="0.25">
      <c r="C5069" s="12"/>
      <c r="D5069" s="13"/>
      <c r="E5069" s="13"/>
      <c r="F5069" s="13"/>
      <c r="G5069" s="12"/>
      <c r="H5069" s="11"/>
    </row>
    <row r="5070" spans="3:8" x14ac:dyDescent="0.25">
      <c r="C5070" s="12"/>
      <c r="D5070" s="13"/>
      <c r="E5070" s="13"/>
      <c r="F5070" s="13"/>
      <c r="G5070" s="12"/>
      <c r="H5070" s="11"/>
    </row>
    <row r="5071" spans="3:8" x14ac:dyDescent="0.25">
      <c r="C5071" s="12"/>
      <c r="D5071" s="13"/>
      <c r="E5071" s="13"/>
      <c r="F5071" s="13"/>
      <c r="G5071" s="12"/>
      <c r="H5071" s="11"/>
    </row>
    <row r="5072" spans="3:8" x14ac:dyDescent="0.25">
      <c r="C5072" s="12"/>
      <c r="D5072" s="13"/>
      <c r="E5072" s="13"/>
      <c r="F5072" s="13"/>
      <c r="G5072" s="12"/>
      <c r="H5072" s="11"/>
    </row>
    <row r="5073" spans="3:8" x14ac:dyDescent="0.25">
      <c r="C5073" s="12"/>
      <c r="D5073" s="13"/>
      <c r="E5073" s="13"/>
      <c r="F5073" s="13"/>
      <c r="G5073" s="12"/>
      <c r="H5073" s="11"/>
    </row>
    <row r="5074" spans="3:8" x14ac:dyDescent="0.25">
      <c r="C5074" s="12"/>
      <c r="D5074" s="13"/>
      <c r="E5074" s="13"/>
      <c r="F5074" s="13"/>
      <c r="G5074" s="12"/>
      <c r="H5074" s="11"/>
    </row>
    <row r="5075" spans="3:8" x14ac:dyDescent="0.25">
      <c r="C5075" s="12"/>
      <c r="D5075" s="13"/>
      <c r="E5075" s="13"/>
      <c r="F5075" s="13"/>
      <c r="G5075" s="12"/>
      <c r="H5075" s="11"/>
    </row>
    <row r="5076" spans="3:8" x14ac:dyDescent="0.25">
      <c r="C5076" s="12"/>
      <c r="D5076" s="13"/>
      <c r="E5076" s="13"/>
      <c r="F5076" s="13"/>
      <c r="G5076" s="12"/>
      <c r="H5076" s="11"/>
    </row>
    <row r="5077" spans="3:8" x14ac:dyDescent="0.25">
      <c r="C5077" s="12"/>
      <c r="D5077" s="13"/>
      <c r="E5077" s="13"/>
      <c r="F5077" s="13"/>
      <c r="G5077" s="12"/>
      <c r="H5077" s="11"/>
    </row>
    <row r="5078" spans="3:8" x14ac:dyDescent="0.25">
      <c r="C5078" s="12"/>
      <c r="D5078" s="13"/>
      <c r="E5078" s="13"/>
      <c r="F5078" s="13"/>
      <c r="G5078" s="12"/>
      <c r="H5078" s="11"/>
    </row>
    <row r="5079" spans="3:8" x14ac:dyDescent="0.25">
      <c r="C5079" s="12"/>
      <c r="D5079" s="13"/>
      <c r="E5079" s="13"/>
      <c r="F5079" s="13"/>
      <c r="G5079" s="12"/>
      <c r="H5079" s="11"/>
    </row>
    <row r="5080" spans="3:8" x14ac:dyDescent="0.25">
      <c r="C5080" s="12"/>
      <c r="D5080" s="13"/>
      <c r="E5080" s="13"/>
      <c r="F5080" s="13"/>
      <c r="G5080" s="12"/>
      <c r="H5080" s="11"/>
    </row>
    <row r="5081" spans="3:8" x14ac:dyDescent="0.25">
      <c r="C5081" s="12"/>
      <c r="D5081" s="13"/>
      <c r="E5081" s="13"/>
      <c r="F5081" s="13"/>
      <c r="G5081" s="12"/>
      <c r="H5081" s="11"/>
    </row>
    <row r="5082" spans="3:8" x14ac:dyDescent="0.25">
      <c r="C5082" s="12"/>
      <c r="D5082" s="13"/>
      <c r="E5082" s="13"/>
      <c r="F5082" s="13"/>
      <c r="G5082" s="12"/>
      <c r="H5082" s="11"/>
    </row>
    <row r="5083" spans="3:8" x14ac:dyDescent="0.25">
      <c r="C5083" s="12"/>
      <c r="D5083" s="13"/>
      <c r="E5083" s="13"/>
      <c r="F5083" s="13"/>
      <c r="G5083" s="12"/>
      <c r="H5083" s="11"/>
    </row>
    <row r="5084" spans="3:8" x14ac:dyDescent="0.25">
      <c r="C5084" s="12"/>
      <c r="D5084" s="13"/>
      <c r="E5084" s="13"/>
      <c r="F5084" s="13"/>
      <c r="G5084" s="12"/>
      <c r="H5084" s="11"/>
    </row>
    <row r="5085" spans="3:8" x14ac:dyDescent="0.25">
      <c r="C5085" s="12"/>
      <c r="D5085" s="13"/>
      <c r="E5085" s="13"/>
      <c r="F5085" s="13"/>
      <c r="G5085" s="12"/>
      <c r="H5085" s="11"/>
    </row>
    <row r="5086" spans="3:8" x14ac:dyDescent="0.25">
      <c r="C5086" s="12"/>
      <c r="D5086" s="13"/>
      <c r="E5086" s="13"/>
      <c r="F5086" s="13"/>
      <c r="G5086" s="12"/>
      <c r="H5086" s="11"/>
    </row>
    <row r="5087" spans="3:8" x14ac:dyDescent="0.25">
      <c r="C5087" s="12"/>
      <c r="D5087" s="13"/>
      <c r="E5087" s="13"/>
      <c r="F5087" s="13"/>
      <c r="G5087" s="12"/>
      <c r="H5087" s="11"/>
    </row>
    <row r="5088" spans="3:8" x14ac:dyDescent="0.25">
      <c r="C5088" s="12"/>
      <c r="D5088" s="13"/>
      <c r="E5088" s="13"/>
      <c r="F5088" s="13"/>
      <c r="G5088" s="12"/>
      <c r="H5088" s="11"/>
    </row>
    <row r="5089" spans="3:8" x14ac:dyDescent="0.25">
      <c r="C5089" s="12"/>
      <c r="D5089" s="13"/>
      <c r="E5089" s="13"/>
      <c r="F5089" s="13"/>
      <c r="G5089" s="12"/>
      <c r="H5089" s="11"/>
    </row>
    <row r="5090" spans="3:8" x14ac:dyDescent="0.25">
      <c r="C5090" s="12"/>
      <c r="D5090" s="13"/>
      <c r="E5090" s="13"/>
      <c r="F5090" s="13"/>
      <c r="G5090" s="12"/>
      <c r="H5090" s="11"/>
    </row>
    <row r="5091" spans="3:8" x14ac:dyDescent="0.25">
      <c r="C5091" s="12"/>
      <c r="D5091" s="13"/>
      <c r="E5091" s="13"/>
      <c r="F5091" s="13"/>
      <c r="G5091" s="12"/>
      <c r="H5091" s="11"/>
    </row>
    <row r="5092" spans="3:8" x14ac:dyDescent="0.25">
      <c r="C5092" s="12"/>
      <c r="D5092" s="13"/>
      <c r="E5092" s="13"/>
      <c r="F5092" s="13"/>
      <c r="G5092" s="12"/>
      <c r="H5092" s="11"/>
    </row>
    <row r="5093" spans="3:8" x14ac:dyDescent="0.25">
      <c r="C5093" s="12"/>
      <c r="D5093" s="13"/>
      <c r="E5093" s="13"/>
      <c r="F5093" s="13"/>
      <c r="G5093" s="12"/>
      <c r="H5093" s="11"/>
    </row>
    <row r="5094" spans="3:8" x14ac:dyDescent="0.25">
      <c r="C5094" s="12"/>
      <c r="D5094" s="13"/>
      <c r="E5094" s="13"/>
      <c r="F5094" s="13"/>
      <c r="G5094" s="12"/>
      <c r="H5094" s="11"/>
    </row>
    <row r="5095" spans="3:8" x14ac:dyDescent="0.25">
      <c r="C5095" s="12"/>
      <c r="D5095" s="13"/>
      <c r="E5095" s="13"/>
      <c r="F5095" s="13"/>
      <c r="G5095" s="12"/>
      <c r="H5095" s="11"/>
    </row>
    <row r="5096" spans="3:8" x14ac:dyDescent="0.25">
      <c r="C5096" s="12"/>
      <c r="D5096" s="13"/>
      <c r="E5096" s="13"/>
      <c r="F5096" s="13"/>
      <c r="G5096" s="12"/>
      <c r="H5096" s="11"/>
    </row>
    <row r="5097" spans="3:8" x14ac:dyDescent="0.25">
      <c r="C5097" s="12"/>
      <c r="D5097" s="13"/>
      <c r="E5097" s="13"/>
      <c r="F5097" s="13"/>
      <c r="G5097" s="12"/>
      <c r="H5097" s="11"/>
    </row>
    <row r="5098" spans="3:8" x14ac:dyDescent="0.25">
      <c r="C5098" s="12"/>
      <c r="D5098" s="13"/>
      <c r="E5098" s="13"/>
      <c r="F5098" s="13"/>
      <c r="G5098" s="12"/>
      <c r="H5098" s="11"/>
    </row>
    <row r="5099" spans="3:8" x14ac:dyDescent="0.25">
      <c r="C5099" s="12"/>
      <c r="D5099" s="13"/>
      <c r="E5099" s="13"/>
      <c r="F5099" s="13"/>
      <c r="G5099" s="12"/>
      <c r="H5099" s="11"/>
    </row>
    <row r="5100" spans="3:8" x14ac:dyDescent="0.25">
      <c r="C5100" s="12"/>
      <c r="D5100" s="13"/>
      <c r="E5100" s="13"/>
      <c r="F5100" s="13"/>
      <c r="G5100" s="12"/>
      <c r="H5100" s="11"/>
    </row>
    <row r="5101" spans="3:8" x14ac:dyDescent="0.25">
      <c r="C5101" s="12"/>
      <c r="D5101" s="13"/>
      <c r="E5101" s="13"/>
      <c r="F5101" s="13"/>
      <c r="G5101" s="12"/>
      <c r="H5101" s="11"/>
    </row>
    <row r="5102" spans="3:8" x14ac:dyDescent="0.25">
      <c r="C5102" s="12"/>
      <c r="D5102" s="13"/>
      <c r="E5102" s="13"/>
      <c r="F5102" s="13"/>
      <c r="G5102" s="12"/>
      <c r="H5102" s="11"/>
    </row>
    <row r="5103" spans="3:8" x14ac:dyDescent="0.25">
      <c r="C5103" s="12"/>
      <c r="D5103" s="13"/>
      <c r="E5103" s="13"/>
      <c r="F5103" s="13"/>
      <c r="G5103" s="12"/>
      <c r="H5103" s="11"/>
    </row>
    <row r="5104" spans="3:8" x14ac:dyDescent="0.25">
      <c r="C5104" s="12"/>
      <c r="D5104" s="13"/>
      <c r="E5104" s="13"/>
      <c r="F5104" s="13"/>
      <c r="G5104" s="12"/>
      <c r="H5104" s="11"/>
    </row>
    <row r="5105" spans="3:8" x14ac:dyDescent="0.25">
      <c r="C5105" s="12"/>
      <c r="D5105" s="13"/>
      <c r="E5105" s="13"/>
      <c r="F5105" s="13"/>
      <c r="G5105" s="12"/>
      <c r="H5105" s="11"/>
    </row>
    <row r="5106" spans="3:8" x14ac:dyDescent="0.25">
      <c r="C5106" s="12"/>
      <c r="D5106" s="13"/>
      <c r="E5106" s="13"/>
      <c r="F5106" s="13"/>
      <c r="G5106" s="12"/>
      <c r="H5106" s="11"/>
    </row>
    <row r="5107" spans="3:8" x14ac:dyDescent="0.25">
      <c r="C5107" s="12"/>
      <c r="D5107" s="13"/>
      <c r="E5107" s="13"/>
      <c r="F5107" s="13"/>
      <c r="G5107" s="12"/>
      <c r="H5107" s="11"/>
    </row>
    <row r="5108" spans="3:8" x14ac:dyDescent="0.25">
      <c r="C5108" s="12"/>
      <c r="D5108" s="13"/>
      <c r="E5108" s="13"/>
      <c r="F5108" s="13"/>
      <c r="G5108" s="12"/>
      <c r="H5108" s="11"/>
    </row>
    <row r="5109" spans="3:8" x14ac:dyDescent="0.25">
      <c r="C5109" s="12"/>
      <c r="D5109" s="13"/>
      <c r="E5109" s="13"/>
      <c r="F5109" s="13"/>
      <c r="G5109" s="12"/>
      <c r="H5109" s="11"/>
    </row>
    <row r="5110" spans="3:8" x14ac:dyDescent="0.25">
      <c r="C5110" s="12"/>
      <c r="D5110" s="13"/>
      <c r="E5110" s="13"/>
      <c r="F5110" s="13"/>
      <c r="G5110" s="12"/>
      <c r="H5110" s="11"/>
    </row>
    <row r="5111" spans="3:8" x14ac:dyDescent="0.25">
      <c r="C5111" s="12"/>
      <c r="D5111" s="13"/>
      <c r="E5111" s="13"/>
      <c r="F5111" s="13"/>
      <c r="G5111" s="12"/>
      <c r="H5111" s="11"/>
    </row>
    <row r="5112" spans="3:8" x14ac:dyDescent="0.25">
      <c r="C5112" s="12"/>
      <c r="D5112" s="13"/>
      <c r="E5112" s="13"/>
      <c r="F5112" s="13"/>
      <c r="G5112" s="12"/>
      <c r="H5112" s="11"/>
    </row>
    <row r="5113" spans="3:8" x14ac:dyDescent="0.25">
      <c r="C5113" s="12"/>
      <c r="D5113" s="13"/>
      <c r="E5113" s="13"/>
      <c r="F5113" s="13"/>
      <c r="G5113" s="12"/>
      <c r="H5113" s="11"/>
    </row>
    <row r="5114" spans="3:8" x14ac:dyDescent="0.25">
      <c r="C5114" s="12"/>
      <c r="D5114" s="13"/>
      <c r="E5114" s="13"/>
      <c r="F5114" s="13"/>
      <c r="G5114" s="12"/>
      <c r="H5114" s="11"/>
    </row>
    <row r="5115" spans="3:8" x14ac:dyDescent="0.25">
      <c r="C5115" s="12"/>
      <c r="D5115" s="13"/>
      <c r="E5115" s="13"/>
      <c r="F5115" s="13"/>
      <c r="G5115" s="12"/>
      <c r="H5115" s="11"/>
    </row>
    <row r="5116" spans="3:8" x14ac:dyDescent="0.25">
      <c r="C5116" s="12"/>
      <c r="D5116" s="13"/>
      <c r="E5116" s="13"/>
      <c r="F5116" s="13"/>
      <c r="G5116" s="12"/>
      <c r="H5116" s="11"/>
    </row>
    <row r="5117" spans="3:8" x14ac:dyDescent="0.25">
      <c r="C5117" s="12"/>
      <c r="D5117" s="13"/>
      <c r="E5117" s="13"/>
      <c r="F5117" s="13"/>
      <c r="G5117" s="12"/>
      <c r="H5117" s="11"/>
    </row>
    <row r="5118" spans="3:8" x14ac:dyDescent="0.25">
      <c r="C5118" s="12"/>
      <c r="D5118" s="13"/>
      <c r="E5118" s="13"/>
      <c r="F5118" s="13"/>
      <c r="G5118" s="12"/>
      <c r="H5118" s="11"/>
    </row>
    <row r="5119" spans="3:8" x14ac:dyDescent="0.25">
      <c r="C5119" s="12"/>
      <c r="D5119" s="13"/>
      <c r="E5119" s="13"/>
      <c r="F5119" s="13"/>
      <c r="G5119" s="12"/>
      <c r="H5119" s="11"/>
    </row>
    <row r="5120" spans="3:8" x14ac:dyDescent="0.25">
      <c r="C5120" s="12"/>
      <c r="D5120" s="13"/>
      <c r="E5120" s="13"/>
      <c r="F5120" s="13"/>
      <c r="G5120" s="12"/>
      <c r="H5120" s="11"/>
    </row>
    <row r="5121" spans="3:8" x14ac:dyDescent="0.25">
      <c r="C5121" s="12"/>
      <c r="D5121" s="13"/>
      <c r="E5121" s="13"/>
      <c r="F5121" s="13"/>
      <c r="G5121" s="12"/>
      <c r="H5121" s="11"/>
    </row>
    <row r="5122" spans="3:8" x14ac:dyDescent="0.25">
      <c r="C5122" s="12"/>
      <c r="D5122" s="13"/>
      <c r="E5122" s="13"/>
      <c r="F5122" s="13"/>
      <c r="G5122" s="12"/>
      <c r="H5122" s="11"/>
    </row>
    <row r="5123" spans="3:8" x14ac:dyDescent="0.25">
      <c r="C5123" s="12"/>
      <c r="D5123" s="13"/>
      <c r="E5123" s="13"/>
      <c r="F5123" s="13"/>
      <c r="G5123" s="12"/>
      <c r="H5123" s="11"/>
    </row>
    <row r="5124" spans="3:8" x14ac:dyDescent="0.25">
      <c r="C5124" s="12"/>
      <c r="D5124" s="13"/>
      <c r="E5124" s="13"/>
      <c r="F5124" s="13"/>
      <c r="G5124" s="12"/>
      <c r="H5124" s="11"/>
    </row>
    <row r="5125" spans="3:8" x14ac:dyDescent="0.25">
      <c r="C5125" s="12"/>
      <c r="D5125" s="13"/>
      <c r="E5125" s="13"/>
      <c r="F5125" s="13"/>
      <c r="G5125" s="12"/>
      <c r="H5125" s="11"/>
    </row>
    <row r="5126" spans="3:8" x14ac:dyDescent="0.25">
      <c r="C5126" s="12"/>
      <c r="D5126" s="13"/>
      <c r="E5126" s="13"/>
      <c r="F5126" s="13"/>
      <c r="G5126" s="12"/>
      <c r="H5126" s="11"/>
    </row>
    <row r="5127" spans="3:8" x14ac:dyDescent="0.25">
      <c r="C5127" s="12"/>
      <c r="D5127" s="13"/>
      <c r="E5127" s="13"/>
      <c r="F5127" s="13"/>
      <c r="G5127" s="12"/>
      <c r="H5127" s="11"/>
    </row>
    <row r="5128" spans="3:8" x14ac:dyDescent="0.25">
      <c r="C5128" s="12"/>
      <c r="D5128" s="13"/>
      <c r="E5128" s="13"/>
      <c r="F5128" s="13"/>
      <c r="G5128" s="12"/>
      <c r="H5128" s="11"/>
    </row>
    <row r="5129" spans="3:8" x14ac:dyDescent="0.25">
      <c r="C5129" s="12"/>
      <c r="D5129" s="13"/>
      <c r="E5129" s="13"/>
      <c r="F5129" s="13"/>
      <c r="G5129" s="12"/>
      <c r="H5129" s="11"/>
    </row>
    <row r="5130" spans="3:8" x14ac:dyDescent="0.25">
      <c r="C5130" s="12"/>
      <c r="D5130" s="13"/>
      <c r="E5130" s="13"/>
      <c r="F5130" s="13"/>
      <c r="G5130" s="12"/>
      <c r="H5130" s="11"/>
    </row>
    <row r="5131" spans="3:8" x14ac:dyDescent="0.25">
      <c r="C5131" s="12"/>
      <c r="D5131" s="13"/>
      <c r="E5131" s="13"/>
      <c r="F5131" s="13"/>
      <c r="G5131" s="12"/>
      <c r="H5131" s="11"/>
    </row>
    <row r="5132" spans="3:8" x14ac:dyDescent="0.25">
      <c r="C5132" s="12"/>
      <c r="D5132" s="13"/>
      <c r="E5132" s="13"/>
      <c r="F5132" s="13"/>
      <c r="G5132" s="12"/>
      <c r="H5132" s="11"/>
    </row>
    <row r="5133" spans="3:8" x14ac:dyDescent="0.25">
      <c r="C5133" s="12"/>
      <c r="D5133" s="13"/>
      <c r="E5133" s="13"/>
      <c r="F5133" s="13"/>
      <c r="G5133" s="12"/>
      <c r="H5133" s="11"/>
    </row>
    <row r="5134" spans="3:8" x14ac:dyDescent="0.25">
      <c r="C5134" s="12"/>
      <c r="D5134" s="13"/>
      <c r="E5134" s="13"/>
      <c r="F5134" s="13"/>
      <c r="G5134" s="12"/>
      <c r="H5134" s="11"/>
    </row>
    <row r="5135" spans="3:8" x14ac:dyDescent="0.25">
      <c r="C5135" s="12"/>
      <c r="D5135" s="13"/>
      <c r="E5135" s="13"/>
      <c r="F5135" s="13"/>
      <c r="G5135" s="12"/>
      <c r="H5135" s="11"/>
    </row>
    <row r="5136" spans="3:8" x14ac:dyDescent="0.25">
      <c r="C5136" s="12"/>
      <c r="D5136" s="13"/>
      <c r="E5136" s="13"/>
      <c r="F5136" s="13"/>
      <c r="G5136" s="12"/>
      <c r="H5136" s="11"/>
    </row>
    <row r="5137" spans="3:8" x14ac:dyDescent="0.25">
      <c r="C5137" s="12"/>
      <c r="D5137" s="13"/>
      <c r="E5137" s="13"/>
      <c r="F5137" s="13"/>
      <c r="G5137" s="12"/>
      <c r="H5137" s="11"/>
    </row>
    <row r="5138" spans="3:8" x14ac:dyDescent="0.25">
      <c r="C5138" s="12"/>
      <c r="D5138" s="13"/>
      <c r="E5138" s="13"/>
      <c r="F5138" s="13"/>
      <c r="G5138" s="12"/>
      <c r="H5138" s="11"/>
    </row>
    <row r="5139" spans="3:8" x14ac:dyDescent="0.25">
      <c r="C5139" s="12"/>
      <c r="D5139" s="13"/>
      <c r="E5139" s="13"/>
      <c r="F5139" s="13"/>
      <c r="G5139" s="12"/>
      <c r="H5139" s="11"/>
    </row>
    <row r="5140" spans="3:8" x14ac:dyDescent="0.25">
      <c r="C5140" s="12"/>
      <c r="D5140" s="13"/>
      <c r="E5140" s="13"/>
      <c r="F5140" s="13"/>
      <c r="G5140" s="12"/>
      <c r="H5140" s="11"/>
    </row>
    <row r="5141" spans="3:8" x14ac:dyDescent="0.25">
      <c r="C5141" s="12"/>
      <c r="D5141" s="13"/>
      <c r="E5141" s="13"/>
      <c r="F5141" s="13"/>
      <c r="G5141" s="12"/>
      <c r="H5141" s="11"/>
    </row>
    <row r="5142" spans="3:8" x14ac:dyDescent="0.25">
      <c r="C5142" s="12"/>
      <c r="D5142" s="13"/>
      <c r="E5142" s="13"/>
      <c r="F5142" s="13"/>
      <c r="G5142" s="12"/>
      <c r="H5142" s="11"/>
    </row>
    <row r="5143" spans="3:8" x14ac:dyDescent="0.25">
      <c r="C5143" s="12"/>
      <c r="D5143" s="13"/>
      <c r="E5143" s="13"/>
      <c r="F5143" s="13"/>
      <c r="G5143" s="12"/>
      <c r="H5143" s="11"/>
    </row>
    <row r="5144" spans="3:8" x14ac:dyDescent="0.25">
      <c r="C5144" s="12"/>
      <c r="D5144" s="13"/>
      <c r="E5144" s="13"/>
      <c r="F5144" s="13"/>
      <c r="G5144" s="12"/>
      <c r="H5144" s="11"/>
    </row>
    <row r="5145" spans="3:8" x14ac:dyDescent="0.25">
      <c r="C5145" s="12"/>
      <c r="D5145" s="13"/>
      <c r="E5145" s="13"/>
      <c r="F5145" s="13"/>
      <c r="G5145" s="12"/>
      <c r="H5145" s="11"/>
    </row>
    <row r="5146" spans="3:8" x14ac:dyDescent="0.25">
      <c r="C5146" s="12"/>
      <c r="D5146" s="13"/>
      <c r="E5146" s="13"/>
      <c r="F5146" s="13"/>
      <c r="G5146" s="12"/>
      <c r="H5146" s="11"/>
    </row>
    <row r="5147" spans="3:8" x14ac:dyDescent="0.25">
      <c r="C5147" s="12"/>
      <c r="D5147" s="13"/>
      <c r="E5147" s="13"/>
      <c r="F5147" s="13"/>
      <c r="G5147" s="12"/>
      <c r="H5147" s="11"/>
    </row>
    <row r="5148" spans="3:8" x14ac:dyDescent="0.25">
      <c r="C5148" s="12"/>
      <c r="D5148" s="13"/>
      <c r="E5148" s="13"/>
      <c r="F5148" s="13"/>
      <c r="G5148" s="12"/>
      <c r="H5148" s="11"/>
    </row>
    <row r="5149" spans="3:8" x14ac:dyDescent="0.25">
      <c r="C5149" s="12"/>
      <c r="D5149" s="13"/>
      <c r="E5149" s="13"/>
      <c r="F5149" s="13"/>
      <c r="G5149" s="12"/>
      <c r="H5149" s="11"/>
    </row>
    <row r="5150" spans="3:8" x14ac:dyDescent="0.25">
      <c r="C5150" s="12"/>
      <c r="D5150" s="13"/>
      <c r="E5150" s="13"/>
      <c r="F5150" s="13"/>
      <c r="G5150" s="12"/>
      <c r="H5150" s="11"/>
    </row>
    <row r="5151" spans="3:8" x14ac:dyDescent="0.25">
      <c r="C5151" s="12"/>
      <c r="D5151" s="13"/>
      <c r="E5151" s="13"/>
      <c r="F5151" s="13"/>
      <c r="G5151" s="12"/>
      <c r="H5151" s="11"/>
    </row>
    <row r="5152" spans="3:8" x14ac:dyDescent="0.25">
      <c r="C5152" s="12"/>
      <c r="D5152" s="13"/>
      <c r="E5152" s="13"/>
      <c r="F5152" s="13"/>
      <c r="G5152" s="12"/>
      <c r="H5152" s="11"/>
    </row>
    <row r="5153" spans="3:8" x14ac:dyDescent="0.25">
      <c r="C5153" s="12"/>
      <c r="D5153" s="13"/>
      <c r="E5153" s="13"/>
      <c r="F5153" s="13"/>
      <c r="G5153" s="12"/>
      <c r="H5153" s="11"/>
    </row>
    <row r="5154" spans="3:8" x14ac:dyDescent="0.25">
      <c r="C5154" s="12"/>
      <c r="D5154" s="13"/>
      <c r="E5154" s="13"/>
      <c r="F5154" s="13"/>
      <c r="G5154" s="12"/>
      <c r="H5154" s="11"/>
    </row>
    <row r="5155" spans="3:8" x14ac:dyDescent="0.25">
      <c r="C5155" s="12"/>
      <c r="D5155" s="13"/>
      <c r="E5155" s="13"/>
      <c r="F5155" s="13"/>
      <c r="G5155" s="12"/>
      <c r="H5155" s="11"/>
    </row>
    <row r="5156" spans="3:8" x14ac:dyDescent="0.25">
      <c r="C5156" s="12"/>
      <c r="D5156" s="13"/>
      <c r="E5156" s="13"/>
      <c r="F5156" s="13"/>
      <c r="G5156" s="12"/>
      <c r="H5156" s="11"/>
    </row>
    <row r="5157" spans="3:8" x14ac:dyDescent="0.25">
      <c r="C5157" s="12"/>
      <c r="D5157" s="13"/>
      <c r="E5157" s="13"/>
      <c r="F5157" s="13"/>
      <c r="G5157" s="12"/>
      <c r="H5157" s="11"/>
    </row>
    <row r="5158" spans="3:8" x14ac:dyDescent="0.25">
      <c r="C5158" s="12"/>
      <c r="D5158" s="13"/>
      <c r="E5158" s="13"/>
      <c r="F5158" s="13"/>
      <c r="G5158" s="12"/>
      <c r="H5158" s="11"/>
    </row>
    <row r="5159" spans="3:8" x14ac:dyDescent="0.25">
      <c r="C5159" s="12"/>
      <c r="D5159" s="13"/>
      <c r="E5159" s="13"/>
      <c r="F5159" s="13"/>
      <c r="G5159" s="12"/>
      <c r="H5159" s="11"/>
    </row>
    <row r="5160" spans="3:8" x14ac:dyDescent="0.25">
      <c r="C5160" s="12"/>
      <c r="D5160" s="13"/>
      <c r="E5160" s="13"/>
      <c r="F5160" s="13"/>
      <c r="G5160" s="12"/>
      <c r="H5160" s="11"/>
    </row>
    <row r="5161" spans="3:8" x14ac:dyDescent="0.25">
      <c r="C5161" s="12"/>
      <c r="D5161" s="13"/>
      <c r="E5161" s="13"/>
      <c r="F5161" s="13"/>
      <c r="G5161" s="12"/>
      <c r="H5161" s="11"/>
    </row>
    <row r="5162" spans="3:8" x14ac:dyDescent="0.25">
      <c r="C5162" s="12"/>
      <c r="D5162" s="13"/>
      <c r="E5162" s="13"/>
      <c r="F5162" s="13"/>
      <c r="G5162" s="12"/>
      <c r="H5162" s="11"/>
    </row>
    <row r="5163" spans="3:8" x14ac:dyDescent="0.25">
      <c r="C5163" s="12"/>
      <c r="D5163" s="13"/>
      <c r="E5163" s="13"/>
      <c r="F5163" s="13"/>
      <c r="G5163" s="12"/>
      <c r="H5163" s="11"/>
    </row>
    <row r="5164" spans="3:8" x14ac:dyDescent="0.25">
      <c r="C5164" s="12"/>
      <c r="D5164" s="13"/>
      <c r="E5164" s="13"/>
      <c r="F5164" s="13"/>
      <c r="G5164" s="12"/>
      <c r="H5164" s="11"/>
    </row>
    <row r="5165" spans="3:8" x14ac:dyDescent="0.25">
      <c r="C5165" s="12"/>
      <c r="D5165" s="13"/>
      <c r="E5165" s="13"/>
      <c r="F5165" s="13"/>
      <c r="G5165" s="12"/>
      <c r="H5165" s="11"/>
    </row>
    <row r="5166" spans="3:8" x14ac:dyDescent="0.25">
      <c r="C5166" s="12"/>
      <c r="D5166" s="13"/>
      <c r="E5166" s="13"/>
      <c r="F5166" s="13"/>
      <c r="G5166" s="12"/>
      <c r="H5166" s="11"/>
    </row>
    <row r="5167" spans="3:8" x14ac:dyDescent="0.25">
      <c r="C5167" s="12"/>
      <c r="D5167" s="13"/>
      <c r="E5167" s="13"/>
      <c r="F5167" s="13"/>
      <c r="G5167" s="12"/>
      <c r="H5167" s="11"/>
    </row>
    <row r="5168" spans="3:8" x14ac:dyDescent="0.25">
      <c r="C5168" s="12"/>
      <c r="D5168" s="13"/>
      <c r="E5168" s="13"/>
      <c r="F5168" s="13"/>
      <c r="G5168" s="12"/>
      <c r="H5168" s="11"/>
    </row>
    <row r="5169" spans="3:8" x14ac:dyDescent="0.25">
      <c r="C5169" s="12"/>
      <c r="D5169" s="13"/>
      <c r="E5169" s="13"/>
      <c r="F5169" s="13"/>
      <c r="G5169" s="12"/>
      <c r="H5169" s="11"/>
    </row>
    <row r="5170" spans="3:8" x14ac:dyDescent="0.25">
      <c r="C5170" s="12"/>
      <c r="D5170" s="13"/>
      <c r="E5170" s="13"/>
      <c r="F5170" s="13"/>
      <c r="G5170" s="12"/>
      <c r="H5170" s="11"/>
    </row>
    <row r="5171" spans="3:8" x14ac:dyDescent="0.25">
      <c r="C5171" s="12"/>
      <c r="D5171" s="13"/>
      <c r="E5171" s="13"/>
      <c r="F5171" s="13"/>
      <c r="G5171" s="12"/>
      <c r="H5171" s="11"/>
    </row>
    <row r="5172" spans="3:8" x14ac:dyDescent="0.25">
      <c r="C5172" s="12"/>
      <c r="D5172" s="13"/>
      <c r="E5172" s="13"/>
      <c r="F5172" s="13"/>
      <c r="G5172" s="12"/>
      <c r="H5172" s="11"/>
    </row>
    <row r="5173" spans="3:8" x14ac:dyDescent="0.25">
      <c r="C5173" s="12"/>
      <c r="D5173" s="13"/>
      <c r="E5173" s="13"/>
      <c r="F5173" s="13"/>
      <c r="G5173" s="12"/>
      <c r="H5173" s="11"/>
    </row>
    <row r="5174" spans="3:8" x14ac:dyDescent="0.25">
      <c r="C5174" s="12"/>
      <c r="D5174" s="13"/>
      <c r="E5174" s="13"/>
      <c r="F5174" s="13"/>
      <c r="G5174" s="12"/>
      <c r="H5174" s="11"/>
    </row>
    <row r="5175" spans="3:8" x14ac:dyDescent="0.25">
      <c r="C5175" s="12"/>
      <c r="D5175" s="13"/>
      <c r="E5175" s="13"/>
      <c r="F5175" s="13"/>
      <c r="G5175" s="12"/>
      <c r="H5175" s="11"/>
    </row>
    <row r="5176" spans="3:8" x14ac:dyDescent="0.25">
      <c r="C5176" s="12"/>
      <c r="D5176" s="13"/>
      <c r="E5176" s="13"/>
      <c r="F5176" s="13"/>
      <c r="G5176" s="12"/>
      <c r="H5176" s="11"/>
    </row>
    <row r="5177" spans="3:8" x14ac:dyDescent="0.25">
      <c r="C5177" s="12"/>
      <c r="D5177" s="13"/>
      <c r="E5177" s="13"/>
      <c r="F5177" s="13"/>
      <c r="G5177" s="12"/>
      <c r="H5177" s="11"/>
    </row>
    <row r="5178" spans="3:8" x14ac:dyDescent="0.25">
      <c r="C5178" s="12"/>
      <c r="D5178" s="13"/>
      <c r="E5178" s="13"/>
      <c r="F5178" s="13"/>
      <c r="G5178" s="12"/>
      <c r="H5178" s="11"/>
    </row>
    <row r="5179" spans="3:8" x14ac:dyDescent="0.25">
      <c r="C5179" s="12"/>
      <c r="D5179" s="13"/>
      <c r="E5179" s="13"/>
      <c r="F5179" s="13"/>
      <c r="G5179" s="12"/>
      <c r="H5179" s="11"/>
    </row>
    <row r="5180" spans="3:8" x14ac:dyDescent="0.25">
      <c r="C5180" s="12"/>
      <c r="D5180" s="13"/>
      <c r="E5180" s="13"/>
      <c r="F5180" s="13"/>
      <c r="G5180" s="12"/>
      <c r="H5180" s="11"/>
    </row>
    <row r="5181" spans="3:8" x14ac:dyDescent="0.25">
      <c r="C5181" s="12"/>
      <c r="D5181" s="13"/>
      <c r="E5181" s="13"/>
      <c r="F5181" s="13"/>
      <c r="G5181" s="12"/>
      <c r="H5181" s="11"/>
    </row>
    <row r="5182" spans="3:8" x14ac:dyDescent="0.25">
      <c r="C5182" s="12"/>
      <c r="D5182" s="13"/>
      <c r="E5182" s="13"/>
      <c r="F5182" s="13"/>
      <c r="G5182" s="12"/>
      <c r="H5182" s="11"/>
    </row>
    <row r="5183" spans="3:8" x14ac:dyDescent="0.25">
      <c r="C5183" s="12"/>
      <c r="D5183" s="13"/>
      <c r="E5183" s="13"/>
      <c r="F5183" s="13"/>
      <c r="G5183" s="12"/>
      <c r="H5183" s="11"/>
    </row>
    <row r="5184" spans="3:8" x14ac:dyDescent="0.25">
      <c r="C5184" s="12"/>
      <c r="D5184" s="13"/>
      <c r="E5184" s="13"/>
      <c r="F5184" s="13"/>
      <c r="G5184" s="12"/>
      <c r="H5184" s="11"/>
    </row>
    <row r="5185" spans="3:8" x14ac:dyDescent="0.25">
      <c r="C5185" s="12"/>
      <c r="D5185" s="13"/>
      <c r="E5185" s="13"/>
      <c r="F5185" s="13"/>
      <c r="G5185" s="12"/>
      <c r="H5185" s="11"/>
    </row>
    <row r="5186" spans="3:8" x14ac:dyDescent="0.25">
      <c r="C5186" s="12"/>
      <c r="D5186" s="13"/>
      <c r="E5186" s="13"/>
      <c r="F5186" s="13"/>
      <c r="G5186" s="12"/>
      <c r="H5186" s="11"/>
    </row>
    <row r="5187" spans="3:8" x14ac:dyDescent="0.25">
      <c r="C5187" s="12"/>
      <c r="D5187" s="13"/>
      <c r="E5187" s="13"/>
      <c r="F5187" s="13"/>
      <c r="G5187" s="12"/>
      <c r="H5187" s="11"/>
    </row>
    <row r="5188" spans="3:8" x14ac:dyDescent="0.25">
      <c r="C5188" s="12"/>
      <c r="D5188" s="13"/>
      <c r="E5188" s="13"/>
      <c r="F5188" s="13"/>
      <c r="G5188" s="12"/>
      <c r="H5188" s="11"/>
    </row>
    <row r="5189" spans="3:8" x14ac:dyDescent="0.25">
      <c r="C5189" s="12"/>
      <c r="D5189" s="13"/>
      <c r="E5189" s="13"/>
      <c r="F5189" s="13"/>
      <c r="G5189" s="12"/>
      <c r="H5189" s="11"/>
    </row>
    <row r="5190" spans="3:8" x14ac:dyDescent="0.25">
      <c r="C5190" s="12"/>
      <c r="D5190" s="13"/>
      <c r="E5190" s="13"/>
      <c r="F5190" s="13"/>
      <c r="G5190" s="12"/>
      <c r="H5190" s="11"/>
    </row>
    <row r="5191" spans="3:8" x14ac:dyDescent="0.25">
      <c r="C5191" s="12"/>
      <c r="D5191" s="13"/>
      <c r="E5191" s="13"/>
      <c r="F5191" s="13"/>
      <c r="G5191" s="12"/>
      <c r="H5191" s="11"/>
    </row>
    <row r="5192" spans="3:8" x14ac:dyDescent="0.25">
      <c r="C5192" s="12"/>
      <c r="D5192" s="13"/>
      <c r="E5192" s="13"/>
      <c r="F5192" s="13"/>
      <c r="G5192" s="12"/>
      <c r="H5192" s="11"/>
    </row>
    <row r="5193" spans="3:8" x14ac:dyDescent="0.25">
      <c r="C5193" s="12"/>
      <c r="D5193" s="13"/>
      <c r="E5193" s="13"/>
      <c r="F5193" s="13"/>
      <c r="G5193" s="12"/>
      <c r="H5193" s="11"/>
    </row>
    <row r="5194" spans="3:8" x14ac:dyDescent="0.25">
      <c r="C5194" s="12"/>
      <c r="D5194" s="13"/>
      <c r="E5194" s="13"/>
      <c r="F5194" s="13"/>
      <c r="G5194" s="12"/>
      <c r="H5194" s="11"/>
    </row>
    <row r="5195" spans="3:8" x14ac:dyDescent="0.25">
      <c r="C5195" s="12"/>
      <c r="D5195" s="13"/>
      <c r="E5195" s="13"/>
      <c r="F5195" s="13"/>
      <c r="G5195" s="12"/>
      <c r="H5195" s="11"/>
    </row>
    <row r="5196" spans="3:8" x14ac:dyDescent="0.25">
      <c r="C5196" s="12"/>
      <c r="D5196" s="13"/>
      <c r="E5196" s="13"/>
      <c r="F5196" s="13"/>
      <c r="G5196" s="12"/>
      <c r="H5196" s="11"/>
    </row>
    <row r="5197" spans="3:8" x14ac:dyDescent="0.25">
      <c r="C5197" s="12"/>
      <c r="D5197" s="13"/>
      <c r="E5197" s="13"/>
      <c r="F5197" s="13"/>
      <c r="G5197" s="12"/>
      <c r="H5197" s="11"/>
    </row>
    <row r="5198" spans="3:8" x14ac:dyDescent="0.25">
      <c r="C5198" s="12"/>
      <c r="D5198" s="13"/>
      <c r="E5198" s="13"/>
      <c r="F5198" s="13"/>
      <c r="G5198" s="12"/>
      <c r="H5198" s="11"/>
    </row>
    <row r="5199" spans="3:8" x14ac:dyDescent="0.25">
      <c r="C5199" s="12"/>
      <c r="D5199" s="13"/>
      <c r="E5199" s="13"/>
      <c r="F5199" s="13"/>
      <c r="G5199" s="12"/>
      <c r="H5199" s="11"/>
    </row>
    <row r="5200" spans="3:8" x14ac:dyDescent="0.25">
      <c r="C5200" s="12"/>
      <c r="D5200" s="13"/>
      <c r="E5200" s="13"/>
      <c r="F5200" s="13"/>
      <c r="G5200" s="12"/>
      <c r="H5200" s="11"/>
    </row>
    <row r="5201" spans="3:8" x14ac:dyDescent="0.25">
      <c r="C5201" s="12"/>
      <c r="D5201" s="13"/>
      <c r="E5201" s="13"/>
      <c r="F5201" s="13"/>
      <c r="G5201" s="12"/>
      <c r="H5201" s="11"/>
    </row>
    <row r="5202" spans="3:8" x14ac:dyDescent="0.25">
      <c r="C5202" s="12"/>
      <c r="D5202" s="13"/>
      <c r="E5202" s="13"/>
      <c r="F5202" s="13"/>
      <c r="G5202" s="12"/>
      <c r="H5202" s="11"/>
    </row>
    <row r="5203" spans="3:8" x14ac:dyDescent="0.25">
      <c r="C5203" s="12"/>
      <c r="D5203" s="13"/>
      <c r="E5203" s="13"/>
      <c r="F5203" s="13"/>
      <c r="G5203" s="12"/>
      <c r="H5203" s="11"/>
    </row>
    <row r="5204" spans="3:8" x14ac:dyDescent="0.25">
      <c r="C5204" s="12"/>
      <c r="D5204" s="13"/>
      <c r="E5204" s="13"/>
      <c r="F5204" s="13"/>
      <c r="G5204" s="12"/>
      <c r="H5204" s="11"/>
    </row>
    <row r="5205" spans="3:8" x14ac:dyDescent="0.25">
      <c r="C5205" s="12"/>
      <c r="D5205" s="13"/>
      <c r="E5205" s="13"/>
      <c r="F5205" s="13"/>
      <c r="G5205" s="12"/>
      <c r="H5205" s="11"/>
    </row>
    <row r="5206" spans="3:8" x14ac:dyDescent="0.25">
      <c r="C5206" s="12"/>
      <c r="D5206" s="13"/>
      <c r="E5206" s="13"/>
      <c r="F5206" s="13"/>
      <c r="G5206" s="12"/>
      <c r="H5206" s="11"/>
    </row>
    <row r="5207" spans="3:8" x14ac:dyDescent="0.25">
      <c r="C5207" s="12"/>
      <c r="D5207" s="13"/>
      <c r="E5207" s="13"/>
      <c r="F5207" s="13"/>
      <c r="G5207" s="12"/>
      <c r="H5207" s="11"/>
    </row>
    <row r="5208" spans="3:8" x14ac:dyDescent="0.25">
      <c r="C5208" s="12"/>
      <c r="D5208" s="13"/>
      <c r="E5208" s="13"/>
      <c r="F5208" s="13"/>
      <c r="G5208" s="12"/>
      <c r="H5208" s="11"/>
    </row>
    <row r="5209" spans="3:8" x14ac:dyDescent="0.25">
      <c r="C5209" s="12"/>
      <c r="D5209" s="13"/>
      <c r="E5209" s="13"/>
      <c r="F5209" s="13"/>
      <c r="G5209" s="12"/>
      <c r="H5209" s="11"/>
    </row>
    <row r="5210" spans="3:8" x14ac:dyDescent="0.25">
      <c r="C5210" s="12"/>
      <c r="D5210" s="13"/>
      <c r="E5210" s="13"/>
      <c r="F5210" s="13"/>
      <c r="G5210" s="12"/>
      <c r="H5210" s="11"/>
    </row>
    <row r="5211" spans="3:8" x14ac:dyDescent="0.25">
      <c r="C5211" s="12"/>
      <c r="D5211" s="13"/>
      <c r="E5211" s="13"/>
      <c r="F5211" s="13"/>
      <c r="G5211" s="12"/>
      <c r="H5211" s="11"/>
    </row>
    <row r="5212" spans="3:8" x14ac:dyDescent="0.25">
      <c r="C5212" s="12"/>
      <c r="D5212" s="13"/>
      <c r="E5212" s="13"/>
      <c r="F5212" s="13"/>
      <c r="G5212" s="12"/>
      <c r="H5212" s="11"/>
    </row>
    <row r="5213" spans="3:8" x14ac:dyDescent="0.25">
      <c r="C5213" s="12"/>
      <c r="D5213" s="13"/>
      <c r="E5213" s="13"/>
      <c r="F5213" s="13"/>
      <c r="G5213" s="12"/>
      <c r="H5213" s="11"/>
    </row>
    <row r="5214" spans="3:8" x14ac:dyDescent="0.25">
      <c r="C5214" s="12"/>
      <c r="D5214" s="13"/>
      <c r="E5214" s="13"/>
      <c r="F5214" s="13"/>
      <c r="G5214" s="12"/>
      <c r="H5214" s="11"/>
    </row>
    <row r="5215" spans="3:8" x14ac:dyDescent="0.25">
      <c r="C5215" s="12"/>
      <c r="D5215" s="13"/>
      <c r="E5215" s="13"/>
      <c r="F5215" s="13"/>
      <c r="G5215" s="12"/>
      <c r="H5215" s="11"/>
    </row>
    <row r="5216" spans="3:8" x14ac:dyDescent="0.25">
      <c r="C5216" s="12"/>
      <c r="D5216" s="13"/>
      <c r="E5216" s="13"/>
      <c r="F5216" s="13"/>
      <c r="G5216" s="12"/>
      <c r="H5216" s="11"/>
    </row>
    <row r="5217" spans="3:8" x14ac:dyDescent="0.25">
      <c r="C5217" s="12"/>
      <c r="D5217" s="13"/>
      <c r="E5217" s="13"/>
      <c r="F5217" s="13"/>
      <c r="G5217" s="12"/>
      <c r="H5217" s="11"/>
    </row>
    <row r="5218" spans="3:8" x14ac:dyDescent="0.25">
      <c r="C5218" s="12"/>
      <c r="D5218" s="13"/>
      <c r="E5218" s="13"/>
      <c r="F5218" s="13"/>
      <c r="G5218" s="12"/>
      <c r="H5218" s="11"/>
    </row>
    <row r="5219" spans="3:8" x14ac:dyDescent="0.25">
      <c r="C5219" s="12"/>
      <c r="D5219" s="13"/>
      <c r="E5219" s="13"/>
      <c r="F5219" s="13"/>
      <c r="G5219" s="12"/>
      <c r="H5219" s="11"/>
    </row>
    <row r="5220" spans="3:8" x14ac:dyDescent="0.25">
      <c r="C5220" s="12"/>
      <c r="D5220" s="13"/>
      <c r="E5220" s="13"/>
      <c r="F5220" s="13"/>
      <c r="G5220" s="12"/>
      <c r="H5220" s="11"/>
    </row>
    <row r="5221" spans="3:8" x14ac:dyDescent="0.25">
      <c r="C5221" s="12"/>
      <c r="D5221" s="13"/>
      <c r="E5221" s="13"/>
      <c r="F5221" s="13"/>
      <c r="G5221" s="12"/>
      <c r="H5221" s="11"/>
    </row>
    <row r="5222" spans="3:8" x14ac:dyDescent="0.25">
      <c r="C5222" s="12"/>
      <c r="D5222" s="13"/>
      <c r="E5222" s="13"/>
      <c r="F5222" s="13"/>
      <c r="G5222" s="12"/>
      <c r="H5222" s="11"/>
    </row>
    <row r="5223" spans="3:8" x14ac:dyDescent="0.25">
      <c r="C5223" s="12"/>
      <c r="D5223" s="13"/>
      <c r="E5223" s="13"/>
      <c r="F5223" s="13"/>
      <c r="G5223" s="12"/>
      <c r="H5223" s="11"/>
    </row>
    <row r="5224" spans="3:8" x14ac:dyDescent="0.25">
      <c r="C5224" s="12"/>
      <c r="D5224" s="13"/>
      <c r="E5224" s="13"/>
      <c r="F5224" s="13"/>
      <c r="G5224" s="12"/>
      <c r="H5224" s="11"/>
    </row>
    <row r="5225" spans="3:8" x14ac:dyDescent="0.25">
      <c r="C5225" s="12"/>
      <c r="D5225" s="13"/>
      <c r="E5225" s="13"/>
      <c r="F5225" s="13"/>
      <c r="G5225" s="12"/>
      <c r="H5225" s="11"/>
    </row>
    <row r="5226" spans="3:8" x14ac:dyDescent="0.25">
      <c r="C5226" s="12"/>
      <c r="D5226" s="13"/>
      <c r="E5226" s="13"/>
      <c r="F5226" s="13"/>
      <c r="G5226" s="12"/>
      <c r="H5226" s="11"/>
    </row>
    <row r="5227" spans="3:8" x14ac:dyDescent="0.25">
      <c r="C5227" s="12"/>
      <c r="D5227" s="13"/>
      <c r="E5227" s="13"/>
      <c r="F5227" s="13"/>
      <c r="G5227" s="12"/>
      <c r="H5227" s="11"/>
    </row>
    <row r="5228" spans="3:8" x14ac:dyDescent="0.25">
      <c r="C5228" s="12"/>
      <c r="D5228" s="13"/>
      <c r="E5228" s="13"/>
      <c r="F5228" s="13"/>
      <c r="G5228" s="12"/>
      <c r="H5228" s="11"/>
    </row>
    <row r="5229" spans="3:8" x14ac:dyDescent="0.25">
      <c r="C5229" s="12"/>
      <c r="D5229" s="13"/>
      <c r="E5229" s="13"/>
      <c r="F5229" s="13"/>
      <c r="G5229" s="12"/>
      <c r="H5229" s="11"/>
    </row>
    <row r="5230" spans="3:8" x14ac:dyDescent="0.25">
      <c r="C5230" s="12"/>
      <c r="D5230" s="13"/>
      <c r="E5230" s="13"/>
      <c r="F5230" s="13"/>
      <c r="G5230" s="12"/>
      <c r="H5230" s="11"/>
    </row>
    <row r="5231" spans="3:8" x14ac:dyDescent="0.25">
      <c r="C5231" s="12"/>
      <c r="D5231" s="13"/>
      <c r="E5231" s="13"/>
      <c r="F5231" s="13"/>
      <c r="G5231" s="12"/>
      <c r="H5231" s="11"/>
    </row>
    <row r="5232" spans="3:8" x14ac:dyDescent="0.25">
      <c r="C5232" s="12"/>
      <c r="D5232" s="13"/>
      <c r="E5232" s="13"/>
      <c r="F5232" s="13"/>
      <c r="G5232" s="12"/>
      <c r="H5232" s="11"/>
    </row>
    <row r="5233" spans="3:8" x14ac:dyDescent="0.25">
      <c r="C5233" s="12"/>
      <c r="D5233" s="13"/>
      <c r="E5233" s="13"/>
      <c r="F5233" s="13"/>
      <c r="G5233" s="12"/>
      <c r="H5233" s="11"/>
    </row>
    <row r="5234" spans="3:8" x14ac:dyDescent="0.25">
      <c r="C5234" s="12"/>
      <c r="D5234" s="13"/>
      <c r="E5234" s="13"/>
      <c r="F5234" s="13"/>
      <c r="G5234" s="12"/>
      <c r="H5234" s="11"/>
    </row>
    <row r="5235" spans="3:8" x14ac:dyDescent="0.25">
      <c r="C5235" s="12"/>
      <c r="D5235" s="13"/>
      <c r="E5235" s="13"/>
      <c r="F5235" s="13"/>
      <c r="G5235" s="12"/>
      <c r="H5235" s="11"/>
    </row>
    <row r="5236" spans="3:8" x14ac:dyDescent="0.25">
      <c r="C5236" s="12"/>
      <c r="D5236" s="13"/>
      <c r="E5236" s="13"/>
      <c r="F5236" s="13"/>
      <c r="G5236" s="12"/>
      <c r="H5236" s="11"/>
    </row>
    <row r="5237" spans="3:8" x14ac:dyDescent="0.25">
      <c r="C5237" s="12"/>
      <c r="D5237" s="13"/>
      <c r="E5237" s="13"/>
      <c r="F5237" s="13"/>
      <c r="G5237" s="12"/>
      <c r="H5237" s="11"/>
    </row>
    <row r="5238" spans="3:8" x14ac:dyDescent="0.25">
      <c r="C5238" s="12"/>
      <c r="D5238" s="13"/>
      <c r="E5238" s="13"/>
      <c r="F5238" s="13"/>
      <c r="G5238" s="12"/>
      <c r="H5238" s="11"/>
    </row>
    <row r="5239" spans="3:8" x14ac:dyDescent="0.25">
      <c r="C5239" s="12"/>
      <c r="D5239" s="13"/>
      <c r="E5239" s="13"/>
      <c r="F5239" s="13"/>
      <c r="G5239" s="12"/>
      <c r="H5239" s="11"/>
    </row>
    <row r="5240" spans="3:8" x14ac:dyDescent="0.25">
      <c r="C5240" s="12"/>
      <c r="D5240" s="13"/>
      <c r="E5240" s="13"/>
      <c r="F5240" s="13"/>
      <c r="G5240" s="12"/>
      <c r="H5240" s="11"/>
    </row>
    <row r="5241" spans="3:8" x14ac:dyDescent="0.25">
      <c r="C5241" s="12"/>
      <c r="D5241" s="13"/>
      <c r="E5241" s="13"/>
      <c r="F5241" s="13"/>
      <c r="G5241" s="12"/>
      <c r="H5241" s="11"/>
    </row>
    <row r="5242" spans="3:8" x14ac:dyDescent="0.25">
      <c r="C5242" s="12"/>
      <c r="D5242" s="13"/>
      <c r="E5242" s="13"/>
      <c r="F5242" s="13"/>
      <c r="G5242" s="12"/>
      <c r="H5242" s="11"/>
    </row>
    <row r="5243" spans="3:8" x14ac:dyDescent="0.25">
      <c r="C5243" s="12"/>
      <c r="D5243" s="13"/>
      <c r="E5243" s="13"/>
      <c r="F5243" s="13"/>
      <c r="G5243" s="12"/>
      <c r="H5243" s="11"/>
    </row>
    <row r="5244" spans="3:8" x14ac:dyDescent="0.25">
      <c r="C5244" s="12"/>
      <c r="D5244" s="13"/>
      <c r="E5244" s="13"/>
      <c r="F5244" s="13"/>
      <c r="G5244" s="12"/>
      <c r="H5244" s="11"/>
    </row>
    <row r="5245" spans="3:8" x14ac:dyDescent="0.25">
      <c r="C5245" s="12"/>
      <c r="D5245" s="13"/>
      <c r="E5245" s="13"/>
      <c r="F5245" s="13"/>
      <c r="G5245" s="12"/>
      <c r="H5245" s="11"/>
    </row>
    <row r="5246" spans="3:8" x14ac:dyDescent="0.25">
      <c r="C5246" s="12"/>
      <c r="D5246" s="13"/>
      <c r="E5246" s="13"/>
      <c r="F5246" s="13"/>
      <c r="G5246" s="12"/>
      <c r="H5246" s="11"/>
    </row>
    <row r="5247" spans="3:8" x14ac:dyDescent="0.25">
      <c r="C5247" s="12"/>
      <c r="D5247" s="13"/>
      <c r="E5247" s="13"/>
      <c r="F5247" s="13"/>
      <c r="G5247" s="12"/>
      <c r="H5247" s="11"/>
    </row>
    <row r="5248" spans="3:8" x14ac:dyDescent="0.25">
      <c r="C5248" s="12"/>
      <c r="D5248" s="13"/>
      <c r="E5248" s="13"/>
      <c r="F5248" s="13"/>
      <c r="G5248" s="12"/>
      <c r="H5248" s="11"/>
    </row>
    <row r="5249" spans="3:8" x14ac:dyDescent="0.25">
      <c r="C5249" s="12"/>
      <c r="D5249" s="13"/>
      <c r="E5249" s="13"/>
      <c r="F5249" s="13"/>
      <c r="G5249" s="12"/>
      <c r="H5249" s="11"/>
    </row>
    <row r="5250" spans="3:8" x14ac:dyDescent="0.25">
      <c r="C5250" s="12"/>
      <c r="D5250" s="13"/>
      <c r="E5250" s="13"/>
      <c r="F5250" s="13"/>
      <c r="G5250" s="12"/>
      <c r="H5250" s="11"/>
    </row>
    <row r="5251" spans="3:8" x14ac:dyDescent="0.25">
      <c r="C5251" s="12"/>
      <c r="D5251" s="13"/>
      <c r="E5251" s="13"/>
      <c r="F5251" s="13"/>
      <c r="G5251" s="12"/>
      <c r="H5251" s="11"/>
    </row>
    <row r="5252" spans="3:8" x14ac:dyDescent="0.25">
      <c r="C5252" s="12"/>
      <c r="D5252" s="13"/>
      <c r="E5252" s="13"/>
      <c r="F5252" s="13"/>
      <c r="G5252" s="12"/>
      <c r="H5252" s="11"/>
    </row>
    <row r="5253" spans="3:8" x14ac:dyDescent="0.25">
      <c r="C5253" s="12"/>
      <c r="D5253" s="13"/>
      <c r="E5253" s="13"/>
      <c r="F5253" s="13"/>
      <c r="G5253" s="12"/>
      <c r="H5253" s="11"/>
    </row>
    <row r="5254" spans="3:8" x14ac:dyDescent="0.25">
      <c r="C5254" s="12"/>
      <c r="D5254" s="13"/>
      <c r="E5254" s="13"/>
      <c r="F5254" s="13"/>
      <c r="G5254" s="12"/>
      <c r="H5254" s="11"/>
    </row>
    <row r="5255" spans="3:8" x14ac:dyDescent="0.25">
      <c r="C5255" s="12"/>
      <c r="D5255" s="13"/>
      <c r="E5255" s="13"/>
      <c r="F5255" s="13"/>
      <c r="G5255" s="12"/>
      <c r="H5255" s="11"/>
    </row>
    <row r="5256" spans="3:8" x14ac:dyDescent="0.25">
      <c r="C5256" s="12"/>
      <c r="D5256" s="13"/>
      <c r="E5256" s="13"/>
      <c r="F5256" s="13"/>
      <c r="G5256" s="12"/>
      <c r="H5256" s="11"/>
    </row>
    <row r="5257" spans="3:8" x14ac:dyDescent="0.25">
      <c r="C5257" s="12"/>
      <c r="D5257" s="13"/>
      <c r="E5257" s="13"/>
      <c r="F5257" s="13"/>
      <c r="G5257" s="12"/>
      <c r="H5257" s="11"/>
    </row>
    <row r="5258" spans="3:8" x14ac:dyDescent="0.25">
      <c r="C5258" s="12"/>
      <c r="D5258" s="13"/>
      <c r="E5258" s="13"/>
      <c r="F5258" s="13"/>
      <c r="G5258" s="12"/>
      <c r="H5258" s="11"/>
    </row>
    <row r="5259" spans="3:8" x14ac:dyDescent="0.25">
      <c r="C5259" s="12"/>
      <c r="D5259" s="13"/>
      <c r="E5259" s="13"/>
      <c r="F5259" s="13"/>
      <c r="G5259" s="12"/>
      <c r="H5259" s="11"/>
    </row>
    <row r="5260" spans="3:8" x14ac:dyDescent="0.25">
      <c r="C5260" s="12"/>
      <c r="D5260" s="13"/>
      <c r="E5260" s="13"/>
      <c r="F5260" s="13"/>
      <c r="G5260" s="12"/>
      <c r="H5260" s="11"/>
    </row>
    <row r="5261" spans="3:8" x14ac:dyDescent="0.25">
      <c r="C5261" s="12"/>
      <c r="D5261" s="13"/>
      <c r="E5261" s="13"/>
      <c r="F5261" s="13"/>
      <c r="G5261" s="12"/>
      <c r="H5261" s="11"/>
    </row>
    <row r="5262" spans="3:8" x14ac:dyDescent="0.25">
      <c r="C5262" s="12"/>
      <c r="D5262" s="13"/>
      <c r="E5262" s="13"/>
      <c r="F5262" s="13"/>
      <c r="G5262" s="12"/>
      <c r="H5262" s="11"/>
    </row>
    <row r="5263" spans="3:8" x14ac:dyDescent="0.25">
      <c r="C5263" s="12"/>
      <c r="D5263" s="13"/>
      <c r="E5263" s="13"/>
      <c r="F5263" s="13"/>
      <c r="G5263" s="12"/>
      <c r="H5263" s="11"/>
    </row>
    <row r="5264" spans="3:8" x14ac:dyDescent="0.25">
      <c r="C5264" s="12"/>
      <c r="D5264" s="13"/>
      <c r="E5264" s="13"/>
      <c r="F5264" s="13"/>
      <c r="G5264" s="12"/>
      <c r="H5264" s="11"/>
    </row>
    <row r="5265" spans="3:8" x14ac:dyDescent="0.25">
      <c r="C5265" s="12"/>
      <c r="D5265" s="13"/>
      <c r="E5265" s="13"/>
      <c r="F5265" s="13"/>
      <c r="G5265" s="12"/>
      <c r="H5265" s="11"/>
    </row>
    <row r="5266" spans="3:8" x14ac:dyDescent="0.25">
      <c r="C5266" s="12"/>
      <c r="D5266" s="13"/>
      <c r="E5266" s="13"/>
      <c r="F5266" s="13"/>
      <c r="G5266" s="12"/>
      <c r="H5266" s="11"/>
    </row>
    <row r="5267" spans="3:8" x14ac:dyDescent="0.25">
      <c r="C5267" s="12"/>
      <c r="D5267" s="13"/>
      <c r="E5267" s="13"/>
      <c r="F5267" s="13"/>
      <c r="G5267" s="12"/>
      <c r="H5267" s="11"/>
    </row>
    <row r="5268" spans="3:8" x14ac:dyDescent="0.25">
      <c r="C5268" s="12"/>
      <c r="D5268" s="13"/>
      <c r="E5268" s="13"/>
      <c r="F5268" s="13"/>
      <c r="G5268" s="12"/>
      <c r="H5268" s="11"/>
    </row>
    <row r="5269" spans="3:8" x14ac:dyDescent="0.25">
      <c r="C5269" s="12"/>
      <c r="D5269" s="13"/>
      <c r="E5269" s="13"/>
      <c r="F5269" s="13"/>
      <c r="G5269" s="12"/>
      <c r="H5269" s="11"/>
    </row>
    <row r="5270" spans="3:8" x14ac:dyDescent="0.25">
      <c r="C5270" s="12"/>
      <c r="D5270" s="13"/>
      <c r="E5270" s="13"/>
      <c r="F5270" s="13"/>
      <c r="G5270" s="12"/>
      <c r="H5270" s="11"/>
    </row>
    <row r="5271" spans="3:8" x14ac:dyDescent="0.25">
      <c r="C5271" s="12"/>
      <c r="D5271" s="13"/>
      <c r="E5271" s="13"/>
      <c r="F5271" s="13"/>
      <c r="G5271" s="12"/>
      <c r="H5271" s="11"/>
    </row>
    <row r="5272" spans="3:8" x14ac:dyDescent="0.25">
      <c r="C5272" s="12"/>
      <c r="D5272" s="13"/>
      <c r="E5272" s="13"/>
      <c r="F5272" s="13"/>
      <c r="G5272" s="12"/>
      <c r="H5272" s="11"/>
    </row>
    <row r="5273" spans="3:8" x14ac:dyDescent="0.25">
      <c r="C5273" s="12"/>
      <c r="D5273" s="13"/>
      <c r="E5273" s="13"/>
      <c r="F5273" s="13"/>
      <c r="G5273" s="12"/>
      <c r="H5273" s="11"/>
    </row>
    <row r="5274" spans="3:8" x14ac:dyDescent="0.25">
      <c r="C5274" s="12"/>
      <c r="D5274" s="13"/>
      <c r="E5274" s="13"/>
      <c r="F5274" s="13"/>
      <c r="G5274" s="12"/>
      <c r="H5274" s="11"/>
    </row>
    <row r="5275" spans="3:8" x14ac:dyDescent="0.25">
      <c r="C5275" s="12"/>
      <c r="D5275" s="13"/>
      <c r="E5275" s="13"/>
      <c r="F5275" s="13"/>
      <c r="G5275" s="12"/>
      <c r="H5275" s="11"/>
    </row>
    <row r="5276" spans="3:8" x14ac:dyDescent="0.25">
      <c r="C5276" s="12"/>
      <c r="D5276" s="13"/>
      <c r="E5276" s="13"/>
      <c r="F5276" s="13"/>
      <c r="G5276" s="12"/>
      <c r="H5276" s="11"/>
    </row>
    <row r="5277" spans="3:8" x14ac:dyDescent="0.25">
      <c r="C5277" s="12"/>
      <c r="D5277" s="13"/>
      <c r="E5277" s="13"/>
      <c r="F5277" s="13"/>
      <c r="G5277" s="12"/>
      <c r="H5277" s="11"/>
    </row>
    <row r="5278" spans="3:8" x14ac:dyDescent="0.25">
      <c r="C5278" s="12"/>
      <c r="D5278" s="13"/>
      <c r="E5278" s="13"/>
      <c r="F5278" s="13"/>
      <c r="G5278" s="12"/>
      <c r="H5278" s="11"/>
    </row>
    <row r="5279" spans="3:8" x14ac:dyDescent="0.25">
      <c r="C5279" s="12"/>
      <c r="D5279" s="13"/>
      <c r="E5279" s="13"/>
      <c r="F5279" s="13"/>
      <c r="G5279" s="12"/>
      <c r="H5279" s="11"/>
    </row>
    <row r="5280" spans="3:8" x14ac:dyDescent="0.25">
      <c r="C5280" s="12"/>
      <c r="D5280" s="13"/>
      <c r="E5280" s="13"/>
      <c r="F5280" s="13"/>
      <c r="G5280" s="12"/>
      <c r="H5280" s="11"/>
    </row>
    <row r="5281" spans="3:8" x14ac:dyDescent="0.25">
      <c r="C5281" s="12"/>
      <c r="D5281" s="13"/>
      <c r="E5281" s="13"/>
      <c r="F5281" s="13"/>
      <c r="G5281" s="12"/>
      <c r="H5281" s="11"/>
    </row>
    <row r="5282" spans="3:8" x14ac:dyDescent="0.25">
      <c r="C5282" s="12"/>
      <c r="D5282" s="13"/>
      <c r="E5282" s="13"/>
      <c r="F5282" s="13"/>
      <c r="G5282" s="12"/>
      <c r="H5282" s="11"/>
    </row>
    <row r="5283" spans="3:8" x14ac:dyDescent="0.25">
      <c r="C5283" s="12"/>
      <c r="D5283" s="13"/>
      <c r="E5283" s="13"/>
      <c r="F5283" s="13"/>
      <c r="G5283" s="12"/>
      <c r="H5283" s="11"/>
    </row>
    <row r="5284" spans="3:8" x14ac:dyDescent="0.25">
      <c r="C5284" s="12"/>
      <c r="D5284" s="13"/>
      <c r="E5284" s="13"/>
      <c r="F5284" s="13"/>
      <c r="G5284" s="12"/>
      <c r="H5284" s="11"/>
    </row>
    <row r="5285" spans="3:8" x14ac:dyDescent="0.25">
      <c r="C5285" s="12"/>
      <c r="D5285" s="13"/>
      <c r="E5285" s="13"/>
      <c r="F5285" s="13"/>
      <c r="G5285" s="12"/>
      <c r="H5285" s="11"/>
    </row>
    <row r="5286" spans="3:8" x14ac:dyDescent="0.25">
      <c r="C5286" s="12"/>
      <c r="D5286" s="13"/>
      <c r="E5286" s="13"/>
      <c r="F5286" s="13"/>
      <c r="G5286" s="12"/>
      <c r="H5286" s="11"/>
    </row>
    <row r="5287" spans="3:8" x14ac:dyDescent="0.25">
      <c r="C5287" s="12"/>
      <c r="D5287" s="13"/>
      <c r="E5287" s="13"/>
      <c r="F5287" s="13"/>
      <c r="G5287" s="12"/>
      <c r="H5287" s="11"/>
    </row>
    <row r="5288" spans="3:8" x14ac:dyDescent="0.25">
      <c r="C5288" s="12"/>
      <c r="D5288" s="13"/>
      <c r="E5288" s="13"/>
      <c r="F5288" s="13"/>
      <c r="G5288" s="12"/>
      <c r="H5288" s="11"/>
    </row>
    <row r="5289" spans="3:8" x14ac:dyDescent="0.25">
      <c r="C5289" s="12"/>
      <c r="D5289" s="13"/>
      <c r="E5289" s="13"/>
      <c r="F5289" s="13"/>
      <c r="G5289" s="12"/>
      <c r="H5289" s="11"/>
    </row>
    <row r="5290" spans="3:8" x14ac:dyDescent="0.25">
      <c r="C5290" s="12"/>
      <c r="D5290" s="13"/>
      <c r="E5290" s="13"/>
      <c r="F5290" s="13"/>
      <c r="G5290" s="12"/>
      <c r="H5290" s="11"/>
    </row>
    <row r="5291" spans="3:8" x14ac:dyDescent="0.25">
      <c r="C5291" s="12"/>
      <c r="D5291" s="13"/>
      <c r="E5291" s="13"/>
      <c r="F5291" s="13"/>
      <c r="G5291" s="12"/>
      <c r="H5291" s="11"/>
    </row>
    <row r="5292" spans="3:8" x14ac:dyDescent="0.25">
      <c r="C5292" s="12"/>
      <c r="D5292" s="13"/>
      <c r="E5292" s="13"/>
      <c r="F5292" s="13"/>
      <c r="G5292" s="12"/>
      <c r="H5292" s="11"/>
    </row>
    <row r="5293" spans="3:8" x14ac:dyDescent="0.25">
      <c r="C5293" s="12"/>
      <c r="D5293" s="13"/>
      <c r="E5293" s="13"/>
      <c r="F5293" s="13"/>
      <c r="G5293" s="12"/>
      <c r="H5293" s="11"/>
    </row>
    <row r="5294" spans="3:8" x14ac:dyDescent="0.25">
      <c r="C5294" s="12"/>
      <c r="D5294" s="13"/>
      <c r="E5294" s="13"/>
      <c r="F5294" s="13"/>
      <c r="G5294" s="12"/>
      <c r="H5294" s="11"/>
    </row>
    <row r="5295" spans="3:8" x14ac:dyDescent="0.25">
      <c r="C5295" s="12"/>
      <c r="D5295" s="13"/>
      <c r="E5295" s="13"/>
      <c r="F5295" s="13"/>
      <c r="G5295" s="12"/>
      <c r="H5295" s="11"/>
    </row>
    <row r="5296" spans="3:8" x14ac:dyDescent="0.25">
      <c r="C5296" s="12"/>
      <c r="D5296" s="13"/>
      <c r="E5296" s="13"/>
      <c r="F5296" s="13"/>
      <c r="G5296" s="12"/>
      <c r="H5296" s="11"/>
    </row>
    <row r="5297" spans="3:8" x14ac:dyDescent="0.25">
      <c r="C5297" s="12"/>
      <c r="D5297" s="13"/>
      <c r="E5297" s="13"/>
      <c r="F5297" s="13"/>
      <c r="G5297" s="12"/>
      <c r="H5297" s="11"/>
    </row>
    <row r="5298" spans="3:8" x14ac:dyDescent="0.25">
      <c r="C5298" s="12"/>
      <c r="D5298" s="13"/>
      <c r="E5298" s="13"/>
      <c r="F5298" s="13"/>
      <c r="G5298" s="12"/>
      <c r="H5298" s="11"/>
    </row>
    <row r="5299" spans="3:8" x14ac:dyDescent="0.25">
      <c r="C5299" s="12"/>
      <c r="D5299" s="13"/>
      <c r="E5299" s="13"/>
      <c r="F5299" s="13"/>
      <c r="G5299" s="12"/>
      <c r="H5299" s="11"/>
    </row>
    <row r="5300" spans="3:8" x14ac:dyDescent="0.25">
      <c r="C5300" s="12"/>
      <c r="D5300" s="13"/>
      <c r="E5300" s="13"/>
      <c r="F5300" s="13"/>
      <c r="G5300" s="12"/>
      <c r="H5300" s="11"/>
    </row>
    <row r="5301" spans="3:8" x14ac:dyDescent="0.25">
      <c r="C5301" s="12"/>
      <c r="D5301" s="13"/>
      <c r="E5301" s="13"/>
      <c r="F5301" s="13"/>
      <c r="G5301" s="12"/>
      <c r="H5301" s="11"/>
    </row>
    <row r="5302" spans="3:8" x14ac:dyDescent="0.25">
      <c r="C5302" s="12"/>
      <c r="D5302" s="13"/>
      <c r="E5302" s="13"/>
      <c r="F5302" s="13"/>
      <c r="G5302" s="12"/>
      <c r="H5302" s="11"/>
    </row>
    <row r="5303" spans="3:8" x14ac:dyDescent="0.25">
      <c r="C5303" s="12"/>
      <c r="D5303" s="13"/>
      <c r="E5303" s="13"/>
      <c r="F5303" s="13"/>
      <c r="G5303" s="12"/>
      <c r="H5303" s="11"/>
    </row>
    <row r="5304" spans="3:8" x14ac:dyDescent="0.25">
      <c r="C5304" s="12"/>
      <c r="D5304" s="13"/>
      <c r="E5304" s="13"/>
      <c r="F5304" s="13"/>
      <c r="G5304" s="12"/>
      <c r="H5304" s="11"/>
    </row>
    <row r="5305" spans="3:8" x14ac:dyDescent="0.25">
      <c r="C5305" s="12"/>
      <c r="D5305" s="13"/>
      <c r="E5305" s="13"/>
      <c r="F5305" s="13"/>
      <c r="G5305" s="12"/>
      <c r="H5305" s="11"/>
    </row>
    <row r="5306" spans="3:8" x14ac:dyDescent="0.25">
      <c r="C5306" s="12"/>
      <c r="D5306" s="13"/>
      <c r="E5306" s="13"/>
      <c r="F5306" s="13"/>
      <c r="G5306" s="12"/>
      <c r="H5306" s="11"/>
    </row>
    <row r="5307" spans="3:8" x14ac:dyDescent="0.25">
      <c r="C5307" s="12"/>
      <c r="D5307" s="13"/>
      <c r="E5307" s="13"/>
      <c r="F5307" s="13"/>
      <c r="G5307" s="12"/>
      <c r="H5307" s="11"/>
    </row>
    <row r="5308" spans="3:8" x14ac:dyDescent="0.25">
      <c r="C5308" s="12"/>
      <c r="D5308" s="13"/>
      <c r="E5308" s="13"/>
      <c r="F5308" s="13"/>
      <c r="G5308" s="12"/>
      <c r="H5308" s="11"/>
    </row>
    <row r="5309" spans="3:8" x14ac:dyDescent="0.25">
      <c r="C5309" s="12"/>
      <c r="D5309" s="13"/>
      <c r="E5309" s="13"/>
      <c r="F5309" s="13"/>
      <c r="G5309" s="12"/>
      <c r="H5309" s="11"/>
    </row>
    <row r="5310" spans="3:8" x14ac:dyDescent="0.25">
      <c r="C5310" s="12"/>
      <c r="D5310" s="13"/>
      <c r="E5310" s="13"/>
      <c r="F5310" s="13"/>
      <c r="G5310" s="12"/>
      <c r="H5310" s="11"/>
    </row>
    <row r="5311" spans="3:8" x14ac:dyDescent="0.25">
      <c r="C5311" s="12"/>
      <c r="D5311" s="13"/>
      <c r="E5311" s="13"/>
      <c r="F5311" s="13"/>
      <c r="G5311" s="12"/>
      <c r="H5311" s="11"/>
    </row>
    <row r="5312" spans="3:8" x14ac:dyDescent="0.25">
      <c r="C5312" s="12"/>
      <c r="D5312" s="13"/>
      <c r="E5312" s="13"/>
      <c r="F5312" s="13"/>
      <c r="G5312" s="12"/>
      <c r="H5312" s="11"/>
    </row>
    <row r="5313" spans="3:8" x14ac:dyDescent="0.25">
      <c r="C5313" s="12"/>
      <c r="D5313" s="13"/>
      <c r="E5313" s="13"/>
      <c r="F5313" s="13"/>
      <c r="G5313" s="12"/>
      <c r="H5313" s="11"/>
    </row>
    <row r="5314" spans="3:8" x14ac:dyDescent="0.25">
      <c r="C5314" s="12"/>
      <c r="D5314" s="13"/>
      <c r="E5314" s="13"/>
      <c r="F5314" s="13"/>
      <c r="G5314" s="12"/>
      <c r="H5314" s="11"/>
    </row>
    <row r="5315" spans="3:8" x14ac:dyDescent="0.25">
      <c r="C5315" s="12"/>
      <c r="D5315" s="13"/>
      <c r="E5315" s="13"/>
      <c r="F5315" s="13"/>
      <c r="G5315" s="12"/>
      <c r="H5315" s="11"/>
    </row>
    <row r="5316" spans="3:8" x14ac:dyDescent="0.25">
      <c r="C5316" s="12"/>
      <c r="D5316" s="13"/>
      <c r="E5316" s="13"/>
      <c r="F5316" s="13"/>
      <c r="G5316" s="12"/>
      <c r="H5316" s="11"/>
    </row>
    <row r="5317" spans="3:8" x14ac:dyDescent="0.25">
      <c r="C5317" s="12"/>
      <c r="D5317" s="13"/>
      <c r="E5317" s="13"/>
      <c r="F5317" s="13"/>
      <c r="G5317" s="12"/>
      <c r="H5317" s="11"/>
    </row>
    <row r="5318" spans="3:8" x14ac:dyDescent="0.25">
      <c r="C5318" s="12"/>
      <c r="D5318" s="13"/>
      <c r="E5318" s="13"/>
      <c r="F5318" s="13"/>
      <c r="G5318" s="12"/>
      <c r="H5318" s="11"/>
    </row>
    <row r="5319" spans="3:8" x14ac:dyDescent="0.25">
      <c r="C5319" s="12"/>
      <c r="D5319" s="13"/>
      <c r="E5319" s="13"/>
      <c r="F5319" s="13"/>
      <c r="G5319" s="12"/>
      <c r="H5319" s="11"/>
    </row>
    <row r="5320" spans="3:8" x14ac:dyDescent="0.25">
      <c r="C5320" s="12"/>
      <c r="D5320" s="13"/>
      <c r="E5320" s="13"/>
      <c r="F5320" s="13"/>
      <c r="G5320" s="12"/>
      <c r="H5320" s="11"/>
    </row>
    <row r="5321" spans="3:8" x14ac:dyDescent="0.25">
      <c r="C5321" s="12"/>
      <c r="D5321" s="13"/>
      <c r="E5321" s="13"/>
      <c r="F5321" s="13"/>
      <c r="G5321" s="12"/>
      <c r="H5321" s="11"/>
    </row>
    <row r="5322" spans="3:8" x14ac:dyDescent="0.25">
      <c r="C5322" s="12"/>
      <c r="D5322" s="13"/>
      <c r="E5322" s="13"/>
      <c r="F5322" s="13"/>
      <c r="G5322" s="12"/>
      <c r="H5322" s="11"/>
    </row>
    <row r="5323" spans="3:8" x14ac:dyDescent="0.25">
      <c r="C5323" s="12"/>
      <c r="D5323" s="13"/>
      <c r="E5323" s="13"/>
      <c r="F5323" s="13"/>
      <c r="G5323" s="12"/>
      <c r="H5323" s="11"/>
    </row>
    <row r="5324" spans="3:8" x14ac:dyDescent="0.25">
      <c r="C5324" s="12"/>
      <c r="D5324" s="13"/>
      <c r="E5324" s="13"/>
      <c r="F5324" s="13"/>
      <c r="G5324" s="12"/>
      <c r="H5324" s="11"/>
    </row>
    <row r="5325" spans="3:8" x14ac:dyDescent="0.25">
      <c r="C5325" s="12"/>
      <c r="D5325" s="13"/>
      <c r="E5325" s="13"/>
      <c r="F5325" s="13"/>
      <c r="G5325" s="12"/>
      <c r="H5325" s="11"/>
    </row>
    <row r="5326" spans="3:8" x14ac:dyDescent="0.25">
      <c r="C5326" s="12"/>
      <c r="D5326" s="13"/>
      <c r="E5326" s="13"/>
      <c r="F5326" s="13"/>
      <c r="G5326" s="12"/>
      <c r="H5326" s="11"/>
    </row>
    <row r="5327" spans="3:8" x14ac:dyDescent="0.25">
      <c r="C5327" s="12"/>
      <c r="D5327" s="13"/>
      <c r="E5327" s="13"/>
      <c r="F5327" s="13"/>
      <c r="G5327" s="12"/>
      <c r="H5327" s="11"/>
    </row>
    <row r="5328" spans="3:8" x14ac:dyDescent="0.25">
      <c r="C5328" s="12"/>
      <c r="D5328" s="13"/>
      <c r="E5328" s="13"/>
      <c r="F5328" s="13"/>
      <c r="G5328" s="12"/>
      <c r="H5328" s="11"/>
    </row>
    <row r="5329" spans="3:8" x14ac:dyDescent="0.25">
      <c r="C5329" s="12"/>
      <c r="D5329" s="13"/>
      <c r="E5329" s="13"/>
      <c r="F5329" s="13"/>
      <c r="G5329" s="12"/>
      <c r="H5329" s="11"/>
    </row>
    <row r="5330" spans="3:8" x14ac:dyDescent="0.25">
      <c r="C5330" s="12"/>
      <c r="D5330" s="13"/>
      <c r="E5330" s="13"/>
      <c r="F5330" s="13"/>
      <c r="G5330" s="12"/>
      <c r="H5330" s="11"/>
    </row>
    <row r="5331" spans="3:8" x14ac:dyDescent="0.25">
      <c r="C5331" s="12"/>
      <c r="D5331" s="13"/>
      <c r="E5331" s="13"/>
      <c r="F5331" s="13"/>
      <c r="G5331" s="12"/>
      <c r="H5331" s="11"/>
    </row>
    <row r="5332" spans="3:8" x14ac:dyDescent="0.25">
      <c r="C5332" s="12"/>
      <c r="D5332" s="13"/>
      <c r="E5332" s="13"/>
      <c r="F5332" s="13"/>
      <c r="G5332" s="12"/>
      <c r="H5332" s="11"/>
    </row>
    <row r="5333" spans="3:8" x14ac:dyDescent="0.25">
      <c r="C5333" s="12"/>
      <c r="D5333" s="13"/>
      <c r="E5333" s="13"/>
      <c r="F5333" s="13"/>
      <c r="G5333" s="12"/>
      <c r="H5333" s="11"/>
    </row>
    <row r="5334" spans="3:8" x14ac:dyDescent="0.25">
      <c r="C5334" s="12"/>
      <c r="D5334" s="13"/>
      <c r="E5334" s="13"/>
      <c r="F5334" s="13"/>
      <c r="G5334" s="12"/>
      <c r="H5334" s="11"/>
    </row>
    <row r="5335" spans="3:8" x14ac:dyDescent="0.25">
      <c r="C5335" s="12"/>
      <c r="D5335" s="13"/>
      <c r="E5335" s="13"/>
      <c r="F5335" s="13"/>
      <c r="G5335" s="12"/>
      <c r="H5335" s="11"/>
    </row>
    <row r="5336" spans="3:8" x14ac:dyDescent="0.25">
      <c r="C5336" s="12"/>
      <c r="D5336" s="13"/>
      <c r="E5336" s="13"/>
      <c r="F5336" s="13"/>
      <c r="G5336" s="12"/>
      <c r="H5336" s="11"/>
    </row>
    <row r="5337" spans="3:8" x14ac:dyDescent="0.25">
      <c r="C5337" s="12"/>
      <c r="D5337" s="13"/>
      <c r="E5337" s="13"/>
      <c r="F5337" s="13"/>
      <c r="G5337" s="12"/>
      <c r="H5337" s="11"/>
    </row>
    <row r="5338" spans="3:8" x14ac:dyDescent="0.25">
      <c r="C5338" s="12"/>
      <c r="D5338" s="13"/>
      <c r="E5338" s="13"/>
      <c r="F5338" s="13"/>
      <c r="G5338" s="12"/>
      <c r="H5338" s="11"/>
    </row>
    <row r="5339" spans="3:8" x14ac:dyDescent="0.25">
      <c r="C5339" s="12"/>
      <c r="D5339" s="13"/>
      <c r="E5339" s="13"/>
      <c r="F5339" s="13"/>
      <c r="G5339" s="12"/>
      <c r="H5339" s="11"/>
    </row>
    <row r="5340" spans="3:8" x14ac:dyDescent="0.25">
      <c r="C5340" s="12"/>
      <c r="D5340" s="13"/>
      <c r="E5340" s="13"/>
      <c r="F5340" s="13"/>
      <c r="G5340" s="12"/>
      <c r="H5340" s="11"/>
    </row>
    <row r="5341" spans="3:8" x14ac:dyDescent="0.25">
      <c r="C5341" s="12"/>
      <c r="D5341" s="13"/>
      <c r="E5341" s="13"/>
      <c r="F5341" s="13"/>
      <c r="G5341" s="12"/>
      <c r="H5341" s="11"/>
    </row>
    <row r="5342" spans="3:8" x14ac:dyDescent="0.25">
      <c r="C5342" s="12"/>
      <c r="D5342" s="13"/>
      <c r="E5342" s="13"/>
      <c r="F5342" s="13"/>
      <c r="G5342" s="12"/>
      <c r="H5342" s="11"/>
    </row>
    <row r="5343" spans="3:8" x14ac:dyDescent="0.25">
      <c r="C5343" s="12"/>
      <c r="D5343" s="13"/>
      <c r="E5343" s="13"/>
      <c r="F5343" s="13"/>
      <c r="G5343" s="12"/>
      <c r="H5343" s="11"/>
    </row>
    <row r="5344" spans="3:8" x14ac:dyDescent="0.25">
      <c r="C5344" s="12"/>
      <c r="D5344" s="13"/>
      <c r="E5344" s="13"/>
      <c r="F5344" s="13"/>
      <c r="G5344" s="12"/>
      <c r="H5344" s="11"/>
    </row>
    <row r="5345" spans="3:8" x14ac:dyDescent="0.25">
      <c r="C5345" s="12"/>
      <c r="D5345" s="13"/>
      <c r="E5345" s="13"/>
      <c r="F5345" s="13"/>
      <c r="G5345" s="12"/>
      <c r="H5345" s="11"/>
    </row>
    <row r="5346" spans="3:8" x14ac:dyDescent="0.25">
      <c r="C5346" s="12"/>
      <c r="D5346" s="13"/>
      <c r="E5346" s="13"/>
      <c r="F5346" s="13"/>
      <c r="G5346" s="12"/>
      <c r="H5346" s="11"/>
    </row>
    <row r="5347" spans="3:8" x14ac:dyDescent="0.25">
      <c r="C5347" s="12"/>
      <c r="D5347" s="13"/>
      <c r="E5347" s="13"/>
      <c r="F5347" s="13"/>
      <c r="G5347" s="12"/>
      <c r="H5347" s="11"/>
    </row>
    <row r="5348" spans="3:8" x14ac:dyDescent="0.25">
      <c r="C5348" s="12"/>
      <c r="D5348" s="13"/>
      <c r="E5348" s="13"/>
      <c r="F5348" s="13"/>
      <c r="G5348" s="12"/>
      <c r="H5348" s="11"/>
    </row>
    <row r="5349" spans="3:8" x14ac:dyDescent="0.25">
      <c r="C5349" s="12"/>
      <c r="D5349" s="13"/>
      <c r="E5349" s="13"/>
      <c r="F5349" s="13"/>
      <c r="G5349" s="12"/>
      <c r="H5349" s="11"/>
    </row>
    <row r="5350" spans="3:8" x14ac:dyDescent="0.25">
      <c r="C5350" s="12"/>
      <c r="D5350" s="13"/>
      <c r="E5350" s="13"/>
      <c r="F5350" s="13"/>
      <c r="G5350" s="12"/>
      <c r="H5350" s="11"/>
    </row>
    <row r="5351" spans="3:8" x14ac:dyDescent="0.25">
      <c r="C5351" s="12"/>
      <c r="D5351" s="13"/>
      <c r="E5351" s="13"/>
      <c r="F5351" s="13"/>
      <c r="G5351" s="12"/>
      <c r="H5351" s="11"/>
    </row>
    <row r="5352" spans="3:8" x14ac:dyDescent="0.25">
      <c r="C5352" s="12"/>
      <c r="D5352" s="13"/>
      <c r="E5352" s="13"/>
      <c r="F5352" s="13"/>
      <c r="G5352" s="12"/>
      <c r="H5352" s="11"/>
    </row>
    <row r="5353" spans="3:8" x14ac:dyDescent="0.25">
      <c r="C5353" s="12"/>
      <c r="D5353" s="13"/>
      <c r="E5353" s="13"/>
      <c r="F5353" s="13"/>
      <c r="G5353" s="12"/>
      <c r="H5353" s="11"/>
    </row>
    <row r="5354" spans="3:8" x14ac:dyDescent="0.25">
      <c r="C5354" s="12"/>
      <c r="D5354" s="13"/>
      <c r="E5354" s="13"/>
      <c r="F5354" s="13"/>
      <c r="G5354" s="12"/>
      <c r="H5354" s="11"/>
    </row>
    <row r="5355" spans="3:8" x14ac:dyDescent="0.25">
      <c r="C5355" s="12"/>
      <c r="D5355" s="13"/>
      <c r="E5355" s="13"/>
      <c r="F5355" s="13"/>
      <c r="G5355" s="12"/>
      <c r="H5355" s="11"/>
    </row>
    <row r="5356" spans="3:8" x14ac:dyDescent="0.25">
      <c r="C5356" s="12"/>
      <c r="D5356" s="13"/>
      <c r="E5356" s="13"/>
      <c r="F5356" s="13"/>
      <c r="G5356" s="12"/>
      <c r="H5356" s="11"/>
    </row>
    <row r="5357" spans="3:8" x14ac:dyDescent="0.25">
      <c r="C5357" s="12"/>
      <c r="D5357" s="13"/>
      <c r="E5357" s="13"/>
      <c r="F5357" s="13"/>
      <c r="G5357" s="12"/>
      <c r="H5357" s="11"/>
    </row>
    <row r="5358" spans="3:8" x14ac:dyDescent="0.25">
      <c r="C5358" s="12"/>
      <c r="D5358" s="13"/>
      <c r="E5358" s="13"/>
      <c r="F5358" s="13"/>
      <c r="G5358" s="12"/>
      <c r="H5358" s="11"/>
    </row>
    <row r="5359" spans="3:8" x14ac:dyDescent="0.25">
      <c r="C5359" s="12"/>
      <c r="D5359" s="13"/>
      <c r="E5359" s="13"/>
      <c r="F5359" s="13"/>
      <c r="G5359" s="12"/>
      <c r="H5359" s="11"/>
    </row>
    <row r="5360" spans="3:8" x14ac:dyDescent="0.25">
      <c r="C5360" s="12"/>
      <c r="D5360" s="13"/>
      <c r="E5360" s="13"/>
      <c r="F5360" s="13"/>
      <c r="G5360" s="12"/>
      <c r="H5360" s="11"/>
    </row>
    <row r="5361" spans="3:8" x14ac:dyDescent="0.25">
      <c r="C5361" s="12"/>
      <c r="D5361" s="13"/>
      <c r="E5361" s="13"/>
      <c r="F5361" s="13"/>
      <c r="G5361" s="12"/>
      <c r="H5361" s="11"/>
    </row>
    <row r="5362" spans="3:8" x14ac:dyDescent="0.25">
      <c r="C5362" s="12"/>
      <c r="D5362" s="13"/>
      <c r="E5362" s="13"/>
      <c r="F5362" s="13"/>
      <c r="G5362" s="12"/>
      <c r="H5362" s="11"/>
    </row>
    <row r="5363" spans="3:8" x14ac:dyDescent="0.25">
      <c r="C5363" s="12"/>
      <c r="D5363" s="13"/>
      <c r="E5363" s="13"/>
      <c r="F5363" s="13"/>
      <c r="G5363" s="12"/>
      <c r="H5363" s="11"/>
    </row>
    <row r="5364" spans="3:8" x14ac:dyDescent="0.25">
      <c r="C5364" s="12"/>
      <c r="D5364" s="13"/>
      <c r="E5364" s="13"/>
      <c r="F5364" s="13"/>
      <c r="G5364" s="12"/>
      <c r="H5364" s="11"/>
    </row>
    <row r="5365" spans="3:8" x14ac:dyDescent="0.25">
      <c r="C5365" s="12"/>
      <c r="D5365" s="13"/>
      <c r="E5365" s="13"/>
      <c r="F5365" s="13"/>
      <c r="G5365" s="12"/>
      <c r="H5365" s="11"/>
    </row>
    <row r="5366" spans="3:8" x14ac:dyDescent="0.25">
      <c r="C5366" s="12"/>
      <c r="D5366" s="13"/>
      <c r="E5366" s="13"/>
      <c r="F5366" s="13"/>
      <c r="G5366" s="12"/>
      <c r="H5366" s="11"/>
    </row>
    <row r="5367" spans="3:8" x14ac:dyDescent="0.25">
      <c r="C5367" s="12"/>
      <c r="D5367" s="13"/>
      <c r="E5367" s="13"/>
      <c r="F5367" s="13"/>
      <c r="G5367" s="12"/>
      <c r="H5367" s="11"/>
    </row>
    <row r="5368" spans="3:8" x14ac:dyDescent="0.25">
      <c r="C5368" s="12"/>
      <c r="D5368" s="13"/>
      <c r="E5368" s="13"/>
      <c r="F5368" s="13"/>
      <c r="G5368" s="12"/>
      <c r="H5368" s="11"/>
    </row>
    <row r="5369" spans="3:8" x14ac:dyDescent="0.25">
      <c r="C5369" s="12"/>
      <c r="D5369" s="13"/>
      <c r="E5369" s="13"/>
      <c r="F5369" s="13"/>
      <c r="G5369" s="12"/>
      <c r="H5369" s="11"/>
    </row>
    <row r="5370" spans="3:8" x14ac:dyDescent="0.25">
      <c r="C5370" s="12"/>
      <c r="D5370" s="13"/>
      <c r="E5370" s="13"/>
      <c r="F5370" s="13"/>
      <c r="G5370" s="12"/>
      <c r="H5370" s="11"/>
    </row>
    <row r="5371" spans="3:8" x14ac:dyDescent="0.25">
      <c r="C5371" s="12"/>
      <c r="D5371" s="13"/>
      <c r="E5371" s="13"/>
      <c r="F5371" s="13"/>
      <c r="G5371" s="12"/>
      <c r="H5371" s="11"/>
    </row>
    <row r="5372" spans="3:8" x14ac:dyDescent="0.25">
      <c r="C5372" s="12"/>
      <c r="D5372" s="13"/>
      <c r="E5372" s="13"/>
      <c r="F5372" s="13"/>
      <c r="G5372" s="12"/>
      <c r="H5372" s="11"/>
    </row>
    <row r="5373" spans="3:8" x14ac:dyDescent="0.25">
      <c r="C5373" s="12"/>
      <c r="D5373" s="13"/>
      <c r="E5373" s="13"/>
      <c r="F5373" s="13"/>
      <c r="G5373" s="12"/>
      <c r="H5373" s="11"/>
    </row>
    <row r="5374" spans="3:8" x14ac:dyDescent="0.25">
      <c r="C5374" s="12"/>
      <c r="D5374" s="13"/>
      <c r="E5374" s="13"/>
      <c r="F5374" s="13"/>
      <c r="G5374" s="12"/>
      <c r="H5374" s="11"/>
    </row>
    <row r="5375" spans="3:8" x14ac:dyDescent="0.25">
      <c r="C5375" s="12"/>
      <c r="D5375" s="13"/>
      <c r="E5375" s="13"/>
      <c r="F5375" s="13"/>
      <c r="G5375" s="12"/>
      <c r="H5375" s="11"/>
    </row>
    <row r="5376" spans="3:8" x14ac:dyDescent="0.25">
      <c r="C5376" s="12"/>
      <c r="D5376" s="13"/>
      <c r="E5376" s="13"/>
      <c r="F5376" s="13"/>
      <c r="G5376" s="12"/>
      <c r="H5376" s="11"/>
    </row>
    <row r="5377" spans="3:8" x14ac:dyDescent="0.25">
      <c r="C5377" s="12"/>
      <c r="D5377" s="13"/>
      <c r="E5377" s="13"/>
      <c r="F5377" s="13"/>
      <c r="G5377" s="12"/>
      <c r="H5377" s="11"/>
    </row>
    <row r="5378" spans="3:8" x14ac:dyDescent="0.25">
      <c r="C5378" s="12"/>
      <c r="D5378" s="13"/>
      <c r="E5378" s="13"/>
      <c r="F5378" s="13"/>
      <c r="G5378" s="12"/>
      <c r="H5378" s="11"/>
    </row>
    <row r="5379" spans="3:8" x14ac:dyDescent="0.25">
      <c r="C5379" s="12"/>
      <c r="D5379" s="13"/>
      <c r="E5379" s="13"/>
      <c r="F5379" s="13"/>
      <c r="G5379" s="12"/>
      <c r="H5379" s="11"/>
    </row>
    <row r="5380" spans="3:8" x14ac:dyDescent="0.25">
      <c r="C5380" s="12"/>
      <c r="D5380" s="13"/>
      <c r="E5380" s="13"/>
      <c r="F5380" s="13"/>
      <c r="G5380" s="12"/>
      <c r="H5380" s="11"/>
    </row>
    <row r="5381" spans="3:8" x14ac:dyDescent="0.25">
      <c r="C5381" s="12"/>
      <c r="D5381" s="13"/>
      <c r="E5381" s="13"/>
      <c r="F5381" s="13"/>
      <c r="G5381" s="12"/>
      <c r="H5381" s="11"/>
    </row>
    <row r="5382" spans="3:8" x14ac:dyDescent="0.25">
      <c r="C5382" s="12"/>
      <c r="D5382" s="13"/>
      <c r="E5382" s="13"/>
      <c r="F5382" s="13"/>
      <c r="G5382" s="12"/>
      <c r="H5382" s="11"/>
    </row>
    <row r="5383" spans="3:8" x14ac:dyDescent="0.25">
      <c r="C5383" s="12"/>
      <c r="D5383" s="13"/>
      <c r="E5383" s="13"/>
      <c r="F5383" s="13"/>
      <c r="G5383" s="12"/>
      <c r="H5383" s="11"/>
    </row>
    <row r="5384" spans="3:8" x14ac:dyDescent="0.25">
      <c r="C5384" s="12"/>
      <c r="D5384" s="13"/>
      <c r="E5384" s="13"/>
      <c r="F5384" s="13"/>
      <c r="G5384" s="12"/>
      <c r="H5384" s="11"/>
    </row>
    <row r="5385" spans="3:8" x14ac:dyDescent="0.25">
      <c r="C5385" s="12"/>
      <c r="D5385" s="13"/>
      <c r="E5385" s="13"/>
      <c r="F5385" s="13"/>
      <c r="G5385" s="12"/>
      <c r="H5385" s="11"/>
    </row>
    <row r="5386" spans="3:8" x14ac:dyDescent="0.25">
      <c r="C5386" s="12"/>
      <c r="D5386" s="13"/>
      <c r="E5386" s="13"/>
      <c r="F5386" s="13"/>
      <c r="G5386" s="12"/>
      <c r="H5386" s="11"/>
    </row>
    <row r="5387" spans="3:8" x14ac:dyDescent="0.25">
      <c r="C5387" s="12"/>
      <c r="D5387" s="13"/>
      <c r="E5387" s="13"/>
      <c r="F5387" s="13"/>
      <c r="G5387" s="12"/>
      <c r="H5387" s="11"/>
    </row>
    <row r="5388" spans="3:8" x14ac:dyDescent="0.25">
      <c r="C5388" s="12"/>
      <c r="D5388" s="13"/>
      <c r="E5388" s="13"/>
      <c r="F5388" s="13"/>
      <c r="G5388" s="12"/>
      <c r="H5388" s="11"/>
    </row>
    <row r="5389" spans="3:8" x14ac:dyDescent="0.25">
      <c r="C5389" s="12"/>
      <c r="D5389" s="13"/>
      <c r="E5389" s="13"/>
      <c r="F5389" s="13"/>
      <c r="G5389" s="12"/>
      <c r="H5389" s="11"/>
    </row>
    <row r="5390" spans="3:8" x14ac:dyDescent="0.25">
      <c r="C5390" s="12"/>
      <c r="D5390" s="13"/>
      <c r="E5390" s="13"/>
      <c r="F5390" s="13"/>
      <c r="G5390" s="12"/>
      <c r="H5390" s="11"/>
    </row>
    <row r="5391" spans="3:8" x14ac:dyDescent="0.25">
      <c r="C5391" s="12"/>
      <c r="D5391" s="13"/>
      <c r="E5391" s="13"/>
      <c r="F5391" s="13"/>
      <c r="G5391" s="12"/>
      <c r="H5391" s="11"/>
    </row>
    <row r="5392" spans="3:8" x14ac:dyDescent="0.25">
      <c r="C5392" s="12"/>
      <c r="D5392" s="13"/>
      <c r="E5392" s="13"/>
      <c r="F5392" s="13"/>
      <c r="G5392" s="12"/>
      <c r="H5392" s="11"/>
    </row>
    <row r="5393" spans="3:8" x14ac:dyDescent="0.25">
      <c r="C5393" s="12"/>
      <c r="D5393" s="13"/>
      <c r="E5393" s="13"/>
      <c r="F5393" s="13"/>
      <c r="G5393" s="12"/>
      <c r="H5393" s="11"/>
    </row>
    <row r="5394" spans="3:8" x14ac:dyDescent="0.25">
      <c r="C5394" s="12"/>
      <c r="D5394" s="13"/>
      <c r="E5394" s="13"/>
      <c r="F5394" s="13"/>
      <c r="G5394" s="12"/>
      <c r="H5394" s="11"/>
    </row>
    <row r="5395" spans="3:8" x14ac:dyDescent="0.25">
      <c r="C5395" s="12"/>
      <c r="D5395" s="13"/>
      <c r="E5395" s="13"/>
      <c r="F5395" s="13"/>
      <c r="G5395" s="12"/>
      <c r="H5395" s="11"/>
    </row>
    <row r="5396" spans="3:8" x14ac:dyDescent="0.25">
      <c r="C5396" s="12"/>
      <c r="D5396" s="13"/>
      <c r="E5396" s="13"/>
      <c r="F5396" s="13"/>
      <c r="G5396" s="12"/>
      <c r="H5396" s="11"/>
    </row>
    <row r="5397" spans="3:8" x14ac:dyDescent="0.25">
      <c r="C5397" s="12"/>
      <c r="D5397" s="13"/>
      <c r="E5397" s="13"/>
      <c r="F5397" s="13"/>
      <c r="G5397" s="12"/>
      <c r="H5397" s="11"/>
    </row>
    <row r="5398" spans="3:8" x14ac:dyDescent="0.25">
      <c r="C5398" s="12"/>
      <c r="D5398" s="13"/>
      <c r="E5398" s="13"/>
      <c r="F5398" s="13"/>
      <c r="G5398" s="12"/>
      <c r="H5398" s="11"/>
    </row>
    <row r="5399" spans="3:8" x14ac:dyDescent="0.25">
      <c r="C5399" s="12"/>
      <c r="D5399" s="13"/>
      <c r="E5399" s="13"/>
      <c r="F5399" s="13"/>
      <c r="G5399" s="12"/>
      <c r="H5399" s="11"/>
    </row>
    <row r="5400" spans="3:8" x14ac:dyDescent="0.25">
      <c r="C5400" s="12"/>
      <c r="D5400" s="13"/>
      <c r="E5400" s="13"/>
      <c r="F5400" s="13"/>
      <c r="G5400" s="12"/>
      <c r="H5400" s="11"/>
    </row>
    <row r="5401" spans="3:8" x14ac:dyDescent="0.25">
      <c r="C5401" s="12"/>
      <c r="D5401" s="13"/>
      <c r="E5401" s="13"/>
      <c r="F5401" s="13"/>
      <c r="G5401" s="12"/>
      <c r="H5401" s="11"/>
    </row>
    <row r="5402" spans="3:8" x14ac:dyDescent="0.25">
      <c r="C5402" s="12"/>
      <c r="D5402" s="13"/>
      <c r="E5402" s="13"/>
      <c r="F5402" s="13"/>
      <c r="G5402" s="12"/>
      <c r="H5402" s="11"/>
    </row>
    <row r="5403" spans="3:8" x14ac:dyDescent="0.25">
      <c r="C5403" s="12"/>
      <c r="D5403" s="13"/>
      <c r="E5403" s="13"/>
      <c r="F5403" s="13"/>
      <c r="G5403" s="12"/>
      <c r="H5403" s="11"/>
    </row>
    <row r="5404" spans="3:8" x14ac:dyDescent="0.25">
      <c r="C5404" s="12"/>
      <c r="D5404" s="13"/>
      <c r="E5404" s="13"/>
      <c r="F5404" s="13"/>
      <c r="G5404" s="12"/>
      <c r="H5404" s="11"/>
    </row>
    <row r="5405" spans="3:8" x14ac:dyDescent="0.25">
      <c r="C5405" s="12"/>
      <c r="D5405" s="13"/>
      <c r="E5405" s="13"/>
      <c r="F5405" s="13"/>
      <c r="G5405" s="12"/>
      <c r="H5405" s="11"/>
    </row>
    <row r="5406" spans="3:8" x14ac:dyDescent="0.25">
      <c r="C5406" s="12"/>
      <c r="D5406" s="13"/>
      <c r="E5406" s="13"/>
      <c r="F5406" s="13"/>
      <c r="G5406" s="12"/>
      <c r="H5406" s="11"/>
    </row>
    <row r="5407" spans="3:8" x14ac:dyDescent="0.25">
      <c r="C5407" s="12"/>
      <c r="D5407" s="13"/>
      <c r="E5407" s="13"/>
      <c r="F5407" s="13"/>
      <c r="G5407" s="12"/>
      <c r="H5407" s="11"/>
    </row>
    <row r="5408" spans="3:8" x14ac:dyDescent="0.25">
      <c r="C5408" s="12"/>
      <c r="D5408" s="13"/>
      <c r="E5408" s="13"/>
      <c r="F5408" s="13"/>
      <c r="G5408" s="12"/>
      <c r="H5408" s="11"/>
    </row>
    <row r="5409" spans="3:8" x14ac:dyDescent="0.25">
      <c r="C5409" s="12"/>
      <c r="D5409" s="13"/>
      <c r="E5409" s="13"/>
      <c r="F5409" s="13"/>
      <c r="G5409" s="12"/>
      <c r="H5409" s="11"/>
    </row>
    <row r="5410" spans="3:8" x14ac:dyDescent="0.25">
      <c r="C5410" s="12"/>
      <c r="D5410" s="13"/>
      <c r="E5410" s="13"/>
      <c r="F5410" s="13"/>
      <c r="G5410" s="12"/>
      <c r="H5410" s="11"/>
    </row>
    <row r="5411" spans="3:8" x14ac:dyDescent="0.25">
      <c r="C5411" s="12"/>
      <c r="D5411" s="13"/>
      <c r="E5411" s="13"/>
      <c r="F5411" s="13"/>
      <c r="G5411" s="12"/>
      <c r="H5411" s="11"/>
    </row>
    <row r="5412" spans="3:8" x14ac:dyDescent="0.25">
      <c r="C5412" s="12"/>
      <c r="D5412" s="13"/>
      <c r="E5412" s="13"/>
      <c r="F5412" s="13"/>
      <c r="G5412" s="12"/>
      <c r="H5412" s="11"/>
    </row>
    <row r="5413" spans="3:8" x14ac:dyDescent="0.25">
      <c r="C5413" s="12"/>
      <c r="D5413" s="13"/>
      <c r="E5413" s="13"/>
      <c r="F5413" s="13"/>
      <c r="G5413" s="12"/>
      <c r="H5413" s="11"/>
    </row>
    <row r="5414" spans="3:8" x14ac:dyDescent="0.25">
      <c r="C5414" s="12"/>
      <c r="D5414" s="13"/>
      <c r="E5414" s="13"/>
      <c r="F5414" s="13"/>
      <c r="G5414" s="12"/>
      <c r="H5414" s="11"/>
    </row>
    <row r="5415" spans="3:8" x14ac:dyDescent="0.25">
      <c r="C5415" s="12"/>
      <c r="D5415" s="13"/>
      <c r="E5415" s="13"/>
      <c r="F5415" s="13"/>
      <c r="G5415" s="12"/>
      <c r="H5415" s="11"/>
    </row>
    <row r="5416" spans="3:8" x14ac:dyDescent="0.25">
      <c r="C5416" s="12"/>
      <c r="D5416" s="13"/>
      <c r="E5416" s="13"/>
      <c r="F5416" s="13"/>
      <c r="G5416" s="12"/>
      <c r="H5416" s="11"/>
    </row>
    <row r="5417" spans="3:8" x14ac:dyDescent="0.25">
      <c r="C5417" s="12"/>
      <c r="D5417" s="13"/>
      <c r="E5417" s="13"/>
      <c r="F5417" s="13"/>
      <c r="G5417" s="12"/>
      <c r="H5417" s="11"/>
    </row>
    <row r="5418" spans="3:8" x14ac:dyDescent="0.25">
      <c r="C5418" s="12"/>
      <c r="D5418" s="13"/>
      <c r="E5418" s="13"/>
      <c r="F5418" s="13"/>
      <c r="G5418" s="12"/>
      <c r="H5418" s="11"/>
    </row>
    <row r="5419" spans="3:8" x14ac:dyDescent="0.25">
      <c r="C5419" s="12"/>
      <c r="D5419" s="13"/>
      <c r="E5419" s="13"/>
      <c r="F5419" s="13"/>
      <c r="G5419" s="12"/>
      <c r="H5419" s="11"/>
    </row>
    <row r="5420" spans="3:8" x14ac:dyDescent="0.25">
      <c r="C5420" s="12"/>
      <c r="D5420" s="13"/>
      <c r="E5420" s="13"/>
      <c r="F5420" s="13"/>
      <c r="G5420" s="12"/>
      <c r="H5420" s="11"/>
    </row>
    <row r="5421" spans="3:8" x14ac:dyDescent="0.25">
      <c r="C5421" s="12"/>
      <c r="D5421" s="13"/>
      <c r="E5421" s="13"/>
      <c r="F5421" s="13"/>
      <c r="G5421" s="12"/>
      <c r="H5421" s="11"/>
    </row>
    <row r="5422" spans="3:8" x14ac:dyDescent="0.25">
      <c r="C5422" s="12"/>
      <c r="D5422" s="13"/>
      <c r="E5422" s="13"/>
      <c r="F5422" s="13"/>
      <c r="G5422" s="12"/>
      <c r="H5422" s="11"/>
    </row>
    <row r="5423" spans="3:8" x14ac:dyDescent="0.25">
      <c r="C5423" s="12"/>
      <c r="D5423" s="13"/>
      <c r="E5423" s="13"/>
      <c r="F5423" s="13"/>
      <c r="G5423" s="12"/>
      <c r="H5423" s="11"/>
    </row>
    <row r="5424" spans="3:8" x14ac:dyDescent="0.25">
      <c r="C5424" s="12"/>
      <c r="D5424" s="13"/>
      <c r="E5424" s="13"/>
      <c r="F5424" s="13"/>
      <c r="G5424" s="12"/>
      <c r="H5424" s="11"/>
    </row>
    <row r="5425" spans="3:8" x14ac:dyDescent="0.25">
      <c r="C5425" s="12"/>
      <c r="D5425" s="13"/>
      <c r="E5425" s="13"/>
      <c r="F5425" s="13"/>
      <c r="G5425" s="12"/>
      <c r="H5425" s="11"/>
    </row>
    <row r="5426" spans="3:8" x14ac:dyDescent="0.25">
      <c r="C5426" s="12"/>
      <c r="D5426" s="13"/>
      <c r="E5426" s="13"/>
      <c r="F5426" s="13"/>
      <c r="G5426" s="12"/>
      <c r="H5426" s="11"/>
    </row>
    <row r="5427" spans="3:8" x14ac:dyDescent="0.25">
      <c r="C5427" s="12"/>
      <c r="D5427" s="13"/>
      <c r="E5427" s="13"/>
      <c r="F5427" s="13"/>
      <c r="G5427" s="12"/>
      <c r="H5427" s="11"/>
    </row>
    <row r="5428" spans="3:8" x14ac:dyDescent="0.25">
      <c r="C5428" s="12"/>
      <c r="D5428" s="13"/>
      <c r="E5428" s="13"/>
      <c r="F5428" s="13"/>
      <c r="G5428" s="12"/>
      <c r="H5428" s="11"/>
    </row>
    <row r="5429" spans="3:8" x14ac:dyDescent="0.25">
      <c r="C5429" s="12"/>
      <c r="D5429" s="13"/>
      <c r="E5429" s="13"/>
      <c r="F5429" s="13"/>
      <c r="G5429" s="12"/>
      <c r="H5429" s="11"/>
    </row>
    <row r="5430" spans="3:8" x14ac:dyDescent="0.25">
      <c r="C5430" s="12"/>
      <c r="D5430" s="13"/>
      <c r="E5430" s="13"/>
      <c r="F5430" s="13"/>
      <c r="G5430" s="12"/>
      <c r="H5430" s="11"/>
    </row>
    <row r="5431" spans="3:8" x14ac:dyDescent="0.25">
      <c r="C5431" s="12"/>
      <c r="D5431" s="13"/>
      <c r="E5431" s="13"/>
      <c r="F5431" s="13"/>
      <c r="G5431" s="12"/>
      <c r="H5431" s="11"/>
    </row>
    <row r="5432" spans="3:8" x14ac:dyDescent="0.25">
      <c r="C5432" s="12"/>
      <c r="D5432" s="13"/>
      <c r="E5432" s="13"/>
      <c r="F5432" s="13"/>
      <c r="G5432" s="12"/>
      <c r="H5432" s="11"/>
    </row>
    <row r="5433" spans="3:8" x14ac:dyDescent="0.25">
      <c r="C5433" s="12"/>
      <c r="D5433" s="13"/>
      <c r="E5433" s="13"/>
      <c r="F5433" s="13"/>
      <c r="G5433" s="12"/>
      <c r="H5433" s="11"/>
    </row>
    <row r="5434" spans="3:8" x14ac:dyDescent="0.25">
      <c r="C5434" s="12"/>
      <c r="D5434" s="13"/>
      <c r="E5434" s="13"/>
      <c r="F5434" s="13"/>
      <c r="G5434" s="12"/>
      <c r="H5434" s="11"/>
    </row>
    <row r="5435" spans="3:8" x14ac:dyDescent="0.25">
      <c r="C5435" s="12"/>
      <c r="D5435" s="13"/>
      <c r="E5435" s="13"/>
      <c r="F5435" s="13"/>
      <c r="G5435" s="12"/>
      <c r="H5435" s="11"/>
    </row>
    <row r="5436" spans="3:8" x14ac:dyDescent="0.25">
      <c r="C5436" s="12"/>
      <c r="D5436" s="13"/>
      <c r="E5436" s="13"/>
      <c r="F5436" s="13"/>
      <c r="G5436" s="12"/>
      <c r="H5436" s="11"/>
    </row>
    <row r="5437" spans="3:8" x14ac:dyDescent="0.25">
      <c r="C5437" s="12"/>
      <c r="D5437" s="13"/>
      <c r="E5437" s="13"/>
      <c r="F5437" s="13"/>
      <c r="G5437" s="12"/>
      <c r="H5437" s="11"/>
    </row>
    <row r="5438" spans="3:8" x14ac:dyDescent="0.25">
      <c r="C5438" s="12"/>
      <c r="D5438" s="13"/>
      <c r="E5438" s="13"/>
      <c r="F5438" s="13"/>
      <c r="G5438" s="12"/>
      <c r="H5438" s="11"/>
    </row>
    <row r="5439" spans="3:8" x14ac:dyDescent="0.25">
      <c r="C5439" s="12"/>
      <c r="D5439" s="13"/>
      <c r="E5439" s="13"/>
      <c r="F5439" s="13"/>
      <c r="G5439" s="12"/>
      <c r="H5439" s="11"/>
    </row>
    <row r="5440" spans="3:8" x14ac:dyDescent="0.25">
      <c r="C5440" s="12"/>
      <c r="D5440" s="13"/>
      <c r="E5440" s="13"/>
      <c r="F5440" s="13"/>
      <c r="G5440" s="12"/>
      <c r="H5440" s="11"/>
    </row>
    <row r="5441" spans="3:8" x14ac:dyDescent="0.25">
      <c r="C5441" s="12"/>
      <c r="D5441" s="13"/>
      <c r="E5441" s="13"/>
      <c r="F5441" s="13"/>
      <c r="G5441" s="12"/>
      <c r="H5441" s="11"/>
    </row>
    <row r="5442" spans="3:8" x14ac:dyDescent="0.25">
      <c r="C5442" s="12"/>
      <c r="D5442" s="13"/>
      <c r="E5442" s="13"/>
      <c r="F5442" s="13"/>
      <c r="G5442" s="12"/>
      <c r="H5442" s="11"/>
    </row>
    <row r="5443" spans="3:8" x14ac:dyDescent="0.25">
      <c r="C5443" s="12"/>
      <c r="D5443" s="13"/>
      <c r="E5443" s="13"/>
      <c r="F5443" s="13"/>
      <c r="G5443" s="12"/>
      <c r="H5443" s="11"/>
    </row>
    <row r="5444" spans="3:8" x14ac:dyDescent="0.25">
      <c r="C5444" s="12"/>
      <c r="D5444" s="13"/>
      <c r="E5444" s="13"/>
      <c r="F5444" s="13"/>
      <c r="G5444" s="12"/>
      <c r="H5444" s="11"/>
    </row>
    <row r="5445" spans="3:8" x14ac:dyDescent="0.25">
      <c r="C5445" s="12"/>
      <c r="D5445" s="13"/>
      <c r="E5445" s="13"/>
      <c r="F5445" s="13"/>
      <c r="G5445" s="12"/>
      <c r="H5445" s="11"/>
    </row>
    <row r="5446" spans="3:8" x14ac:dyDescent="0.25">
      <c r="C5446" s="12"/>
      <c r="D5446" s="13"/>
      <c r="E5446" s="13"/>
      <c r="F5446" s="13"/>
      <c r="G5446" s="12"/>
      <c r="H5446" s="11"/>
    </row>
    <row r="5447" spans="3:8" x14ac:dyDescent="0.25">
      <c r="C5447" s="12"/>
      <c r="D5447" s="13"/>
      <c r="E5447" s="13"/>
      <c r="F5447" s="13"/>
      <c r="G5447" s="12"/>
      <c r="H5447" s="11"/>
    </row>
    <row r="5448" spans="3:8" x14ac:dyDescent="0.25">
      <c r="C5448" s="12"/>
      <c r="D5448" s="13"/>
      <c r="E5448" s="13"/>
      <c r="F5448" s="13"/>
      <c r="G5448" s="12"/>
      <c r="H5448" s="11"/>
    </row>
    <row r="5449" spans="3:8" x14ac:dyDescent="0.25">
      <c r="C5449" s="12"/>
      <c r="D5449" s="13"/>
      <c r="E5449" s="13"/>
      <c r="F5449" s="13"/>
      <c r="G5449" s="12"/>
      <c r="H5449" s="11"/>
    </row>
    <row r="5450" spans="3:8" x14ac:dyDescent="0.25">
      <c r="C5450" s="12"/>
      <c r="D5450" s="13"/>
      <c r="E5450" s="13"/>
      <c r="F5450" s="13"/>
      <c r="G5450" s="12"/>
      <c r="H5450" s="11"/>
    </row>
    <row r="5451" spans="3:8" x14ac:dyDescent="0.25">
      <c r="C5451" s="12"/>
      <c r="D5451" s="13"/>
      <c r="E5451" s="13"/>
      <c r="F5451" s="13"/>
      <c r="G5451" s="12"/>
      <c r="H5451" s="11"/>
    </row>
    <row r="5452" spans="3:8" x14ac:dyDescent="0.25">
      <c r="C5452" s="12"/>
      <c r="D5452" s="13"/>
      <c r="E5452" s="13"/>
      <c r="F5452" s="13"/>
      <c r="G5452" s="12"/>
      <c r="H5452" s="11"/>
    </row>
    <row r="5453" spans="3:8" x14ac:dyDescent="0.25">
      <c r="C5453" s="12"/>
      <c r="D5453" s="13"/>
      <c r="E5453" s="13"/>
      <c r="F5453" s="13"/>
      <c r="G5453" s="12"/>
      <c r="H5453" s="11"/>
    </row>
    <row r="5454" spans="3:8" x14ac:dyDescent="0.25">
      <c r="C5454" s="12"/>
      <c r="D5454" s="13"/>
      <c r="E5454" s="13"/>
      <c r="F5454" s="13"/>
      <c r="G5454" s="12"/>
      <c r="H5454" s="11"/>
    </row>
    <row r="5455" spans="3:8" x14ac:dyDescent="0.25">
      <c r="C5455" s="12"/>
      <c r="D5455" s="13"/>
      <c r="E5455" s="13"/>
      <c r="F5455" s="13"/>
      <c r="G5455" s="12"/>
      <c r="H5455" s="11"/>
    </row>
    <row r="5456" spans="3:8" x14ac:dyDescent="0.25">
      <c r="C5456" s="12"/>
      <c r="D5456" s="13"/>
      <c r="E5456" s="13"/>
      <c r="F5456" s="13"/>
      <c r="G5456" s="12"/>
      <c r="H5456" s="11"/>
    </row>
    <row r="5457" spans="3:8" x14ac:dyDescent="0.25">
      <c r="C5457" s="12"/>
      <c r="D5457" s="13"/>
      <c r="E5457" s="13"/>
      <c r="F5457" s="13"/>
      <c r="G5457" s="12"/>
      <c r="H5457" s="11"/>
    </row>
    <row r="5458" spans="3:8" x14ac:dyDescent="0.25">
      <c r="C5458" s="12"/>
      <c r="D5458" s="13"/>
      <c r="E5458" s="13"/>
      <c r="F5458" s="13"/>
      <c r="G5458" s="12"/>
      <c r="H5458" s="11"/>
    </row>
    <row r="5459" spans="3:8" x14ac:dyDescent="0.25">
      <c r="C5459" s="12"/>
      <c r="D5459" s="13"/>
      <c r="E5459" s="13"/>
      <c r="F5459" s="13"/>
      <c r="G5459" s="12"/>
      <c r="H5459" s="11"/>
    </row>
    <row r="5460" spans="3:8" x14ac:dyDescent="0.25">
      <c r="C5460" s="12"/>
      <c r="D5460" s="13"/>
      <c r="E5460" s="13"/>
      <c r="F5460" s="13"/>
      <c r="G5460" s="12"/>
      <c r="H5460" s="11"/>
    </row>
    <row r="5461" spans="3:8" x14ac:dyDescent="0.25">
      <c r="C5461" s="12"/>
      <c r="D5461" s="13"/>
      <c r="E5461" s="13"/>
      <c r="F5461" s="13"/>
      <c r="G5461" s="12"/>
      <c r="H5461" s="11"/>
    </row>
    <row r="5462" spans="3:8" x14ac:dyDescent="0.25">
      <c r="C5462" s="12"/>
      <c r="D5462" s="13"/>
      <c r="E5462" s="13"/>
      <c r="F5462" s="13"/>
      <c r="G5462" s="12"/>
      <c r="H5462" s="11"/>
    </row>
    <row r="5463" spans="3:8" x14ac:dyDescent="0.25">
      <c r="C5463" s="12"/>
      <c r="D5463" s="13"/>
      <c r="E5463" s="13"/>
      <c r="F5463" s="13"/>
      <c r="G5463" s="12"/>
      <c r="H5463" s="11"/>
    </row>
    <row r="5464" spans="3:8" x14ac:dyDescent="0.25">
      <c r="C5464" s="12"/>
      <c r="D5464" s="13"/>
      <c r="E5464" s="13"/>
      <c r="F5464" s="13"/>
      <c r="G5464" s="12"/>
      <c r="H5464" s="11"/>
    </row>
    <row r="5465" spans="3:8" x14ac:dyDescent="0.25">
      <c r="C5465" s="12"/>
      <c r="D5465" s="13"/>
      <c r="E5465" s="13"/>
      <c r="F5465" s="13"/>
      <c r="G5465" s="12"/>
      <c r="H5465" s="11"/>
    </row>
    <row r="5466" spans="3:8" x14ac:dyDescent="0.25">
      <c r="C5466" s="12"/>
      <c r="D5466" s="13"/>
      <c r="E5466" s="13"/>
      <c r="F5466" s="13"/>
      <c r="G5466" s="12"/>
      <c r="H5466" s="11"/>
    </row>
    <row r="5467" spans="3:8" x14ac:dyDescent="0.25">
      <c r="C5467" s="12"/>
      <c r="D5467" s="13"/>
      <c r="E5467" s="13"/>
      <c r="F5467" s="13"/>
      <c r="G5467" s="12"/>
      <c r="H5467" s="11"/>
    </row>
    <row r="5468" spans="3:8" x14ac:dyDescent="0.25">
      <c r="C5468" s="12"/>
      <c r="D5468" s="13"/>
      <c r="E5468" s="13"/>
      <c r="F5468" s="13"/>
      <c r="G5468" s="12"/>
      <c r="H5468" s="11"/>
    </row>
    <row r="5469" spans="3:8" x14ac:dyDescent="0.25">
      <c r="C5469" s="12"/>
      <c r="D5469" s="13"/>
      <c r="E5469" s="13"/>
      <c r="F5469" s="13"/>
      <c r="G5469" s="12"/>
      <c r="H5469" s="11"/>
    </row>
    <row r="5470" spans="3:8" x14ac:dyDescent="0.25">
      <c r="C5470" s="12"/>
      <c r="D5470" s="13"/>
      <c r="E5470" s="13"/>
      <c r="F5470" s="13"/>
      <c r="G5470" s="12"/>
      <c r="H5470" s="11"/>
    </row>
    <row r="5471" spans="3:8" x14ac:dyDescent="0.25">
      <c r="C5471" s="12"/>
      <c r="D5471" s="13"/>
      <c r="E5471" s="13"/>
      <c r="F5471" s="13"/>
      <c r="G5471" s="12"/>
      <c r="H5471" s="11"/>
    </row>
    <row r="5472" spans="3:8" x14ac:dyDescent="0.25">
      <c r="C5472" s="12"/>
      <c r="D5472" s="13"/>
      <c r="E5472" s="13"/>
      <c r="F5472" s="13"/>
      <c r="G5472" s="12"/>
      <c r="H5472" s="11"/>
    </row>
    <row r="5473" spans="3:8" x14ac:dyDescent="0.25">
      <c r="C5473" s="12"/>
      <c r="D5473" s="13"/>
      <c r="E5473" s="13"/>
      <c r="F5473" s="13"/>
      <c r="G5473" s="12"/>
      <c r="H5473" s="11"/>
    </row>
    <row r="5474" spans="3:8" x14ac:dyDescent="0.25">
      <c r="C5474" s="12"/>
      <c r="D5474" s="13"/>
      <c r="E5474" s="13"/>
      <c r="F5474" s="13"/>
      <c r="G5474" s="12"/>
      <c r="H5474" s="11"/>
    </row>
    <row r="5475" spans="3:8" x14ac:dyDescent="0.25">
      <c r="C5475" s="12"/>
      <c r="D5475" s="13"/>
      <c r="E5475" s="13"/>
      <c r="F5475" s="13"/>
      <c r="G5475" s="12"/>
      <c r="H5475" s="11"/>
    </row>
    <row r="5476" spans="3:8" x14ac:dyDescent="0.25">
      <c r="C5476" s="12"/>
      <c r="D5476" s="13"/>
      <c r="E5476" s="13"/>
      <c r="F5476" s="13"/>
      <c r="G5476" s="12"/>
      <c r="H5476" s="11"/>
    </row>
    <row r="5477" spans="3:8" x14ac:dyDescent="0.25">
      <c r="C5477" s="12"/>
      <c r="D5477" s="13"/>
      <c r="E5477" s="13"/>
      <c r="F5477" s="13"/>
      <c r="G5477" s="12"/>
      <c r="H5477" s="11"/>
    </row>
    <row r="5478" spans="3:8" x14ac:dyDescent="0.25">
      <c r="C5478" s="12"/>
      <c r="D5478" s="13"/>
      <c r="E5478" s="13"/>
      <c r="F5478" s="13"/>
      <c r="G5478" s="12"/>
      <c r="H5478" s="11"/>
    </row>
    <row r="5479" spans="3:8" x14ac:dyDescent="0.25">
      <c r="C5479" s="12"/>
      <c r="D5479" s="13"/>
      <c r="E5479" s="13"/>
      <c r="F5479" s="13"/>
      <c r="G5479" s="12"/>
      <c r="H5479" s="11"/>
    </row>
    <row r="5480" spans="3:8" x14ac:dyDescent="0.25">
      <c r="C5480" s="12"/>
      <c r="D5480" s="13"/>
      <c r="E5480" s="13"/>
      <c r="F5480" s="13"/>
      <c r="G5480" s="12"/>
      <c r="H5480" s="11"/>
    </row>
    <row r="5481" spans="3:8" x14ac:dyDescent="0.25">
      <c r="C5481" s="12"/>
      <c r="D5481" s="13"/>
      <c r="E5481" s="13"/>
      <c r="F5481" s="13"/>
      <c r="G5481" s="12"/>
      <c r="H5481" s="11"/>
    </row>
    <row r="5482" spans="3:8" x14ac:dyDescent="0.25">
      <c r="C5482" s="12"/>
      <c r="D5482" s="13"/>
      <c r="E5482" s="13"/>
      <c r="F5482" s="13"/>
      <c r="G5482" s="12"/>
      <c r="H5482" s="11"/>
    </row>
    <row r="5483" spans="3:8" x14ac:dyDescent="0.25">
      <c r="C5483" s="12"/>
      <c r="D5483" s="13"/>
      <c r="E5483" s="13"/>
      <c r="F5483" s="13"/>
      <c r="G5483" s="12"/>
      <c r="H5483" s="11"/>
    </row>
    <row r="5484" spans="3:8" x14ac:dyDescent="0.25">
      <c r="C5484" s="12"/>
      <c r="D5484" s="13"/>
      <c r="E5484" s="13"/>
      <c r="F5484" s="13"/>
      <c r="G5484" s="12"/>
      <c r="H5484" s="11"/>
    </row>
    <row r="5485" spans="3:8" x14ac:dyDescent="0.25">
      <c r="C5485" s="12"/>
      <c r="D5485" s="13"/>
      <c r="E5485" s="13"/>
      <c r="F5485" s="13"/>
      <c r="G5485" s="12"/>
      <c r="H5485" s="11"/>
    </row>
    <row r="5486" spans="3:8" x14ac:dyDescent="0.25">
      <c r="C5486" s="12"/>
      <c r="D5486" s="13"/>
      <c r="E5486" s="13"/>
      <c r="F5486" s="13"/>
      <c r="G5486" s="12"/>
      <c r="H5486" s="11"/>
    </row>
    <row r="5487" spans="3:8" x14ac:dyDescent="0.25">
      <c r="C5487" s="12"/>
      <c r="D5487" s="13"/>
      <c r="E5487" s="13"/>
      <c r="F5487" s="13"/>
      <c r="G5487" s="12"/>
      <c r="H5487" s="11"/>
    </row>
    <row r="5488" spans="3:8" x14ac:dyDescent="0.25">
      <c r="C5488" s="12"/>
      <c r="D5488" s="13"/>
      <c r="E5488" s="13"/>
      <c r="F5488" s="13"/>
      <c r="G5488" s="12"/>
      <c r="H5488" s="11"/>
    </row>
    <row r="5489" spans="3:8" x14ac:dyDescent="0.25">
      <c r="C5489" s="12"/>
      <c r="D5489" s="13"/>
      <c r="E5489" s="13"/>
      <c r="F5489" s="13"/>
      <c r="G5489" s="12"/>
      <c r="H5489" s="11"/>
    </row>
    <row r="5490" spans="3:8" x14ac:dyDescent="0.25">
      <c r="C5490" s="12"/>
      <c r="D5490" s="13"/>
      <c r="E5490" s="13"/>
      <c r="F5490" s="13"/>
      <c r="G5490" s="12"/>
      <c r="H5490" s="11"/>
    </row>
    <row r="5491" spans="3:8" x14ac:dyDescent="0.25">
      <c r="C5491" s="12"/>
      <c r="D5491" s="13"/>
      <c r="E5491" s="13"/>
      <c r="F5491" s="13"/>
      <c r="G5491" s="12"/>
      <c r="H5491" s="11"/>
    </row>
    <row r="5492" spans="3:8" x14ac:dyDescent="0.25">
      <c r="C5492" s="12"/>
      <c r="D5492" s="13"/>
      <c r="E5492" s="13"/>
      <c r="F5492" s="13"/>
      <c r="G5492" s="12"/>
      <c r="H5492" s="11"/>
    </row>
    <row r="5493" spans="3:8" x14ac:dyDescent="0.25">
      <c r="C5493" s="12"/>
      <c r="D5493" s="13"/>
      <c r="E5493" s="13"/>
      <c r="F5493" s="13"/>
      <c r="G5493" s="12"/>
      <c r="H5493" s="11"/>
    </row>
    <row r="5494" spans="3:8" x14ac:dyDescent="0.25">
      <c r="C5494" s="12"/>
      <c r="D5494" s="13"/>
      <c r="E5494" s="13"/>
      <c r="F5494" s="13"/>
      <c r="G5494" s="12"/>
      <c r="H5494" s="11"/>
    </row>
    <row r="5495" spans="3:8" x14ac:dyDescent="0.25">
      <c r="C5495" s="12"/>
      <c r="D5495" s="13"/>
      <c r="E5495" s="13"/>
      <c r="F5495" s="13"/>
      <c r="G5495" s="12"/>
      <c r="H5495" s="11"/>
    </row>
    <row r="5496" spans="3:8" x14ac:dyDescent="0.25">
      <c r="C5496" s="12"/>
      <c r="D5496" s="13"/>
      <c r="E5496" s="13"/>
      <c r="F5496" s="13"/>
      <c r="G5496" s="12"/>
      <c r="H5496" s="11"/>
    </row>
    <row r="5497" spans="3:8" x14ac:dyDescent="0.25">
      <c r="C5497" s="12"/>
      <c r="D5497" s="13"/>
      <c r="E5497" s="13"/>
      <c r="F5497" s="13"/>
      <c r="G5497" s="12"/>
      <c r="H5497" s="11"/>
    </row>
    <row r="5498" spans="3:8" x14ac:dyDescent="0.25">
      <c r="C5498" s="12"/>
      <c r="D5498" s="13"/>
      <c r="E5498" s="13"/>
      <c r="F5498" s="13"/>
      <c r="G5498" s="12"/>
      <c r="H5498" s="11"/>
    </row>
    <row r="5499" spans="3:8" x14ac:dyDescent="0.25">
      <c r="C5499" s="12"/>
      <c r="D5499" s="13"/>
      <c r="E5499" s="13"/>
      <c r="F5499" s="13"/>
      <c r="G5499" s="12"/>
      <c r="H5499" s="11"/>
    </row>
    <row r="5500" spans="3:8" x14ac:dyDescent="0.25">
      <c r="C5500" s="12"/>
      <c r="D5500" s="13"/>
      <c r="E5500" s="13"/>
      <c r="F5500" s="13"/>
      <c r="G5500" s="12"/>
      <c r="H5500" s="11"/>
    </row>
    <row r="5501" spans="3:8" x14ac:dyDescent="0.25">
      <c r="C5501" s="12"/>
      <c r="D5501" s="13"/>
      <c r="E5501" s="13"/>
      <c r="F5501" s="13"/>
      <c r="G5501" s="12"/>
      <c r="H5501" s="11"/>
    </row>
    <row r="5502" spans="3:8" x14ac:dyDescent="0.25">
      <c r="C5502" s="12"/>
      <c r="D5502" s="13"/>
      <c r="E5502" s="13"/>
      <c r="F5502" s="13"/>
      <c r="G5502" s="12"/>
      <c r="H5502" s="11"/>
    </row>
    <row r="5503" spans="3:8" x14ac:dyDescent="0.25">
      <c r="C5503" s="12"/>
      <c r="D5503" s="13"/>
      <c r="E5503" s="13"/>
      <c r="F5503" s="13"/>
      <c r="G5503" s="12"/>
      <c r="H5503" s="11"/>
    </row>
    <row r="5504" spans="3:8" x14ac:dyDescent="0.25">
      <c r="C5504" s="12"/>
      <c r="D5504" s="13"/>
      <c r="E5504" s="13"/>
      <c r="F5504" s="13"/>
      <c r="G5504" s="12"/>
      <c r="H5504" s="11"/>
    </row>
    <row r="5505" spans="3:8" x14ac:dyDescent="0.25">
      <c r="C5505" s="12"/>
      <c r="D5505" s="13"/>
      <c r="E5505" s="13"/>
      <c r="F5505" s="13"/>
      <c r="G5505" s="12"/>
      <c r="H5505" s="11"/>
    </row>
    <row r="5506" spans="3:8" x14ac:dyDescent="0.25">
      <c r="C5506" s="12"/>
      <c r="D5506" s="13"/>
      <c r="E5506" s="13"/>
      <c r="F5506" s="13"/>
      <c r="G5506" s="12"/>
      <c r="H5506" s="11"/>
    </row>
    <row r="5507" spans="3:8" x14ac:dyDescent="0.25">
      <c r="C5507" s="12"/>
      <c r="D5507" s="13"/>
      <c r="E5507" s="13"/>
      <c r="F5507" s="13"/>
      <c r="G5507" s="12"/>
      <c r="H5507" s="11"/>
    </row>
    <row r="5508" spans="3:8" x14ac:dyDescent="0.25">
      <c r="C5508" s="12"/>
      <c r="D5508" s="13"/>
      <c r="E5508" s="13"/>
      <c r="F5508" s="13"/>
      <c r="G5508" s="12"/>
      <c r="H5508" s="11"/>
    </row>
    <row r="5509" spans="3:8" x14ac:dyDescent="0.25">
      <c r="C5509" s="12"/>
      <c r="D5509" s="13"/>
      <c r="E5509" s="13"/>
      <c r="F5509" s="13"/>
      <c r="G5509" s="12"/>
      <c r="H5509" s="11"/>
    </row>
    <row r="5510" spans="3:8" x14ac:dyDescent="0.25">
      <c r="C5510" s="12"/>
      <c r="D5510" s="13"/>
      <c r="E5510" s="13"/>
      <c r="F5510" s="13"/>
      <c r="G5510" s="12"/>
      <c r="H5510" s="11"/>
    </row>
    <row r="5511" spans="3:8" x14ac:dyDescent="0.25">
      <c r="C5511" s="12"/>
      <c r="D5511" s="13"/>
      <c r="E5511" s="13"/>
      <c r="F5511" s="13"/>
      <c r="G5511" s="12"/>
      <c r="H5511" s="11"/>
    </row>
    <row r="5512" spans="3:8" x14ac:dyDescent="0.25">
      <c r="C5512" s="12"/>
      <c r="D5512" s="13"/>
      <c r="E5512" s="13"/>
      <c r="F5512" s="13"/>
      <c r="G5512" s="12"/>
      <c r="H5512" s="11"/>
    </row>
    <row r="5513" spans="3:8" x14ac:dyDescent="0.25">
      <c r="C5513" s="12"/>
      <c r="D5513" s="13"/>
      <c r="E5513" s="13"/>
      <c r="F5513" s="13"/>
      <c r="G5513" s="12"/>
      <c r="H5513" s="11"/>
    </row>
    <row r="5514" spans="3:8" x14ac:dyDescent="0.25">
      <c r="C5514" s="12"/>
      <c r="D5514" s="13"/>
      <c r="E5514" s="13"/>
      <c r="F5514" s="13"/>
      <c r="G5514" s="12"/>
      <c r="H5514" s="11"/>
    </row>
    <row r="5515" spans="3:8" x14ac:dyDescent="0.25">
      <c r="C5515" s="12"/>
      <c r="D5515" s="13"/>
      <c r="E5515" s="13"/>
      <c r="F5515" s="13"/>
      <c r="G5515" s="12"/>
      <c r="H5515" s="11"/>
    </row>
    <row r="5516" spans="3:8" x14ac:dyDescent="0.25">
      <c r="C5516" s="12"/>
      <c r="D5516" s="13"/>
      <c r="E5516" s="13"/>
      <c r="F5516" s="13"/>
      <c r="G5516" s="12"/>
      <c r="H5516" s="11"/>
    </row>
    <row r="5517" spans="3:8" x14ac:dyDescent="0.25">
      <c r="C5517" s="12"/>
      <c r="D5517" s="13"/>
      <c r="E5517" s="13"/>
      <c r="F5517" s="13"/>
      <c r="G5517" s="12"/>
      <c r="H5517" s="11"/>
    </row>
    <row r="5518" spans="3:8" x14ac:dyDescent="0.25">
      <c r="C5518" s="12"/>
      <c r="D5518" s="13"/>
      <c r="E5518" s="13"/>
      <c r="F5518" s="13"/>
      <c r="G5518" s="12"/>
      <c r="H5518" s="11"/>
    </row>
    <row r="5519" spans="3:8" x14ac:dyDescent="0.25">
      <c r="C5519" s="12"/>
      <c r="D5519" s="13"/>
      <c r="E5519" s="13"/>
      <c r="F5519" s="13"/>
      <c r="G5519" s="12"/>
      <c r="H5519" s="11"/>
    </row>
    <row r="5520" spans="3:8" x14ac:dyDescent="0.25">
      <c r="C5520" s="12"/>
      <c r="D5520" s="13"/>
      <c r="E5520" s="13"/>
      <c r="F5520" s="13"/>
      <c r="G5520" s="12"/>
      <c r="H5520" s="11"/>
    </row>
    <row r="5521" spans="3:8" x14ac:dyDescent="0.25">
      <c r="C5521" s="12"/>
      <c r="D5521" s="13"/>
      <c r="E5521" s="13"/>
      <c r="F5521" s="13"/>
      <c r="G5521" s="12"/>
      <c r="H5521" s="11"/>
    </row>
    <row r="5522" spans="3:8" x14ac:dyDescent="0.25">
      <c r="C5522" s="12"/>
      <c r="D5522" s="13"/>
      <c r="E5522" s="13"/>
      <c r="F5522" s="13"/>
      <c r="G5522" s="12"/>
      <c r="H5522" s="11"/>
    </row>
    <row r="5523" spans="3:8" x14ac:dyDescent="0.25">
      <c r="C5523" s="12"/>
      <c r="D5523" s="13"/>
      <c r="E5523" s="13"/>
      <c r="F5523" s="13"/>
      <c r="G5523" s="12"/>
      <c r="H5523" s="11"/>
    </row>
    <row r="5524" spans="3:8" x14ac:dyDescent="0.25">
      <c r="C5524" s="12"/>
      <c r="D5524" s="13"/>
      <c r="E5524" s="13"/>
      <c r="F5524" s="13"/>
      <c r="G5524" s="12"/>
      <c r="H5524" s="11"/>
    </row>
    <row r="5525" spans="3:8" x14ac:dyDescent="0.25">
      <c r="C5525" s="12"/>
      <c r="D5525" s="13"/>
      <c r="E5525" s="13"/>
      <c r="F5525" s="13"/>
      <c r="G5525" s="12"/>
      <c r="H5525" s="11"/>
    </row>
    <row r="5526" spans="3:8" x14ac:dyDescent="0.25">
      <c r="C5526" s="12"/>
      <c r="D5526" s="13"/>
      <c r="E5526" s="13"/>
      <c r="F5526" s="13"/>
      <c r="G5526" s="12"/>
      <c r="H5526" s="11"/>
    </row>
    <row r="5527" spans="3:8" x14ac:dyDescent="0.25">
      <c r="C5527" s="12"/>
      <c r="D5527" s="13"/>
      <c r="E5527" s="13"/>
      <c r="F5527" s="13"/>
      <c r="G5527" s="12"/>
      <c r="H5527" s="11"/>
    </row>
    <row r="5528" spans="3:8" x14ac:dyDescent="0.25">
      <c r="C5528" s="12"/>
      <c r="D5528" s="13"/>
      <c r="E5528" s="13"/>
      <c r="F5528" s="13"/>
      <c r="G5528" s="12"/>
      <c r="H5528" s="11"/>
    </row>
    <row r="5529" spans="3:8" x14ac:dyDescent="0.25">
      <c r="C5529" s="12"/>
      <c r="D5529" s="13"/>
      <c r="E5529" s="13"/>
      <c r="F5529" s="13"/>
      <c r="G5529" s="12"/>
      <c r="H5529" s="11"/>
    </row>
    <row r="5530" spans="3:8" x14ac:dyDescent="0.25">
      <c r="C5530" s="12"/>
      <c r="D5530" s="13"/>
      <c r="E5530" s="13"/>
      <c r="F5530" s="13"/>
      <c r="G5530" s="12"/>
      <c r="H5530" s="11"/>
    </row>
    <row r="5531" spans="3:8" x14ac:dyDescent="0.25">
      <c r="C5531" s="12"/>
      <c r="D5531" s="13"/>
      <c r="E5531" s="13"/>
      <c r="F5531" s="13"/>
      <c r="G5531" s="12"/>
      <c r="H5531" s="11"/>
    </row>
    <row r="5532" spans="3:8" x14ac:dyDescent="0.25">
      <c r="C5532" s="12"/>
      <c r="D5532" s="13"/>
      <c r="E5532" s="13"/>
      <c r="F5532" s="13"/>
      <c r="G5532" s="12"/>
      <c r="H5532" s="11"/>
    </row>
    <row r="5533" spans="3:8" x14ac:dyDescent="0.25">
      <c r="C5533" s="12"/>
      <c r="D5533" s="13"/>
      <c r="E5533" s="13"/>
      <c r="F5533" s="13"/>
      <c r="G5533" s="12"/>
      <c r="H5533" s="11"/>
    </row>
    <row r="5534" spans="3:8" x14ac:dyDescent="0.25">
      <c r="C5534" s="12"/>
      <c r="D5534" s="13"/>
      <c r="E5534" s="13"/>
      <c r="F5534" s="13"/>
      <c r="G5534" s="12"/>
      <c r="H5534" s="11"/>
    </row>
    <row r="5535" spans="3:8" x14ac:dyDescent="0.25">
      <c r="C5535" s="12"/>
      <c r="D5535" s="13"/>
      <c r="E5535" s="13"/>
      <c r="F5535" s="13"/>
      <c r="G5535" s="12"/>
      <c r="H5535" s="11"/>
    </row>
    <row r="5536" spans="3:8" x14ac:dyDescent="0.25">
      <c r="C5536" s="12"/>
      <c r="D5536" s="13"/>
      <c r="E5536" s="13"/>
      <c r="F5536" s="13"/>
      <c r="G5536" s="12"/>
      <c r="H5536" s="11"/>
    </row>
    <row r="5537" spans="3:8" x14ac:dyDescent="0.25">
      <c r="C5537" s="12"/>
      <c r="D5537" s="13"/>
      <c r="E5537" s="13"/>
      <c r="F5537" s="13"/>
      <c r="G5537" s="12"/>
      <c r="H5537" s="11"/>
    </row>
    <row r="5538" spans="3:8" x14ac:dyDescent="0.25">
      <c r="C5538" s="12"/>
      <c r="D5538" s="13"/>
      <c r="E5538" s="13"/>
      <c r="F5538" s="13"/>
      <c r="G5538" s="12"/>
      <c r="H5538" s="11"/>
    </row>
    <row r="5539" spans="3:8" x14ac:dyDescent="0.25">
      <c r="C5539" s="12"/>
      <c r="D5539" s="13"/>
      <c r="E5539" s="13"/>
      <c r="F5539" s="13"/>
      <c r="G5539" s="12"/>
      <c r="H5539" s="11"/>
    </row>
    <row r="5540" spans="3:8" x14ac:dyDescent="0.25">
      <c r="C5540" s="12"/>
      <c r="D5540" s="13"/>
      <c r="E5540" s="13"/>
      <c r="F5540" s="13"/>
      <c r="G5540" s="12"/>
      <c r="H5540" s="11"/>
    </row>
    <row r="5541" spans="3:8" x14ac:dyDescent="0.25">
      <c r="C5541" s="12"/>
      <c r="D5541" s="13"/>
      <c r="E5541" s="13"/>
      <c r="F5541" s="13"/>
      <c r="G5541" s="12"/>
      <c r="H5541" s="11"/>
    </row>
    <row r="5542" spans="3:8" x14ac:dyDescent="0.25">
      <c r="C5542" s="12"/>
      <c r="D5542" s="13"/>
      <c r="E5542" s="13"/>
      <c r="F5542" s="13"/>
      <c r="G5542" s="12"/>
      <c r="H5542" s="11"/>
    </row>
    <row r="5543" spans="3:8" x14ac:dyDescent="0.25">
      <c r="C5543" s="12"/>
      <c r="D5543" s="13"/>
      <c r="E5543" s="13"/>
      <c r="F5543" s="13"/>
      <c r="G5543" s="12"/>
      <c r="H5543" s="11"/>
    </row>
    <row r="5544" spans="3:8" x14ac:dyDescent="0.25">
      <c r="C5544" s="12"/>
      <c r="D5544" s="13"/>
      <c r="E5544" s="13"/>
      <c r="F5544" s="13"/>
      <c r="G5544" s="12"/>
      <c r="H5544" s="11"/>
    </row>
    <row r="5545" spans="3:8" x14ac:dyDescent="0.25">
      <c r="C5545" s="12"/>
      <c r="D5545" s="13"/>
      <c r="E5545" s="13"/>
      <c r="F5545" s="13"/>
      <c r="G5545" s="12"/>
      <c r="H5545" s="11"/>
    </row>
    <row r="5546" spans="3:8" x14ac:dyDescent="0.25">
      <c r="C5546" s="12"/>
      <c r="D5546" s="13"/>
      <c r="E5546" s="13"/>
      <c r="F5546" s="13"/>
      <c r="G5546" s="12"/>
      <c r="H5546" s="11"/>
    </row>
    <row r="5547" spans="3:8" x14ac:dyDescent="0.25">
      <c r="C5547" s="12"/>
      <c r="D5547" s="13"/>
      <c r="E5547" s="13"/>
      <c r="F5547" s="13"/>
      <c r="G5547" s="12"/>
      <c r="H5547" s="11"/>
    </row>
    <row r="5548" spans="3:8" x14ac:dyDescent="0.25">
      <c r="C5548" s="12"/>
      <c r="D5548" s="13"/>
      <c r="E5548" s="13"/>
      <c r="F5548" s="13"/>
      <c r="G5548" s="12"/>
      <c r="H5548" s="11"/>
    </row>
    <row r="5549" spans="3:8" x14ac:dyDescent="0.25">
      <c r="C5549" s="12"/>
      <c r="D5549" s="13"/>
      <c r="E5549" s="13"/>
      <c r="F5549" s="13"/>
      <c r="G5549" s="12"/>
      <c r="H5549" s="11"/>
    </row>
    <row r="5550" spans="3:8" x14ac:dyDescent="0.25">
      <c r="C5550" s="12"/>
      <c r="D5550" s="13"/>
      <c r="E5550" s="13"/>
      <c r="F5550" s="13"/>
      <c r="G5550" s="12"/>
      <c r="H5550" s="11"/>
    </row>
    <row r="5551" spans="3:8" x14ac:dyDescent="0.25">
      <c r="C5551" s="12"/>
      <c r="D5551" s="13"/>
      <c r="E5551" s="13"/>
      <c r="F5551" s="13"/>
      <c r="G5551" s="12"/>
      <c r="H5551" s="11"/>
    </row>
    <row r="5552" spans="3:8" x14ac:dyDescent="0.25">
      <c r="C5552" s="12"/>
      <c r="D5552" s="13"/>
      <c r="E5552" s="13"/>
      <c r="F5552" s="13"/>
      <c r="G5552" s="12"/>
      <c r="H5552" s="11"/>
    </row>
    <row r="5553" spans="3:8" x14ac:dyDescent="0.25">
      <c r="C5553" s="12"/>
      <c r="D5553" s="13"/>
      <c r="E5553" s="13"/>
      <c r="F5553" s="13"/>
      <c r="G5553" s="12"/>
      <c r="H5553" s="11"/>
    </row>
    <row r="5554" spans="3:8" x14ac:dyDescent="0.25">
      <c r="C5554" s="12"/>
      <c r="D5554" s="13"/>
      <c r="E5554" s="13"/>
      <c r="F5554" s="13"/>
      <c r="G5554" s="12"/>
      <c r="H5554" s="11"/>
    </row>
    <row r="5555" spans="3:8" x14ac:dyDescent="0.25">
      <c r="C5555" s="12"/>
      <c r="D5555" s="13"/>
      <c r="E5555" s="13"/>
      <c r="F5555" s="13"/>
      <c r="G5555" s="12"/>
      <c r="H5555" s="11"/>
    </row>
    <row r="5556" spans="3:8" x14ac:dyDescent="0.25">
      <c r="C5556" s="12"/>
      <c r="D5556" s="13"/>
      <c r="E5556" s="13"/>
      <c r="F5556" s="13"/>
      <c r="G5556" s="12"/>
      <c r="H5556" s="11"/>
    </row>
    <row r="5557" spans="3:8" x14ac:dyDescent="0.25">
      <c r="C5557" s="12"/>
      <c r="D5557" s="13"/>
      <c r="E5557" s="13"/>
      <c r="F5557" s="13"/>
      <c r="G5557" s="12"/>
      <c r="H5557" s="11"/>
    </row>
    <row r="5558" spans="3:8" x14ac:dyDescent="0.25">
      <c r="C5558" s="12"/>
      <c r="D5558" s="13"/>
      <c r="E5558" s="13"/>
      <c r="F5558" s="13"/>
      <c r="G5558" s="12"/>
      <c r="H5558" s="11"/>
    </row>
    <row r="5559" spans="3:8" x14ac:dyDescent="0.25">
      <c r="C5559" s="12"/>
      <c r="D5559" s="13"/>
      <c r="E5559" s="13"/>
      <c r="F5559" s="13"/>
      <c r="G5559" s="12"/>
      <c r="H5559" s="11"/>
    </row>
    <row r="5560" spans="3:8" x14ac:dyDescent="0.25">
      <c r="C5560" s="12"/>
      <c r="D5560" s="13"/>
      <c r="E5560" s="13"/>
      <c r="F5560" s="13"/>
      <c r="G5560" s="12"/>
      <c r="H5560" s="11"/>
    </row>
    <row r="5561" spans="3:8" x14ac:dyDescent="0.25">
      <c r="C5561" s="12"/>
      <c r="D5561" s="13"/>
      <c r="E5561" s="13"/>
      <c r="F5561" s="13"/>
      <c r="G5561" s="12"/>
      <c r="H5561" s="11"/>
    </row>
    <row r="5562" spans="3:8" x14ac:dyDescent="0.25">
      <c r="C5562" s="12"/>
      <c r="D5562" s="13"/>
      <c r="E5562" s="13"/>
      <c r="F5562" s="13"/>
      <c r="G5562" s="12"/>
      <c r="H5562" s="11"/>
    </row>
    <row r="5563" spans="3:8" x14ac:dyDescent="0.25">
      <c r="C5563" s="12"/>
      <c r="D5563" s="13"/>
      <c r="E5563" s="13"/>
      <c r="F5563" s="13"/>
      <c r="G5563" s="12"/>
      <c r="H5563" s="11"/>
    </row>
    <row r="5564" spans="3:8" x14ac:dyDescent="0.25">
      <c r="C5564" s="12"/>
      <c r="D5564" s="13"/>
      <c r="E5564" s="13"/>
      <c r="F5564" s="13"/>
      <c r="G5564" s="12"/>
      <c r="H5564" s="11"/>
    </row>
    <row r="5565" spans="3:8" x14ac:dyDescent="0.25">
      <c r="C5565" s="12"/>
      <c r="D5565" s="13"/>
      <c r="E5565" s="13"/>
      <c r="F5565" s="13"/>
      <c r="G5565" s="12"/>
      <c r="H5565" s="11"/>
    </row>
    <row r="5566" spans="3:8" x14ac:dyDescent="0.25">
      <c r="C5566" s="12"/>
      <c r="D5566" s="13"/>
      <c r="E5566" s="13"/>
      <c r="F5566" s="13"/>
      <c r="G5566" s="12"/>
      <c r="H5566" s="11"/>
    </row>
    <row r="5567" spans="3:8" x14ac:dyDescent="0.25">
      <c r="C5567" s="12"/>
      <c r="D5567" s="13"/>
      <c r="E5567" s="13"/>
      <c r="F5567" s="13"/>
      <c r="G5567" s="12"/>
      <c r="H5567" s="11"/>
    </row>
    <row r="5568" spans="3:8" x14ac:dyDescent="0.25">
      <c r="C5568" s="12"/>
      <c r="D5568" s="13"/>
      <c r="E5568" s="13"/>
      <c r="F5568" s="13"/>
      <c r="G5568" s="12"/>
      <c r="H5568" s="11"/>
    </row>
    <row r="5569" spans="3:8" x14ac:dyDescent="0.25">
      <c r="C5569" s="12"/>
      <c r="D5569" s="13"/>
      <c r="E5569" s="13"/>
      <c r="F5569" s="13"/>
      <c r="G5569" s="12"/>
      <c r="H5569" s="11"/>
    </row>
    <row r="5570" spans="3:8" x14ac:dyDescent="0.25">
      <c r="C5570" s="12"/>
      <c r="D5570" s="13"/>
      <c r="E5570" s="13"/>
      <c r="F5570" s="13"/>
      <c r="G5570" s="12"/>
      <c r="H5570" s="11"/>
    </row>
    <row r="5571" spans="3:8" x14ac:dyDescent="0.25">
      <c r="C5571" s="12"/>
      <c r="D5571" s="13"/>
      <c r="E5571" s="13"/>
      <c r="F5571" s="13"/>
      <c r="G5571" s="12"/>
      <c r="H5571" s="11"/>
    </row>
    <row r="5572" spans="3:8" x14ac:dyDescent="0.25">
      <c r="C5572" s="12"/>
      <c r="D5572" s="13"/>
      <c r="E5572" s="13"/>
      <c r="F5572" s="13"/>
      <c r="G5572" s="12"/>
      <c r="H5572" s="11"/>
    </row>
    <row r="5573" spans="3:8" x14ac:dyDescent="0.25">
      <c r="C5573" s="12"/>
      <c r="D5573" s="13"/>
      <c r="E5573" s="13"/>
      <c r="F5573" s="13"/>
      <c r="G5573" s="12"/>
      <c r="H5573" s="11"/>
    </row>
    <row r="5574" spans="3:8" x14ac:dyDescent="0.25">
      <c r="C5574" s="12"/>
      <c r="D5574" s="13"/>
      <c r="E5574" s="13"/>
      <c r="F5574" s="13"/>
      <c r="G5574" s="12"/>
      <c r="H5574" s="11"/>
    </row>
    <row r="5575" spans="3:8" x14ac:dyDescent="0.25">
      <c r="C5575" s="12"/>
      <c r="D5575" s="13"/>
      <c r="E5575" s="13"/>
      <c r="F5575" s="13"/>
      <c r="G5575" s="12"/>
      <c r="H5575" s="11"/>
    </row>
    <row r="5576" spans="3:8" x14ac:dyDescent="0.25">
      <c r="C5576" s="12"/>
      <c r="D5576" s="13"/>
      <c r="E5576" s="13"/>
      <c r="F5576" s="13"/>
      <c r="G5576" s="12"/>
      <c r="H5576" s="11"/>
    </row>
    <row r="5577" spans="3:8" x14ac:dyDescent="0.25">
      <c r="C5577" s="12"/>
      <c r="D5577" s="13"/>
      <c r="E5577" s="13"/>
      <c r="F5577" s="13"/>
      <c r="G5577" s="12"/>
      <c r="H5577" s="11"/>
    </row>
    <row r="5578" spans="3:8" x14ac:dyDescent="0.25">
      <c r="C5578" s="12"/>
      <c r="D5578" s="13"/>
      <c r="E5578" s="13"/>
      <c r="F5578" s="13"/>
      <c r="G5578" s="12"/>
      <c r="H5578" s="11"/>
    </row>
    <row r="5579" spans="3:8" x14ac:dyDescent="0.25">
      <c r="C5579" s="12"/>
      <c r="D5579" s="13"/>
      <c r="E5579" s="13"/>
      <c r="F5579" s="13"/>
      <c r="G5579" s="12"/>
      <c r="H5579" s="11"/>
    </row>
    <row r="5580" spans="3:8" x14ac:dyDescent="0.25">
      <c r="C5580" s="12"/>
      <c r="D5580" s="13"/>
      <c r="E5580" s="13"/>
      <c r="F5580" s="13"/>
      <c r="G5580" s="12"/>
      <c r="H5580" s="11"/>
    </row>
    <row r="5581" spans="3:8" x14ac:dyDescent="0.25">
      <c r="C5581" s="12"/>
      <c r="D5581" s="13"/>
      <c r="E5581" s="13"/>
      <c r="F5581" s="13"/>
      <c r="G5581" s="12"/>
      <c r="H5581" s="11"/>
    </row>
    <row r="5582" spans="3:8" x14ac:dyDescent="0.25">
      <c r="C5582" s="12"/>
      <c r="D5582" s="13"/>
      <c r="E5582" s="13"/>
      <c r="F5582" s="13"/>
      <c r="G5582" s="12"/>
      <c r="H5582" s="11"/>
    </row>
    <row r="5583" spans="3:8" x14ac:dyDescent="0.25">
      <c r="C5583" s="12"/>
      <c r="D5583" s="13"/>
      <c r="E5583" s="13"/>
      <c r="F5583" s="13"/>
      <c r="G5583" s="12"/>
      <c r="H5583" s="11"/>
    </row>
    <row r="5584" spans="3:8" x14ac:dyDescent="0.25">
      <c r="C5584" s="12"/>
      <c r="D5584" s="13"/>
      <c r="E5584" s="13"/>
      <c r="F5584" s="13"/>
      <c r="G5584" s="12"/>
      <c r="H5584" s="11"/>
    </row>
    <row r="5585" spans="3:8" x14ac:dyDescent="0.25">
      <c r="C5585" s="12"/>
      <c r="D5585" s="13"/>
      <c r="E5585" s="13"/>
      <c r="F5585" s="13"/>
      <c r="G5585" s="12"/>
      <c r="H5585" s="11"/>
    </row>
    <row r="5586" spans="3:8" x14ac:dyDescent="0.25">
      <c r="C5586" s="12"/>
      <c r="D5586" s="13"/>
      <c r="E5586" s="13"/>
      <c r="F5586" s="13"/>
      <c r="G5586" s="12"/>
      <c r="H5586" s="11"/>
    </row>
    <row r="5587" spans="3:8" x14ac:dyDescent="0.25">
      <c r="C5587" s="12"/>
      <c r="D5587" s="13"/>
      <c r="E5587" s="13"/>
      <c r="F5587" s="13"/>
      <c r="G5587" s="12"/>
      <c r="H5587" s="11"/>
    </row>
    <row r="5588" spans="3:8" x14ac:dyDescent="0.25">
      <c r="C5588" s="12"/>
      <c r="D5588" s="13"/>
      <c r="E5588" s="13"/>
      <c r="F5588" s="13"/>
      <c r="G5588" s="12"/>
      <c r="H5588" s="11"/>
    </row>
    <row r="5589" spans="3:8" x14ac:dyDescent="0.25">
      <c r="C5589" s="12"/>
      <c r="D5589" s="13"/>
      <c r="E5589" s="13"/>
      <c r="F5589" s="13"/>
      <c r="G5589" s="12"/>
      <c r="H5589" s="11"/>
    </row>
    <row r="5590" spans="3:8" x14ac:dyDescent="0.25">
      <c r="C5590" s="12"/>
      <c r="D5590" s="13"/>
      <c r="E5590" s="13"/>
      <c r="F5590" s="13"/>
      <c r="G5590" s="12"/>
      <c r="H5590" s="11"/>
    </row>
    <row r="5591" spans="3:8" x14ac:dyDescent="0.25">
      <c r="C5591" s="12"/>
      <c r="D5591" s="13"/>
      <c r="E5591" s="13"/>
      <c r="F5591" s="13"/>
      <c r="G5591" s="12"/>
      <c r="H5591" s="11"/>
    </row>
    <row r="5592" spans="3:8" x14ac:dyDescent="0.25">
      <c r="C5592" s="12"/>
      <c r="D5592" s="13"/>
      <c r="E5592" s="13"/>
      <c r="F5592" s="13"/>
      <c r="G5592" s="12"/>
      <c r="H5592" s="11"/>
    </row>
    <row r="5593" spans="3:8" x14ac:dyDescent="0.25">
      <c r="C5593" s="12"/>
      <c r="D5593" s="13"/>
      <c r="E5593" s="13"/>
      <c r="F5593" s="13"/>
      <c r="G5593" s="12"/>
      <c r="H5593" s="11"/>
    </row>
    <row r="5594" spans="3:8" x14ac:dyDescent="0.25">
      <c r="C5594" s="12"/>
      <c r="D5594" s="13"/>
      <c r="E5594" s="13"/>
      <c r="F5594" s="13"/>
      <c r="G5594" s="12"/>
      <c r="H5594" s="11"/>
    </row>
    <row r="5595" spans="3:8" x14ac:dyDescent="0.25">
      <c r="C5595" s="12"/>
      <c r="D5595" s="13"/>
      <c r="E5595" s="13"/>
      <c r="F5595" s="13"/>
      <c r="G5595" s="12"/>
      <c r="H5595" s="11"/>
    </row>
    <row r="5596" spans="3:8" x14ac:dyDescent="0.25">
      <c r="C5596" s="12"/>
      <c r="D5596" s="13"/>
      <c r="E5596" s="13"/>
      <c r="F5596" s="13"/>
      <c r="G5596" s="12"/>
      <c r="H5596" s="11"/>
    </row>
    <row r="5597" spans="3:8" x14ac:dyDescent="0.25">
      <c r="C5597" s="12"/>
      <c r="D5597" s="13"/>
      <c r="E5597" s="13"/>
      <c r="F5597" s="13"/>
      <c r="G5597" s="12"/>
      <c r="H5597" s="11"/>
    </row>
    <row r="5598" spans="3:8" x14ac:dyDescent="0.25">
      <c r="C5598" s="12"/>
      <c r="D5598" s="13"/>
      <c r="E5598" s="13"/>
      <c r="F5598" s="13"/>
      <c r="G5598" s="12"/>
      <c r="H5598" s="11"/>
    </row>
    <row r="5599" spans="3:8" x14ac:dyDescent="0.25">
      <c r="C5599" s="12"/>
      <c r="D5599" s="13"/>
      <c r="E5599" s="13"/>
      <c r="F5599" s="13"/>
      <c r="G5599" s="12"/>
      <c r="H5599" s="11"/>
    </row>
    <row r="5600" spans="3:8" x14ac:dyDescent="0.25">
      <c r="C5600" s="12"/>
      <c r="D5600" s="13"/>
      <c r="E5600" s="13"/>
      <c r="F5600" s="13"/>
      <c r="G5600" s="12"/>
      <c r="H5600" s="11"/>
    </row>
    <row r="5601" spans="3:8" x14ac:dyDescent="0.25">
      <c r="C5601" s="12"/>
      <c r="D5601" s="13"/>
      <c r="E5601" s="13"/>
      <c r="F5601" s="13"/>
      <c r="G5601" s="12"/>
      <c r="H5601" s="11"/>
    </row>
    <row r="5602" spans="3:8" x14ac:dyDescent="0.25">
      <c r="C5602" s="12"/>
      <c r="D5602" s="13"/>
      <c r="E5602" s="13"/>
      <c r="F5602" s="13"/>
      <c r="G5602" s="12"/>
      <c r="H5602" s="11"/>
    </row>
    <row r="5603" spans="3:8" x14ac:dyDescent="0.25">
      <c r="C5603" s="12"/>
      <c r="D5603" s="13"/>
      <c r="E5603" s="13"/>
      <c r="F5603" s="13"/>
      <c r="G5603" s="12"/>
      <c r="H5603" s="11"/>
    </row>
    <row r="5604" spans="3:8" x14ac:dyDescent="0.25">
      <c r="C5604" s="12"/>
      <c r="D5604" s="13"/>
      <c r="E5604" s="13"/>
      <c r="F5604" s="13"/>
      <c r="G5604" s="12"/>
      <c r="H5604" s="11"/>
    </row>
    <row r="5605" spans="3:8" x14ac:dyDescent="0.25">
      <c r="C5605" s="12"/>
      <c r="D5605" s="13"/>
      <c r="E5605" s="13"/>
      <c r="F5605" s="13"/>
      <c r="G5605" s="12"/>
      <c r="H5605" s="11"/>
    </row>
    <row r="5606" spans="3:8" x14ac:dyDescent="0.25">
      <c r="C5606" s="12"/>
      <c r="D5606" s="13"/>
      <c r="E5606" s="13"/>
      <c r="F5606" s="13"/>
      <c r="G5606" s="12"/>
      <c r="H5606" s="11"/>
    </row>
    <row r="5607" spans="3:8" x14ac:dyDescent="0.25">
      <c r="C5607" s="12"/>
      <c r="D5607" s="13"/>
      <c r="E5607" s="13"/>
      <c r="F5607" s="13"/>
      <c r="G5607" s="12"/>
      <c r="H5607" s="11"/>
    </row>
    <row r="5608" spans="3:8" x14ac:dyDescent="0.25">
      <c r="C5608" s="12"/>
      <c r="D5608" s="13"/>
      <c r="E5608" s="13"/>
      <c r="F5608" s="13"/>
      <c r="G5608" s="12"/>
      <c r="H5608" s="11"/>
    </row>
    <row r="5609" spans="3:8" x14ac:dyDescent="0.25">
      <c r="C5609" s="12"/>
      <c r="D5609" s="13"/>
      <c r="E5609" s="13"/>
      <c r="F5609" s="13"/>
      <c r="G5609" s="12"/>
      <c r="H5609" s="11"/>
    </row>
    <row r="5610" spans="3:8" x14ac:dyDescent="0.25">
      <c r="C5610" s="12"/>
      <c r="D5610" s="13"/>
      <c r="E5610" s="13"/>
      <c r="F5610" s="13"/>
      <c r="G5610" s="12"/>
      <c r="H5610" s="11"/>
    </row>
    <row r="5611" spans="3:8" x14ac:dyDescent="0.25">
      <c r="C5611" s="12"/>
      <c r="D5611" s="13"/>
      <c r="E5611" s="13"/>
      <c r="F5611" s="13"/>
      <c r="G5611" s="12"/>
      <c r="H5611" s="11"/>
    </row>
    <row r="5612" spans="3:8" x14ac:dyDescent="0.25">
      <c r="C5612" s="12"/>
      <c r="D5612" s="13"/>
      <c r="E5612" s="13"/>
      <c r="F5612" s="13"/>
      <c r="G5612" s="12"/>
      <c r="H5612" s="11"/>
    </row>
    <row r="5613" spans="3:8" x14ac:dyDescent="0.25">
      <c r="C5613" s="12"/>
      <c r="D5613" s="13"/>
      <c r="E5613" s="13"/>
      <c r="F5613" s="13"/>
      <c r="G5613" s="12"/>
      <c r="H5613" s="11"/>
    </row>
    <row r="5614" spans="3:8" x14ac:dyDescent="0.25">
      <c r="C5614" s="12"/>
      <c r="D5614" s="13"/>
      <c r="E5614" s="13"/>
      <c r="F5614" s="13"/>
      <c r="G5614" s="12"/>
      <c r="H5614" s="11"/>
    </row>
    <row r="5615" spans="3:8" x14ac:dyDescent="0.25">
      <c r="C5615" s="12"/>
      <c r="D5615" s="13"/>
      <c r="E5615" s="13"/>
      <c r="F5615" s="13"/>
      <c r="G5615" s="12"/>
      <c r="H5615" s="11"/>
    </row>
    <row r="5616" spans="3:8" x14ac:dyDescent="0.25">
      <c r="C5616" s="12"/>
      <c r="D5616" s="13"/>
      <c r="E5616" s="13"/>
      <c r="F5616" s="13"/>
      <c r="G5616" s="12"/>
      <c r="H5616" s="11"/>
    </row>
    <row r="5617" spans="3:8" x14ac:dyDescent="0.25">
      <c r="C5617" s="12"/>
      <c r="D5617" s="13"/>
      <c r="E5617" s="13"/>
      <c r="F5617" s="13"/>
      <c r="G5617" s="12"/>
      <c r="H5617" s="11"/>
    </row>
    <row r="5618" spans="3:8" x14ac:dyDescent="0.25">
      <c r="C5618" s="12"/>
      <c r="D5618" s="13"/>
      <c r="E5618" s="13"/>
      <c r="F5618" s="13"/>
      <c r="G5618" s="12"/>
      <c r="H5618" s="11"/>
    </row>
    <row r="5619" spans="3:8" x14ac:dyDescent="0.25">
      <c r="C5619" s="12"/>
      <c r="D5619" s="13"/>
      <c r="E5619" s="13"/>
      <c r="F5619" s="13"/>
      <c r="G5619" s="12"/>
      <c r="H5619" s="11"/>
    </row>
    <row r="5620" spans="3:8" x14ac:dyDescent="0.25">
      <c r="C5620" s="12"/>
      <c r="D5620" s="13"/>
      <c r="E5620" s="13"/>
      <c r="F5620" s="13"/>
      <c r="G5620" s="12"/>
      <c r="H5620" s="11"/>
    </row>
    <row r="5621" spans="3:8" x14ac:dyDescent="0.25">
      <c r="C5621" s="12"/>
      <c r="D5621" s="13"/>
      <c r="E5621" s="13"/>
      <c r="F5621" s="13"/>
      <c r="G5621" s="12"/>
      <c r="H5621" s="11"/>
    </row>
    <row r="5622" spans="3:8" x14ac:dyDescent="0.25">
      <c r="C5622" s="12"/>
      <c r="D5622" s="13"/>
      <c r="E5622" s="13"/>
      <c r="F5622" s="13"/>
      <c r="G5622" s="12"/>
      <c r="H5622" s="11"/>
    </row>
    <row r="5623" spans="3:8" x14ac:dyDescent="0.25">
      <c r="C5623" s="12"/>
      <c r="D5623" s="13"/>
      <c r="E5623" s="13"/>
      <c r="F5623" s="13"/>
      <c r="G5623" s="12"/>
      <c r="H5623" s="11"/>
    </row>
    <row r="5624" spans="3:8" x14ac:dyDescent="0.25">
      <c r="C5624" s="12"/>
      <c r="D5624" s="13"/>
      <c r="E5624" s="13"/>
      <c r="F5624" s="13"/>
      <c r="G5624" s="12"/>
      <c r="H5624" s="11"/>
    </row>
    <row r="5625" spans="3:8" x14ac:dyDescent="0.25">
      <c r="C5625" s="12"/>
      <c r="D5625" s="13"/>
      <c r="E5625" s="13"/>
      <c r="F5625" s="13"/>
      <c r="G5625" s="12"/>
      <c r="H5625" s="11"/>
    </row>
    <row r="5626" spans="3:8" x14ac:dyDescent="0.25">
      <c r="C5626" s="12"/>
      <c r="D5626" s="13"/>
      <c r="E5626" s="13"/>
      <c r="F5626" s="13"/>
      <c r="G5626" s="12"/>
      <c r="H5626" s="11"/>
    </row>
    <row r="5627" spans="3:8" x14ac:dyDescent="0.25">
      <c r="C5627" s="12"/>
      <c r="D5627" s="13"/>
      <c r="E5627" s="13"/>
      <c r="F5627" s="13"/>
      <c r="G5627" s="12"/>
      <c r="H5627" s="11"/>
    </row>
    <row r="5628" spans="3:8" x14ac:dyDescent="0.25">
      <c r="C5628" s="12"/>
      <c r="D5628" s="13"/>
      <c r="E5628" s="13"/>
      <c r="F5628" s="13"/>
      <c r="G5628" s="12"/>
      <c r="H5628" s="11"/>
    </row>
    <row r="5629" spans="3:8" x14ac:dyDescent="0.25">
      <c r="C5629" s="12"/>
      <c r="D5629" s="13"/>
      <c r="E5629" s="13"/>
      <c r="F5629" s="13"/>
      <c r="G5629" s="12"/>
      <c r="H5629" s="11"/>
    </row>
    <row r="5630" spans="3:8" x14ac:dyDescent="0.25">
      <c r="C5630" s="12"/>
      <c r="D5630" s="13"/>
      <c r="E5630" s="13"/>
      <c r="F5630" s="13"/>
      <c r="G5630" s="12"/>
      <c r="H5630" s="11"/>
    </row>
    <row r="5631" spans="3:8" x14ac:dyDescent="0.25">
      <c r="C5631" s="12"/>
      <c r="D5631" s="13"/>
      <c r="E5631" s="13"/>
      <c r="F5631" s="13"/>
      <c r="G5631" s="12"/>
      <c r="H5631" s="11"/>
    </row>
    <row r="5632" spans="3:8" x14ac:dyDescent="0.25">
      <c r="C5632" s="12"/>
      <c r="D5632" s="13"/>
      <c r="E5632" s="13"/>
      <c r="F5632" s="13"/>
      <c r="G5632" s="12"/>
      <c r="H5632" s="11"/>
    </row>
    <row r="5633" spans="3:8" x14ac:dyDescent="0.25">
      <c r="C5633" s="12"/>
      <c r="D5633" s="13"/>
      <c r="E5633" s="13"/>
      <c r="F5633" s="13"/>
      <c r="G5633" s="12"/>
      <c r="H5633" s="11"/>
    </row>
    <row r="5634" spans="3:8" x14ac:dyDescent="0.25">
      <c r="C5634" s="12"/>
      <c r="D5634" s="13"/>
      <c r="E5634" s="13"/>
      <c r="F5634" s="13"/>
      <c r="G5634" s="12"/>
      <c r="H5634" s="11"/>
    </row>
    <row r="5635" spans="3:8" x14ac:dyDescent="0.25">
      <c r="C5635" s="12"/>
      <c r="D5635" s="13"/>
      <c r="E5635" s="13"/>
      <c r="F5635" s="13"/>
      <c r="G5635" s="12"/>
      <c r="H5635" s="11"/>
    </row>
    <row r="5636" spans="3:8" x14ac:dyDescent="0.25">
      <c r="C5636" s="12"/>
      <c r="D5636" s="13"/>
      <c r="E5636" s="13"/>
      <c r="F5636" s="13"/>
      <c r="G5636" s="12"/>
      <c r="H5636" s="11"/>
    </row>
    <row r="5637" spans="3:8" x14ac:dyDescent="0.25">
      <c r="C5637" s="12"/>
      <c r="D5637" s="13"/>
      <c r="E5637" s="13"/>
      <c r="F5637" s="13"/>
      <c r="G5637" s="12"/>
      <c r="H5637" s="11"/>
    </row>
    <row r="5638" spans="3:8" x14ac:dyDescent="0.25">
      <c r="C5638" s="12"/>
      <c r="D5638" s="13"/>
      <c r="E5638" s="13"/>
      <c r="F5638" s="13"/>
      <c r="G5638" s="12"/>
      <c r="H5638" s="11"/>
    </row>
    <row r="5639" spans="3:8" x14ac:dyDescent="0.25">
      <c r="C5639" s="12"/>
      <c r="D5639" s="13"/>
      <c r="E5639" s="13"/>
      <c r="F5639" s="13"/>
      <c r="G5639" s="12"/>
      <c r="H5639" s="11"/>
    </row>
    <row r="5640" spans="3:8" x14ac:dyDescent="0.25">
      <c r="C5640" s="12"/>
      <c r="D5640" s="13"/>
      <c r="E5640" s="13"/>
      <c r="F5640" s="13"/>
      <c r="G5640" s="12"/>
      <c r="H5640" s="11"/>
    </row>
    <row r="5641" spans="3:8" x14ac:dyDescent="0.25">
      <c r="C5641" s="12"/>
      <c r="D5641" s="13"/>
      <c r="E5641" s="13"/>
      <c r="F5641" s="13"/>
      <c r="G5641" s="12"/>
      <c r="H5641" s="11"/>
    </row>
    <row r="5642" spans="3:8" x14ac:dyDescent="0.25">
      <c r="C5642" s="12"/>
      <c r="D5642" s="13"/>
      <c r="E5642" s="13"/>
      <c r="F5642" s="13"/>
      <c r="G5642" s="12"/>
      <c r="H5642" s="11"/>
    </row>
    <row r="5643" spans="3:8" x14ac:dyDescent="0.25">
      <c r="C5643" s="12"/>
      <c r="D5643" s="13"/>
      <c r="E5643" s="13"/>
      <c r="F5643" s="13"/>
      <c r="G5643" s="12"/>
      <c r="H5643" s="11"/>
    </row>
    <row r="5644" spans="3:8" x14ac:dyDescent="0.25">
      <c r="C5644" s="12"/>
      <c r="D5644" s="13"/>
      <c r="E5644" s="13"/>
      <c r="F5644" s="13"/>
      <c r="G5644" s="12"/>
      <c r="H5644" s="11"/>
    </row>
    <row r="5645" spans="3:8" x14ac:dyDescent="0.25">
      <c r="C5645" s="12"/>
      <c r="D5645" s="13"/>
      <c r="E5645" s="13"/>
      <c r="F5645" s="13"/>
      <c r="G5645" s="12"/>
      <c r="H5645" s="11"/>
    </row>
    <row r="5646" spans="3:8" x14ac:dyDescent="0.25">
      <c r="C5646" s="12"/>
      <c r="D5646" s="13"/>
      <c r="E5646" s="13"/>
      <c r="F5646" s="13"/>
      <c r="G5646" s="12"/>
      <c r="H5646" s="11"/>
    </row>
    <row r="5647" spans="3:8" x14ac:dyDescent="0.25">
      <c r="C5647" s="12"/>
      <c r="D5647" s="13"/>
      <c r="E5647" s="13"/>
      <c r="F5647" s="13"/>
      <c r="G5647" s="12"/>
      <c r="H5647" s="11"/>
    </row>
    <row r="5648" spans="3:8" x14ac:dyDescent="0.25">
      <c r="C5648" s="12"/>
      <c r="D5648" s="13"/>
      <c r="E5648" s="13"/>
      <c r="F5648" s="13"/>
      <c r="G5648" s="12"/>
      <c r="H5648" s="11"/>
    </row>
    <row r="5649" spans="3:8" x14ac:dyDescent="0.25">
      <c r="C5649" s="12"/>
      <c r="D5649" s="13"/>
      <c r="E5649" s="13"/>
      <c r="F5649" s="13"/>
      <c r="G5649" s="12"/>
      <c r="H5649" s="11"/>
    </row>
    <row r="5650" spans="3:8" x14ac:dyDescent="0.25">
      <c r="C5650" s="12"/>
      <c r="D5650" s="13"/>
      <c r="E5650" s="13"/>
      <c r="F5650" s="13"/>
      <c r="G5650" s="12"/>
      <c r="H5650" s="11"/>
    </row>
    <row r="5651" spans="3:8" x14ac:dyDescent="0.25">
      <c r="C5651" s="12"/>
      <c r="D5651" s="13"/>
      <c r="E5651" s="13"/>
      <c r="F5651" s="13"/>
      <c r="G5651" s="12"/>
      <c r="H5651" s="11"/>
    </row>
    <row r="5652" spans="3:8" x14ac:dyDescent="0.25">
      <c r="C5652" s="12"/>
      <c r="D5652" s="13"/>
      <c r="E5652" s="13"/>
      <c r="F5652" s="13"/>
      <c r="G5652" s="12"/>
      <c r="H5652" s="11"/>
    </row>
    <row r="5653" spans="3:8" x14ac:dyDescent="0.25">
      <c r="C5653" s="12"/>
      <c r="D5653" s="13"/>
      <c r="E5653" s="13"/>
      <c r="F5653" s="13"/>
      <c r="G5653" s="12"/>
      <c r="H5653" s="11"/>
    </row>
    <row r="5654" spans="3:8" x14ac:dyDescent="0.25">
      <c r="C5654" s="12"/>
      <c r="D5654" s="13"/>
      <c r="E5654" s="13"/>
      <c r="F5654" s="13"/>
      <c r="G5654" s="12"/>
      <c r="H5654" s="11"/>
    </row>
    <row r="5655" spans="3:8" x14ac:dyDescent="0.25">
      <c r="C5655" s="12"/>
      <c r="D5655" s="13"/>
      <c r="E5655" s="13"/>
      <c r="F5655" s="13"/>
      <c r="G5655" s="12"/>
      <c r="H5655" s="11"/>
    </row>
    <row r="5656" spans="3:8" x14ac:dyDescent="0.25">
      <c r="C5656" s="12"/>
      <c r="D5656" s="13"/>
      <c r="E5656" s="13"/>
      <c r="F5656" s="13"/>
      <c r="G5656" s="12"/>
      <c r="H5656" s="11"/>
    </row>
    <row r="5657" spans="3:8" x14ac:dyDescent="0.25">
      <c r="C5657" s="12"/>
      <c r="D5657" s="13"/>
      <c r="E5657" s="13"/>
      <c r="F5657" s="13"/>
      <c r="G5657" s="12"/>
      <c r="H5657" s="11"/>
    </row>
    <row r="5658" spans="3:8" x14ac:dyDescent="0.25">
      <c r="C5658" s="12"/>
      <c r="D5658" s="13"/>
      <c r="E5658" s="13"/>
      <c r="F5658" s="13"/>
      <c r="G5658" s="12"/>
      <c r="H5658" s="11"/>
    </row>
    <row r="5659" spans="3:8" x14ac:dyDescent="0.25">
      <c r="C5659" s="12"/>
      <c r="D5659" s="13"/>
      <c r="E5659" s="13"/>
      <c r="F5659" s="13"/>
      <c r="G5659" s="12"/>
      <c r="H5659" s="11"/>
    </row>
    <row r="5660" spans="3:8" x14ac:dyDescent="0.25">
      <c r="C5660" s="12"/>
      <c r="D5660" s="13"/>
      <c r="E5660" s="13"/>
      <c r="F5660" s="13"/>
      <c r="G5660" s="12"/>
      <c r="H5660" s="11"/>
    </row>
    <row r="5661" spans="3:8" x14ac:dyDescent="0.25">
      <c r="C5661" s="12"/>
      <c r="D5661" s="13"/>
      <c r="E5661" s="13"/>
      <c r="F5661" s="13"/>
      <c r="G5661" s="12"/>
      <c r="H5661" s="11"/>
    </row>
    <row r="5662" spans="3:8" x14ac:dyDescent="0.25">
      <c r="C5662" s="12"/>
      <c r="D5662" s="13"/>
      <c r="E5662" s="13"/>
      <c r="F5662" s="13"/>
      <c r="G5662" s="12"/>
      <c r="H5662" s="11"/>
    </row>
    <row r="5663" spans="3:8" x14ac:dyDescent="0.25">
      <c r="C5663" s="12"/>
      <c r="D5663" s="13"/>
      <c r="E5663" s="13"/>
      <c r="F5663" s="13"/>
      <c r="G5663" s="12"/>
      <c r="H5663" s="11"/>
    </row>
    <row r="5664" spans="3:8" x14ac:dyDescent="0.25">
      <c r="C5664" s="12"/>
      <c r="D5664" s="13"/>
      <c r="E5664" s="13"/>
      <c r="F5664" s="13"/>
      <c r="G5664" s="12"/>
      <c r="H5664" s="11"/>
    </row>
    <row r="5665" spans="3:8" x14ac:dyDescent="0.25">
      <c r="C5665" s="12"/>
      <c r="D5665" s="13"/>
      <c r="E5665" s="13"/>
      <c r="F5665" s="13"/>
      <c r="G5665" s="12"/>
      <c r="H5665" s="11"/>
    </row>
    <row r="5666" spans="3:8" x14ac:dyDescent="0.25">
      <c r="C5666" s="12"/>
      <c r="D5666" s="13"/>
      <c r="E5666" s="13"/>
      <c r="F5666" s="13"/>
      <c r="G5666" s="12"/>
      <c r="H5666" s="11"/>
    </row>
    <row r="5667" spans="3:8" x14ac:dyDescent="0.25">
      <c r="C5667" s="12"/>
      <c r="D5667" s="13"/>
      <c r="E5667" s="13"/>
      <c r="F5667" s="13"/>
      <c r="G5667" s="12"/>
      <c r="H5667" s="11"/>
    </row>
    <row r="5668" spans="3:8" x14ac:dyDescent="0.25">
      <c r="C5668" s="12"/>
      <c r="D5668" s="13"/>
      <c r="E5668" s="13"/>
      <c r="F5668" s="13"/>
      <c r="G5668" s="12"/>
      <c r="H5668" s="11"/>
    </row>
    <row r="5669" spans="3:8" x14ac:dyDescent="0.25">
      <c r="C5669" s="12"/>
      <c r="D5669" s="13"/>
      <c r="E5669" s="13"/>
      <c r="F5669" s="13"/>
      <c r="G5669" s="12"/>
      <c r="H5669" s="11"/>
    </row>
    <row r="5670" spans="3:8" x14ac:dyDescent="0.25">
      <c r="C5670" s="12"/>
      <c r="D5670" s="13"/>
      <c r="E5670" s="13"/>
      <c r="F5670" s="13"/>
      <c r="G5670" s="12"/>
      <c r="H5670" s="11"/>
    </row>
    <row r="5671" spans="3:8" x14ac:dyDescent="0.25">
      <c r="C5671" s="12"/>
      <c r="D5671" s="13"/>
      <c r="E5671" s="13"/>
      <c r="F5671" s="13"/>
      <c r="G5671" s="12"/>
      <c r="H5671" s="11"/>
    </row>
    <row r="5672" spans="3:8" x14ac:dyDescent="0.25">
      <c r="C5672" s="12"/>
      <c r="D5672" s="13"/>
      <c r="E5672" s="13"/>
      <c r="F5672" s="13"/>
      <c r="G5672" s="12"/>
      <c r="H5672" s="11"/>
    </row>
    <row r="5673" spans="3:8" x14ac:dyDescent="0.25">
      <c r="C5673" s="12"/>
      <c r="D5673" s="13"/>
      <c r="E5673" s="13"/>
      <c r="F5673" s="13"/>
      <c r="G5673" s="12"/>
      <c r="H5673" s="11"/>
    </row>
    <row r="5674" spans="3:8" x14ac:dyDescent="0.25">
      <c r="C5674" s="12"/>
      <c r="D5674" s="13"/>
      <c r="E5674" s="13"/>
      <c r="F5674" s="13"/>
      <c r="G5674" s="12"/>
      <c r="H5674" s="11"/>
    </row>
    <row r="5675" spans="3:8" x14ac:dyDescent="0.25">
      <c r="C5675" s="12"/>
      <c r="D5675" s="13"/>
      <c r="E5675" s="13"/>
      <c r="F5675" s="13"/>
      <c r="G5675" s="12"/>
      <c r="H5675" s="11"/>
    </row>
    <row r="5676" spans="3:8" x14ac:dyDescent="0.25">
      <c r="C5676" s="12"/>
      <c r="D5676" s="13"/>
      <c r="E5676" s="13"/>
      <c r="F5676" s="13"/>
      <c r="G5676" s="12"/>
      <c r="H5676" s="11"/>
    </row>
    <row r="5677" spans="3:8" x14ac:dyDescent="0.25">
      <c r="C5677" s="12"/>
      <c r="D5677" s="13"/>
      <c r="E5677" s="13"/>
      <c r="F5677" s="13"/>
      <c r="G5677" s="12"/>
      <c r="H5677" s="11"/>
    </row>
    <row r="5678" spans="3:8" x14ac:dyDescent="0.25">
      <c r="C5678" s="12"/>
      <c r="D5678" s="13"/>
      <c r="E5678" s="13"/>
      <c r="F5678" s="13"/>
      <c r="G5678" s="12"/>
      <c r="H5678" s="11"/>
    </row>
    <row r="5679" spans="3:8" x14ac:dyDescent="0.25">
      <c r="C5679" s="12"/>
      <c r="D5679" s="13"/>
      <c r="E5679" s="13"/>
      <c r="F5679" s="13"/>
      <c r="G5679" s="12"/>
      <c r="H5679" s="11"/>
    </row>
    <row r="5680" spans="3:8" x14ac:dyDescent="0.25">
      <c r="C5680" s="12"/>
      <c r="D5680" s="13"/>
      <c r="E5680" s="13"/>
      <c r="F5680" s="13"/>
      <c r="G5680" s="12"/>
      <c r="H5680" s="11"/>
    </row>
    <row r="5681" spans="3:8" x14ac:dyDescent="0.25">
      <c r="C5681" s="12"/>
      <c r="D5681" s="13"/>
      <c r="E5681" s="13"/>
      <c r="F5681" s="13"/>
      <c r="G5681" s="12"/>
      <c r="H5681" s="11"/>
    </row>
    <row r="5682" spans="3:8" x14ac:dyDescent="0.25">
      <c r="C5682" s="12"/>
      <c r="D5682" s="13"/>
      <c r="E5682" s="13"/>
      <c r="F5682" s="13"/>
      <c r="G5682" s="12"/>
      <c r="H5682" s="11"/>
    </row>
    <row r="5683" spans="3:8" x14ac:dyDescent="0.25">
      <c r="C5683" s="12"/>
      <c r="D5683" s="13"/>
      <c r="E5683" s="13"/>
      <c r="F5683" s="13"/>
      <c r="G5683" s="12"/>
      <c r="H5683" s="11"/>
    </row>
    <row r="5684" spans="3:8" x14ac:dyDescent="0.25">
      <c r="C5684" s="12"/>
      <c r="D5684" s="13"/>
      <c r="E5684" s="13"/>
      <c r="F5684" s="13"/>
      <c r="G5684" s="12"/>
      <c r="H5684" s="11"/>
    </row>
    <row r="5685" spans="3:8" x14ac:dyDescent="0.25">
      <c r="C5685" s="12"/>
      <c r="D5685" s="13"/>
      <c r="E5685" s="13"/>
      <c r="F5685" s="13"/>
      <c r="G5685" s="12"/>
      <c r="H5685" s="11"/>
    </row>
    <row r="5686" spans="3:8" x14ac:dyDescent="0.25">
      <c r="C5686" s="12"/>
      <c r="D5686" s="13"/>
      <c r="E5686" s="13"/>
      <c r="F5686" s="13"/>
      <c r="G5686" s="12"/>
      <c r="H5686" s="11"/>
    </row>
    <row r="5687" spans="3:8" x14ac:dyDescent="0.25">
      <c r="C5687" s="12"/>
      <c r="D5687" s="13"/>
      <c r="E5687" s="13"/>
      <c r="F5687" s="13"/>
      <c r="G5687" s="12"/>
      <c r="H5687" s="11"/>
    </row>
    <row r="5688" spans="3:8" x14ac:dyDescent="0.25">
      <c r="C5688" s="12"/>
      <c r="D5688" s="13"/>
      <c r="E5688" s="13"/>
      <c r="F5688" s="13"/>
      <c r="G5688" s="12"/>
      <c r="H5688" s="11"/>
    </row>
    <row r="5689" spans="3:8" x14ac:dyDescent="0.25">
      <c r="C5689" s="12"/>
      <c r="D5689" s="13"/>
      <c r="E5689" s="13"/>
      <c r="F5689" s="13"/>
      <c r="G5689" s="12"/>
      <c r="H5689" s="11"/>
    </row>
    <row r="5690" spans="3:8" x14ac:dyDescent="0.25">
      <c r="C5690" s="12"/>
      <c r="D5690" s="13"/>
      <c r="E5690" s="13"/>
      <c r="F5690" s="13"/>
      <c r="G5690" s="12"/>
      <c r="H5690" s="11"/>
    </row>
    <row r="5691" spans="3:8" x14ac:dyDescent="0.25">
      <c r="C5691" s="12"/>
      <c r="D5691" s="13"/>
      <c r="E5691" s="13"/>
      <c r="F5691" s="13"/>
      <c r="G5691" s="12"/>
      <c r="H5691" s="11"/>
    </row>
    <row r="5692" spans="3:8" x14ac:dyDescent="0.25">
      <c r="C5692" s="12"/>
      <c r="D5692" s="13"/>
      <c r="E5692" s="13"/>
      <c r="F5692" s="13"/>
      <c r="G5692" s="12"/>
      <c r="H5692" s="11"/>
    </row>
    <row r="5693" spans="3:8" x14ac:dyDescent="0.25">
      <c r="C5693" s="12"/>
      <c r="D5693" s="13"/>
      <c r="E5693" s="13"/>
      <c r="F5693" s="13"/>
      <c r="G5693" s="12"/>
      <c r="H5693" s="11"/>
    </row>
    <row r="5694" spans="3:8" x14ac:dyDescent="0.25">
      <c r="C5694" s="12"/>
      <c r="D5694" s="13"/>
      <c r="E5694" s="13"/>
      <c r="F5694" s="13"/>
      <c r="G5694" s="12"/>
      <c r="H5694" s="11"/>
    </row>
    <row r="5695" spans="3:8" x14ac:dyDescent="0.25">
      <c r="C5695" s="12"/>
      <c r="D5695" s="13"/>
      <c r="E5695" s="13"/>
      <c r="F5695" s="13"/>
      <c r="G5695" s="12"/>
      <c r="H5695" s="11"/>
    </row>
    <row r="5696" spans="3:8" x14ac:dyDescent="0.25">
      <c r="C5696" s="12"/>
      <c r="D5696" s="13"/>
      <c r="E5696" s="13"/>
      <c r="F5696" s="13"/>
      <c r="G5696" s="12"/>
      <c r="H5696" s="11"/>
    </row>
    <row r="5697" spans="3:8" x14ac:dyDescent="0.25">
      <c r="C5697" s="12"/>
      <c r="D5697" s="13"/>
      <c r="E5697" s="13"/>
      <c r="F5697" s="13"/>
      <c r="G5697" s="12"/>
      <c r="H5697" s="11"/>
    </row>
    <row r="5698" spans="3:8" x14ac:dyDescent="0.25">
      <c r="C5698" s="12"/>
      <c r="D5698" s="13"/>
      <c r="E5698" s="13"/>
      <c r="F5698" s="13"/>
      <c r="G5698" s="12"/>
      <c r="H5698" s="11"/>
    </row>
    <row r="5699" spans="3:8" x14ac:dyDescent="0.25">
      <c r="C5699" s="12"/>
      <c r="D5699" s="13"/>
      <c r="E5699" s="13"/>
      <c r="F5699" s="13"/>
      <c r="G5699" s="12"/>
      <c r="H5699" s="11"/>
    </row>
    <row r="5700" spans="3:8" x14ac:dyDescent="0.25">
      <c r="C5700" s="12"/>
      <c r="D5700" s="13"/>
      <c r="E5700" s="13"/>
      <c r="F5700" s="13"/>
      <c r="G5700" s="12"/>
      <c r="H5700" s="11"/>
    </row>
    <row r="5701" spans="3:8" x14ac:dyDescent="0.25">
      <c r="C5701" s="12"/>
      <c r="D5701" s="13"/>
      <c r="E5701" s="13"/>
      <c r="F5701" s="13"/>
      <c r="G5701" s="12"/>
      <c r="H5701" s="11"/>
    </row>
    <row r="5702" spans="3:8" x14ac:dyDescent="0.25">
      <c r="C5702" s="12"/>
      <c r="D5702" s="13"/>
      <c r="E5702" s="13"/>
      <c r="F5702" s="13"/>
      <c r="G5702" s="12"/>
      <c r="H5702" s="11"/>
    </row>
    <row r="5703" spans="3:8" x14ac:dyDescent="0.25">
      <c r="C5703" s="12"/>
      <c r="D5703" s="13"/>
      <c r="E5703" s="13"/>
      <c r="F5703" s="13"/>
      <c r="G5703" s="12"/>
      <c r="H5703" s="11"/>
    </row>
    <row r="5704" spans="3:8" x14ac:dyDescent="0.25">
      <c r="C5704" s="12"/>
      <c r="D5704" s="13"/>
      <c r="E5704" s="13"/>
      <c r="F5704" s="13"/>
      <c r="G5704" s="12"/>
      <c r="H5704" s="11"/>
    </row>
    <row r="5705" spans="3:8" x14ac:dyDescent="0.25">
      <c r="C5705" s="12"/>
      <c r="D5705" s="13"/>
      <c r="E5705" s="13"/>
      <c r="F5705" s="13"/>
      <c r="G5705" s="12"/>
      <c r="H5705" s="11"/>
    </row>
    <row r="5706" spans="3:8" x14ac:dyDescent="0.25">
      <c r="C5706" s="12"/>
      <c r="D5706" s="13"/>
      <c r="E5706" s="13"/>
      <c r="F5706" s="13"/>
      <c r="G5706" s="12"/>
      <c r="H5706" s="11"/>
    </row>
    <row r="5707" spans="3:8" x14ac:dyDescent="0.25">
      <c r="C5707" s="12"/>
      <c r="D5707" s="13"/>
      <c r="E5707" s="13"/>
      <c r="F5707" s="13"/>
      <c r="G5707" s="12"/>
      <c r="H5707" s="11"/>
    </row>
    <row r="5708" spans="3:8" x14ac:dyDescent="0.25">
      <c r="C5708" s="12"/>
      <c r="D5708" s="13"/>
      <c r="E5708" s="13"/>
      <c r="F5708" s="13"/>
      <c r="G5708" s="12"/>
      <c r="H5708" s="11"/>
    </row>
    <row r="5709" spans="3:8" x14ac:dyDescent="0.25">
      <c r="C5709" s="12"/>
      <c r="D5709" s="13"/>
      <c r="E5709" s="13"/>
      <c r="F5709" s="13"/>
      <c r="G5709" s="12"/>
      <c r="H5709" s="11"/>
    </row>
    <row r="5710" spans="3:8" x14ac:dyDescent="0.25">
      <c r="C5710" s="12"/>
      <c r="D5710" s="13"/>
      <c r="E5710" s="13"/>
      <c r="F5710" s="13"/>
      <c r="G5710" s="12"/>
      <c r="H5710" s="11"/>
    </row>
    <row r="5711" spans="3:8" x14ac:dyDescent="0.25">
      <c r="C5711" s="12"/>
      <c r="D5711" s="13"/>
      <c r="E5711" s="13"/>
      <c r="F5711" s="13"/>
      <c r="G5711" s="12"/>
      <c r="H5711" s="11"/>
    </row>
    <row r="5712" spans="3:8" x14ac:dyDescent="0.25">
      <c r="C5712" s="12"/>
      <c r="D5712" s="13"/>
      <c r="E5712" s="13"/>
      <c r="F5712" s="13"/>
      <c r="G5712" s="12"/>
      <c r="H5712" s="11"/>
    </row>
    <row r="5713" spans="3:8" x14ac:dyDescent="0.25">
      <c r="C5713" s="12"/>
      <c r="D5713" s="13"/>
      <c r="E5713" s="13"/>
      <c r="F5713" s="13"/>
      <c r="G5713" s="12"/>
      <c r="H5713" s="11"/>
    </row>
    <row r="5714" spans="3:8" x14ac:dyDescent="0.25">
      <c r="C5714" s="12"/>
      <c r="D5714" s="13"/>
      <c r="E5714" s="13"/>
      <c r="F5714" s="13"/>
      <c r="G5714" s="12"/>
      <c r="H5714" s="11"/>
    </row>
    <row r="5715" spans="3:8" x14ac:dyDescent="0.25">
      <c r="C5715" s="12"/>
      <c r="D5715" s="13"/>
      <c r="E5715" s="13"/>
      <c r="F5715" s="13"/>
      <c r="G5715" s="12"/>
      <c r="H5715" s="11"/>
    </row>
    <row r="5716" spans="3:8" x14ac:dyDescent="0.25">
      <c r="C5716" s="12"/>
      <c r="D5716" s="13"/>
      <c r="E5716" s="13"/>
      <c r="F5716" s="13"/>
      <c r="G5716" s="12"/>
      <c r="H5716" s="11"/>
    </row>
    <row r="5717" spans="3:8" x14ac:dyDescent="0.25">
      <c r="C5717" s="12"/>
      <c r="D5717" s="13"/>
      <c r="E5717" s="13"/>
      <c r="F5717" s="13"/>
      <c r="G5717" s="12"/>
      <c r="H5717" s="11"/>
    </row>
    <row r="5718" spans="3:8" x14ac:dyDescent="0.25">
      <c r="C5718" s="12"/>
      <c r="D5718" s="13"/>
      <c r="E5718" s="13"/>
      <c r="F5718" s="13"/>
      <c r="G5718" s="12"/>
      <c r="H5718" s="11"/>
    </row>
    <row r="5719" spans="3:8" x14ac:dyDescent="0.25">
      <c r="C5719" s="12"/>
      <c r="D5719" s="13"/>
      <c r="E5719" s="13"/>
      <c r="F5719" s="13"/>
      <c r="G5719" s="12"/>
      <c r="H5719" s="11"/>
    </row>
    <row r="5720" spans="3:8" x14ac:dyDescent="0.25">
      <c r="C5720" s="12"/>
      <c r="D5720" s="13"/>
      <c r="E5720" s="13"/>
      <c r="F5720" s="13"/>
      <c r="G5720" s="12"/>
      <c r="H5720" s="11"/>
    </row>
    <row r="5721" spans="3:8" x14ac:dyDescent="0.25">
      <c r="C5721" s="12"/>
      <c r="D5721" s="13"/>
      <c r="E5721" s="13"/>
      <c r="F5721" s="13"/>
      <c r="G5721" s="12"/>
      <c r="H5721" s="11"/>
    </row>
    <row r="5722" spans="3:8" x14ac:dyDescent="0.25">
      <c r="C5722" s="12"/>
      <c r="D5722" s="13"/>
      <c r="E5722" s="13"/>
      <c r="F5722" s="13"/>
      <c r="G5722" s="12"/>
      <c r="H5722" s="11"/>
    </row>
    <row r="5723" spans="3:8" x14ac:dyDescent="0.25">
      <c r="C5723" s="12"/>
      <c r="D5723" s="13"/>
      <c r="E5723" s="13"/>
      <c r="F5723" s="13"/>
      <c r="G5723" s="12"/>
      <c r="H5723" s="11"/>
    </row>
    <row r="5724" spans="3:8" x14ac:dyDescent="0.25">
      <c r="C5724" s="12"/>
      <c r="D5724" s="13"/>
      <c r="E5724" s="13"/>
      <c r="F5724" s="13"/>
      <c r="G5724" s="12"/>
      <c r="H5724" s="11"/>
    </row>
    <row r="5725" spans="3:8" x14ac:dyDescent="0.25">
      <c r="C5725" s="12"/>
      <c r="D5725" s="13"/>
      <c r="E5725" s="13"/>
      <c r="F5725" s="13"/>
      <c r="G5725" s="12"/>
      <c r="H5725" s="11"/>
    </row>
    <row r="5726" spans="3:8" x14ac:dyDescent="0.25">
      <c r="C5726" s="12"/>
      <c r="D5726" s="13"/>
      <c r="E5726" s="13"/>
      <c r="F5726" s="13"/>
      <c r="G5726" s="12"/>
      <c r="H5726" s="11"/>
    </row>
    <row r="5727" spans="3:8" x14ac:dyDescent="0.25">
      <c r="C5727" s="12"/>
      <c r="D5727" s="13"/>
      <c r="E5727" s="13"/>
      <c r="F5727" s="13"/>
      <c r="G5727" s="12"/>
      <c r="H5727" s="11"/>
    </row>
    <row r="5728" spans="3:8" x14ac:dyDescent="0.25">
      <c r="C5728" s="12"/>
      <c r="D5728" s="13"/>
      <c r="E5728" s="13"/>
      <c r="F5728" s="13"/>
      <c r="G5728" s="12"/>
      <c r="H5728" s="11"/>
    </row>
    <row r="5729" spans="3:8" x14ac:dyDescent="0.25">
      <c r="C5729" s="12"/>
      <c r="D5729" s="13"/>
      <c r="E5729" s="13"/>
      <c r="F5729" s="13"/>
      <c r="G5729" s="12"/>
      <c r="H5729" s="11"/>
    </row>
    <row r="5730" spans="3:8" x14ac:dyDescent="0.25">
      <c r="C5730" s="12"/>
      <c r="D5730" s="13"/>
      <c r="E5730" s="13"/>
      <c r="F5730" s="13"/>
      <c r="G5730" s="12"/>
      <c r="H5730" s="11"/>
    </row>
    <row r="5731" spans="3:8" x14ac:dyDescent="0.25">
      <c r="C5731" s="12"/>
      <c r="D5731" s="13"/>
      <c r="E5731" s="13"/>
      <c r="F5731" s="13"/>
      <c r="G5731" s="12"/>
      <c r="H5731" s="11"/>
    </row>
    <row r="5732" spans="3:8" x14ac:dyDescent="0.25">
      <c r="C5732" s="12"/>
      <c r="D5732" s="13"/>
      <c r="E5732" s="13"/>
      <c r="F5732" s="13"/>
      <c r="G5732" s="12"/>
      <c r="H5732" s="11"/>
    </row>
    <row r="5733" spans="3:8" x14ac:dyDescent="0.25">
      <c r="C5733" s="12"/>
      <c r="D5733" s="13"/>
      <c r="E5733" s="13"/>
      <c r="F5733" s="13"/>
      <c r="G5733" s="12"/>
      <c r="H5733" s="11"/>
    </row>
    <row r="5734" spans="3:8" x14ac:dyDescent="0.25">
      <c r="C5734" s="12"/>
      <c r="D5734" s="13"/>
      <c r="E5734" s="13"/>
      <c r="F5734" s="13"/>
      <c r="G5734" s="12"/>
      <c r="H5734" s="11"/>
    </row>
    <row r="5735" spans="3:8" x14ac:dyDescent="0.25">
      <c r="C5735" s="12"/>
      <c r="D5735" s="13"/>
      <c r="E5735" s="13"/>
      <c r="F5735" s="13"/>
      <c r="G5735" s="12"/>
      <c r="H5735" s="11"/>
    </row>
    <row r="5736" spans="3:8" x14ac:dyDescent="0.25">
      <c r="C5736" s="12"/>
      <c r="D5736" s="13"/>
      <c r="E5736" s="13"/>
      <c r="F5736" s="13"/>
      <c r="G5736" s="12"/>
      <c r="H5736" s="11"/>
    </row>
    <row r="5737" spans="3:8" x14ac:dyDescent="0.25">
      <c r="C5737" s="12"/>
      <c r="D5737" s="13"/>
      <c r="E5737" s="13"/>
      <c r="F5737" s="13"/>
      <c r="G5737" s="12"/>
      <c r="H5737" s="11"/>
    </row>
    <row r="5738" spans="3:8" x14ac:dyDescent="0.25">
      <c r="C5738" s="12"/>
      <c r="D5738" s="13"/>
      <c r="E5738" s="13"/>
      <c r="F5738" s="13"/>
      <c r="G5738" s="12"/>
      <c r="H5738" s="11"/>
    </row>
    <row r="5739" spans="3:8" x14ac:dyDescent="0.25">
      <c r="C5739" s="12"/>
      <c r="D5739" s="13"/>
      <c r="E5739" s="13"/>
      <c r="F5739" s="13"/>
      <c r="G5739" s="12"/>
      <c r="H5739" s="11"/>
    </row>
    <row r="5740" spans="3:8" x14ac:dyDescent="0.25">
      <c r="C5740" s="12"/>
      <c r="D5740" s="13"/>
      <c r="E5740" s="13"/>
      <c r="F5740" s="13"/>
      <c r="G5740" s="12"/>
      <c r="H5740" s="11"/>
    </row>
    <row r="5741" spans="3:8" x14ac:dyDescent="0.25">
      <c r="C5741" s="12"/>
      <c r="D5741" s="13"/>
      <c r="E5741" s="13"/>
      <c r="F5741" s="13"/>
      <c r="G5741" s="12"/>
      <c r="H5741" s="11"/>
    </row>
    <row r="5742" spans="3:8" x14ac:dyDescent="0.25">
      <c r="C5742" s="12"/>
      <c r="D5742" s="13"/>
      <c r="E5742" s="13"/>
      <c r="F5742" s="13"/>
      <c r="G5742" s="12"/>
      <c r="H5742" s="11"/>
    </row>
    <row r="5743" spans="3:8" x14ac:dyDescent="0.25">
      <c r="C5743" s="12"/>
      <c r="D5743" s="13"/>
      <c r="E5743" s="13"/>
      <c r="F5743" s="13"/>
      <c r="G5743" s="12"/>
      <c r="H5743" s="11"/>
    </row>
    <row r="5744" spans="3:8" x14ac:dyDescent="0.25">
      <c r="C5744" s="12"/>
      <c r="D5744" s="13"/>
      <c r="E5744" s="13"/>
      <c r="F5744" s="13"/>
      <c r="G5744" s="12"/>
      <c r="H5744" s="11"/>
    </row>
    <row r="5745" spans="3:8" x14ac:dyDescent="0.25">
      <c r="C5745" s="12"/>
      <c r="D5745" s="13"/>
      <c r="E5745" s="13"/>
      <c r="F5745" s="13"/>
      <c r="G5745" s="12"/>
      <c r="H5745" s="11"/>
    </row>
    <row r="5746" spans="3:8" x14ac:dyDescent="0.25">
      <c r="C5746" s="12"/>
      <c r="D5746" s="13"/>
      <c r="E5746" s="13"/>
      <c r="F5746" s="13"/>
      <c r="G5746" s="12"/>
      <c r="H5746" s="11"/>
    </row>
    <row r="5747" spans="3:8" x14ac:dyDescent="0.25">
      <c r="C5747" s="12"/>
      <c r="D5747" s="13"/>
      <c r="E5747" s="13"/>
      <c r="F5747" s="13"/>
      <c r="G5747" s="12"/>
      <c r="H5747" s="11"/>
    </row>
    <row r="5748" spans="3:8" x14ac:dyDescent="0.25">
      <c r="C5748" s="12"/>
      <c r="D5748" s="13"/>
      <c r="E5748" s="13"/>
      <c r="F5748" s="13"/>
      <c r="G5748" s="12"/>
      <c r="H5748" s="11"/>
    </row>
    <row r="5749" spans="3:8" x14ac:dyDescent="0.25">
      <c r="C5749" s="12"/>
      <c r="D5749" s="13"/>
      <c r="E5749" s="13"/>
      <c r="F5749" s="13"/>
      <c r="G5749" s="12"/>
      <c r="H5749" s="11"/>
    </row>
    <row r="5750" spans="3:8" x14ac:dyDescent="0.25">
      <c r="C5750" s="12"/>
      <c r="D5750" s="13"/>
      <c r="E5750" s="13"/>
      <c r="F5750" s="13"/>
      <c r="G5750" s="12"/>
      <c r="H5750" s="11"/>
    </row>
    <row r="5751" spans="3:8" x14ac:dyDescent="0.25">
      <c r="C5751" s="12"/>
      <c r="D5751" s="13"/>
      <c r="E5751" s="13"/>
      <c r="F5751" s="13"/>
      <c r="G5751" s="12"/>
      <c r="H5751" s="11"/>
    </row>
    <row r="5752" spans="3:8" x14ac:dyDescent="0.25">
      <c r="C5752" s="12"/>
      <c r="D5752" s="13"/>
      <c r="E5752" s="13"/>
      <c r="F5752" s="13"/>
      <c r="G5752" s="12"/>
      <c r="H5752" s="11"/>
    </row>
    <row r="5753" spans="3:8" x14ac:dyDescent="0.25">
      <c r="C5753" s="12"/>
      <c r="D5753" s="13"/>
      <c r="E5753" s="13"/>
      <c r="F5753" s="13"/>
      <c r="G5753" s="12"/>
      <c r="H5753" s="11"/>
    </row>
    <row r="5754" spans="3:8" x14ac:dyDescent="0.25">
      <c r="C5754" s="12"/>
      <c r="D5754" s="13"/>
      <c r="E5754" s="13"/>
      <c r="F5754" s="13"/>
      <c r="G5754" s="12"/>
      <c r="H5754" s="11"/>
    </row>
    <row r="5755" spans="3:8" x14ac:dyDescent="0.25">
      <c r="C5755" s="12"/>
      <c r="D5755" s="13"/>
      <c r="E5755" s="13"/>
      <c r="F5755" s="13"/>
      <c r="G5755" s="12"/>
      <c r="H5755" s="11"/>
    </row>
    <row r="5756" spans="3:8" x14ac:dyDescent="0.25">
      <c r="C5756" s="12"/>
      <c r="D5756" s="13"/>
      <c r="E5756" s="13"/>
      <c r="F5756" s="13"/>
      <c r="G5756" s="12"/>
      <c r="H5756" s="11"/>
    </row>
    <row r="5757" spans="3:8" x14ac:dyDescent="0.25">
      <c r="C5757" s="12"/>
      <c r="D5757" s="13"/>
      <c r="E5757" s="13"/>
      <c r="F5757" s="13"/>
      <c r="G5757" s="12"/>
      <c r="H5757" s="11"/>
    </row>
    <row r="5758" spans="3:8" x14ac:dyDescent="0.25">
      <c r="C5758" s="12"/>
      <c r="D5758" s="13"/>
      <c r="E5758" s="13"/>
      <c r="F5758" s="13"/>
      <c r="G5758" s="12"/>
      <c r="H5758" s="11"/>
    </row>
    <row r="5759" spans="3:8" x14ac:dyDescent="0.25">
      <c r="C5759" s="12"/>
      <c r="D5759" s="13"/>
      <c r="E5759" s="13"/>
      <c r="F5759" s="13"/>
      <c r="G5759" s="12"/>
      <c r="H5759" s="11"/>
    </row>
    <row r="5760" spans="3:8" x14ac:dyDescent="0.25">
      <c r="C5760" s="12"/>
      <c r="D5760" s="13"/>
      <c r="E5760" s="13"/>
      <c r="F5760" s="13"/>
      <c r="G5760" s="12"/>
      <c r="H5760" s="11"/>
    </row>
    <row r="5761" spans="3:8" x14ac:dyDescent="0.25">
      <c r="C5761" s="12"/>
      <c r="D5761" s="13"/>
      <c r="E5761" s="13"/>
      <c r="F5761" s="13"/>
      <c r="G5761" s="12"/>
      <c r="H5761" s="11"/>
    </row>
    <row r="5762" spans="3:8" x14ac:dyDescent="0.25">
      <c r="C5762" s="12"/>
      <c r="D5762" s="13"/>
      <c r="E5762" s="13"/>
      <c r="F5762" s="13"/>
      <c r="G5762" s="12"/>
      <c r="H5762" s="11"/>
    </row>
    <row r="5763" spans="3:8" x14ac:dyDescent="0.25">
      <c r="C5763" s="12"/>
      <c r="D5763" s="13"/>
      <c r="E5763" s="13"/>
      <c r="F5763" s="13"/>
      <c r="G5763" s="12"/>
      <c r="H5763" s="11"/>
    </row>
    <row r="5764" spans="3:8" x14ac:dyDescent="0.25">
      <c r="C5764" s="12"/>
      <c r="D5764" s="13"/>
      <c r="E5764" s="13"/>
      <c r="F5764" s="13"/>
      <c r="G5764" s="12"/>
      <c r="H5764" s="11"/>
    </row>
    <row r="5765" spans="3:8" x14ac:dyDescent="0.25">
      <c r="C5765" s="12"/>
      <c r="D5765" s="13"/>
      <c r="E5765" s="13"/>
      <c r="F5765" s="13"/>
      <c r="G5765" s="12"/>
      <c r="H5765" s="11"/>
    </row>
    <row r="5766" spans="3:8" x14ac:dyDescent="0.25">
      <c r="C5766" s="12"/>
      <c r="D5766" s="13"/>
      <c r="E5766" s="13"/>
      <c r="F5766" s="13"/>
      <c r="G5766" s="12"/>
      <c r="H5766" s="11"/>
    </row>
    <row r="5767" spans="3:8" x14ac:dyDescent="0.25">
      <c r="C5767" s="12"/>
      <c r="D5767" s="13"/>
      <c r="E5767" s="13"/>
      <c r="F5767" s="13"/>
      <c r="G5767" s="12"/>
      <c r="H5767" s="11"/>
    </row>
    <row r="5768" spans="3:8" x14ac:dyDescent="0.25">
      <c r="C5768" s="12"/>
      <c r="D5768" s="13"/>
      <c r="E5768" s="13"/>
      <c r="F5768" s="13"/>
      <c r="G5768" s="12"/>
      <c r="H5768" s="11"/>
    </row>
    <row r="5769" spans="3:8" x14ac:dyDescent="0.25">
      <c r="C5769" s="12"/>
      <c r="D5769" s="13"/>
      <c r="E5769" s="13"/>
      <c r="F5769" s="13"/>
      <c r="G5769" s="12"/>
      <c r="H5769" s="11"/>
    </row>
    <row r="5770" spans="3:8" x14ac:dyDescent="0.25">
      <c r="C5770" s="12"/>
      <c r="D5770" s="13"/>
      <c r="E5770" s="13"/>
      <c r="F5770" s="13"/>
      <c r="G5770" s="12"/>
      <c r="H5770" s="11"/>
    </row>
    <row r="5771" spans="3:8" x14ac:dyDescent="0.25">
      <c r="C5771" s="12"/>
      <c r="D5771" s="13"/>
      <c r="E5771" s="13"/>
      <c r="F5771" s="13"/>
      <c r="G5771" s="12"/>
      <c r="H5771" s="11"/>
    </row>
    <row r="5772" spans="3:8" x14ac:dyDescent="0.25">
      <c r="C5772" s="12"/>
      <c r="D5772" s="13"/>
      <c r="E5772" s="13"/>
      <c r="F5772" s="13"/>
      <c r="G5772" s="12"/>
      <c r="H5772" s="11"/>
    </row>
    <row r="5773" spans="3:8" x14ac:dyDescent="0.25">
      <c r="C5773" s="12"/>
      <c r="D5773" s="13"/>
      <c r="E5773" s="13"/>
      <c r="F5773" s="13"/>
      <c r="G5773" s="12"/>
      <c r="H5773" s="11"/>
    </row>
    <row r="5774" spans="3:8" x14ac:dyDescent="0.25">
      <c r="C5774" s="12"/>
      <c r="D5774" s="13"/>
      <c r="E5774" s="13"/>
      <c r="F5774" s="13"/>
      <c r="G5774" s="12"/>
      <c r="H5774" s="11"/>
    </row>
    <row r="5775" spans="3:8" x14ac:dyDescent="0.25">
      <c r="C5775" s="12"/>
      <c r="D5775" s="13"/>
      <c r="E5775" s="13"/>
      <c r="F5775" s="13"/>
      <c r="G5775" s="12"/>
      <c r="H5775" s="11"/>
    </row>
    <row r="5776" spans="3:8" x14ac:dyDescent="0.25">
      <c r="C5776" s="12"/>
      <c r="D5776" s="13"/>
      <c r="E5776" s="13"/>
      <c r="F5776" s="13"/>
      <c r="G5776" s="12"/>
      <c r="H5776" s="11"/>
    </row>
    <row r="5777" spans="3:8" x14ac:dyDescent="0.25">
      <c r="C5777" s="12"/>
      <c r="D5777" s="13"/>
      <c r="E5777" s="13"/>
      <c r="F5777" s="13"/>
      <c r="G5777" s="12"/>
      <c r="H5777" s="11"/>
    </row>
    <row r="5778" spans="3:8" x14ac:dyDescent="0.25">
      <c r="C5778" s="12"/>
      <c r="D5778" s="13"/>
      <c r="E5778" s="13"/>
      <c r="F5778" s="13"/>
      <c r="G5778" s="12"/>
      <c r="H5778" s="11"/>
    </row>
    <row r="5779" spans="3:8" x14ac:dyDescent="0.25">
      <c r="C5779" s="12"/>
      <c r="D5779" s="13"/>
      <c r="E5779" s="13"/>
      <c r="F5779" s="13"/>
      <c r="G5779" s="12"/>
      <c r="H5779" s="11"/>
    </row>
    <row r="5780" spans="3:8" x14ac:dyDescent="0.25">
      <c r="C5780" s="12"/>
      <c r="D5780" s="13"/>
      <c r="E5780" s="13"/>
      <c r="F5780" s="13"/>
      <c r="G5780" s="12"/>
      <c r="H5780" s="11"/>
    </row>
    <row r="5781" spans="3:8" x14ac:dyDescent="0.25">
      <c r="C5781" s="12"/>
      <c r="D5781" s="13"/>
      <c r="E5781" s="13"/>
      <c r="F5781" s="13"/>
      <c r="G5781" s="12"/>
      <c r="H5781" s="11"/>
    </row>
    <row r="5782" spans="3:8" x14ac:dyDescent="0.25">
      <c r="C5782" s="12"/>
      <c r="D5782" s="13"/>
      <c r="E5782" s="13"/>
      <c r="F5782" s="13"/>
      <c r="G5782" s="12"/>
      <c r="H5782" s="11"/>
    </row>
    <row r="5783" spans="3:8" x14ac:dyDescent="0.25">
      <c r="C5783" s="12"/>
      <c r="D5783" s="13"/>
      <c r="E5783" s="13"/>
      <c r="F5783" s="13"/>
      <c r="G5783" s="12"/>
      <c r="H5783" s="11"/>
    </row>
    <row r="5784" spans="3:8" x14ac:dyDescent="0.25">
      <c r="C5784" s="12"/>
      <c r="D5784" s="13"/>
      <c r="E5784" s="13"/>
      <c r="F5784" s="13"/>
      <c r="G5784" s="12"/>
      <c r="H5784" s="11"/>
    </row>
    <row r="5785" spans="3:8" x14ac:dyDescent="0.25">
      <c r="C5785" s="12"/>
      <c r="D5785" s="13"/>
      <c r="E5785" s="13"/>
      <c r="F5785" s="13"/>
      <c r="G5785" s="12"/>
      <c r="H5785" s="11"/>
    </row>
    <row r="5786" spans="3:8" x14ac:dyDescent="0.25">
      <c r="C5786" s="12"/>
      <c r="D5786" s="13"/>
      <c r="E5786" s="13"/>
      <c r="F5786" s="13"/>
      <c r="G5786" s="12"/>
      <c r="H5786" s="11"/>
    </row>
    <row r="5787" spans="3:8" x14ac:dyDescent="0.25">
      <c r="C5787" s="12"/>
      <c r="D5787" s="13"/>
      <c r="E5787" s="13"/>
      <c r="F5787" s="13"/>
      <c r="G5787" s="12"/>
      <c r="H5787" s="11"/>
    </row>
    <row r="5788" spans="3:8" x14ac:dyDescent="0.25">
      <c r="C5788" s="12"/>
      <c r="D5788" s="13"/>
      <c r="E5788" s="13"/>
      <c r="F5788" s="13"/>
      <c r="G5788" s="12"/>
      <c r="H5788" s="11"/>
    </row>
    <row r="5789" spans="3:8" x14ac:dyDescent="0.25">
      <c r="C5789" s="12"/>
      <c r="D5789" s="13"/>
      <c r="E5789" s="13"/>
      <c r="F5789" s="13"/>
      <c r="G5789" s="12"/>
      <c r="H5789" s="11"/>
    </row>
    <row r="5790" spans="3:8" x14ac:dyDescent="0.25">
      <c r="C5790" s="12"/>
      <c r="D5790" s="13"/>
      <c r="E5790" s="13"/>
      <c r="F5790" s="13"/>
      <c r="G5790" s="12"/>
      <c r="H5790" s="11"/>
    </row>
    <row r="5791" spans="3:8" x14ac:dyDescent="0.25">
      <c r="C5791" s="12"/>
      <c r="D5791" s="13"/>
      <c r="E5791" s="13"/>
      <c r="F5791" s="13"/>
      <c r="G5791" s="12"/>
      <c r="H5791" s="11"/>
    </row>
    <row r="5792" spans="3:8" x14ac:dyDescent="0.25">
      <c r="C5792" s="12"/>
      <c r="D5792" s="13"/>
      <c r="E5792" s="13"/>
      <c r="F5792" s="13"/>
      <c r="G5792" s="12"/>
      <c r="H5792" s="11"/>
    </row>
    <row r="5793" spans="3:8" x14ac:dyDescent="0.25">
      <c r="C5793" s="12"/>
      <c r="D5793" s="13"/>
      <c r="E5793" s="13"/>
      <c r="F5793" s="13"/>
      <c r="G5793" s="12"/>
      <c r="H5793" s="11"/>
    </row>
    <row r="5794" spans="3:8" x14ac:dyDescent="0.25">
      <c r="C5794" s="12"/>
      <c r="D5794" s="13"/>
      <c r="E5794" s="13"/>
      <c r="F5794" s="13"/>
      <c r="G5794" s="12"/>
      <c r="H5794" s="11"/>
    </row>
    <row r="5795" spans="3:8" x14ac:dyDescent="0.25">
      <c r="C5795" s="12"/>
      <c r="D5795" s="13"/>
      <c r="E5795" s="13"/>
      <c r="F5795" s="13"/>
      <c r="G5795" s="12"/>
      <c r="H5795" s="11"/>
    </row>
    <row r="5796" spans="3:8" x14ac:dyDescent="0.25">
      <c r="C5796" s="12"/>
      <c r="D5796" s="13"/>
      <c r="E5796" s="13"/>
      <c r="F5796" s="13"/>
      <c r="G5796" s="12"/>
      <c r="H5796" s="11"/>
    </row>
    <row r="5797" spans="3:8" x14ac:dyDescent="0.25">
      <c r="C5797" s="12"/>
      <c r="D5797" s="13"/>
      <c r="E5797" s="13"/>
      <c r="F5797" s="13"/>
      <c r="G5797" s="12"/>
      <c r="H5797" s="11"/>
    </row>
    <row r="5798" spans="3:8" x14ac:dyDescent="0.25">
      <c r="C5798" s="12"/>
      <c r="D5798" s="13"/>
      <c r="E5798" s="13"/>
      <c r="F5798" s="13"/>
      <c r="G5798" s="12"/>
      <c r="H5798" s="11"/>
    </row>
    <row r="5799" spans="3:8" x14ac:dyDescent="0.25">
      <c r="C5799" s="12"/>
      <c r="D5799" s="13"/>
      <c r="E5799" s="13"/>
      <c r="F5799" s="13"/>
      <c r="G5799" s="12"/>
      <c r="H5799" s="11"/>
    </row>
    <row r="5800" spans="3:8" x14ac:dyDescent="0.25">
      <c r="C5800" s="12"/>
      <c r="D5800" s="13"/>
      <c r="E5800" s="13"/>
      <c r="F5800" s="13"/>
      <c r="G5800" s="12"/>
      <c r="H5800" s="11"/>
    </row>
    <row r="5801" spans="3:8" x14ac:dyDescent="0.25">
      <c r="C5801" s="12"/>
      <c r="D5801" s="13"/>
      <c r="E5801" s="13"/>
      <c r="F5801" s="13"/>
      <c r="G5801" s="12"/>
      <c r="H5801" s="11"/>
    </row>
    <row r="5802" spans="3:8" x14ac:dyDescent="0.25">
      <c r="C5802" s="12"/>
      <c r="D5802" s="13"/>
      <c r="E5802" s="13"/>
      <c r="F5802" s="13"/>
      <c r="G5802" s="12"/>
      <c r="H5802" s="11"/>
    </row>
    <row r="5803" spans="3:8" x14ac:dyDescent="0.25">
      <c r="C5803" s="12"/>
      <c r="D5803" s="13"/>
      <c r="E5803" s="13"/>
      <c r="F5803" s="13"/>
      <c r="G5803" s="12"/>
      <c r="H5803" s="11"/>
    </row>
    <row r="5804" spans="3:8" x14ac:dyDescent="0.25">
      <c r="C5804" s="12"/>
      <c r="D5804" s="13"/>
      <c r="E5804" s="13"/>
      <c r="F5804" s="13"/>
      <c r="G5804" s="12"/>
      <c r="H5804" s="11"/>
    </row>
    <row r="5805" spans="3:8" x14ac:dyDescent="0.25">
      <c r="C5805" s="12"/>
      <c r="D5805" s="13"/>
      <c r="E5805" s="13"/>
      <c r="F5805" s="13"/>
      <c r="G5805" s="12"/>
      <c r="H5805" s="11"/>
    </row>
    <row r="5806" spans="3:8" x14ac:dyDescent="0.25">
      <c r="C5806" s="12"/>
      <c r="D5806" s="13"/>
      <c r="E5806" s="13"/>
      <c r="F5806" s="13"/>
      <c r="G5806" s="12"/>
      <c r="H5806" s="11"/>
    </row>
    <row r="5807" spans="3:8" x14ac:dyDescent="0.25">
      <c r="C5807" s="12"/>
      <c r="D5807" s="13"/>
      <c r="E5807" s="13"/>
      <c r="F5807" s="13"/>
      <c r="G5807" s="12"/>
      <c r="H5807" s="11"/>
    </row>
    <row r="5808" spans="3:8" x14ac:dyDescent="0.25">
      <c r="C5808" s="12"/>
      <c r="D5808" s="13"/>
      <c r="E5808" s="13"/>
      <c r="F5808" s="13"/>
      <c r="G5808" s="12"/>
      <c r="H5808" s="11"/>
    </row>
    <row r="5809" spans="3:8" x14ac:dyDescent="0.25">
      <c r="C5809" s="12"/>
      <c r="D5809" s="13"/>
      <c r="E5809" s="13"/>
      <c r="F5809" s="13"/>
      <c r="G5809" s="12"/>
      <c r="H5809" s="11"/>
    </row>
    <row r="5810" spans="3:8" x14ac:dyDescent="0.25">
      <c r="C5810" s="12"/>
      <c r="D5810" s="13"/>
      <c r="E5810" s="13"/>
      <c r="F5810" s="13"/>
      <c r="G5810" s="12"/>
      <c r="H5810" s="11"/>
    </row>
    <row r="5811" spans="3:8" x14ac:dyDescent="0.25">
      <c r="C5811" s="12"/>
      <c r="D5811" s="13"/>
      <c r="E5811" s="13"/>
      <c r="F5811" s="13"/>
      <c r="G5811" s="12"/>
      <c r="H5811" s="11"/>
    </row>
    <row r="5812" spans="3:8" x14ac:dyDescent="0.25">
      <c r="C5812" s="12"/>
      <c r="D5812" s="13"/>
      <c r="E5812" s="13"/>
      <c r="F5812" s="13"/>
      <c r="G5812" s="12"/>
      <c r="H5812" s="11"/>
    </row>
    <row r="5813" spans="3:8" x14ac:dyDescent="0.25">
      <c r="C5813" s="12"/>
      <c r="D5813" s="13"/>
      <c r="E5813" s="13"/>
      <c r="F5813" s="13"/>
      <c r="G5813" s="12"/>
      <c r="H5813" s="11"/>
    </row>
    <row r="5814" spans="3:8" x14ac:dyDescent="0.25">
      <c r="C5814" s="12"/>
      <c r="D5814" s="13"/>
      <c r="E5814" s="13"/>
      <c r="F5814" s="13"/>
      <c r="G5814" s="12"/>
      <c r="H5814" s="11"/>
    </row>
    <row r="5815" spans="3:8" x14ac:dyDescent="0.25">
      <c r="C5815" s="12"/>
      <c r="D5815" s="13"/>
      <c r="E5815" s="13"/>
      <c r="F5815" s="13"/>
      <c r="G5815" s="12"/>
      <c r="H5815" s="11"/>
    </row>
    <row r="5816" spans="3:8" x14ac:dyDescent="0.25">
      <c r="C5816" s="12"/>
      <c r="D5816" s="13"/>
      <c r="E5816" s="13"/>
      <c r="F5816" s="13"/>
      <c r="G5816" s="12"/>
      <c r="H5816" s="11"/>
    </row>
    <row r="5817" spans="3:8" x14ac:dyDescent="0.25">
      <c r="C5817" s="12"/>
      <c r="D5817" s="13"/>
      <c r="E5817" s="13"/>
      <c r="F5817" s="13"/>
      <c r="G5817" s="12"/>
      <c r="H5817" s="11"/>
    </row>
    <row r="5818" spans="3:8" x14ac:dyDescent="0.25">
      <c r="C5818" s="12"/>
      <c r="D5818" s="13"/>
      <c r="E5818" s="13"/>
      <c r="F5818" s="13"/>
      <c r="G5818" s="12"/>
      <c r="H5818" s="11"/>
    </row>
    <row r="5819" spans="3:8" x14ac:dyDescent="0.25">
      <c r="C5819" s="12"/>
      <c r="D5819" s="13"/>
      <c r="E5819" s="13"/>
      <c r="F5819" s="13"/>
      <c r="G5819" s="12"/>
      <c r="H5819" s="11"/>
    </row>
    <row r="5820" spans="3:8" x14ac:dyDescent="0.25">
      <c r="C5820" s="12"/>
      <c r="D5820" s="13"/>
      <c r="E5820" s="13"/>
      <c r="F5820" s="13"/>
      <c r="G5820" s="12"/>
      <c r="H5820" s="11"/>
    </row>
    <row r="5821" spans="3:8" x14ac:dyDescent="0.25">
      <c r="C5821" s="12"/>
      <c r="D5821" s="13"/>
      <c r="E5821" s="13"/>
      <c r="F5821" s="13"/>
      <c r="G5821" s="12"/>
      <c r="H5821" s="11"/>
    </row>
    <row r="5822" spans="3:8" x14ac:dyDescent="0.25">
      <c r="C5822" s="12"/>
      <c r="D5822" s="13"/>
      <c r="E5822" s="13"/>
      <c r="F5822" s="13"/>
      <c r="G5822" s="12"/>
      <c r="H5822" s="11"/>
    </row>
    <row r="5823" spans="3:8" x14ac:dyDescent="0.25">
      <c r="C5823" s="12"/>
      <c r="D5823" s="13"/>
      <c r="E5823" s="13"/>
      <c r="F5823" s="13"/>
      <c r="G5823" s="12"/>
      <c r="H5823" s="11"/>
    </row>
    <row r="5824" spans="3:8" x14ac:dyDescent="0.25">
      <c r="C5824" s="12"/>
      <c r="D5824" s="13"/>
      <c r="E5824" s="13"/>
      <c r="F5824" s="13"/>
      <c r="G5824" s="12"/>
      <c r="H5824" s="11"/>
    </row>
    <row r="5825" spans="3:8" x14ac:dyDescent="0.25">
      <c r="C5825" s="12"/>
      <c r="D5825" s="13"/>
      <c r="E5825" s="13"/>
      <c r="F5825" s="13"/>
      <c r="G5825" s="12"/>
      <c r="H5825" s="11"/>
    </row>
    <row r="5826" spans="3:8" x14ac:dyDescent="0.25">
      <c r="C5826" s="12"/>
      <c r="D5826" s="13"/>
      <c r="E5826" s="13"/>
      <c r="F5826" s="13"/>
      <c r="G5826" s="12"/>
      <c r="H5826" s="11"/>
    </row>
    <row r="5827" spans="3:8" x14ac:dyDescent="0.25">
      <c r="C5827" s="12"/>
      <c r="D5827" s="13"/>
      <c r="E5827" s="13"/>
      <c r="F5827" s="13"/>
      <c r="G5827" s="12"/>
      <c r="H5827" s="11"/>
    </row>
    <row r="5828" spans="3:8" x14ac:dyDescent="0.25">
      <c r="C5828" s="12"/>
      <c r="D5828" s="13"/>
      <c r="E5828" s="13"/>
      <c r="F5828" s="13"/>
      <c r="G5828" s="12"/>
      <c r="H5828" s="11"/>
    </row>
    <row r="5829" spans="3:8" x14ac:dyDescent="0.25">
      <c r="C5829" s="12"/>
      <c r="D5829" s="13"/>
      <c r="E5829" s="13"/>
      <c r="F5829" s="13"/>
      <c r="G5829" s="12"/>
      <c r="H5829" s="11"/>
    </row>
    <row r="5830" spans="3:8" x14ac:dyDescent="0.25">
      <c r="C5830" s="12"/>
      <c r="D5830" s="13"/>
      <c r="E5830" s="13"/>
      <c r="F5830" s="13"/>
      <c r="G5830" s="12"/>
      <c r="H5830" s="11"/>
    </row>
    <row r="5831" spans="3:8" x14ac:dyDescent="0.25">
      <c r="C5831" s="12"/>
      <c r="D5831" s="13"/>
      <c r="E5831" s="13"/>
      <c r="F5831" s="13"/>
      <c r="G5831" s="12"/>
      <c r="H5831" s="11"/>
    </row>
    <row r="5832" spans="3:8" x14ac:dyDescent="0.25">
      <c r="C5832" s="12"/>
      <c r="D5832" s="13"/>
      <c r="E5832" s="13"/>
      <c r="F5832" s="13"/>
      <c r="G5832" s="12"/>
      <c r="H5832" s="11"/>
    </row>
    <row r="5833" spans="3:8" x14ac:dyDescent="0.25">
      <c r="C5833" s="12"/>
      <c r="D5833" s="13"/>
      <c r="E5833" s="13"/>
      <c r="F5833" s="13"/>
      <c r="G5833" s="12"/>
      <c r="H5833" s="11"/>
    </row>
    <row r="5834" spans="3:8" x14ac:dyDescent="0.25">
      <c r="C5834" s="12"/>
      <c r="D5834" s="13"/>
      <c r="E5834" s="13"/>
      <c r="F5834" s="13"/>
      <c r="G5834" s="12"/>
      <c r="H5834" s="11"/>
    </row>
    <row r="5835" spans="3:8" x14ac:dyDescent="0.25">
      <c r="C5835" s="12"/>
      <c r="D5835" s="13"/>
      <c r="E5835" s="13"/>
      <c r="F5835" s="13"/>
      <c r="G5835" s="12"/>
      <c r="H5835" s="11"/>
    </row>
    <row r="5836" spans="3:8" x14ac:dyDescent="0.25">
      <c r="C5836" s="12"/>
      <c r="D5836" s="13"/>
      <c r="E5836" s="13"/>
      <c r="F5836" s="13"/>
      <c r="G5836" s="12"/>
      <c r="H5836" s="11"/>
    </row>
    <row r="5837" spans="3:8" x14ac:dyDescent="0.25">
      <c r="C5837" s="12"/>
      <c r="D5837" s="13"/>
      <c r="E5837" s="13"/>
      <c r="F5837" s="13"/>
      <c r="G5837" s="12"/>
      <c r="H5837" s="11"/>
    </row>
    <row r="5838" spans="3:8" x14ac:dyDescent="0.25">
      <c r="C5838" s="12"/>
      <c r="D5838" s="13"/>
      <c r="E5838" s="13"/>
      <c r="F5838" s="13"/>
      <c r="G5838" s="12"/>
      <c r="H5838" s="11"/>
    </row>
    <row r="5839" spans="3:8" x14ac:dyDescent="0.25">
      <c r="C5839" s="12"/>
      <c r="D5839" s="13"/>
      <c r="E5839" s="13"/>
      <c r="F5839" s="13"/>
      <c r="G5839" s="12"/>
      <c r="H5839" s="11"/>
    </row>
    <row r="5840" spans="3:8" x14ac:dyDescent="0.25">
      <c r="C5840" s="12"/>
      <c r="D5840" s="13"/>
      <c r="E5840" s="13"/>
      <c r="F5840" s="13"/>
      <c r="G5840" s="12"/>
      <c r="H5840" s="11"/>
    </row>
    <row r="5841" spans="3:8" x14ac:dyDescent="0.25">
      <c r="C5841" s="12"/>
      <c r="D5841" s="13"/>
      <c r="E5841" s="13"/>
      <c r="F5841" s="13"/>
      <c r="G5841" s="12"/>
      <c r="H5841" s="11"/>
    </row>
    <row r="5842" spans="3:8" x14ac:dyDescent="0.25">
      <c r="C5842" s="12"/>
      <c r="D5842" s="13"/>
      <c r="E5842" s="13"/>
      <c r="F5842" s="13"/>
      <c r="G5842" s="12"/>
      <c r="H5842" s="11"/>
    </row>
    <row r="5843" spans="3:8" x14ac:dyDescent="0.25">
      <c r="C5843" s="12"/>
      <c r="D5843" s="13"/>
      <c r="E5843" s="13"/>
      <c r="F5843" s="13"/>
      <c r="G5843" s="12"/>
      <c r="H5843" s="11"/>
    </row>
    <row r="5844" spans="3:8" x14ac:dyDescent="0.25">
      <c r="C5844" s="12"/>
      <c r="D5844" s="13"/>
      <c r="E5844" s="13"/>
      <c r="F5844" s="13"/>
      <c r="G5844" s="12"/>
      <c r="H5844" s="11"/>
    </row>
    <row r="5845" spans="3:8" x14ac:dyDescent="0.25">
      <c r="C5845" s="12"/>
      <c r="D5845" s="13"/>
      <c r="E5845" s="13"/>
      <c r="F5845" s="13"/>
      <c r="G5845" s="12"/>
      <c r="H5845" s="11"/>
    </row>
    <row r="5846" spans="3:8" x14ac:dyDescent="0.25">
      <c r="C5846" s="12"/>
      <c r="D5846" s="13"/>
      <c r="E5846" s="13"/>
      <c r="F5846" s="13"/>
      <c r="G5846" s="12"/>
      <c r="H5846" s="11"/>
    </row>
    <row r="5847" spans="3:8" x14ac:dyDescent="0.25">
      <c r="C5847" s="12"/>
      <c r="D5847" s="13"/>
      <c r="E5847" s="13"/>
      <c r="F5847" s="13"/>
      <c r="G5847" s="12"/>
      <c r="H5847" s="11"/>
    </row>
    <row r="5848" spans="3:8" x14ac:dyDescent="0.25">
      <c r="C5848" s="12"/>
      <c r="D5848" s="13"/>
      <c r="E5848" s="13"/>
      <c r="F5848" s="13"/>
      <c r="G5848" s="12"/>
      <c r="H5848" s="11"/>
    </row>
    <row r="5849" spans="3:8" x14ac:dyDescent="0.25">
      <c r="C5849" s="12"/>
      <c r="D5849" s="13"/>
      <c r="E5849" s="13"/>
      <c r="F5849" s="13"/>
      <c r="G5849" s="12"/>
      <c r="H5849" s="11"/>
    </row>
    <row r="5850" spans="3:8" x14ac:dyDescent="0.25">
      <c r="C5850" s="12"/>
      <c r="D5850" s="13"/>
      <c r="E5850" s="13"/>
      <c r="F5850" s="13"/>
      <c r="G5850" s="12"/>
      <c r="H5850" s="11"/>
    </row>
    <row r="5851" spans="3:8" x14ac:dyDescent="0.25">
      <c r="C5851" s="12"/>
      <c r="D5851" s="13"/>
      <c r="E5851" s="13"/>
      <c r="F5851" s="13"/>
      <c r="G5851" s="12"/>
      <c r="H5851" s="11"/>
    </row>
    <row r="5852" spans="3:8" x14ac:dyDescent="0.25">
      <c r="C5852" s="12"/>
      <c r="D5852" s="13"/>
      <c r="E5852" s="13"/>
      <c r="F5852" s="13"/>
      <c r="G5852" s="12"/>
      <c r="H5852" s="11"/>
    </row>
    <row r="5853" spans="3:8" x14ac:dyDescent="0.25">
      <c r="C5853" s="12"/>
      <c r="D5853" s="13"/>
      <c r="E5853" s="13"/>
      <c r="F5853" s="13"/>
      <c r="G5853" s="12"/>
      <c r="H5853" s="11"/>
    </row>
    <row r="5854" spans="3:8" x14ac:dyDescent="0.25">
      <c r="C5854" s="12"/>
      <c r="D5854" s="13"/>
      <c r="E5854" s="13"/>
      <c r="F5854" s="13"/>
      <c r="G5854" s="12"/>
      <c r="H5854" s="11"/>
    </row>
    <row r="5855" spans="3:8" x14ac:dyDescent="0.25">
      <c r="C5855" s="12"/>
      <c r="D5855" s="13"/>
      <c r="E5855" s="13"/>
      <c r="F5855" s="13"/>
      <c r="G5855" s="12"/>
      <c r="H5855" s="11"/>
    </row>
    <row r="5856" spans="3:8" x14ac:dyDescent="0.25">
      <c r="C5856" s="12"/>
      <c r="D5856" s="13"/>
      <c r="E5856" s="13"/>
      <c r="F5856" s="13"/>
      <c r="G5856" s="12"/>
      <c r="H5856" s="11"/>
    </row>
    <row r="5857" spans="3:8" x14ac:dyDescent="0.25">
      <c r="C5857" s="12"/>
      <c r="D5857" s="13"/>
      <c r="E5857" s="13"/>
      <c r="F5857" s="13"/>
      <c r="G5857" s="12"/>
      <c r="H5857" s="11"/>
    </row>
    <row r="5858" spans="3:8" x14ac:dyDescent="0.25">
      <c r="C5858" s="12"/>
      <c r="D5858" s="13"/>
      <c r="E5858" s="13"/>
      <c r="F5858" s="13"/>
      <c r="G5858" s="12"/>
      <c r="H5858" s="11"/>
    </row>
    <row r="5859" spans="3:8" x14ac:dyDescent="0.25">
      <c r="C5859" s="12"/>
      <c r="D5859" s="13"/>
      <c r="E5859" s="13"/>
      <c r="F5859" s="13"/>
      <c r="G5859" s="12"/>
      <c r="H5859" s="11"/>
    </row>
    <row r="5860" spans="3:8" x14ac:dyDescent="0.25">
      <c r="C5860" s="12"/>
      <c r="D5860" s="13"/>
      <c r="E5860" s="13"/>
      <c r="F5860" s="13"/>
      <c r="G5860" s="12"/>
      <c r="H5860" s="11"/>
    </row>
    <row r="5861" spans="3:8" x14ac:dyDescent="0.25">
      <c r="C5861" s="12"/>
      <c r="D5861" s="13"/>
      <c r="E5861" s="13"/>
      <c r="F5861" s="13"/>
      <c r="G5861" s="12"/>
      <c r="H5861" s="11"/>
    </row>
    <row r="5862" spans="3:8" x14ac:dyDescent="0.25">
      <c r="C5862" s="12"/>
      <c r="D5862" s="13"/>
      <c r="E5862" s="13"/>
      <c r="F5862" s="13"/>
      <c r="G5862" s="12"/>
      <c r="H5862" s="11"/>
    </row>
    <row r="5863" spans="3:8" x14ac:dyDescent="0.25">
      <c r="C5863" s="12"/>
      <c r="D5863" s="13"/>
      <c r="E5863" s="13"/>
      <c r="F5863" s="13"/>
      <c r="G5863" s="12"/>
      <c r="H5863" s="11"/>
    </row>
    <row r="5864" spans="3:8" x14ac:dyDescent="0.25">
      <c r="C5864" s="12"/>
      <c r="D5864" s="13"/>
      <c r="E5864" s="13"/>
      <c r="F5864" s="13"/>
      <c r="G5864" s="12"/>
      <c r="H5864" s="11"/>
    </row>
    <row r="5865" spans="3:8" x14ac:dyDescent="0.25">
      <c r="C5865" s="12"/>
      <c r="D5865" s="13"/>
      <c r="E5865" s="13"/>
      <c r="F5865" s="13"/>
      <c r="G5865" s="12"/>
      <c r="H5865" s="11"/>
    </row>
    <row r="5866" spans="3:8" x14ac:dyDescent="0.25">
      <c r="C5866" s="12"/>
      <c r="D5866" s="13"/>
      <c r="E5866" s="13"/>
      <c r="F5866" s="13"/>
      <c r="G5866" s="12"/>
      <c r="H5866" s="11"/>
    </row>
    <row r="5867" spans="3:8" x14ac:dyDescent="0.25">
      <c r="C5867" s="12"/>
      <c r="D5867" s="13"/>
      <c r="E5867" s="13"/>
      <c r="F5867" s="13"/>
      <c r="G5867" s="12"/>
      <c r="H5867" s="11"/>
    </row>
    <row r="5868" spans="3:8" x14ac:dyDescent="0.25">
      <c r="C5868" s="12"/>
      <c r="D5868" s="13"/>
      <c r="E5868" s="13"/>
      <c r="F5868" s="13"/>
      <c r="G5868" s="12"/>
      <c r="H5868" s="11"/>
    </row>
    <row r="5869" spans="3:8" x14ac:dyDescent="0.25">
      <c r="C5869" s="12"/>
      <c r="D5869" s="13"/>
      <c r="E5869" s="13"/>
      <c r="F5869" s="13"/>
      <c r="G5869" s="12"/>
      <c r="H5869" s="11"/>
    </row>
    <row r="5870" spans="3:8" x14ac:dyDescent="0.25">
      <c r="C5870" s="12"/>
      <c r="D5870" s="13"/>
      <c r="E5870" s="13"/>
      <c r="F5870" s="13"/>
      <c r="G5870" s="12"/>
      <c r="H5870" s="11"/>
    </row>
    <row r="5871" spans="3:8" x14ac:dyDescent="0.25">
      <c r="C5871" s="12"/>
      <c r="D5871" s="13"/>
      <c r="E5871" s="13"/>
      <c r="F5871" s="13"/>
      <c r="G5871" s="12"/>
      <c r="H5871" s="11"/>
    </row>
    <row r="5872" spans="3:8" x14ac:dyDescent="0.25">
      <c r="C5872" s="12"/>
      <c r="D5872" s="13"/>
      <c r="E5872" s="13"/>
      <c r="F5872" s="13"/>
      <c r="G5872" s="12"/>
      <c r="H5872" s="11"/>
    </row>
    <row r="5873" spans="3:8" x14ac:dyDescent="0.25">
      <c r="C5873" s="12"/>
      <c r="D5873" s="13"/>
      <c r="E5873" s="13"/>
      <c r="F5873" s="13"/>
      <c r="G5873" s="12"/>
      <c r="H5873" s="11"/>
    </row>
    <row r="5874" spans="3:8" x14ac:dyDescent="0.25">
      <c r="C5874" s="12"/>
      <c r="D5874" s="13"/>
      <c r="E5874" s="13"/>
      <c r="F5874" s="13"/>
      <c r="G5874" s="12"/>
      <c r="H5874" s="11"/>
    </row>
    <row r="5875" spans="3:8" x14ac:dyDescent="0.25">
      <c r="C5875" s="12"/>
      <c r="D5875" s="13"/>
      <c r="E5875" s="13"/>
      <c r="F5875" s="13"/>
      <c r="G5875" s="12"/>
      <c r="H5875" s="11"/>
    </row>
    <row r="5876" spans="3:8" x14ac:dyDescent="0.25">
      <c r="C5876" s="12"/>
      <c r="D5876" s="13"/>
      <c r="E5876" s="13"/>
      <c r="F5876" s="13"/>
      <c r="G5876" s="12"/>
      <c r="H5876" s="11"/>
    </row>
    <row r="5877" spans="3:8" x14ac:dyDescent="0.25">
      <c r="C5877" s="12"/>
      <c r="D5877" s="13"/>
      <c r="E5877" s="13"/>
      <c r="F5877" s="13"/>
      <c r="G5877" s="12"/>
      <c r="H5877" s="11"/>
    </row>
    <row r="5878" spans="3:8" x14ac:dyDescent="0.25">
      <c r="C5878" s="12"/>
      <c r="D5878" s="13"/>
      <c r="E5878" s="13"/>
      <c r="F5878" s="13"/>
      <c r="G5878" s="12"/>
      <c r="H5878" s="11"/>
    </row>
    <row r="5879" spans="3:8" x14ac:dyDescent="0.25">
      <c r="C5879" s="12"/>
      <c r="D5879" s="13"/>
      <c r="E5879" s="13"/>
      <c r="F5879" s="13"/>
      <c r="G5879" s="12"/>
      <c r="H5879" s="11"/>
    </row>
    <row r="5880" spans="3:8" x14ac:dyDescent="0.25">
      <c r="C5880" s="12"/>
      <c r="D5880" s="13"/>
      <c r="E5880" s="13"/>
      <c r="F5880" s="13"/>
      <c r="G5880" s="12"/>
      <c r="H5880" s="11"/>
    </row>
    <row r="5881" spans="3:8" x14ac:dyDescent="0.25">
      <c r="C5881" s="12"/>
      <c r="D5881" s="13"/>
      <c r="E5881" s="13"/>
      <c r="F5881" s="13"/>
      <c r="G5881" s="12"/>
      <c r="H5881" s="11"/>
    </row>
    <row r="5882" spans="3:8" x14ac:dyDescent="0.25">
      <c r="C5882" s="12"/>
      <c r="D5882" s="13"/>
      <c r="E5882" s="13"/>
      <c r="F5882" s="13"/>
      <c r="G5882" s="12"/>
      <c r="H5882" s="11"/>
    </row>
    <row r="5883" spans="3:8" x14ac:dyDescent="0.25">
      <c r="C5883" s="12"/>
      <c r="D5883" s="13"/>
      <c r="E5883" s="13"/>
      <c r="F5883" s="13"/>
      <c r="G5883" s="12"/>
      <c r="H5883" s="11"/>
    </row>
    <row r="5884" spans="3:8" x14ac:dyDescent="0.25">
      <c r="C5884" s="12"/>
      <c r="D5884" s="13"/>
      <c r="E5884" s="13"/>
      <c r="F5884" s="13"/>
      <c r="G5884" s="12"/>
      <c r="H5884" s="11"/>
    </row>
    <row r="5885" spans="3:8" x14ac:dyDescent="0.25">
      <c r="C5885" s="12"/>
      <c r="D5885" s="13"/>
      <c r="E5885" s="13"/>
      <c r="F5885" s="13"/>
      <c r="G5885" s="12"/>
      <c r="H5885" s="11"/>
    </row>
    <row r="5886" spans="3:8" x14ac:dyDescent="0.25">
      <c r="C5886" s="12"/>
      <c r="D5886" s="13"/>
      <c r="E5886" s="13"/>
      <c r="F5886" s="13"/>
      <c r="G5886" s="12"/>
      <c r="H5886" s="11"/>
    </row>
    <row r="5887" spans="3:8" x14ac:dyDescent="0.25">
      <c r="C5887" s="12"/>
      <c r="D5887" s="13"/>
      <c r="E5887" s="13"/>
      <c r="F5887" s="13"/>
      <c r="G5887" s="12"/>
      <c r="H5887" s="11"/>
    </row>
    <row r="5888" spans="3:8" x14ac:dyDescent="0.25">
      <c r="C5888" s="12"/>
      <c r="D5888" s="13"/>
      <c r="E5888" s="13"/>
      <c r="F5888" s="13"/>
      <c r="G5888" s="12"/>
      <c r="H5888" s="11"/>
    </row>
    <row r="5889" spans="3:8" x14ac:dyDescent="0.25">
      <c r="C5889" s="12"/>
      <c r="D5889" s="13"/>
      <c r="E5889" s="13"/>
      <c r="F5889" s="13"/>
      <c r="G5889" s="12"/>
      <c r="H5889" s="11"/>
    </row>
    <row r="5890" spans="3:8" x14ac:dyDescent="0.25">
      <c r="C5890" s="12"/>
      <c r="D5890" s="13"/>
      <c r="E5890" s="13"/>
      <c r="F5890" s="13"/>
      <c r="G5890" s="12"/>
      <c r="H5890" s="11"/>
    </row>
    <row r="5891" spans="3:8" x14ac:dyDescent="0.25">
      <c r="C5891" s="12"/>
      <c r="D5891" s="13"/>
      <c r="E5891" s="13"/>
      <c r="F5891" s="13"/>
      <c r="G5891" s="12"/>
      <c r="H5891" s="11"/>
    </row>
    <row r="5892" spans="3:8" x14ac:dyDescent="0.25">
      <c r="C5892" s="12"/>
      <c r="D5892" s="13"/>
      <c r="E5892" s="13"/>
      <c r="F5892" s="13"/>
      <c r="G5892" s="12"/>
      <c r="H5892" s="11"/>
    </row>
    <row r="5893" spans="3:8" x14ac:dyDescent="0.25">
      <c r="C5893" s="12"/>
      <c r="D5893" s="13"/>
      <c r="E5893" s="13"/>
      <c r="F5893" s="13"/>
      <c r="G5893" s="12"/>
      <c r="H5893" s="11"/>
    </row>
    <row r="5894" spans="3:8" x14ac:dyDescent="0.25">
      <c r="C5894" s="12"/>
      <c r="D5894" s="13"/>
      <c r="E5894" s="13"/>
      <c r="F5894" s="13"/>
      <c r="G5894" s="12"/>
      <c r="H5894" s="11"/>
    </row>
    <row r="5895" spans="3:8" x14ac:dyDescent="0.25">
      <c r="C5895" s="12"/>
      <c r="D5895" s="13"/>
      <c r="E5895" s="13"/>
      <c r="F5895" s="13"/>
      <c r="G5895" s="12"/>
      <c r="H5895" s="11"/>
    </row>
    <row r="5896" spans="3:8" x14ac:dyDescent="0.25">
      <c r="C5896" s="12"/>
      <c r="D5896" s="13"/>
      <c r="E5896" s="13"/>
      <c r="F5896" s="13"/>
      <c r="G5896" s="12"/>
      <c r="H5896" s="11"/>
    </row>
    <row r="5897" spans="3:8" x14ac:dyDescent="0.25">
      <c r="C5897" s="12"/>
      <c r="D5897" s="13"/>
      <c r="E5897" s="13"/>
      <c r="F5897" s="13"/>
      <c r="G5897" s="12"/>
      <c r="H5897" s="11"/>
    </row>
    <row r="5898" spans="3:8" x14ac:dyDescent="0.25">
      <c r="C5898" s="12"/>
      <c r="D5898" s="13"/>
      <c r="E5898" s="13"/>
      <c r="F5898" s="13"/>
      <c r="G5898" s="12"/>
      <c r="H5898" s="11"/>
    </row>
    <row r="5899" spans="3:8" x14ac:dyDescent="0.25">
      <c r="C5899" s="12"/>
      <c r="D5899" s="13"/>
      <c r="E5899" s="13"/>
      <c r="F5899" s="13"/>
      <c r="G5899" s="12"/>
      <c r="H5899" s="11"/>
    </row>
    <row r="5900" spans="3:8" x14ac:dyDescent="0.25">
      <c r="C5900" s="12"/>
      <c r="D5900" s="13"/>
      <c r="E5900" s="13"/>
      <c r="F5900" s="13"/>
      <c r="G5900" s="12"/>
      <c r="H5900" s="11"/>
    </row>
    <row r="5901" spans="3:8" x14ac:dyDescent="0.25">
      <c r="C5901" s="12"/>
      <c r="D5901" s="13"/>
      <c r="E5901" s="13"/>
      <c r="F5901" s="13"/>
      <c r="G5901" s="12"/>
      <c r="H5901" s="11"/>
    </row>
    <row r="5902" spans="3:8" x14ac:dyDescent="0.25">
      <c r="C5902" s="12"/>
      <c r="D5902" s="13"/>
      <c r="E5902" s="13"/>
      <c r="F5902" s="13"/>
      <c r="G5902" s="12"/>
      <c r="H5902" s="11"/>
    </row>
    <row r="5903" spans="3:8" x14ac:dyDescent="0.25">
      <c r="C5903" s="12"/>
      <c r="D5903" s="13"/>
      <c r="E5903" s="13"/>
      <c r="F5903" s="13"/>
      <c r="G5903" s="12"/>
      <c r="H5903" s="11"/>
    </row>
    <row r="5904" spans="3:8" x14ac:dyDescent="0.25">
      <c r="C5904" s="12"/>
      <c r="D5904" s="13"/>
      <c r="E5904" s="13"/>
      <c r="F5904" s="13"/>
      <c r="G5904" s="12"/>
      <c r="H5904" s="11"/>
    </row>
    <row r="5905" spans="3:8" x14ac:dyDescent="0.25">
      <c r="C5905" s="12"/>
      <c r="D5905" s="13"/>
      <c r="E5905" s="13"/>
      <c r="F5905" s="13"/>
      <c r="G5905" s="12"/>
      <c r="H5905" s="11"/>
    </row>
    <row r="5906" spans="3:8" x14ac:dyDescent="0.25">
      <c r="C5906" s="12"/>
      <c r="D5906" s="13"/>
      <c r="E5906" s="13"/>
      <c r="F5906" s="13"/>
      <c r="G5906" s="12"/>
      <c r="H5906" s="11"/>
    </row>
    <row r="5907" spans="3:8" x14ac:dyDescent="0.25">
      <c r="C5907" s="12"/>
      <c r="D5907" s="13"/>
      <c r="E5907" s="13"/>
      <c r="F5907" s="13"/>
      <c r="G5907" s="12"/>
      <c r="H5907" s="11"/>
    </row>
    <row r="5908" spans="3:8" x14ac:dyDescent="0.25">
      <c r="C5908" s="12"/>
      <c r="D5908" s="13"/>
      <c r="E5908" s="13"/>
      <c r="F5908" s="13"/>
      <c r="G5908" s="12"/>
      <c r="H5908" s="11"/>
    </row>
    <row r="5909" spans="3:8" x14ac:dyDescent="0.25">
      <c r="C5909" s="12"/>
      <c r="D5909" s="13"/>
      <c r="E5909" s="13"/>
      <c r="F5909" s="13"/>
      <c r="G5909" s="12"/>
      <c r="H5909" s="11"/>
    </row>
    <row r="5910" spans="3:8" x14ac:dyDescent="0.25">
      <c r="C5910" s="12"/>
      <c r="D5910" s="13"/>
      <c r="E5910" s="13"/>
      <c r="F5910" s="13"/>
      <c r="G5910" s="12"/>
      <c r="H5910" s="11"/>
    </row>
    <row r="5911" spans="3:8" x14ac:dyDescent="0.25">
      <c r="C5911" s="12"/>
      <c r="D5911" s="13"/>
      <c r="E5911" s="13"/>
      <c r="F5911" s="13"/>
      <c r="G5911" s="12"/>
      <c r="H5911" s="11"/>
    </row>
    <row r="5912" spans="3:8" x14ac:dyDescent="0.25">
      <c r="C5912" s="12"/>
      <c r="D5912" s="13"/>
      <c r="E5912" s="13"/>
      <c r="F5912" s="13"/>
      <c r="G5912" s="12"/>
      <c r="H5912" s="11"/>
    </row>
    <row r="5913" spans="3:8" x14ac:dyDescent="0.25">
      <c r="C5913" s="12"/>
      <c r="D5913" s="13"/>
      <c r="E5913" s="13"/>
      <c r="F5913" s="13"/>
      <c r="G5913" s="12"/>
      <c r="H5913" s="11"/>
    </row>
    <row r="5914" spans="3:8" x14ac:dyDescent="0.25">
      <c r="C5914" s="12"/>
      <c r="D5914" s="13"/>
      <c r="E5914" s="13"/>
      <c r="F5914" s="13"/>
      <c r="G5914" s="12"/>
      <c r="H5914" s="11"/>
    </row>
    <row r="5915" spans="3:8" x14ac:dyDescent="0.25">
      <c r="C5915" s="12"/>
      <c r="D5915" s="13"/>
      <c r="E5915" s="13"/>
      <c r="F5915" s="13"/>
      <c r="G5915" s="12"/>
      <c r="H5915" s="11"/>
    </row>
    <row r="5916" spans="3:8" x14ac:dyDescent="0.25">
      <c r="C5916" s="12"/>
      <c r="D5916" s="13"/>
      <c r="E5916" s="13"/>
      <c r="F5916" s="13"/>
      <c r="G5916" s="12"/>
      <c r="H5916" s="11"/>
    </row>
    <row r="5917" spans="3:8" x14ac:dyDescent="0.25">
      <c r="C5917" s="12"/>
      <c r="D5917" s="13"/>
      <c r="E5917" s="13"/>
      <c r="F5917" s="13"/>
      <c r="G5917" s="12"/>
      <c r="H5917" s="11"/>
    </row>
    <row r="5918" spans="3:8" x14ac:dyDescent="0.25">
      <c r="C5918" s="12"/>
      <c r="D5918" s="13"/>
      <c r="E5918" s="13"/>
      <c r="F5918" s="13"/>
      <c r="G5918" s="12"/>
      <c r="H5918" s="11"/>
    </row>
    <row r="5919" spans="3:8" x14ac:dyDescent="0.25">
      <c r="C5919" s="12"/>
      <c r="D5919" s="13"/>
      <c r="E5919" s="13"/>
      <c r="F5919" s="13"/>
      <c r="G5919" s="12"/>
      <c r="H5919" s="11"/>
    </row>
    <row r="5920" spans="3:8" x14ac:dyDescent="0.25">
      <c r="C5920" s="12"/>
      <c r="D5920" s="13"/>
      <c r="E5920" s="13"/>
      <c r="F5920" s="13"/>
      <c r="G5920" s="12"/>
      <c r="H5920" s="11"/>
    </row>
    <row r="5921" spans="3:8" x14ac:dyDescent="0.25">
      <c r="C5921" s="12"/>
      <c r="D5921" s="13"/>
      <c r="E5921" s="13"/>
      <c r="F5921" s="13"/>
      <c r="G5921" s="12"/>
      <c r="H5921" s="11"/>
    </row>
    <row r="5922" spans="3:8" x14ac:dyDescent="0.25">
      <c r="C5922" s="12"/>
      <c r="D5922" s="13"/>
      <c r="E5922" s="13"/>
      <c r="F5922" s="13"/>
      <c r="G5922" s="12"/>
      <c r="H5922" s="11"/>
    </row>
    <row r="5923" spans="3:8" x14ac:dyDescent="0.25">
      <c r="C5923" s="12"/>
      <c r="D5923" s="13"/>
      <c r="E5923" s="13"/>
      <c r="F5923" s="13"/>
      <c r="G5923" s="12"/>
      <c r="H5923" s="11"/>
    </row>
    <row r="5924" spans="3:8" x14ac:dyDescent="0.25">
      <c r="C5924" s="12"/>
      <c r="D5924" s="13"/>
      <c r="E5924" s="13"/>
      <c r="F5924" s="13"/>
      <c r="G5924" s="12"/>
      <c r="H5924" s="11"/>
    </row>
    <row r="5925" spans="3:8" x14ac:dyDescent="0.25">
      <c r="C5925" s="12"/>
      <c r="D5925" s="13"/>
      <c r="E5925" s="13"/>
      <c r="F5925" s="13"/>
      <c r="G5925" s="12"/>
      <c r="H5925" s="11"/>
    </row>
    <row r="5926" spans="3:8" x14ac:dyDescent="0.25">
      <c r="C5926" s="12"/>
      <c r="D5926" s="13"/>
      <c r="E5926" s="13"/>
      <c r="F5926" s="13"/>
      <c r="G5926" s="12"/>
      <c r="H5926" s="11"/>
    </row>
    <row r="5927" spans="3:8" x14ac:dyDescent="0.25">
      <c r="C5927" s="12"/>
      <c r="D5927" s="13"/>
      <c r="E5927" s="13"/>
      <c r="F5927" s="13"/>
      <c r="G5927" s="12"/>
      <c r="H5927" s="11"/>
    </row>
    <row r="5928" spans="3:8" x14ac:dyDescent="0.25">
      <c r="C5928" s="12"/>
      <c r="D5928" s="13"/>
      <c r="E5928" s="13"/>
      <c r="F5928" s="13"/>
      <c r="G5928" s="12"/>
      <c r="H5928" s="11"/>
    </row>
    <row r="5929" spans="3:8" x14ac:dyDescent="0.25">
      <c r="C5929" s="12"/>
      <c r="D5929" s="13"/>
      <c r="E5929" s="13"/>
      <c r="F5929" s="13"/>
      <c r="G5929" s="12"/>
      <c r="H5929" s="11"/>
    </row>
    <row r="5930" spans="3:8" x14ac:dyDescent="0.25">
      <c r="C5930" s="12"/>
      <c r="D5930" s="13"/>
      <c r="E5930" s="13"/>
      <c r="F5930" s="13"/>
      <c r="G5930" s="12"/>
      <c r="H5930" s="11"/>
    </row>
    <row r="5931" spans="3:8" x14ac:dyDescent="0.25">
      <c r="C5931" s="12"/>
      <c r="D5931" s="13"/>
      <c r="E5931" s="13"/>
      <c r="F5931" s="13"/>
      <c r="G5931" s="12"/>
      <c r="H5931" s="11"/>
    </row>
    <row r="5932" spans="3:8" x14ac:dyDescent="0.25">
      <c r="C5932" s="12"/>
      <c r="D5932" s="13"/>
      <c r="E5932" s="13"/>
      <c r="F5932" s="13"/>
      <c r="G5932" s="12"/>
      <c r="H5932" s="11"/>
    </row>
    <row r="5933" spans="3:8" x14ac:dyDescent="0.25">
      <c r="C5933" s="12"/>
      <c r="D5933" s="13"/>
      <c r="E5933" s="13"/>
      <c r="F5933" s="13"/>
      <c r="G5933" s="12"/>
      <c r="H5933" s="11"/>
    </row>
    <row r="5934" spans="3:8" x14ac:dyDescent="0.25">
      <c r="C5934" s="12"/>
      <c r="D5934" s="13"/>
      <c r="E5934" s="13"/>
      <c r="F5934" s="13"/>
      <c r="G5934" s="12"/>
      <c r="H5934" s="11"/>
    </row>
    <row r="5935" spans="3:8" x14ac:dyDescent="0.25">
      <c r="C5935" s="12"/>
      <c r="D5935" s="13"/>
      <c r="E5935" s="13"/>
      <c r="F5935" s="13"/>
      <c r="G5935" s="12"/>
      <c r="H5935" s="11"/>
    </row>
    <row r="5936" spans="3:8" x14ac:dyDescent="0.25">
      <c r="C5936" s="12"/>
      <c r="D5936" s="13"/>
      <c r="E5936" s="13"/>
      <c r="F5936" s="13"/>
      <c r="G5936" s="12"/>
      <c r="H5936" s="11"/>
    </row>
    <row r="5937" spans="3:8" x14ac:dyDescent="0.25">
      <c r="C5937" s="12"/>
      <c r="D5937" s="13"/>
      <c r="E5937" s="13"/>
      <c r="F5937" s="13"/>
      <c r="G5937" s="12"/>
      <c r="H5937" s="11"/>
    </row>
    <row r="5938" spans="3:8" x14ac:dyDescent="0.25">
      <c r="C5938" s="12"/>
      <c r="D5938" s="13"/>
      <c r="E5938" s="13"/>
      <c r="F5938" s="13"/>
      <c r="G5938" s="12"/>
      <c r="H5938" s="11"/>
    </row>
    <row r="5939" spans="3:8" x14ac:dyDescent="0.25">
      <c r="C5939" s="12"/>
      <c r="D5939" s="13"/>
      <c r="E5939" s="13"/>
      <c r="F5939" s="13"/>
      <c r="G5939" s="12"/>
      <c r="H5939" s="11"/>
    </row>
    <row r="5940" spans="3:8" x14ac:dyDescent="0.25">
      <c r="C5940" s="12"/>
      <c r="D5940" s="13"/>
      <c r="E5940" s="13"/>
      <c r="F5940" s="13"/>
      <c r="G5940" s="12"/>
      <c r="H5940" s="11"/>
    </row>
    <row r="5941" spans="3:8" x14ac:dyDescent="0.25">
      <c r="C5941" s="12"/>
      <c r="D5941" s="13"/>
      <c r="E5941" s="13"/>
      <c r="F5941" s="13"/>
      <c r="G5941" s="12"/>
      <c r="H5941" s="11"/>
    </row>
    <row r="5942" spans="3:8" x14ac:dyDescent="0.25">
      <c r="C5942" s="12"/>
      <c r="D5942" s="13"/>
      <c r="E5942" s="13"/>
      <c r="F5942" s="13"/>
      <c r="G5942" s="12"/>
      <c r="H5942" s="11"/>
    </row>
    <row r="5943" spans="3:8" x14ac:dyDescent="0.25">
      <c r="C5943" s="12"/>
      <c r="D5943" s="13"/>
      <c r="E5943" s="13"/>
      <c r="F5943" s="13"/>
      <c r="G5943" s="12"/>
      <c r="H5943" s="11"/>
    </row>
    <row r="5944" spans="3:8" x14ac:dyDescent="0.25">
      <c r="C5944" s="12"/>
      <c r="D5944" s="13"/>
      <c r="E5944" s="13"/>
      <c r="F5944" s="13"/>
      <c r="G5944" s="12"/>
      <c r="H5944" s="11"/>
    </row>
    <row r="5945" spans="3:8" x14ac:dyDescent="0.25">
      <c r="C5945" s="12"/>
      <c r="D5945" s="13"/>
      <c r="E5945" s="13"/>
      <c r="F5945" s="13"/>
      <c r="G5945" s="12"/>
      <c r="H5945" s="11"/>
    </row>
    <row r="5946" spans="3:8" x14ac:dyDescent="0.25">
      <c r="C5946" s="12"/>
      <c r="D5946" s="13"/>
      <c r="E5946" s="13"/>
      <c r="F5946" s="13"/>
      <c r="G5946" s="12"/>
      <c r="H5946" s="11"/>
    </row>
    <row r="5947" spans="3:8" x14ac:dyDescent="0.25">
      <c r="C5947" s="12"/>
      <c r="D5947" s="13"/>
      <c r="E5947" s="13"/>
      <c r="F5947" s="13"/>
      <c r="G5947" s="12"/>
      <c r="H5947" s="11"/>
    </row>
    <row r="5948" spans="3:8" x14ac:dyDescent="0.25">
      <c r="C5948" s="12"/>
      <c r="D5948" s="13"/>
      <c r="E5948" s="13"/>
      <c r="F5948" s="13"/>
      <c r="G5948" s="12"/>
      <c r="H5948" s="11"/>
    </row>
    <row r="5949" spans="3:8" x14ac:dyDescent="0.25">
      <c r="C5949" s="12"/>
      <c r="D5949" s="13"/>
      <c r="E5949" s="13"/>
      <c r="F5949" s="13"/>
      <c r="G5949" s="12"/>
      <c r="H5949" s="11"/>
    </row>
    <row r="5950" spans="3:8" x14ac:dyDescent="0.25">
      <c r="C5950" s="12"/>
      <c r="D5950" s="13"/>
      <c r="E5950" s="13"/>
      <c r="F5950" s="13"/>
      <c r="G5950" s="12"/>
      <c r="H5950" s="11"/>
    </row>
    <row r="5951" spans="3:8" x14ac:dyDescent="0.25">
      <c r="C5951" s="12"/>
      <c r="D5951" s="13"/>
      <c r="E5951" s="13"/>
      <c r="F5951" s="13"/>
      <c r="G5951" s="12"/>
      <c r="H5951" s="11"/>
    </row>
    <row r="5952" spans="3:8" x14ac:dyDescent="0.25">
      <c r="C5952" s="12"/>
      <c r="D5952" s="13"/>
      <c r="E5952" s="13"/>
      <c r="F5952" s="13"/>
      <c r="G5952" s="12"/>
      <c r="H5952" s="11"/>
    </row>
    <row r="5953" spans="3:8" x14ac:dyDescent="0.25">
      <c r="C5953" s="12"/>
      <c r="D5953" s="13"/>
      <c r="E5953" s="13"/>
      <c r="F5953" s="13"/>
      <c r="G5953" s="12"/>
      <c r="H5953" s="11"/>
    </row>
    <row r="5954" spans="3:8" x14ac:dyDescent="0.25">
      <c r="C5954" s="12"/>
      <c r="D5954" s="13"/>
      <c r="E5954" s="13"/>
      <c r="F5954" s="13"/>
      <c r="G5954" s="12"/>
      <c r="H5954" s="11"/>
    </row>
    <row r="5955" spans="3:8" x14ac:dyDescent="0.25">
      <c r="C5955" s="12"/>
      <c r="D5955" s="13"/>
      <c r="E5955" s="13"/>
      <c r="F5955" s="13"/>
      <c r="G5955" s="12"/>
      <c r="H5955" s="11"/>
    </row>
    <row r="5956" spans="3:8" x14ac:dyDescent="0.25">
      <c r="C5956" s="12"/>
      <c r="D5956" s="13"/>
      <c r="E5956" s="13"/>
      <c r="F5956" s="13"/>
      <c r="G5956" s="12"/>
      <c r="H5956" s="11"/>
    </row>
    <row r="5957" spans="3:8" x14ac:dyDescent="0.25">
      <c r="C5957" s="12"/>
      <c r="D5957" s="13"/>
      <c r="E5957" s="13"/>
      <c r="F5957" s="13"/>
      <c r="G5957" s="12"/>
      <c r="H5957" s="11"/>
    </row>
    <row r="5958" spans="3:8" x14ac:dyDescent="0.25">
      <c r="C5958" s="12"/>
      <c r="D5958" s="13"/>
      <c r="E5958" s="13"/>
      <c r="F5958" s="13"/>
      <c r="G5958" s="12"/>
      <c r="H5958" s="11"/>
    </row>
    <row r="5959" spans="3:8" x14ac:dyDescent="0.25">
      <c r="C5959" s="12"/>
      <c r="D5959" s="13"/>
      <c r="E5959" s="13"/>
      <c r="F5959" s="13"/>
      <c r="G5959" s="12"/>
      <c r="H5959" s="11"/>
    </row>
    <row r="5960" spans="3:8" x14ac:dyDescent="0.25">
      <c r="C5960" s="12"/>
      <c r="D5960" s="13"/>
      <c r="E5960" s="13"/>
      <c r="F5960" s="13"/>
      <c r="G5960" s="12"/>
      <c r="H5960" s="11"/>
    </row>
    <row r="5961" spans="3:8" x14ac:dyDescent="0.25">
      <c r="C5961" s="12"/>
      <c r="D5961" s="13"/>
      <c r="E5961" s="13"/>
      <c r="F5961" s="13"/>
      <c r="G5961" s="12"/>
      <c r="H5961" s="11"/>
    </row>
    <row r="5962" spans="3:8" x14ac:dyDescent="0.25">
      <c r="C5962" s="12"/>
      <c r="D5962" s="13"/>
      <c r="E5962" s="13"/>
      <c r="F5962" s="13"/>
      <c r="G5962" s="12"/>
      <c r="H5962" s="11"/>
    </row>
    <row r="5963" spans="3:8" x14ac:dyDescent="0.25">
      <c r="C5963" s="12"/>
      <c r="D5963" s="13"/>
      <c r="E5963" s="13"/>
      <c r="F5963" s="13"/>
      <c r="G5963" s="12"/>
      <c r="H5963" s="11"/>
    </row>
    <row r="5964" spans="3:8" x14ac:dyDescent="0.25">
      <c r="C5964" s="12"/>
      <c r="D5964" s="13"/>
      <c r="E5964" s="13"/>
      <c r="F5964" s="13"/>
      <c r="G5964" s="12"/>
      <c r="H5964" s="11"/>
    </row>
    <row r="5965" spans="3:8" x14ac:dyDescent="0.25">
      <c r="C5965" s="12"/>
      <c r="D5965" s="13"/>
      <c r="E5965" s="13"/>
      <c r="F5965" s="13"/>
      <c r="G5965" s="12"/>
      <c r="H5965" s="11"/>
    </row>
    <row r="5966" spans="3:8" x14ac:dyDescent="0.25">
      <c r="C5966" s="12"/>
      <c r="D5966" s="13"/>
      <c r="E5966" s="13"/>
      <c r="F5966" s="13"/>
      <c r="G5966" s="12"/>
      <c r="H5966" s="11"/>
    </row>
    <row r="5967" spans="3:8" x14ac:dyDescent="0.25">
      <c r="C5967" s="12"/>
      <c r="D5967" s="13"/>
      <c r="E5967" s="13"/>
      <c r="F5967" s="13"/>
      <c r="G5967" s="12"/>
      <c r="H5967" s="11"/>
    </row>
    <row r="5968" spans="3:8" x14ac:dyDescent="0.25">
      <c r="C5968" s="12"/>
      <c r="D5968" s="13"/>
      <c r="E5968" s="13"/>
      <c r="F5968" s="13"/>
      <c r="G5968" s="12"/>
      <c r="H5968" s="11"/>
    </row>
    <row r="5969" spans="3:8" x14ac:dyDescent="0.25">
      <c r="C5969" s="12"/>
      <c r="D5969" s="13"/>
      <c r="E5969" s="13"/>
      <c r="F5969" s="13"/>
      <c r="G5969" s="12"/>
      <c r="H5969" s="11"/>
    </row>
    <row r="5970" spans="3:8" x14ac:dyDescent="0.25">
      <c r="C5970" s="12"/>
      <c r="D5970" s="13"/>
      <c r="E5970" s="13"/>
      <c r="F5970" s="13"/>
      <c r="G5970" s="12"/>
      <c r="H5970" s="11"/>
    </row>
    <row r="5971" spans="3:8" x14ac:dyDescent="0.25">
      <c r="C5971" s="12"/>
      <c r="D5971" s="13"/>
      <c r="E5971" s="13"/>
      <c r="F5971" s="13"/>
      <c r="G5971" s="12"/>
      <c r="H5971" s="11"/>
    </row>
    <row r="5972" spans="3:8" x14ac:dyDescent="0.25">
      <c r="C5972" s="12"/>
      <c r="D5972" s="13"/>
      <c r="E5972" s="13"/>
      <c r="F5972" s="13"/>
      <c r="G5972" s="12"/>
      <c r="H5972" s="11"/>
    </row>
    <row r="5973" spans="3:8" x14ac:dyDescent="0.25">
      <c r="C5973" s="12"/>
      <c r="D5973" s="13"/>
      <c r="E5973" s="13"/>
      <c r="F5973" s="13"/>
      <c r="G5973" s="12"/>
      <c r="H5973" s="11"/>
    </row>
    <row r="5974" spans="3:8" x14ac:dyDescent="0.25">
      <c r="C5974" s="12"/>
      <c r="D5974" s="13"/>
      <c r="E5974" s="13"/>
      <c r="F5974" s="13"/>
      <c r="G5974" s="12"/>
      <c r="H5974" s="11"/>
    </row>
    <row r="5975" spans="3:8" x14ac:dyDescent="0.25">
      <c r="C5975" s="12"/>
      <c r="D5975" s="13"/>
      <c r="E5975" s="13"/>
      <c r="F5975" s="13"/>
      <c r="G5975" s="12"/>
      <c r="H5975" s="11"/>
    </row>
    <row r="5976" spans="3:8" x14ac:dyDescent="0.25">
      <c r="C5976" s="12"/>
      <c r="D5976" s="13"/>
      <c r="E5976" s="13"/>
      <c r="F5976" s="13"/>
      <c r="G5976" s="12"/>
      <c r="H5976" s="11"/>
    </row>
    <row r="5977" spans="3:8" x14ac:dyDescent="0.25">
      <c r="C5977" s="12"/>
      <c r="D5977" s="13"/>
      <c r="E5977" s="13"/>
      <c r="F5977" s="13"/>
      <c r="G5977" s="12"/>
      <c r="H5977" s="11"/>
    </row>
    <row r="5978" spans="3:8" x14ac:dyDescent="0.25">
      <c r="C5978" s="12"/>
      <c r="D5978" s="13"/>
      <c r="E5978" s="13"/>
      <c r="F5978" s="13"/>
      <c r="G5978" s="12"/>
      <c r="H5978" s="11"/>
    </row>
    <row r="5979" spans="3:8" x14ac:dyDescent="0.25">
      <c r="C5979" s="12"/>
      <c r="D5979" s="13"/>
      <c r="E5979" s="13"/>
      <c r="F5979" s="13"/>
      <c r="G5979" s="12"/>
      <c r="H5979" s="11"/>
    </row>
    <row r="5980" spans="3:8" x14ac:dyDescent="0.25">
      <c r="C5980" s="12"/>
      <c r="D5980" s="13"/>
      <c r="E5980" s="13"/>
      <c r="F5980" s="13"/>
      <c r="G5980" s="12"/>
      <c r="H5980" s="11"/>
    </row>
    <row r="5981" spans="3:8" x14ac:dyDescent="0.25">
      <c r="C5981" s="12"/>
      <c r="D5981" s="13"/>
      <c r="E5981" s="13"/>
      <c r="F5981" s="13"/>
      <c r="G5981" s="12"/>
      <c r="H5981" s="11"/>
    </row>
    <row r="5982" spans="3:8" x14ac:dyDescent="0.25">
      <c r="C5982" s="12"/>
      <c r="D5982" s="13"/>
      <c r="E5982" s="13"/>
      <c r="F5982" s="13"/>
      <c r="G5982" s="12"/>
      <c r="H5982" s="11"/>
    </row>
    <row r="5983" spans="3:8" x14ac:dyDescent="0.25">
      <c r="C5983" s="12"/>
      <c r="D5983" s="13"/>
      <c r="E5983" s="13"/>
      <c r="F5983" s="13"/>
      <c r="G5983" s="12"/>
      <c r="H5983" s="11"/>
    </row>
    <row r="5984" spans="3:8" x14ac:dyDescent="0.25">
      <c r="C5984" s="12"/>
      <c r="D5984" s="13"/>
      <c r="E5984" s="13"/>
      <c r="F5984" s="13"/>
      <c r="G5984" s="12"/>
      <c r="H5984" s="11"/>
    </row>
    <row r="5985" spans="3:8" x14ac:dyDescent="0.25">
      <c r="C5985" s="12"/>
      <c r="D5985" s="13"/>
      <c r="E5985" s="13"/>
      <c r="F5985" s="13"/>
      <c r="G5985" s="12"/>
      <c r="H5985" s="11"/>
    </row>
    <row r="5986" spans="3:8" x14ac:dyDescent="0.25">
      <c r="C5986" s="12"/>
      <c r="D5986" s="13"/>
      <c r="E5986" s="13"/>
      <c r="F5986" s="13"/>
      <c r="G5986" s="12"/>
      <c r="H5986" s="11"/>
    </row>
    <row r="5987" spans="3:8" x14ac:dyDescent="0.25">
      <c r="C5987" s="12"/>
      <c r="D5987" s="13"/>
      <c r="E5987" s="13"/>
      <c r="F5987" s="13"/>
      <c r="G5987" s="12"/>
      <c r="H5987" s="11"/>
    </row>
    <row r="5988" spans="3:8" x14ac:dyDescent="0.25">
      <c r="C5988" s="12"/>
      <c r="D5988" s="13"/>
      <c r="E5988" s="13"/>
      <c r="F5988" s="13"/>
      <c r="G5988" s="12"/>
      <c r="H5988" s="11"/>
    </row>
    <row r="5989" spans="3:8" x14ac:dyDescent="0.25">
      <c r="C5989" s="12"/>
      <c r="D5989" s="13"/>
      <c r="E5989" s="13"/>
      <c r="F5989" s="13"/>
      <c r="G5989" s="12"/>
      <c r="H5989" s="11"/>
    </row>
    <row r="5990" spans="3:8" x14ac:dyDescent="0.25">
      <c r="C5990" s="12"/>
      <c r="D5990" s="13"/>
      <c r="E5990" s="13"/>
      <c r="F5990" s="13"/>
      <c r="G5990" s="12"/>
      <c r="H5990" s="11"/>
    </row>
    <row r="5991" spans="3:8" x14ac:dyDescent="0.25">
      <c r="C5991" s="12"/>
      <c r="D5991" s="13"/>
      <c r="E5991" s="13"/>
      <c r="F5991" s="13"/>
      <c r="G5991" s="12"/>
      <c r="H5991" s="11"/>
    </row>
    <row r="5992" spans="3:8" x14ac:dyDescent="0.25">
      <c r="C5992" s="12"/>
      <c r="D5992" s="13"/>
      <c r="E5992" s="13"/>
      <c r="F5992" s="13"/>
      <c r="G5992" s="12"/>
      <c r="H5992" s="11"/>
    </row>
    <row r="5993" spans="3:8" x14ac:dyDescent="0.25">
      <c r="C5993" s="12"/>
      <c r="D5993" s="13"/>
      <c r="E5993" s="13"/>
      <c r="F5993" s="13"/>
      <c r="G5993" s="12"/>
      <c r="H5993" s="11"/>
    </row>
    <row r="5994" spans="3:8" x14ac:dyDescent="0.25">
      <c r="C5994" s="12"/>
      <c r="D5994" s="13"/>
      <c r="E5994" s="13"/>
      <c r="F5994" s="13"/>
      <c r="G5994" s="12"/>
      <c r="H5994" s="11"/>
    </row>
    <row r="5995" spans="3:8" x14ac:dyDescent="0.25">
      <c r="C5995" s="12"/>
      <c r="D5995" s="13"/>
      <c r="E5995" s="13"/>
      <c r="F5995" s="13"/>
      <c r="G5995" s="12"/>
      <c r="H5995" s="11"/>
    </row>
    <row r="5996" spans="3:8" x14ac:dyDescent="0.25">
      <c r="C5996" s="12"/>
      <c r="D5996" s="13"/>
      <c r="E5996" s="13"/>
      <c r="F5996" s="13"/>
      <c r="G5996" s="12"/>
      <c r="H5996" s="11"/>
    </row>
    <row r="5997" spans="3:8" x14ac:dyDescent="0.25">
      <c r="C5997" s="12"/>
      <c r="D5997" s="13"/>
      <c r="E5997" s="13"/>
      <c r="F5997" s="13"/>
      <c r="G5997" s="12"/>
      <c r="H5997" s="11"/>
    </row>
    <row r="5998" spans="3:8" x14ac:dyDescent="0.25">
      <c r="C5998" s="12"/>
      <c r="D5998" s="13"/>
      <c r="E5998" s="13"/>
      <c r="F5998" s="13"/>
      <c r="G5998" s="12"/>
      <c r="H5998" s="11"/>
    </row>
    <row r="5999" spans="3:8" x14ac:dyDescent="0.25">
      <c r="C5999" s="12"/>
      <c r="D5999" s="13"/>
      <c r="E5999" s="13"/>
      <c r="F5999" s="13"/>
      <c r="G5999" s="12"/>
      <c r="H5999" s="11"/>
    </row>
    <row r="6000" spans="3:8" x14ac:dyDescent="0.25">
      <c r="C6000" s="12"/>
      <c r="D6000" s="13"/>
      <c r="E6000" s="13"/>
      <c r="F6000" s="13"/>
      <c r="G6000" s="12"/>
      <c r="H6000" s="11"/>
    </row>
    <row r="6001" spans="3:8" x14ac:dyDescent="0.25">
      <c r="C6001" s="12"/>
      <c r="D6001" s="13"/>
      <c r="E6001" s="13"/>
      <c r="F6001" s="13"/>
      <c r="G6001" s="12"/>
      <c r="H6001" s="11"/>
    </row>
    <row r="6002" spans="3:8" x14ac:dyDescent="0.25">
      <c r="C6002" s="12"/>
      <c r="D6002" s="13"/>
      <c r="E6002" s="13"/>
      <c r="F6002" s="13"/>
      <c r="G6002" s="12"/>
      <c r="H6002" s="11"/>
    </row>
    <row r="6003" spans="3:8" x14ac:dyDescent="0.25">
      <c r="C6003" s="12"/>
      <c r="D6003" s="13"/>
      <c r="E6003" s="13"/>
      <c r="F6003" s="13"/>
      <c r="G6003" s="12"/>
      <c r="H6003" s="11"/>
    </row>
    <row r="6004" spans="3:8" x14ac:dyDescent="0.25">
      <c r="C6004" s="12"/>
      <c r="D6004" s="13"/>
      <c r="E6004" s="13"/>
      <c r="F6004" s="13"/>
      <c r="G6004" s="12"/>
      <c r="H6004" s="11"/>
    </row>
    <row r="6005" spans="3:8" x14ac:dyDescent="0.25">
      <c r="C6005" s="12"/>
      <c r="D6005" s="13"/>
      <c r="E6005" s="13"/>
      <c r="F6005" s="13"/>
      <c r="G6005" s="12"/>
      <c r="H6005" s="11"/>
    </row>
    <row r="6006" spans="3:8" x14ac:dyDescent="0.25">
      <c r="C6006" s="12"/>
      <c r="D6006" s="13"/>
      <c r="E6006" s="13"/>
      <c r="F6006" s="13"/>
      <c r="G6006" s="12"/>
      <c r="H6006" s="11"/>
    </row>
    <row r="6007" spans="3:8" x14ac:dyDescent="0.25">
      <c r="C6007" s="12"/>
      <c r="D6007" s="13"/>
      <c r="E6007" s="13"/>
      <c r="F6007" s="13"/>
      <c r="G6007" s="12"/>
      <c r="H6007" s="11"/>
    </row>
    <row r="6008" spans="3:8" x14ac:dyDescent="0.25">
      <c r="C6008" s="12"/>
      <c r="D6008" s="13"/>
      <c r="E6008" s="13"/>
      <c r="F6008" s="13"/>
      <c r="G6008" s="12"/>
      <c r="H6008" s="11"/>
    </row>
    <row r="6009" spans="3:8" x14ac:dyDescent="0.25">
      <c r="C6009" s="12"/>
      <c r="D6009" s="13"/>
      <c r="E6009" s="13"/>
      <c r="F6009" s="13"/>
      <c r="G6009" s="12"/>
      <c r="H6009" s="11"/>
    </row>
    <row r="6010" spans="3:8" x14ac:dyDescent="0.25">
      <c r="C6010" s="12"/>
      <c r="D6010" s="13"/>
      <c r="E6010" s="13"/>
      <c r="F6010" s="13"/>
      <c r="G6010" s="12"/>
      <c r="H6010" s="11"/>
    </row>
    <row r="6011" spans="3:8" x14ac:dyDescent="0.25">
      <c r="C6011" s="12"/>
      <c r="D6011" s="13"/>
      <c r="E6011" s="13"/>
      <c r="F6011" s="13"/>
      <c r="G6011" s="12"/>
      <c r="H6011" s="11"/>
    </row>
    <row r="6012" spans="3:8" x14ac:dyDescent="0.25">
      <c r="C6012" s="12"/>
      <c r="D6012" s="13"/>
      <c r="E6012" s="13"/>
      <c r="F6012" s="13"/>
      <c r="G6012" s="12"/>
      <c r="H6012" s="11"/>
    </row>
    <row r="6013" spans="3:8" x14ac:dyDescent="0.25">
      <c r="C6013" s="12"/>
      <c r="D6013" s="13"/>
      <c r="E6013" s="13"/>
      <c r="F6013" s="13"/>
      <c r="G6013" s="12"/>
      <c r="H6013" s="11"/>
    </row>
    <row r="6014" spans="3:8" x14ac:dyDescent="0.25">
      <c r="C6014" s="12"/>
      <c r="D6014" s="13"/>
      <c r="E6014" s="13"/>
      <c r="F6014" s="13"/>
      <c r="G6014" s="12"/>
      <c r="H6014" s="11"/>
    </row>
    <row r="6015" spans="3:8" x14ac:dyDescent="0.25">
      <c r="C6015" s="12"/>
      <c r="D6015" s="13"/>
      <c r="E6015" s="13"/>
      <c r="F6015" s="13"/>
      <c r="G6015" s="12"/>
      <c r="H6015" s="11"/>
    </row>
    <row r="6016" spans="3:8" x14ac:dyDescent="0.25">
      <c r="C6016" s="12"/>
      <c r="D6016" s="13"/>
      <c r="E6016" s="13"/>
      <c r="F6016" s="13"/>
      <c r="G6016" s="12"/>
      <c r="H6016" s="11"/>
    </row>
    <row r="6017" spans="3:8" x14ac:dyDescent="0.25">
      <c r="C6017" s="12"/>
      <c r="D6017" s="13"/>
      <c r="E6017" s="13"/>
      <c r="F6017" s="13"/>
      <c r="G6017" s="12"/>
      <c r="H6017" s="11"/>
    </row>
    <row r="6018" spans="3:8" x14ac:dyDescent="0.25">
      <c r="C6018" s="12"/>
      <c r="D6018" s="13"/>
      <c r="E6018" s="13"/>
      <c r="F6018" s="13"/>
      <c r="G6018" s="12"/>
      <c r="H6018" s="11"/>
    </row>
    <row r="6019" spans="3:8" x14ac:dyDescent="0.25">
      <c r="C6019" s="12"/>
      <c r="D6019" s="13"/>
      <c r="E6019" s="13"/>
      <c r="F6019" s="13"/>
      <c r="G6019" s="12"/>
      <c r="H6019" s="11"/>
    </row>
    <row r="6020" spans="3:8" x14ac:dyDescent="0.25">
      <c r="C6020" s="12"/>
      <c r="D6020" s="13"/>
      <c r="E6020" s="13"/>
      <c r="F6020" s="13"/>
      <c r="G6020" s="12"/>
      <c r="H6020" s="11"/>
    </row>
    <row r="6021" spans="3:8" x14ac:dyDescent="0.25">
      <c r="C6021" s="12"/>
      <c r="D6021" s="13"/>
      <c r="E6021" s="13"/>
      <c r="F6021" s="13"/>
      <c r="G6021" s="12"/>
      <c r="H6021" s="11"/>
    </row>
    <row r="6022" spans="3:8" x14ac:dyDescent="0.25">
      <c r="C6022" s="12"/>
      <c r="D6022" s="13"/>
      <c r="E6022" s="13"/>
      <c r="F6022" s="13"/>
      <c r="G6022" s="12"/>
      <c r="H6022" s="11"/>
    </row>
    <row r="6023" spans="3:8" x14ac:dyDescent="0.25">
      <c r="C6023" s="12"/>
      <c r="D6023" s="13"/>
      <c r="E6023" s="13"/>
      <c r="F6023" s="13"/>
      <c r="G6023" s="12"/>
      <c r="H6023" s="11"/>
    </row>
    <row r="6024" spans="3:8" x14ac:dyDescent="0.25">
      <c r="C6024" s="12"/>
      <c r="D6024" s="13"/>
      <c r="E6024" s="13"/>
      <c r="F6024" s="13"/>
      <c r="G6024" s="12"/>
      <c r="H6024" s="11"/>
    </row>
    <row r="6025" spans="3:8" x14ac:dyDescent="0.25">
      <c r="C6025" s="12"/>
      <c r="D6025" s="13"/>
      <c r="E6025" s="13"/>
      <c r="F6025" s="13"/>
      <c r="G6025" s="12"/>
      <c r="H6025" s="11"/>
    </row>
    <row r="6026" spans="3:8" x14ac:dyDescent="0.25">
      <c r="C6026" s="12"/>
      <c r="D6026" s="13"/>
      <c r="E6026" s="13"/>
      <c r="F6026" s="13"/>
      <c r="G6026" s="12"/>
      <c r="H6026" s="11"/>
    </row>
    <row r="6027" spans="3:8" x14ac:dyDescent="0.25">
      <c r="C6027" s="12"/>
      <c r="D6027" s="13"/>
      <c r="E6027" s="13"/>
      <c r="F6027" s="13"/>
      <c r="G6027" s="12"/>
      <c r="H6027" s="11"/>
    </row>
    <row r="6028" spans="3:8" x14ac:dyDescent="0.25">
      <c r="C6028" s="12"/>
      <c r="D6028" s="13"/>
      <c r="E6028" s="13"/>
      <c r="F6028" s="13"/>
      <c r="G6028" s="12"/>
      <c r="H6028" s="11"/>
    </row>
    <row r="6029" spans="3:8" x14ac:dyDescent="0.25">
      <c r="C6029" s="12"/>
      <c r="D6029" s="13"/>
      <c r="E6029" s="13"/>
      <c r="F6029" s="13"/>
      <c r="G6029" s="12"/>
      <c r="H6029" s="11"/>
    </row>
    <row r="6030" spans="3:8" x14ac:dyDescent="0.25">
      <c r="C6030" s="12"/>
      <c r="D6030" s="13"/>
      <c r="E6030" s="13"/>
      <c r="F6030" s="13"/>
      <c r="G6030" s="12"/>
      <c r="H6030" s="11"/>
    </row>
    <row r="6031" spans="3:8" x14ac:dyDescent="0.25">
      <c r="C6031" s="12"/>
      <c r="D6031" s="13"/>
      <c r="E6031" s="13"/>
      <c r="F6031" s="13"/>
      <c r="G6031" s="12"/>
      <c r="H6031" s="11"/>
    </row>
    <row r="6032" spans="3:8" x14ac:dyDescent="0.25">
      <c r="C6032" s="12"/>
      <c r="D6032" s="13"/>
      <c r="E6032" s="13"/>
      <c r="F6032" s="13"/>
      <c r="G6032" s="12"/>
      <c r="H6032" s="11"/>
    </row>
    <row r="6033" spans="3:8" x14ac:dyDescent="0.25">
      <c r="C6033" s="12"/>
      <c r="D6033" s="13"/>
      <c r="E6033" s="13"/>
      <c r="F6033" s="13"/>
      <c r="G6033" s="12"/>
      <c r="H6033" s="11"/>
    </row>
    <row r="6034" spans="3:8" x14ac:dyDescent="0.25">
      <c r="C6034" s="12"/>
      <c r="D6034" s="13"/>
      <c r="E6034" s="13"/>
      <c r="F6034" s="13"/>
      <c r="G6034" s="12"/>
      <c r="H6034" s="11"/>
    </row>
    <row r="6035" spans="3:8" x14ac:dyDescent="0.25">
      <c r="C6035" s="12"/>
      <c r="D6035" s="13"/>
      <c r="E6035" s="13"/>
      <c r="F6035" s="13"/>
      <c r="G6035" s="12"/>
      <c r="H6035" s="11"/>
    </row>
    <row r="6036" spans="3:8" x14ac:dyDescent="0.25">
      <c r="C6036" s="12"/>
      <c r="D6036" s="13"/>
      <c r="E6036" s="13"/>
      <c r="F6036" s="13"/>
      <c r="G6036" s="12"/>
      <c r="H6036" s="11"/>
    </row>
    <row r="6037" spans="3:8" x14ac:dyDescent="0.25">
      <c r="C6037" s="12"/>
      <c r="D6037" s="13"/>
      <c r="E6037" s="13"/>
      <c r="F6037" s="13"/>
      <c r="G6037" s="12"/>
      <c r="H6037" s="11"/>
    </row>
    <row r="6038" spans="3:8" x14ac:dyDescent="0.25">
      <c r="C6038" s="12"/>
      <c r="D6038" s="13"/>
      <c r="E6038" s="13"/>
      <c r="F6038" s="13"/>
      <c r="G6038" s="12"/>
      <c r="H6038" s="11"/>
    </row>
    <row r="6039" spans="3:8" x14ac:dyDescent="0.25">
      <c r="C6039" s="12"/>
      <c r="D6039" s="13"/>
      <c r="E6039" s="13"/>
      <c r="F6039" s="13"/>
      <c r="G6039" s="12"/>
      <c r="H6039" s="11"/>
    </row>
    <row r="6040" spans="3:8" x14ac:dyDescent="0.25">
      <c r="C6040" s="12"/>
      <c r="D6040" s="13"/>
      <c r="E6040" s="13"/>
      <c r="F6040" s="13"/>
      <c r="G6040" s="12"/>
      <c r="H6040" s="11"/>
    </row>
    <row r="6041" spans="3:8" x14ac:dyDescent="0.25">
      <c r="C6041" s="12"/>
      <c r="D6041" s="13"/>
      <c r="E6041" s="13"/>
      <c r="F6041" s="13"/>
      <c r="G6041" s="12"/>
      <c r="H6041" s="11"/>
    </row>
    <row r="6042" spans="3:8" x14ac:dyDescent="0.25">
      <c r="C6042" s="12"/>
      <c r="D6042" s="13"/>
      <c r="E6042" s="13"/>
      <c r="F6042" s="13"/>
      <c r="G6042" s="12"/>
      <c r="H6042" s="11"/>
    </row>
    <row r="6043" spans="3:8" x14ac:dyDescent="0.25">
      <c r="C6043" s="12"/>
      <c r="D6043" s="13"/>
      <c r="E6043" s="13"/>
      <c r="F6043" s="13"/>
      <c r="G6043" s="12"/>
      <c r="H6043" s="11"/>
    </row>
    <row r="6044" spans="3:8" x14ac:dyDescent="0.25">
      <c r="C6044" s="12"/>
      <c r="D6044" s="13"/>
      <c r="E6044" s="13"/>
      <c r="F6044" s="13"/>
      <c r="G6044" s="12"/>
      <c r="H6044" s="11"/>
    </row>
    <row r="6045" spans="3:8" x14ac:dyDescent="0.25">
      <c r="C6045" s="12"/>
      <c r="D6045" s="13"/>
      <c r="E6045" s="13"/>
      <c r="F6045" s="13"/>
      <c r="G6045" s="12"/>
      <c r="H6045" s="11"/>
    </row>
    <row r="6046" spans="3:8" x14ac:dyDescent="0.25">
      <c r="C6046" s="12"/>
      <c r="D6046" s="13"/>
      <c r="E6046" s="13"/>
      <c r="F6046" s="13"/>
      <c r="G6046" s="12"/>
      <c r="H6046" s="11"/>
    </row>
    <row r="6047" spans="3:8" x14ac:dyDescent="0.25">
      <c r="C6047" s="12"/>
      <c r="D6047" s="13"/>
      <c r="E6047" s="13"/>
      <c r="F6047" s="13"/>
      <c r="G6047" s="12"/>
      <c r="H6047" s="11"/>
    </row>
    <row r="6048" spans="3:8" x14ac:dyDescent="0.25">
      <c r="C6048" s="12"/>
      <c r="D6048" s="13"/>
      <c r="E6048" s="13"/>
      <c r="F6048" s="13"/>
      <c r="G6048" s="12"/>
      <c r="H6048" s="11"/>
    </row>
    <row r="6049" spans="3:8" x14ac:dyDescent="0.25">
      <c r="C6049" s="12"/>
      <c r="D6049" s="13"/>
      <c r="E6049" s="13"/>
      <c r="F6049" s="13"/>
      <c r="G6049" s="12"/>
      <c r="H6049" s="11"/>
    </row>
    <row r="6050" spans="3:8" x14ac:dyDescent="0.25">
      <c r="C6050" s="12"/>
      <c r="D6050" s="13"/>
      <c r="E6050" s="13"/>
      <c r="F6050" s="13"/>
      <c r="G6050" s="12"/>
      <c r="H6050" s="11"/>
    </row>
    <row r="6051" spans="3:8" x14ac:dyDescent="0.25">
      <c r="C6051" s="12"/>
      <c r="D6051" s="13"/>
      <c r="E6051" s="13"/>
      <c r="F6051" s="13"/>
      <c r="G6051" s="12"/>
      <c r="H6051" s="11"/>
    </row>
    <row r="6052" spans="3:8" x14ac:dyDescent="0.25">
      <c r="C6052" s="12"/>
      <c r="D6052" s="13"/>
      <c r="E6052" s="13"/>
      <c r="F6052" s="13"/>
      <c r="G6052" s="12"/>
      <c r="H6052" s="11"/>
    </row>
    <row r="6053" spans="3:8" x14ac:dyDescent="0.25">
      <c r="C6053" s="12"/>
      <c r="D6053" s="13"/>
      <c r="E6053" s="13"/>
      <c r="F6053" s="13"/>
      <c r="G6053" s="12"/>
      <c r="H6053" s="11"/>
    </row>
    <row r="6054" spans="3:8" x14ac:dyDescent="0.25">
      <c r="C6054" s="12"/>
      <c r="D6054" s="13"/>
      <c r="E6054" s="13"/>
      <c r="F6054" s="13"/>
      <c r="G6054" s="12"/>
      <c r="H6054" s="11"/>
    </row>
    <row r="6055" spans="3:8" x14ac:dyDescent="0.25">
      <c r="C6055" s="12"/>
      <c r="D6055" s="13"/>
      <c r="E6055" s="13"/>
      <c r="F6055" s="13"/>
      <c r="G6055" s="12"/>
      <c r="H6055" s="11"/>
    </row>
    <row r="6056" spans="3:8" x14ac:dyDescent="0.25">
      <c r="C6056" s="12"/>
      <c r="D6056" s="13"/>
      <c r="E6056" s="13"/>
      <c r="F6056" s="13"/>
      <c r="G6056" s="12"/>
      <c r="H6056" s="11"/>
    </row>
    <row r="6057" spans="3:8" x14ac:dyDescent="0.25">
      <c r="C6057" s="12"/>
      <c r="D6057" s="13"/>
      <c r="E6057" s="13"/>
      <c r="F6057" s="13"/>
      <c r="G6057" s="12"/>
      <c r="H6057" s="11"/>
    </row>
    <row r="6058" spans="3:8" x14ac:dyDescent="0.25">
      <c r="C6058" s="12"/>
      <c r="D6058" s="13"/>
      <c r="E6058" s="13"/>
      <c r="F6058" s="13"/>
      <c r="G6058" s="12"/>
      <c r="H6058" s="11"/>
    </row>
    <row r="6059" spans="3:8" x14ac:dyDescent="0.25">
      <c r="C6059" s="12"/>
      <c r="D6059" s="13"/>
      <c r="E6059" s="13"/>
      <c r="F6059" s="13"/>
      <c r="G6059" s="12"/>
      <c r="H6059" s="11"/>
    </row>
    <row r="6060" spans="3:8" x14ac:dyDescent="0.25">
      <c r="C6060" s="12"/>
      <c r="D6060" s="13"/>
      <c r="E6060" s="13"/>
      <c r="F6060" s="13"/>
      <c r="G6060" s="12"/>
      <c r="H6060" s="11"/>
    </row>
    <row r="6061" spans="3:8" x14ac:dyDescent="0.25">
      <c r="C6061" s="12"/>
      <c r="D6061" s="13"/>
      <c r="E6061" s="13"/>
      <c r="F6061" s="13"/>
      <c r="G6061" s="12"/>
      <c r="H6061" s="11"/>
    </row>
    <row r="6062" spans="3:8" x14ac:dyDescent="0.25">
      <c r="C6062" s="12"/>
      <c r="D6062" s="13"/>
      <c r="E6062" s="13"/>
      <c r="F6062" s="13"/>
      <c r="G6062" s="12"/>
      <c r="H6062" s="11"/>
    </row>
    <row r="6063" spans="3:8" x14ac:dyDescent="0.25">
      <c r="C6063" s="12"/>
      <c r="D6063" s="13"/>
      <c r="E6063" s="13"/>
      <c r="F6063" s="13"/>
      <c r="G6063" s="12"/>
      <c r="H6063" s="11"/>
    </row>
    <row r="6064" spans="3:8" x14ac:dyDescent="0.25">
      <c r="C6064" s="12"/>
      <c r="D6064" s="13"/>
      <c r="E6064" s="13"/>
      <c r="F6064" s="13"/>
      <c r="G6064" s="12"/>
      <c r="H6064" s="11"/>
    </row>
    <row r="6065" spans="3:8" x14ac:dyDescent="0.25">
      <c r="C6065" s="12"/>
      <c r="D6065" s="13"/>
      <c r="E6065" s="13"/>
      <c r="F6065" s="13"/>
      <c r="G6065" s="12"/>
      <c r="H6065" s="11"/>
    </row>
    <row r="6066" spans="3:8" x14ac:dyDescent="0.25">
      <c r="C6066" s="12"/>
      <c r="D6066" s="13"/>
      <c r="E6066" s="13"/>
      <c r="F6066" s="13"/>
      <c r="G6066" s="12"/>
      <c r="H6066" s="11"/>
    </row>
    <row r="6067" spans="3:8" x14ac:dyDescent="0.25">
      <c r="C6067" s="12"/>
      <c r="D6067" s="13"/>
      <c r="E6067" s="13"/>
      <c r="F6067" s="13"/>
      <c r="G6067" s="12"/>
      <c r="H6067" s="11"/>
    </row>
    <row r="6068" spans="3:8" x14ac:dyDescent="0.25">
      <c r="C6068" s="12"/>
      <c r="D6068" s="13"/>
      <c r="E6068" s="13"/>
      <c r="F6068" s="13"/>
      <c r="G6068" s="12"/>
      <c r="H6068" s="11"/>
    </row>
    <row r="6069" spans="3:8" x14ac:dyDescent="0.25">
      <c r="C6069" s="12"/>
      <c r="D6069" s="13"/>
      <c r="E6069" s="13"/>
      <c r="F6069" s="13"/>
      <c r="G6069" s="12"/>
      <c r="H6069" s="11"/>
    </row>
    <row r="6070" spans="3:8" x14ac:dyDescent="0.25">
      <c r="C6070" s="12"/>
      <c r="D6070" s="13"/>
      <c r="E6070" s="13"/>
      <c r="F6070" s="13"/>
      <c r="G6070" s="12"/>
      <c r="H6070" s="11"/>
    </row>
    <row r="6071" spans="3:8" x14ac:dyDescent="0.25">
      <c r="C6071" s="12"/>
      <c r="D6071" s="13"/>
      <c r="E6071" s="13"/>
      <c r="F6071" s="13"/>
      <c r="G6071" s="12"/>
      <c r="H6071" s="11"/>
    </row>
    <row r="6072" spans="3:8" x14ac:dyDescent="0.25">
      <c r="C6072" s="12"/>
      <c r="D6072" s="13"/>
      <c r="E6072" s="13"/>
      <c r="F6072" s="13"/>
      <c r="G6072" s="12"/>
      <c r="H6072" s="11"/>
    </row>
    <row r="6073" spans="3:8" x14ac:dyDescent="0.25">
      <c r="C6073" s="12"/>
      <c r="D6073" s="13"/>
      <c r="E6073" s="13"/>
      <c r="F6073" s="13"/>
      <c r="G6073" s="12"/>
      <c r="H6073" s="11"/>
    </row>
    <row r="6074" spans="3:8" x14ac:dyDescent="0.25">
      <c r="C6074" s="12"/>
      <c r="D6074" s="13"/>
      <c r="E6074" s="13"/>
      <c r="F6074" s="13"/>
      <c r="G6074" s="12"/>
      <c r="H6074" s="11"/>
    </row>
    <row r="6075" spans="3:8" x14ac:dyDescent="0.25">
      <c r="C6075" s="12"/>
      <c r="D6075" s="13"/>
      <c r="E6075" s="13"/>
      <c r="F6075" s="13"/>
      <c r="G6075" s="12"/>
      <c r="H6075" s="11"/>
    </row>
    <row r="6076" spans="3:8" x14ac:dyDescent="0.25">
      <c r="C6076" s="12"/>
      <c r="D6076" s="13"/>
      <c r="E6076" s="13"/>
      <c r="F6076" s="13"/>
      <c r="G6076" s="12"/>
      <c r="H6076" s="11"/>
    </row>
    <row r="6077" spans="3:8" x14ac:dyDescent="0.25">
      <c r="C6077" s="12"/>
      <c r="D6077" s="13"/>
      <c r="E6077" s="13"/>
      <c r="F6077" s="13"/>
      <c r="G6077" s="12"/>
      <c r="H6077" s="11"/>
    </row>
    <row r="6078" spans="3:8" x14ac:dyDescent="0.25">
      <c r="C6078" s="12"/>
      <c r="D6078" s="13"/>
      <c r="E6078" s="13"/>
      <c r="F6078" s="13"/>
      <c r="G6078" s="12"/>
      <c r="H6078" s="11"/>
    </row>
    <row r="6079" spans="3:8" x14ac:dyDescent="0.25">
      <c r="C6079" s="12"/>
      <c r="D6079" s="13"/>
      <c r="E6079" s="13"/>
      <c r="F6079" s="13"/>
      <c r="G6079" s="12"/>
      <c r="H6079" s="11"/>
    </row>
    <row r="6080" spans="3:8" x14ac:dyDescent="0.25">
      <c r="C6080" s="12"/>
      <c r="D6080" s="13"/>
      <c r="E6080" s="13"/>
      <c r="F6080" s="13"/>
      <c r="G6080" s="12"/>
      <c r="H6080" s="11"/>
    </row>
    <row r="6081" spans="3:8" x14ac:dyDescent="0.25">
      <c r="C6081" s="12"/>
      <c r="D6081" s="13"/>
      <c r="E6081" s="13"/>
      <c r="F6081" s="13"/>
      <c r="G6081" s="12"/>
      <c r="H6081" s="11"/>
    </row>
    <row r="6082" spans="3:8" x14ac:dyDescent="0.25">
      <c r="C6082" s="12"/>
      <c r="D6082" s="13"/>
      <c r="E6082" s="13"/>
      <c r="F6082" s="13"/>
      <c r="G6082" s="12"/>
      <c r="H6082" s="11"/>
    </row>
    <row r="6083" spans="3:8" x14ac:dyDescent="0.25">
      <c r="C6083" s="12"/>
      <c r="D6083" s="13"/>
      <c r="E6083" s="13"/>
      <c r="F6083" s="13"/>
      <c r="G6083" s="12"/>
      <c r="H6083" s="11"/>
    </row>
    <row r="6084" spans="3:8" x14ac:dyDescent="0.25">
      <c r="C6084" s="12"/>
      <c r="D6084" s="13"/>
      <c r="E6084" s="13"/>
      <c r="F6084" s="13"/>
      <c r="G6084" s="12"/>
      <c r="H6084" s="11"/>
    </row>
    <row r="6085" spans="3:8" x14ac:dyDescent="0.25">
      <c r="C6085" s="12"/>
      <c r="D6085" s="13"/>
      <c r="E6085" s="13"/>
      <c r="F6085" s="13"/>
      <c r="G6085" s="12"/>
      <c r="H6085" s="11"/>
    </row>
    <row r="6086" spans="3:8" x14ac:dyDescent="0.25">
      <c r="C6086" s="12"/>
      <c r="D6086" s="13"/>
      <c r="E6086" s="13"/>
      <c r="F6086" s="13"/>
      <c r="G6086" s="12"/>
      <c r="H6086" s="11"/>
    </row>
    <row r="6087" spans="3:8" x14ac:dyDescent="0.25">
      <c r="C6087" s="12"/>
      <c r="D6087" s="13"/>
      <c r="E6087" s="13"/>
      <c r="F6087" s="13"/>
      <c r="G6087" s="12"/>
      <c r="H6087" s="11"/>
    </row>
    <row r="6088" spans="3:8" x14ac:dyDescent="0.25">
      <c r="C6088" s="12"/>
      <c r="D6088" s="13"/>
      <c r="E6088" s="13"/>
      <c r="F6088" s="13"/>
      <c r="G6088" s="12"/>
      <c r="H6088" s="11"/>
    </row>
    <row r="6089" spans="3:8" x14ac:dyDescent="0.25">
      <c r="C6089" s="12"/>
      <c r="D6089" s="13"/>
      <c r="E6089" s="13"/>
      <c r="F6089" s="13"/>
      <c r="G6089" s="12"/>
      <c r="H6089" s="11"/>
    </row>
    <row r="6090" spans="3:8" x14ac:dyDescent="0.25">
      <c r="C6090" s="12"/>
      <c r="D6090" s="13"/>
      <c r="E6090" s="13"/>
      <c r="F6090" s="13"/>
      <c r="G6090" s="12"/>
      <c r="H6090" s="11"/>
    </row>
    <row r="6091" spans="3:8" x14ac:dyDescent="0.25">
      <c r="C6091" s="12"/>
      <c r="D6091" s="13"/>
      <c r="E6091" s="13"/>
      <c r="F6091" s="13"/>
      <c r="G6091" s="12"/>
      <c r="H6091" s="11"/>
    </row>
    <row r="6092" spans="3:8" x14ac:dyDescent="0.25">
      <c r="C6092" s="12"/>
      <c r="D6092" s="13"/>
      <c r="E6092" s="13"/>
      <c r="F6092" s="13"/>
      <c r="G6092" s="12"/>
      <c r="H6092" s="11"/>
    </row>
    <row r="6093" spans="3:8" x14ac:dyDescent="0.25">
      <c r="C6093" s="12"/>
      <c r="D6093" s="13"/>
      <c r="E6093" s="13"/>
      <c r="F6093" s="13"/>
      <c r="G6093" s="12"/>
      <c r="H6093" s="11"/>
    </row>
    <row r="6094" spans="3:8" x14ac:dyDescent="0.25">
      <c r="C6094" s="12"/>
      <c r="D6094" s="13"/>
      <c r="E6094" s="13"/>
      <c r="F6094" s="13"/>
      <c r="G6094" s="12"/>
      <c r="H6094" s="11"/>
    </row>
    <row r="6095" spans="3:8" x14ac:dyDescent="0.25">
      <c r="C6095" s="12"/>
      <c r="D6095" s="13"/>
      <c r="E6095" s="13"/>
      <c r="F6095" s="13"/>
      <c r="G6095" s="12"/>
      <c r="H6095" s="11"/>
    </row>
    <row r="6096" spans="3:8" x14ac:dyDescent="0.25">
      <c r="C6096" s="12"/>
      <c r="D6096" s="13"/>
      <c r="E6096" s="13"/>
      <c r="F6096" s="13"/>
      <c r="G6096" s="12"/>
      <c r="H6096" s="11"/>
    </row>
    <row r="6097" spans="3:8" x14ac:dyDescent="0.25">
      <c r="C6097" s="12"/>
      <c r="D6097" s="13"/>
      <c r="E6097" s="13"/>
      <c r="F6097" s="13"/>
      <c r="G6097" s="12"/>
      <c r="H6097" s="11"/>
    </row>
    <row r="6098" spans="3:8" x14ac:dyDescent="0.25">
      <c r="C6098" s="12"/>
      <c r="D6098" s="13"/>
      <c r="E6098" s="13"/>
      <c r="F6098" s="13"/>
      <c r="G6098" s="12"/>
      <c r="H6098" s="11"/>
    </row>
    <row r="6099" spans="3:8" x14ac:dyDescent="0.25">
      <c r="C6099" s="12"/>
      <c r="D6099" s="13"/>
      <c r="E6099" s="13"/>
      <c r="F6099" s="13"/>
      <c r="G6099" s="12"/>
      <c r="H6099" s="11"/>
    </row>
    <row r="6100" spans="3:8" x14ac:dyDescent="0.25">
      <c r="C6100" s="12"/>
      <c r="D6100" s="13"/>
      <c r="E6100" s="13"/>
      <c r="F6100" s="13"/>
      <c r="G6100" s="12"/>
      <c r="H6100" s="11"/>
    </row>
    <row r="6101" spans="3:8" x14ac:dyDescent="0.25">
      <c r="C6101" s="12"/>
      <c r="D6101" s="13"/>
      <c r="E6101" s="13"/>
      <c r="F6101" s="13"/>
      <c r="G6101" s="12"/>
      <c r="H6101" s="11"/>
    </row>
    <row r="6102" spans="3:8" x14ac:dyDescent="0.25">
      <c r="C6102" s="12"/>
      <c r="D6102" s="13"/>
      <c r="E6102" s="13"/>
      <c r="F6102" s="13"/>
      <c r="G6102" s="12"/>
      <c r="H6102" s="11"/>
    </row>
    <row r="6103" spans="3:8" x14ac:dyDescent="0.25">
      <c r="C6103" s="12"/>
      <c r="D6103" s="13"/>
      <c r="E6103" s="13"/>
      <c r="F6103" s="13"/>
      <c r="G6103" s="12"/>
      <c r="H6103" s="11"/>
    </row>
    <row r="6104" spans="3:8" x14ac:dyDescent="0.25">
      <c r="C6104" s="12"/>
      <c r="D6104" s="13"/>
      <c r="E6104" s="13"/>
      <c r="F6104" s="13"/>
      <c r="G6104" s="12"/>
      <c r="H6104" s="11"/>
    </row>
    <row r="6105" spans="3:8" x14ac:dyDescent="0.25">
      <c r="C6105" s="12"/>
      <c r="D6105" s="13"/>
      <c r="E6105" s="13"/>
      <c r="F6105" s="13"/>
      <c r="G6105" s="12"/>
      <c r="H6105" s="11"/>
    </row>
    <row r="6106" spans="3:8" x14ac:dyDescent="0.25">
      <c r="C6106" s="12"/>
      <c r="D6106" s="13"/>
      <c r="E6106" s="13"/>
      <c r="F6106" s="13"/>
      <c r="G6106" s="12"/>
      <c r="H6106" s="11"/>
    </row>
    <row r="6107" spans="3:8" x14ac:dyDescent="0.25">
      <c r="C6107" s="12"/>
      <c r="D6107" s="13"/>
      <c r="E6107" s="13"/>
      <c r="F6107" s="13"/>
      <c r="G6107" s="12"/>
      <c r="H6107" s="11"/>
    </row>
    <row r="6108" spans="3:8" x14ac:dyDescent="0.25">
      <c r="C6108" s="12"/>
      <c r="D6108" s="13"/>
      <c r="E6108" s="13"/>
      <c r="F6108" s="13"/>
      <c r="G6108" s="12"/>
      <c r="H6108" s="11"/>
    </row>
    <row r="6109" spans="3:8" x14ac:dyDescent="0.25">
      <c r="C6109" s="12"/>
      <c r="D6109" s="13"/>
      <c r="E6109" s="13"/>
      <c r="F6109" s="13"/>
      <c r="G6109" s="12"/>
      <c r="H6109" s="11"/>
    </row>
    <row r="6110" spans="3:8" x14ac:dyDescent="0.25">
      <c r="C6110" s="12"/>
      <c r="D6110" s="13"/>
      <c r="E6110" s="13"/>
      <c r="F6110" s="13"/>
      <c r="G6110" s="12"/>
      <c r="H6110" s="11"/>
    </row>
    <row r="6111" spans="3:8" x14ac:dyDescent="0.25">
      <c r="C6111" s="12"/>
      <c r="D6111" s="13"/>
      <c r="E6111" s="13"/>
      <c r="F6111" s="13"/>
      <c r="G6111" s="12"/>
      <c r="H6111" s="11"/>
    </row>
    <row r="6112" spans="3:8" x14ac:dyDescent="0.25">
      <c r="C6112" s="12"/>
      <c r="D6112" s="13"/>
      <c r="E6112" s="13"/>
      <c r="F6112" s="13"/>
      <c r="G6112" s="12"/>
      <c r="H6112" s="11"/>
    </row>
    <row r="6113" spans="3:8" x14ac:dyDescent="0.25">
      <c r="C6113" s="12"/>
      <c r="D6113" s="13"/>
      <c r="E6113" s="13"/>
      <c r="F6113" s="13"/>
      <c r="G6113" s="12"/>
      <c r="H6113" s="11"/>
    </row>
    <row r="6114" spans="3:8" x14ac:dyDescent="0.25">
      <c r="C6114" s="12"/>
      <c r="D6114" s="13"/>
      <c r="E6114" s="13"/>
      <c r="F6114" s="13"/>
      <c r="G6114" s="12"/>
      <c r="H6114" s="11"/>
    </row>
    <row r="6115" spans="3:8" x14ac:dyDescent="0.25">
      <c r="C6115" s="12"/>
      <c r="D6115" s="13"/>
      <c r="E6115" s="13"/>
      <c r="F6115" s="13"/>
      <c r="G6115" s="12"/>
      <c r="H6115" s="11"/>
    </row>
    <row r="6116" spans="3:8" x14ac:dyDescent="0.25">
      <c r="C6116" s="12"/>
      <c r="D6116" s="13"/>
      <c r="E6116" s="13"/>
      <c r="F6116" s="13"/>
      <c r="G6116" s="12"/>
      <c r="H6116" s="11"/>
    </row>
    <row r="6117" spans="3:8" x14ac:dyDescent="0.25">
      <c r="C6117" s="12"/>
      <c r="D6117" s="13"/>
      <c r="E6117" s="13"/>
      <c r="F6117" s="13"/>
      <c r="G6117" s="12"/>
      <c r="H6117" s="11"/>
    </row>
    <row r="6118" spans="3:8" x14ac:dyDescent="0.25">
      <c r="C6118" s="12"/>
      <c r="D6118" s="13"/>
      <c r="E6118" s="13"/>
      <c r="F6118" s="13"/>
      <c r="G6118" s="12"/>
      <c r="H6118" s="11"/>
    </row>
    <row r="6119" spans="3:8" x14ac:dyDescent="0.25">
      <c r="C6119" s="12"/>
      <c r="D6119" s="13"/>
      <c r="E6119" s="13"/>
      <c r="F6119" s="13"/>
      <c r="G6119" s="12"/>
      <c r="H6119" s="11"/>
    </row>
    <row r="6120" spans="3:8" x14ac:dyDescent="0.25">
      <c r="C6120" s="12"/>
      <c r="D6120" s="13"/>
      <c r="E6120" s="13"/>
      <c r="F6120" s="13"/>
      <c r="G6120" s="12"/>
      <c r="H6120" s="11"/>
    </row>
    <row r="6121" spans="3:8" x14ac:dyDescent="0.25">
      <c r="C6121" s="12"/>
      <c r="D6121" s="13"/>
      <c r="E6121" s="13"/>
      <c r="F6121" s="13"/>
      <c r="G6121" s="12"/>
      <c r="H6121" s="11"/>
    </row>
    <row r="6122" spans="3:8" x14ac:dyDescent="0.25">
      <c r="C6122" s="12"/>
      <c r="D6122" s="13"/>
      <c r="E6122" s="13"/>
      <c r="F6122" s="13"/>
      <c r="G6122" s="12"/>
      <c r="H6122" s="11"/>
    </row>
    <row r="6123" spans="3:8" x14ac:dyDescent="0.25">
      <c r="C6123" s="12"/>
      <c r="D6123" s="13"/>
      <c r="E6123" s="13"/>
      <c r="F6123" s="13"/>
      <c r="G6123" s="12"/>
      <c r="H6123" s="11"/>
    </row>
    <row r="6124" spans="3:8" x14ac:dyDescent="0.25">
      <c r="C6124" s="12"/>
      <c r="D6124" s="13"/>
      <c r="E6124" s="13"/>
      <c r="F6124" s="13"/>
      <c r="G6124" s="12"/>
      <c r="H6124" s="11"/>
    </row>
    <row r="6125" spans="3:8" x14ac:dyDescent="0.25">
      <c r="C6125" s="12"/>
      <c r="D6125" s="13"/>
      <c r="E6125" s="13"/>
      <c r="F6125" s="13"/>
      <c r="G6125" s="12"/>
      <c r="H6125" s="11"/>
    </row>
    <row r="6126" spans="3:8" x14ac:dyDescent="0.25">
      <c r="C6126" s="12"/>
      <c r="D6126" s="13"/>
      <c r="E6126" s="13"/>
      <c r="F6126" s="13"/>
      <c r="G6126" s="12"/>
      <c r="H6126" s="11"/>
    </row>
    <row r="6127" spans="3:8" x14ac:dyDescent="0.25">
      <c r="C6127" s="12"/>
      <c r="D6127" s="13"/>
      <c r="E6127" s="13"/>
      <c r="F6127" s="13"/>
      <c r="G6127" s="12"/>
      <c r="H6127" s="11"/>
    </row>
    <row r="6128" spans="3:8" x14ac:dyDescent="0.25">
      <c r="C6128" s="12"/>
      <c r="D6128" s="13"/>
      <c r="E6128" s="13"/>
      <c r="F6128" s="13"/>
      <c r="G6128" s="12"/>
      <c r="H6128" s="11"/>
    </row>
    <row r="6129" spans="3:8" x14ac:dyDescent="0.25">
      <c r="C6129" s="12"/>
      <c r="D6129" s="13"/>
      <c r="E6129" s="13"/>
      <c r="F6129" s="13"/>
      <c r="G6129" s="12"/>
      <c r="H6129" s="11"/>
    </row>
    <row r="6130" spans="3:8" x14ac:dyDescent="0.25">
      <c r="C6130" s="12"/>
      <c r="D6130" s="13"/>
      <c r="E6130" s="13"/>
      <c r="F6130" s="13"/>
      <c r="G6130" s="12"/>
      <c r="H6130" s="11"/>
    </row>
    <row r="6131" spans="3:8" x14ac:dyDescent="0.25">
      <c r="C6131" s="12"/>
      <c r="D6131" s="13"/>
      <c r="E6131" s="13"/>
      <c r="F6131" s="13"/>
      <c r="G6131" s="12"/>
      <c r="H6131" s="11"/>
    </row>
    <row r="6132" spans="3:8" x14ac:dyDescent="0.25">
      <c r="C6132" s="12"/>
      <c r="D6132" s="13"/>
      <c r="E6132" s="13"/>
      <c r="F6132" s="13"/>
      <c r="G6132" s="12"/>
      <c r="H6132" s="11"/>
    </row>
    <row r="6133" spans="3:8" x14ac:dyDescent="0.25">
      <c r="C6133" s="12"/>
      <c r="D6133" s="13"/>
      <c r="E6133" s="13"/>
      <c r="F6133" s="13"/>
      <c r="G6133" s="12"/>
      <c r="H6133" s="11"/>
    </row>
    <row r="6134" spans="3:8" x14ac:dyDescent="0.25">
      <c r="C6134" s="12"/>
      <c r="D6134" s="13"/>
      <c r="E6134" s="13"/>
      <c r="F6134" s="13"/>
      <c r="G6134" s="12"/>
      <c r="H6134" s="11"/>
    </row>
    <row r="6135" spans="3:8" x14ac:dyDescent="0.25">
      <c r="C6135" s="12"/>
      <c r="D6135" s="13"/>
      <c r="E6135" s="13"/>
      <c r="F6135" s="13"/>
      <c r="G6135" s="12"/>
      <c r="H6135" s="11"/>
    </row>
    <row r="6136" spans="3:8" x14ac:dyDescent="0.25">
      <c r="C6136" s="12"/>
      <c r="D6136" s="13"/>
      <c r="E6136" s="13"/>
      <c r="F6136" s="13"/>
      <c r="G6136" s="12"/>
      <c r="H6136" s="11"/>
    </row>
    <row r="6137" spans="3:8" x14ac:dyDescent="0.25">
      <c r="C6137" s="12"/>
      <c r="D6137" s="13"/>
      <c r="E6137" s="13"/>
      <c r="F6137" s="13"/>
      <c r="G6137" s="12"/>
      <c r="H6137" s="11"/>
    </row>
    <row r="6138" spans="3:8" x14ac:dyDescent="0.25">
      <c r="C6138" s="12"/>
      <c r="D6138" s="13"/>
      <c r="E6138" s="13"/>
      <c r="F6138" s="13"/>
      <c r="G6138" s="12"/>
      <c r="H6138" s="11"/>
    </row>
    <row r="6139" spans="3:8" x14ac:dyDescent="0.25">
      <c r="C6139" s="12"/>
      <c r="D6139" s="13"/>
      <c r="E6139" s="13"/>
      <c r="F6139" s="13"/>
      <c r="G6139" s="12"/>
      <c r="H6139" s="11"/>
    </row>
    <row r="6140" spans="3:8" x14ac:dyDescent="0.25">
      <c r="C6140" s="12"/>
      <c r="D6140" s="13"/>
      <c r="E6140" s="13"/>
      <c r="F6140" s="13"/>
      <c r="G6140" s="12"/>
      <c r="H6140" s="11"/>
    </row>
    <row r="6141" spans="3:8" x14ac:dyDescent="0.25">
      <c r="C6141" s="12"/>
      <c r="D6141" s="13"/>
      <c r="E6141" s="13"/>
      <c r="F6141" s="13"/>
      <c r="G6141" s="12"/>
      <c r="H6141" s="11"/>
    </row>
    <row r="6142" spans="3:8" x14ac:dyDescent="0.25">
      <c r="C6142" s="12"/>
      <c r="D6142" s="13"/>
      <c r="E6142" s="13"/>
      <c r="F6142" s="13"/>
      <c r="G6142" s="12"/>
      <c r="H6142" s="11"/>
    </row>
    <row r="6143" spans="3:8" x14ac:dyDescent="0.25">
      <c r="C6143" s="12"/>
      <c r="D6143" s="13"/>
      <c r="E6143" s="13"/>
      <c r="F6143" s="13"/>
      <c r="G6143" s="12"/>
      <c r="H6143" s="11"/>
    </row>
    <row r="6144" spans="3:8" x14ac:dyDescent="0.25">
      <c r="C6144" s="12"/>
      <c r="D6144" s="13"/>
      <c r="E6144" s="13"/>
      <c r="F6144" s="13"/>
      <c r="G6144" s="12"/>
      <c r="H6144" s="11"/>
    </row>
    <row r="6145" spans="3:8" x14ac:dyDescent="0.25">
      <c r="C6145" s="12"/>
      <c r="D6145" s="13"/>
      <c r="E6145" s="13"/>
      <c r="F6145" s="13"/>
      <c r="G6145" s="12"/>
      <c r="H6145" s="11"/>
    </row>
    <row r="6146" spans="3:8" x14ac:dyDescent="0.25">
      <c r="C6146" s="12"/>
      <c r="D6146" s="13"/>
      <c r="E6146" s="13"/>
      <c r="F6146" s="13"/>
      <c r="G6146" s="12"/>
      <c r="H6146" s="11"/>
    </row>
    <row r="6147" spans="3:8" x14ac:dyDescent="0.25">
      <c r="C6147" s="12"/>
      <c r="D6147" s="13"/>
      <c r="E6147" s="13"/>
      <c r="F6147" s="13"/>
      <c r="G6147" s="12"/>
      <c r="H6147" s="11"/>
    </row>
    <row r="6148" spans="3:8" x14ac:dyDescent="0.25">
      <c r="C6148" s="12"/>
      <c r="D6148" s="13"/>
      <c r="E6148" s="13"/>
      <c r="F6148" s="13"/>
      <c r="G6148" s="12"/>
      <c r="H6148" s="11"/>
    </row>
    <row r="6149" spans="3:8" x14ac:dyDescent="0.25">
      <c r="C6149" s="12"/>
      <c r="D6149" s="13"/>
      <c r="E6149" s="13"/>
      <c r="F6149" s="13"/>
      <c r="G6149" s="12"/>
      <c r="H6149" s="11"/>
    </row>
    <row r="6150" spans="3:8" x14ac:dyDescent="0.25">
      <c r="C6150" s="12"/>
      <c r="D6150" s="13"/>
      <c r="E6150" s="13"/>
      <c r="F6150" s="13"/>
      <c r="G6150" s="12"/>
      <c r="H6150" s="11"/>
    </row>
    <row r="6151" spans="3:8" x14ac:dyDescent="0.25">
      <c r="C6151" s="12"/>
      <c r="D6151" s="13"/>
      <c r="E6151" s="13"/>
      <c r="F6151" s="13"/>
      <c r="G6151" s="12"/>
      <c r="H6151" s="11"/>
    </row>
    <row r="6152" spans="3:8" x14ac:dyDescent="0.25">
      <c r="C6152" s="12"/>
      <c r="D6152" s="13"/>
      <c r="E6152" s="13"/>
      <c r="F6152" s="13"/>
      <c r="G6152" s="12"/>
      <c r="H6152" s="11"/>
    </row>
    <row r="6153" spans="3:8" x14ac:dyDescent="0.25">
      <c r="C6153" s="12"/>
      <c r="D6153" s="13"/>
      <c r="E6153" s="13"/>
      <c r="F6153" s="13"/>
      <c r="G6153" s="12"/>
      <c r="H6153" s="11"/>
    </row>
    <row r="6154" spans="3:8" x14ac:dyDescent="0.25">
      <c r="C6154" s="12"/>
      <c r="D6154" s="13"/>
      <c r="E6154" s="13"/>
      <c r="F6154" s="13"/>
      <c r="G6154" s="12"/>
      <c r="H6154" s="11"/>
    </row>
    <row r="6155" spans="3:8" x14ac:dyDescent="0.25">
      <c r="C6155" s="12"/>
      <c r="D6155" s="13"/>
      <c r="E6155" s="13"/>
      <c r="F6155" s="13"/>
      <c r="G6155" s="12"/>
      <c r="H6155" s="11"/>
    </row>
    <row r="6156" spans="3:8" x14ac:dyDescent="0.25">
      <c r="C6156" s="12"/>
      <c r="D6156" s="13"/>
      <c r="E6156" s="13"/>
      <c r="F6156" s="13"/>
      <c r="G6156" s="12"/>
      <c r="H6156" s="11"/>
    </row>
    <row r="6157" spans="3:8" x14ac:dyDescent="0.25">
      <c r="C6157" s="12"/>
      <c r="D6157" s="13"/>
      <c r="E6157" s="13"/>
      <c r="F6157" s="13"/>
      <c r="G6157" s="12"/>
      <c r="H6157" s="11"/>
    </row>
    <row r="6158" spans="3:8" x14ac:dyDescent="0.25">
      <c r="C6158" s="12"/>
      <c r="D6158" s="13"/>
      <c r="E6158" s="13"/>
      <c r="F6158" s="13"/>
      <c r="G6158" s="12"/>
      <c r="H6158" s="11"/>
    </row>
    <row r="6159" spans="3:8" x14ac:dyDescent="0.25">
      <c r="C6159" s="12"/>
      <c r="D6159" s="13"/>
      <c r="E6159" s="13"/>
      <c r="F6159" s="13"/>
      <c r="G6159" s="12"/>
      <c r="H6159" s="11"/>
    </row>
    <row r="6160" spans="3:8" x14ac:dyDescent="0.25">
      <c r="C6160" s="12"/>
      <c r="D6160" s="13"/>
      <c r="E6160" s="13"/>
      <c r="F6160" s="13"/>
      <c r="G6160" s="12"/>
      <c r="H6160" s="11"/>
    </row>
    <row r="6161" spans="3:8" x14ac:dyDescent="0.25">
      <c r="C6161" s="12"/>
      <c r="D6161" s="13"/>
      <c r="E6161" s="13"/>
      <c r="F6161" s="13"/>
      <c r="G6161" s="12"/>
      <c r="H6161" s="11"/>
    </row>
    <row r="6162" spans="3:8" x14ac:dyDescent="0.25">
      <c r="C6162" s="12"/>
      <c r="D6162" s="13"/>
      <c r="E6162" s="13"/>
      <c r="F6162" s="13"/>
      <c r="G6162" s="12"/>
      <c r="H6162" s="11"/>
    </row>
    <row r="6163" spans="3:8" x14ac:dyDescent="0.25">
      <c r="C6163" s="12"/>
      <c r="D6163" s="13"/>
      <c r="E6163" s="13"/>
      <c r="F6163" s="13"/>
      <c r="G6163" s="12"/>
      <c r="H6163" s="11"/>
    </row>
    <row r="6164" spans="3:8" x14ac:dyDescent="0.25">
      <c r="C6164" s="12"/>
      <c r="D6164" s="13"/>
      <c r="E6164" s="13"/>
      <c r="F6164" s="13"/>
      <c r="G6164" s="12"/>
      <c r="H6164" s="11"/>
    </row>
    <row r="6165" spans="3:8" x14ac:dyDescent="0.25">
      <c r="C6165" s="12"/>
      <c r="D6165" s="13"/>
      <c r="E6165" s="13"/>
      <c r="F6165" s="13"/>
      <c r="G6165" s="12"/>
      <c r="H6165" s="11"/>
    </row>
    <row r="6166" spans="3:8" x14ac:dyDescent="0.25">
      <c r="C6166" s="12"/>
      <c r="D6166" s="13"/>
      <c r="E6166" s="13"/>
      <c r="F6166" s="13"/>
      <c r="G6166" s="12"/>
      <c r="H6166" s="11"/>
    </row>
    <row r="6167" spans="3:8" x14ac:dyDescent="0.25">
      <c r="C6167" s="12"/>
      <c r="D6167" s="13"/>
      <c r="E6167" s="13"/>
      <c r="F6167" s="13"/>
      <c r="G6167" s="12"/>
      <c r="H6167" s="11"/>
    </row>
    <row r="6168" spans="3:8" x14ac:dyDescent="0.25">
      <c r="C6168" s="12"/>
      <c r="D6168" s="13"/>
      <c r="E6168" s="13"/>
      <c r="F6168" s="13"/>
      <c r="G6168" s="12"/>
      <c r="H6168" s="11"/>
    </row>
    <row r="6169" spans="3:8" x14ac:dyDescent="0.25">
      <c r="C6169" s="12"/>
      <c r="D6169" s="13"/>
      <c r="E6169" s="13"/>
      <c r="F6169" s="13"/>
      <c r="G6169" s="12"/>
      <c r="H6169" s="11"/>
    </row>
    <row r="6170" spans="3:8" x14ac:dyDescent="0.25">
      <c r="C6170" s="12"/>
      <c r="D6170" s="13"/>
      <c r="E6170" s="13"/>
      <c r="F6170" s="13"/>
      <c r="G6170" s="12"/>
      <c r="H6170" s="11"/>
    </row>
    <row r="6171" spans="3:8" x14ac:dyDescent="0.25">
      <c r="C6171" s="12"/>
      <c r="D6171" s="13"/>
      <c r="E6171" s="13"/>
      <c r="F6171" s="13"/>
      <c r="G6171" s="12"/>
      <c r="H6171" s="11"/>
    </row>
    <row r="6172" spans="3:8" x14ac:dyDescent="0.25">
      <c r="C6172" s="12"/>
      <c r="D6172" s="13"/>
      <c r="E6172" s="13"/>
      <c r="F6172" s="13"/>
      <c r="G6172" s="12"/>
      <c r="H6172" s="11"/>
    </row>
    <row r="6173" spans="3:8" x14ac:dyDescent="0.25">
      <c r="C6173" s="12"/>
      <c r="D6173" s="13"/>
      <c r="E6173" s="13"/>
      <c r="F6173" s="13"/>
      <c r="G6173" s="12"/>
      <c r="H6173" s="11"/>
    </row>
    <row r="6174" spans="3:8" x14ac:dyDescent="0.25">
      <c r="C6174" s="12"/>
      <c r="D6174" s="13"/>
      <c r="E6174" s="13"/>
      <c r="F6174" s="13"/>
      <c r="G6174" s="12"/>
      <c r="H6174" s="11"/>
    </row>
    <row r="6175" spans="3:8" x14ac:dyDescent="0.25">
      <c r="C6175" s="12"/>
      <c r="D6175" s="13"/>
      <c r="E6175" s="13"/>
      <c r="F6175" s="13"/>
      <c r="G6175" s="12"/>
      <c r="H6175" s="11"/>
    </row>
    <row r="6176" spans="3:8" x14ac:dyDescent="0.25">
      <c r="C6176" s="12"/>
      <c r="D6176" s="13"/>
      <c r="E6176" s="13"/>
      <c r="F6176" s="13"/>
      <c r="G6176" s="12"/>
      <c r="H6176" s="11"/>
    </row>
    <row r="6177" spans="3:8" x14ac:dyDescent="0.25">
      <c r="C6177" s="12"/>
      <c r="D6177" s="13"/>
      <c r="E6177" s="13"/>
      <c r="F6177" s="13"/>
      <c r="G6177" s="12"/>
      <c r="H6177" s="11"/>
    </row>
    <row r="6178" spans="3:8" x14ac:dyDescent="0.25">
      <c r="C6178" s="12"/>
      <c r="D6178" s="13"/>
      <c r="E6178" s="13"/>
      <c r="F6178" s="13"/>
      <c r="G6178" s="12"/>
      <c r="H6178" s="11"/>
    </row>
    <row r="6179" spans="3:8" x14ac:dyDescent="0.25">
      <c r="C6179" s="12"/>
      <c r="D6179" s="13"/>
      <c r="E6179" s="13"/>
      <c r="F6179" s="13"/>
      <c r="G6179" s="12"/>
      <c r="H6179" s="11"/>
    </row>
    <row r="6180" spans="3:8" x14ac:dyDescent="0.25">
      <c r="C6180" s="12"/>
      <c r="D6180" s="13"/>
      <c r="E6180" s="13"/>
      <c r="F6180" s="13"/>
      <c r="G6180" s="12"/>
      <c r="H6180" s="11"/>
    </row>
    <row r="6181" spans="3:8" x14ac:dyDescent="0.25">
      <c r="C6181" s="12"/>
      <c r="D6181" s="13"/>
      <c r="E6181" s="13"/>
      <c r="F6181" s="13"/>
      <c r="G6181" s="12"/>
      <c r="H6181" s="11"/>
    </row>
    <row r="6182" spans="3:8" x14ac:dyDescent="0.25">
      <c r="C6182" s="12"/>
      <c r="D6182" s="13"/>
      <c r="E6182" s="13"/>
      <c r="F6182" s="13"/>
      <c r="G6182" s="12"/>
      <c r="H6182" s="11"/>
    </row>
    <row r="6183" spans="3:8" x14ac:dyDescent="0.25">
      <c r="C6183" s="12"/>
      <c r="D6183" s="13"/>
      <c r="E6183" s="13"/>
      <c r="F6183" s="13"/>
      <c r="G6183" s="12"/>
      <c r="H6183" s="11"/>
    </row>
    <row r="6184" spans="3:8" x14ac:dyDescent="0.25">
      <c r="C6184" s="12"/>
      <c r="D6184" s="13"/>
      <c r="E6184" s="13"/>
      <c r="F6184" s="13"/>
      <c r="G6184" s="12"/>
      <c r="H6184" s="11"/>
    </row>
    <row r="6185" spans="3:8" x14ac:dyDescent="0.25">
      <c r="C6185" s="12"/>
      <c r="D6185" s="13"/>
      <c r="E6185" s="13"/>
      <c r="F6185" s="13"/>
      <c r="G6185" s="12"/>
      <c r="H6185" s="11"/>
    </row>
    <row r="6186" spans="3:8" x14ac:dyDescent="0.25">
      <c r="C6186" s="12"/>
      <c r="D6186" s="13"/>
      <c r="E6186" s="13"/>
      <c r="F6186" s="13"/>
      <c r="G6186" s="12"/>
      <c r="H6186" s="11"/>
    </row>
    <row r="6187" spans="3:8" x14ac:dyDescent="0.25">
      <c r="C6187" s="12"/>
      <c r="D6187" s="13"/>
      <c r="E6187" s="13"/>
      <c r="F6187" s="13"/>
      <c r="G6187" s="12"/>
      <c r="H6187" s="11"/>
    </row>
    <row r="6188" spans="3:8" x14ac:dyDescent="0.25">
      <c r="C6188" s="12"/>
      <c r="D6188" s="13"/>
      <c r="E6188" s="13"/>
      <c r="F6188" s="13"/>
      <c r="G6188" s="12"/>
      <c r="H6188" s="11"/>
    </row>
    <row r="6189" spans="3:8" x14ac:dyDescent="0.25">
      <c r="C6189" s="12"/>
      <c r="D6189" s="13"/>
      <c r="E6189" s="13"/>
      <c r="F6189" s="13"/>
      <c r="G6189" s="12"/>
      <c r="H6189" s="11"/>
    </row>
    <row r="6190" spans="3:8" x14ac:dyDescent="0.25">
      <c r="C6190" s="12"/>
      <c r="D6190" s="13"/>
      <c r="E6190" s="13"/>
      <c r="F6190" s="13"/>
      <c r="G6190" s="12"/>
      <c r="H6190" s="11"/>
    </row>
    <row r="6191" spans="3:8" x14ac:dyDescent="0.25">
      <c r="C6191" s="12"/>
      <c r="D6191" s="13"/>
      <c r="E6191" s="13"/>
      <c r="F6191" s="13"/>
      <c r="G6191" s="12"/>
      <c r="H6191" s="11"/>
    </row>
    <row r="6192" spans="3:8" x14ac:dyDescent="0.25">
      <c r="C6192" s="12"/>
      <c r="D6192" s="13"/>
      <c r="E6192" s="13"/>
      <c r="F6192" s="13"/>
      <c r="G6192" s="12"/>
      <c r="H6192" s="11"/>
    </row>
    <row r="6193" spans="3:8" x14ac:dyDescent="0.25">
      <c r="C6193" s="12"/>
      <c r="D6193" s="13"/>
      <c r="E6193" s="13"/>
      <c r="F6193" s="13"/>
      <c r="G6193" s="12"/>
      <c r="H6193" s="11"/>
    </row>
    <row r="6194" spans="3:8" x14ac:dyDescent="0.25">
      <c r="C6194" s="12"/>
      <c r="D6194" s="13"/>
      <c r="E6194" s="13"/>
      <c r="F6194" s="13"/>
      <c r="G6194" s="12"/>
      <c r="H6194" s="11"/>
    </row>
    <row r="6195" spans="3:8" x14ac:dyDescent="0.25">
      <c r="C6195" s="12"/>
      <c r="D6195" s="13"/>
      <c r="E6195" s="13"/>
      <c r="F6195" s="13"/>
      <c r="G6195" s="12"/>
      <c r="H6195" s="11"/>
    </row>
    <row r="6196" spans="3:8" x14ac:dyDescent="0.25">
      <c r="C6196" s="12"/>
      <c r="D6196" s="13"/>
      <c r="E6196" s="13"/>
      <c r="F6196" s="13"/>
      <c r="G6196" s="12"/>
      <c r="H6196" s="11"/>
    </row>
    <row r="6197" spans="3:8" x14ac:dyDescent="0.25">
      <c r="C6197" s="12"/>
      <c r="D6197" s="13"/>
      <c r="E6197" s="13"/>
      <c r="F6197" s="13"/>
      <c r="G6197" s="12"/>
      <c r="H6197" s="11"/>
    </row>
    <row r="6198" spans="3:8" x14ac:dyDescent="0.25">
      <c r="C6198" s="12"/>
      <c r="D6198" s="13"/>
      <c r="E6198" s="13"/>
      <c r="F6198" s="13"/>
      <c r="G6198" s="12"/>
      <c r="H6198" s="11"/>
    </row>
    <row r="6199" spans="3:8" x14ac:dyDescent="0.25">
      <c r="C6199" s="12"/>
      <c r="D6199" s="13"/>
      <c r="E6199" s="13"/>
      <c r="F6199" s="13"/>
      <c r="G6199" s="12"/>
      <c r="H6199" s="11"/>
    </row>
    <row r="6200" spans="3:8" x14ac:dyDescent="0.25">
      <c r="C6200" s="12"/>
      <c r="D6200" s="13"/>
      <c r="E6200" s="13"/>
      <c r="F6200" s="13"/>
      <c r="G6200" s="12"/>
      <c r="H6200" s="11"/>
    </row>
    <row r="6201" spans="3:8" x14ac:dyDescent="0.25">
      <c r="C6201" s="12"/>
      <c r="D6201" s="13"/>
      <c r="E6201" s="13"/>
      <c r="F6201" s="13"/>
      <c r="G6201" s="12"/>
      <c r="H6201" s="11"/>
    </row>
    <row r="6202" spans="3:8" x14ac:dyDescent="0.25">
      <c r="C6202" s="12"/>
      <c r="D6202" s="13"/>
      <c r="E6202" s="13"/>
      <c r="F6202" s="13"/>
      <c r="G6202" s="12"/>
      <c r="H6202" s="11"/>
    </row>
    <row r="6203" spans="3:8" x14ac:dyDescent="0.25">
      <c r="C6203" s="12"/>
      <c r="D6203" s="13"/>
      <c r="E6203" s="13"/>
      <c r="F6203" s="13"/>
      <c r="G6203" s="12"/>
      <c r="H6203" s="11"/>
    </row>
    <row r="6204" spans="3:8" x14ac:dyDescent="0.25">
      <c r="C6204" s="12"/>
      <c r="D6204" s="13"/>
      <c r="E6204" s="13"/>
      <c r="F6204" s="13"/>
      <c r="G6204" s="12"/>
      <c r="H6204" s="11"/>
    </row>
    <row r="6205" spans="3:8" x14ac:dyDescent="0.25">
      <c r="C6205" s="12"/>
      <c r="D6205" s="13"/>
      <c r="E6205" s="13"/>
      <c r="F6205" s="13"/>
      <c r="G6205" s="12"/>
      <c r="H6205" s="11"/>
    </row>
    <row r="6206" spans="3:8" x14ac:dyDescent="0.25">
      <c r="C6206" s="12"/>
      <c r="D6206" s="13"/>
      <c r="E6206" s="13"/>
      <c r="F6206" s="13"/>
      <c r="G6206" s="12"/>
      <c r="H6206" s="11"/>
    </row>
    <row r="6207" spans="3:8" x14ac:dyDescent="0.25">
      <c r="C6207" s="12"/>
      <c r="D6207" s="13"/>
      <c r="E6207" s="13"/>
      <c r="F6207" s="13"/>
      <c r="G6207" s="12"/>
      <c r="H6207" s="11"/>
    </row>
    <row r="6208" spans="3:8" x14ac:dyDescent="0.25">
      <c r="C6208" s="12"/>
      <c r="D6208" s="13"/>
      <c r="E6208" s="13"/>
      <c r="F6208" s="13"/>
      <c r="G6208" s="12"/>
      <c r="H6208" s="11"/>
    </row>
    <row r="6209" spans="3:8" x14ac:dyDescent="0.25">
      <c r="C6209" s="12"/>
      <c r="D6209" s="13"/>
      <c r="E6209" s="13"/>
      <c r="F6209" s="13"/>
      <c r="G6209" s="12"/>
      <c r="H6209" s="11"/>
    </row>
    <row r="6210" spans="3:8" x14ac:dyDescent="0.25">
      <c r="C6210" s="12"/>
      <c r="D6210" s="13"/>
      <c r="E6210" s="13"/>
      <c r="F6210" s="13"/>
      <c r="G6210" s="12"/>
      <c r="H6210" s="11"/>
    </row>
    <row r="6211" spans="3:8" x14ac:dyDescent="0.25">
      <c r="C6211" s="12"/>
      <c r="D6211" s="13"/>
      <c r="E6211" s="13"/>
      <c r="F6211" s="13"/>
      <c r="G6211" s="12"/>
      <c r="H6211" s="11"/>
    </row>
    <row r="6212" spans="3:8" x14ac:dyDescent="0.25">
      <c r="C6212" s="12"/>
      <c r="D6212" s="13"/>
      <c r="E6212" s="13"/>
      <c r="F6212" s="13"/>
      <c r="G6212" s="12"/>
      <c r="H6212" s="11"/>
    </row>
    <row r="6213" spans="3:8" x14ac:dyDescent="0.25">
      <c r="C6213" s="12"/>
      <c r="D6213" s="13"/>
      <c r="E6213" s="13"/>
      <c r="F6213" s="13"/>
      <c r="G6213" s="12"/>
      <c r="H6213" s="11"/>
    </row>
    <row r="6214" spans="3:8" x14ac:dyDescent="0.25">
      <c r="C6214" s="12"/>
      <c r="D6214" s="13"/>
      <c r="E6214" s="13"/>
      <c r="F6214" s="13"/>
      <c r="G6214" s="12"/>
      <c r="H6214" s="11"/>
    </row>
    <row r="6215" spans="3:8" x14ac:dyDescent="0.25">
      <c r="C6215" s="12"/>
      <c r="D6215" s="13"/>
      <c r="E6215" s="13"/>
      <c r="F6215" s="13"/>
      <c r="G6215" s="12"/>
      <c r="H6215" s="11"/>
    </row>
    <row r="6216" spans="3:8" x14ac:dyDescent="0.25">
      <c r="C6216" s="12"/>
      <c r="D6216" s="13"/>
      <c r="E6216" s="13"/>
      <c r="F6216" s="13"/>
      <c r="G6216" s="12"/>
      <c r="H6216" s="11"/>
    </row>
    <row r="6217" spans="3:8" x14ac:dyDescent="0.25">
      <c r="C6217" s="12"/>
      <c r="D6217" s="13"/>
      <c r="E6217" s="13"/>
      <c r="F6217" s="13"/>
      <c r="G6217" s="12"/>
      <c r="H6217" s="11"/>
    </row>
    <row r="6218" spans="3:8" x14ac:dyDescent="0.25">
      <c r="C6218" s="12"/>
      <c r="D6218" s="13"/>
      <c r="E6218" s="13"/>
      <c r="F6218" s="13"/>
      <c r="G6218" s="12"/>
      <c r="H6218" s="11"/>
    </row>
    <row r="6219" spans="3:8" x14ac:dyDescent="0.25">
      <c r="C6219" s="12"/>
      <c r="D6219" s="13"/>
      <c r="E6219" s="13"/>
      <c r="F6219" s="13"/>
      <c r="G6219" s="12"/>
      <c r="H6219" s="11"/>
    </row>
    <row r="6220" spans="3:8" x14ac:dyDescent="0.25">
      <c r="C6220" s="12"/>
      <c r="D6220" s="13"/>
      <c r="E6220" s="13"/>
      <c r="F6220" s="13"/>
      <c r="G6220" s="12"/>
      <c r="H6220" s="11"/>
    </row>
    <row r="6221" spans="3:8" x14ac:dyDescent="0.25">
      <c r="C6221" s="12"/>
      <c r="D6221" s="13"/>
      <c r="E6221" s="13"/>
      <c r="F6221" s="13"/>
      <c r="G6221" s="12"/>
      <c r="H6221" s="11"/>
    </row>
    <row r="6222" spans="3:8" x14ac:dyDescent="0.25">
      <c r="C6222" s="12"/>
      <c r="D6222" s="13"/>
      <c r="E6222" s="13"/>
      <c r="F6222" s="13"/>
      <c r="G6222" s="12"/>
      <c r="H6222" s="11"/>
    </row>
    <row r="6223" spans="3:8" x14ac:dyDescent="0.25">
      <c r="C6223" s="12"/>
      <c r="D6223" s="13"/>
      <c r="E6223" s="13"/>
      <c r="F6223" s="13"/>
      <c r="G6223" s="12"/>
      <c r="H6223" s="11"/>
    </row>
    <row r="6224" spans="3:8" x14ac:dyDescent="0.25">
      <c r="C6224" s="12"/>
      <c r="D6224" s="13"/>
      <c r="E6224" s="13"/>
      <c r="F6224" s="13"/>
      <c r="G6224" s="12"/>
      <c r="H6224" s="11"/>
    </row>
    <row r="6225" spans="3:8" x14ac:dyDescent="0.25">
      <c r="C6225" s="12"/>
      <c r="D6225" s="13"/>
      <c r="E6225" s="13"/>
      <c r="F6225" s="13"/>
      <c r="G6225" s="12"/>
      <c r="H6225" s="11"/>
    </row>
    <row r="6226" spans="3:8" x14ac:dyDescent="0.25">
      <c r="C6226" s="12"/>
      <c r="D6226" s="13"/>
      <c r="E6226" s="13"/>
      <c r="F6226" s="13"/>
      <c r="G6226" s="12"/>
      <c r="H6226" s="11"/>
    </row>
    <row r="6227" spans="3:8" x14ac:dyDescent="0.25">
      <c r="C6227" s="12"/>
      <c r="D6227" s="13"/>
      <c r="E6227" s="13"/>
      <c r="F6227" s="13"/>
      <c r="G6227" s="12"/>
      <c r="H6227" s="11"/>
    </row>
    <row r="6228" spans="3:8" x14ac:dyDescent="0.25">
      <c r="C6228" s="12"/>
      <c r="D6228" s="13"/>
      <c r="E6228" s="13"/>
      <c r="F6228" s="13"/>
      <c r="G6228" s="12"/>
      <c r="H6228" s="11"/>
    </row>
    <row r="6229" spans="3:8" x14ac:dyDescent="0.25">
      <c r="C6229" s="12"/>
      <c r="D6229" s="13"/>
      <c r="E6229" s="13"/>
      <c r="F6229" s="13"/>
      <c r="G6229" s="12"/>
      <c r="H6229" s="11"/>
    </row>
    <row r="6230" spans="3:8" x14ac:dyDescent="0.25">
      <c r="C6230" s="12"/>
      <c r="D6230" s="13"/>
      <c r="E6230" s="13"/>
      <c r="F6230" s="13"/>
      <c r="G6230" s="12"/>
      <c r="H6230" s="11"/>
    </row>
    <row r="6231" spans="3:8" x14ac:dyDescent="0.25">
      <c r="C6231" s="12"/>
      <c r="D6231" s="13"/>
      <c r="E6231" s="13"/>
      <c r="F6231" s="13"/>
      <c r="G6231" s="12"/>
      <c r="H6231" s="11"/>
    </row>
    <row r="6232" spans="3:8" x14ac:dyDescent="0.25">
      <c r="C6232" s="12"/>
      <c r="D6232" s="13"/>
      <c r="E6232" s="13"/>
      <c r="F6232" s="13"/>
      <c r="G6232" s="12"/>
      <c r="H6232" s="11"/>
    </row>
    <row r="6233" spans="3:8" x14ac:dyDescent="0.25">
      <c r="C6233" s="12"/>
      <c r="D6233" s="13"/>
      <c r="E6233" s="13"/>
      <c r="F6233" s="13"/>
      <c r="G6233" s="12"/>
      <c r="H6233" s="11"/>
    </row>
    <row r="6234" spans="3:8" x14ac:dyDescent="0.25">
      <c r="C6234" s="12"/>
      <c r="D6234" s="13"/>
      <c r="E6234" s="13"/>
      <c r="F6234" s="13"/>
      <c r="G6234" s="12"/>
      <c r="H6234" s="11"/>
    </row>
    <row r="6235" spans="3:8" x14ac:dyDescent="0.25">
      <c r="C6235" s="12"/>
      <c r="D6235" s="13"/>
      <c r="E6235" s="13"/>
      <c r="F6235" s="13"/>
      <c r="G6235" s="12"/>
      <c r="H6235" s="11"/>
    </row>
    <row r="6236" spans="3:8" x14ac:dyDescent="0.25">
      <c r="C6236" s="12"/>
      <c r="D6236" s="13"/>
      <c r="E6236" s="13"/>
      <c r="F6236" s="13"/>
      <c r="G6236" s="12"/>
      <c r="H6236" s="11"/>
    </row>
    <row r="6237" spans="3:8" x14ac:dyDescent="0.25">
      <c r="C6237" s="12"/>
      <c r="D6237" s="13"/>
      <c r="E6237" s="13"/>
      <c r="F6237" s="13"/>
      <c r="G6237" s="12"/>
      <c r="H6237" s="11"/>
    </row>
    <row r="6238" spans="3:8" x14ac:dyDescent="0.25">
      <c r="C6238" s="12"/>
      <c r="D6238" s="13"/>
      <c r="E6238" s="13"/>
      <c r="F6238" s="13"/>
      <c r="G6238" s="12"/>
      <c r="H6238" s="11"/>
    </row>
    <row r="6239" spans="3:8" x14ac:dyDescent="0.25">
      <c r="C6239" s="12"/>
      <c r="D6239" s="13"/>
      <c r="E6239" s="13"/>
      <c r="F6239" s="13"/>
      <c r="G6239" s="12"/>
      <c r="H6239" s="11"/>
    </row>
    <row r="6240" spans="3:8" x14ac:dyDescent="0.25">
      <c r="C6240" s="12"/>
      <c r="D6240" s="13"/>
      <c r="E6240" s="13"/>
      <c r="F6240" s="13"/>
      <c r="G6240" s="12"/>
      <c r="H6240" s="11"/>
    </row>
    <row r="6241" spans="3:8" x14ac:dyDescent="0.25">
      <c r="C6241" s="12"/>
      <c r="D6241" s="13"/>
      <c r="E6241" s="13"/>
      <c r="F6241" s="13"/>
      <c r="G6241" s="12"/>
      <c r="H6241" s="11"/>
    </row>
    <row r="6242" spans="3:8" x14ac:dyDescent="0.25">
      <c r="C6242" s="12"/>
      <c r="D6242" s="13"/>
      <c r="E6242" s="13"/>
      <c r="F6242" s="13"/>
      <c r="G6242" s="12"/>
      <c r="H6242" s="11"/>
    </row>
    <row r="6243" spans="3:8" x14ac:dyDescent="0.25">
      <c r="C6243" s="12"/>
      <c r="D6243" s="13"/>
      <c r="E6243" s="13"/>
      <c r="F6243" s="13"/>
      <c r="G6243" s="12"/>
      <c r="H6243" s="11"/>
    </row>
    <row r="6244" spans="3:8" x14ac:dyDescent="0.25">
      <c r="C6244" s="12"/>
      <c r="D6244" s="13"/>
      <c r="E6244" s="13"/>
      <c r="F6244" s="13"/>
      <c r="G6244" s="12"/>
      <c r="H6244" s="11"/>
    </row>
    <row r="6245" spans="3:8" x14ac:dyDescent="0.25">
      <c r="C6245" s="12"/>
      <c r="D6245" s="13"/>
      <c r="E6245" s="13"/>
      <c r="F6245" s="13"/>
      <c r="G6245" s="12"/>
      <c r="H6245" s="11"/>
    </row>
    <row r="6246" spans="3:8" x14ac:dyDescent="0.25">
      <c r="C6246" s="12"/>
      <c r="D6246" s="13"/>
      <c r="E6246" s="13"/>
      <c r="F6246" s="13"/>
      <c r="G6246" s="12"/>
      <c r="H6246" s="11"/>
    </row>
    <row r="6247" spans="3:8" x14ac:dyDescent="0.25">
      <c r="C6247" s="12"/>
      <c r="D6247" s="13"/>
      <c r="E6247" s="13"/>
      <c r="F6247" s="13"/>
      <c r="G6247" s="12"/>
      <c r="H6247" s="11"/>
    </row>
    <row r="6248" spans="3:8" x14ac:dyDescent="0.25">
      <c r="C6248" s="12"/>
      <c r="D6248" s="13"/>
      <c r="E6248" s="13"/>
      <c r="F6248" s="13"/>
      <c r="G6248" s="12"/>
      <c r="H6248" s="11"/>
    </row>
    <row r="6249" spans="3:8" x14ac:dyDescent="0.25">
      <c r="C6249" s="12"/>
      <c r="D6249" s="13"/>
      <c r="E6249" s="13"/>
      <c r="F6249" s="13"/>
      <c r="G6249" s="12"/>
      <c r="H6249" s="11"/>
    </row>
    <row r="6250" spans="3:8" x14ac:dyDescent="0.25">
      <c r="C6250" s="12"/>
      <c r="D6250" s="13"/>
      <c r="E6250" s="13"/>
      <c r="F6250" s="13"/>
      <c r="G6250" s="12"/>
      <c r="H6250" s="11"/>
    </row>
    <row r="6251" spans="3:8" x14ac:dyDescent="0.25">
      <c r="C6251" s="12"/>
      <c r="D6251" s="13"/>
      <c r="E6251" s="13"/>
      <c r="F6251" s="13"/>
      <c r="G6251" s="12"/>
      <c r="H6251" s="11"/>
    </row>
    <row r="6252" spans="3:8" x14ac:dyDescent="0.25">
      <c r="C6252" s="12"/>
      <c r="D6252" s="13"/>
      <c r="E6252" s="13"/>
      <c r="F6252" s="13"/>
      <c r="G6252" s="12"/>
      <c r="H6252" s="11"/>
    </row>
    <row r="6253" spans="3:8" x14ac:dyDescent="0.25">
      <c r="C6253" s="12"/>
      <c r="D6253" s="13"/>
      <c r="E6253" s="13"/>
      <c r="F6253" s="13"/>
      <c r="G6253" s="12"/>
      <c r="H6253" s="11"/>
    </row>
    <row r="6254" spans="3:8" x14ac:dyDescent="0.25">
      <c r="C6254" s="12"/>
      <c r="D6254" s="13"/>
      <c r="E6254" s="13"/>
      <c r="F6254" s="13"/>
      <c r="G6254" s="12"/>
      <c r="H6254" s="11"/>
    </row>
    <row r="6255" spans="3:8" x14ac:dyDescent="0.25">
      <c r="C6255" s="12"/>
      <c r="D6255" s="13"/>
      <c r="E6255" s="13"/>
      <c r="F6255" s="13"/>
      <c r="G6255" s="12"/>
      <c r="H6255" s="11"/>
    </row>
    <row r="6256" spans="3:8" x14ac:dyDescent="0.25">
      <c r="C6256" s="12"/>
      <c r="D6256" s="13"/>
      <c r="E6256" s="13"/>
      <c r="F6256" s="13"/>
      <c r="G6256" s="12"/>
      <c r="H6256" s="11"/>
    </row>
    <row r="6257" spans="3:8" x14ac:dyDescent="0.25">
      <c r="C6257" s="12"/>
      <c r="D6257" s="13"/>
      <c r="E6257" s="13"/>
      <c r="F6257" s="13"/>
      <c r="G6257" s="12"/>
      <c r="H6257" s="11"/>
    </row>
    <row r="6258" spans="3:8" x14ac:dyDescent="0.25">
      <c r="C6258" s="12"/>
      <c r="D6258" s="13"/>
      <c r="E6258" s="13"/>
      <c r="F6258" s="13"/>
      <c r="G6258" s="12"/>
      <c r="H6258" s="11"/>
    </row>
    <row r="6259" spans="3:8" x14ac:dyDescent="0.25">
      <c r="C6259" s="12"/>
      <c r="D6259" s="13"/>
      <c r="E6259" s="13"/>
      <c r="F6259" s="13"/>
      <c r="G6259" s="12"/>
      <c r="H6259" s="11"/>
    </row>
    <row r="6260" spans="3:8" x14ac:dyDescent="0.25">
      <c r="C6260" s="12"/>
      <c r="D6260" s="13"/>
      <c r="E6260" s="13"/>
      <c r="F6260" s="13"/>
      <c r="G6260" s="12"/>
      <c r="H6260" s="11"/>
    </row>
    <row r="6261" spans="3:8" x14ac:dyDescent="0.25">
      <c r="C6261" s="12"/>
      <c r="D6261" s="13"/>
      <c r="E6261" s="13"/>
      <c r="F6261" s="13"/>
      <c r="G6261" s="12"/>
      <c r="H6261" s="11"/>
    </row>
    <row r="6262" spans="3:8" x14ac:dyDescent="0.25">
      <c r="C6262" s="12"/>
      <c r="D6262" s="13"/>
      <c r="E6262" s="13"/>
      <c r="F6262" s="13"/>
      <c r="G6262" s="12"/>
      <c r="H6262" s="11"/>
    </row>
    <row r="6263" spans="3:8" x14ac:dyDescent="0.25">
      <c r="C6263" s="12"/>
      <c r="D6263" s="13"/>
      <c r="E6263" s="13"/>
      <c r="F6263" s="13"/>
      <c r="G6263" s="12"/>
      <c r="H6263" s="11"/>
    </row>
    <row r="6264" spans="3:8" x14ac:dyDescent="0.25">
      <c r="C6264" s="12"/>
      <c r="D6264" s="13"/>
      <c r="E6264" s="13"/>
      <c r="F6264" s="13"/>
      <c r="G6264" s="12"/>
      <c r="H6264" s="11"/>
    </row>
    <row r="6265" spans="3:8" x14ac:dyDescent="0.25">
      <c r="C6265" s="12"/>
      <c r="D6265" s="13"/>
      <c r="E6265" s="13"/>
      <c r="F6265" s="13"/>
      <c r="G6265" s="12"/>
      <c r="H6265" s="11"/>
    </row>
    <row r="6266" spans="3:8" x14ac:dyDescent="0.25">
      <c r="C6266" s="12"/>
      <c r="D6266" s="13"/>
      <c r="E6266" s="13"/>
      <c r="F6266" s="13"/>
      <c r="G6266" s="12"/>
      <c r="H6266" s="11"/>
    </row>
    <row r="6267" spans="3:8" x14ac:dyDescent="0.25">
      <c r="C6267" s="12"/>
      <c r="D6267" s="13"/>
      <c r="E6267" s="13"/>
      <c r="F6267" s="13"/>
      <c r="G6267" s="12"/>
      <c r="H6267" s="11"/>
    </row>
    <row r="6268" spans="3:8" x14ac:dyDescent="0.25">
      <c r="C6268" s="12"/>
      <c r="D6268" s="13"/>
      <c r="E6268" s="13"/>
      <c r="F6268" s="13"/>
      <c r="G6268" s="12"/>
      <c r="H6268" s="11"/>
    </row>
    <row r="6269" spans="3:8" x14ac:dyDescent="0.25">
      <c r="C6269" s="12"/>
      <c r="D6269" s="13"/>
      <c r="E6269" s="13"/>
      <c r="F6269" s="13"/>
      <c r="G6269" s="12"/>
      <c r="H6269" s="11"/>
    </row>
    <row r="6270" spans="3:8" x14ac:dyDescent="0.25">
      <c r="C6270" s="12"/>
      <c r="D6270" s="13"/>
      <c r="E6270" s="13"/>
      <c r="F6270" s="13"/>
      <c r="G6270" s="12"/>
      <c r="H6270" s="11"/>
    </row>
    <row r="6271" spans="3:8" x14ac:dyDescent="0.25">
      <c r="C6271" s="12"/>
      <c r="D6271" s="13"/>
      <c r="E6271" s="13"/>
      <c r="F6271" s="13"/>
      <c r="G6271" s="12"/>
      <c r="H6271" s="11"/>
    </row>
    <row r="6272" spans="3:8" x14ac:dyDescent="0.25">
      <c r="C6272" s="12"/>
      <c r="D6272" s="13"/>
      <c r="E6272" s="13"/>
      <c r="F6272" s="13"/>
      <c r="G6272" s="12"/>
      <c r="H6272" s="11"/>
    </row>
    <row r="6273" spans="3:8" x14ac:dyDescent="0.25">
      <c r="C6273" s="12"/>
      <c r="D6273" s="13"/>
      <c r="E6273" s="13"/>
      <c r="F6273" s="13"/>
      <c r="G6273" s="12"/>
      <c r="H6273" s="11"/>
    </row>
    <row r="6274" spans="3:8" x14ac:dyDescent="0.25">
      <c r="C6274" s="12"/>
      <c r="D6274" s="13"/>
      <c r="E6274" s="13"/>
      <c r="F6274" s="13"/>
      <c r="G6274" s="12"/>
      <c r="H6274" s="11"/>
    </row>
    <row r="6275" spans="3:8" x14ac:dyDescent="0.25">
      <c r="C6275" s="12"/>
      <c r="D6275" s="13"/>
      <c r="E6275" s="13"/>
      <c r="F6275" s="13"/>
      <c r="G6275" s="12"/>
      <c r="H6275" s="11"/>
    </row>
    <row r="6276" spans="3:8" x14ac:dyDescent="0.25">
      <c r="C6276" s="12"/>
      <c r="D6276" s="13"/>
      <c r="E6276" s="13"/>
      <c r="F6276" s="13"/>
      <c r="G6276" s="12"/>
      <c r="H6276" s="11"/>
    </row>
    <row r="6277" spans="3:8" x14ac:dyDescent="0.25">
      <c r="C6277" s="12"/>
      <c r="D6277" s="13"/>
      <c r="E6277" s="13"/>
      <c r="F6277" s="13"/>
      <c r="G6277" s="12"/>
      <c r="H6277" s="11"/>
    </row>
    <row r="6278" spans="3:8" x14ac:dyDescent="0.25">
      <c r="C6278" s="12"/>
      <c r="D6278" s="13"/>
      <c r="E6278" s="13"/>
      <c r="F6278" s="13"/>
      <c r="G6278" s="12"/>
      <c r="H6278" s="11"/>
    </row>
    <row r="6279" spans="3:8" x14ac:dyDescent="0.25">
      <c r="C6279" s="12"/>
      <c r="D6279" s="13"/>
      <c r="E6279" s="13"/>
      <c r="F6279" s="13"/>
      <c r="G6279" s="12"/>
      <c r="H6279" s="11"/>
    </row>
    <row r="6280" spans="3:8" x14ac:dyDescent="0.25">
      <c r="C6280" s="12"/>
      <c r="D6280" s="13"/>
      <c r="E6280" s="13"/>
      <c r="F6280" s="13"/>
      <c r="G6280" s="12"/>
      <c r="H6280" s="11"/>
    </row>
    <row r="6281" spans="3:8" x14ac:dyDescent="0.25">
      <c r="C6281" s="12"/>
      <c r="D6281" s="13"/>
      <c r="E6281" s="13"/>
      <c r="F6281" s="13"/>
      <c r="G6281" s="12"/>
      <c r="H6281" s="11"/>
    </row>
    <row r="6282" spans="3:8" x14ac:dyDescent="0.25">
      <c r="C6282" s="12"/>
      <c r="D6282" s="13"/>
      <c r="E6282" s="13"/>
      <c r="F6282" s="13"/>
      <c r="G6282" s="12"/>
      <c r="H6282" s="11"/>
    </row>
    <row r="6283" spans="3:8" x14ac:dyDescent="0.25">
      <c r="C6283" s="12"/>
      <c r="D6283" s="13"/>
      <c r="E6283" s="13"/>
      <c r="F6283" s="13"/>
      <c r="G6283" s="12"/>
      <c r="H6283" s="11"/>
    </row>
    <row r="6284" spans="3:8" x14ac:dyDescent="0.25">
      <c r="C6284" s="12"/>
      <c r="D6284" s="13"/>
      <c r="E6284" s="13"/>
      <c r="F6284" s="13"/>
      <c r="G6284" s="12"/>
      <c r="H6284" s="11"/>
    </row>
    <row r="6285" spans="3:8" x14ac:dyDescent="0.25">
      <c r="C6285" s="12"/>
      <c r="D6285" s="13"/>
      <c r="E6285" s="13"/>
      <c r="F6285" s="13"/>
      <c r="G6285" s="12"/>
      <c r="H6285" s="11"/>
    </row>
    <row r="6286" spans="3:8" x14ac:dyDescent="0.25">
      <c r="C6286" s="12"/>
      <c r="D6286" s="13"/>
      <c r="E6286" s="13"/>
      <c r="F6286" s="13"/>
      <c r="G6286" s="12"/>
      <c r="H6286" s="11"/>
    </row>
    <row r="6287" spans="3:8" x14ac:dyDescent="0.25">
      <c r="C6287" s="12"/>
      <c r="D6287" s="13"/>
      <c r="E6287" s="13"/>
      <c r="F6287" s="13"/>
      <c r="G6287" s="12"/>
      <c r="H6287" s="11"/>
    </row>
    <row r="6288" spans="3:8" x14ac:dyDescent="0.25">
      <c r="C6288" s="12"/>
      <c r="D6288" s="13"/>
      <c r="E6288" s="13"/>
      <c r="F6288" s="13"/>
      <c r="G6288" s="12"/>
      <c r="H6288" s="11"/>
    </row>
    <row r="6289" spans="3:8" x14ac:dyDescent="0.25">
      <c r="C6289" s="12"/>
      <c r="D6289" s="13"/>
      <c r="E6289" s="13"/>
      <c r="F6289" s="13"/>
      <c r="G6289" s="12"/>
      <c r="H6289" s="11"/>
    </row>
    <row r="6290" spans="3:8" x14ac:dyDescent="0.25">
      <c r="C6290" s="12"/>
      <c r="D6290" s="13"/>
      <c r="E6290" s="13"/>
      <c r="F6290" s="13"/>
      <c r="G6290" s="12"/>
      <c r="H6290" s="11"/>
    </row>
    <row r="6291" spans="3:8" x14ac:dyDescent="0.25">
      <c r="C6291" s="12"/>
      <c r="D6291" s="13"/>
      <c r="E6291" s="13"/>
      <c r="F6291" s="13"/>
      <c r="G6291" s="12"/>
      <c r="H6291" s="11"/>
    </row>
    <row r="6292" spans="3:8" x14ac:dyDescent="0.25">
      <c r="C6292" s="12"/>
      <c r="D6292" s="13"/>
      <c r="E6292" s="13"/>
      <c r="F6292" s="13"/>
      <c r="G6292" s="12"/>
      <c r="H6292" s="11"/>
    </row>
    <row r="6293" spans="3:8" x14ac:dyDescent="0.25">
      <c r="C6293" s="12"/>
      <c r="D6293" s="13"/>
      <c r="E6293" s="13"/>
      <c r="F6293" s="13"/>
      <c r="G6293" s="12"/>
      <c r="H6293" s="11"/>
    </row>
    <row r="6294" spans="3:8" x14ac:dyDescent="0.25">
      <c r="C6294" s="12"/>
      <c r="D6294" s="13"/>
      <c r="E6294" s="13"/>
      <c r="F6294" s="13"/>
      <c r="G6294" s="12"/>
      <c r="H6294" s="11"/>
    </row>
    <row r="6295" spans="3:8" x14ac:dyDescent="0.25">
      <c r="C6295" s="12"/>
      <c r="D6295" s="13"/>
      <c r="E6295" s="13"/>
      <c r="F6295" s="13"/>
      <c r="G6295" s="12"/>
      <c r="H6295" s="11"/>
    </row>
    <row r="6296" spans="3:8" x14ac:dyDescent="0.25">
      <c r="C6296" s="12"/>
      <c r="D6296" s="13"/>
      <c r="E6296" s="13"/>
      <c r="F6296" s="13"/>
      <c r="G6296" s="12"/>
      <c r="H6296" s="11"/>
    </row>
    <row r="6297" spans="3:8" x14ac:dyDescent="0.25">
      <c r="C6297" s="12"/>
      <c r="D6297" s="13"/>
      <c r="E6297" s="13"/>
      <c r="F6297" s="13"/>
      <c r="G6297" s="12"/>
      <c r="H6297" s="11"/>
    </row>
    <row r="6298" spans="3:8" x14ac:dyDescent="0.25">
      <c r="C6298" s="12"/>
      <c r="D6298" s="13"/>
      <c r="E6298" s="13"/>
      <c r="F6298" s="13"/>
      <c r="G6298" s="12"/>
      <c r="H6298" s="11"/>
    </row>
    <row r="6299" spans="3:8" x14ac:dyDescent="0.25">
      <c r="C6299" s="12"/>
      <c r="D6299" s="13"/>
      <c r="E6299" s="13"/>
      <c r="F6299" s="13"/>
      <c r="G6299" s="12"/>
      <c r="H6299" s="11"/>
    </row>
    <row r="6300" spans="3:8" x14ac:dyDescent="0.25">
      <c r="C6300" s="12"/>
      <c r="D6300" s="13"/>
      <c r="E6300" s="13"/>
      <c r="F6300" s="13"/>
      <c r="G6300" s="12"/>
      <c r="H6300" s="11"/>
    </row>
    <row r="6301" spans="3:8" x14ac:dyDescent="0.25">
      <c r="C6301" s="12"/>
      <c r="D6301" s="13"/>
      <c r="E6301" s="13"/>
      <c r="F6301" s="13"/>
      <c r="G6301" s="12"/>
      <c r="H6301" s="11"/>
    </row>
    <row r="6302" spans="3:8" x14ac:dyDescent="0.25">
      <c r="C6302" s="12"/>
      <c r="D6302" s="13"/>
      <c r="E6302" s="13"/>
      <c r="F6302" s="13"/>
      <c r="G6302" s="12"/>
      <c r="H6302" s="11"/>
    </row>
    <row r="6303" spans="3:8" x14ac:dyDescent="0.25">
      <c r="C6303" s="12"/>
      <c r="D6303" s="13"/>
      <c r="E6303" s="13"/>
      <c r="F6303" s="13"/>
      <c r="G6303" s="12"/>
      <c r="H6303" s="11"/>
    </row>
    <row r="6304" spans="3:8" x14ac:dyDescent="0.25">
      <c r="C6304" s="12"/>
      <c r="D6304" s="13"/>
      <c r="E6304" s="13"/>
      <c r="F6304" s="13"/>
      <c r="G6304" s="12"/>
      <c r="H6304" s="11"/>
    </row>
    <row r="6305" spans="3:8" x14ac:dyDescent="0.25">
      <c r="C6305" s="12"/>
      <c r="D6305" s="13"/>
      <c r="E6305" s="13"/>
      <c r="F6305" s="13"/>
      <c r="G6305" s="12"/>
      <c r="H6305" s="11"/>
    </row>
    <row r="6306" spans="3:8" x14ac:dyDescent="0.25">
      <c r="C6306" s="12"/>
      <c r="D6306" s="13"/>
      <c r="E6306" s="13"/>
      <c r="F6306" s="13"/>
      <c r="G6306" s="12"/>
      <c r="H6306" s="11"/>
    </row>
    <row r="6307" spans="3:8" x14ac:dyDescent="0.25">
      <c r="C6307" s="12"/>
      <c r="D6307" s="13"/>
      <c r="E6307" s="13"/>
      <c r="F6307" s="13"/>
      <c r="G6307" s="12"/>
      <c r="H6307" s="11"/>
    </row>
    <row r="6308" spans="3:8" x14ac:dyDescent="0.25">
      <c r="C6308" s="12"/>
      <c r="D6308" s="13"/>
      <c r="E6308" s="13"/>
      <c r="F6308" s="13"/>
      <c r="G6308" s="12"/>
      <c r="H6308" s="11"/>
    </row>
    <row r="6309" spans="3:8" x14ac:dyDescent="0.25">
      <c r="C6309" s="12"/>
      <c r="D6309" s="13"/>
      <c r="E6309" s="13"/>
      <c r="F6309" s="13"/>
      <c r="G6309" s="12"/>
      <c r="H6309" s="11"/>
    </row>
    <row r="6310" spans="3:8" x14ac:dyDescent="0.25">
      <c r="C6310" s="12"/>
      <c r="D6310" s="13"/>
      <c r="E6310" s="13"/>
      <c r="F6310" s="13"/>
      <c r="G6310" s="12"/>
      <c r="H6310" s="11"/>
    </row>
    <row r="6311" spans="3:8" x14ac:dyDescent="0.25">
      <c r="C6311" s="12"/>
      <c r="D6311" s="13"/>
      <c r="E6311" s="13"/>
      <c r="F6311" s="13"/>
      <c r="G6311" s="12"/>
      <c r="H6311" s="11"/>
    </row>
    <row r="6312" spans="3:8" x14ac:dyDescent="0.25">
      <c r="C6312" s="12"/>
      <c r="D6312" s="13"/>
      <c r="E6312" s="13"/>
      <c r="F6312" s="13"/>
      <c r="G6312" s="12"/>
      <c r="H6312" s="11"/>
    </row>
    <row r="6313" spans="3:8" x14ac:dyDescent="0.25">
      <c r="C6313" s="12"/>
      <c r="D6313" s="13"/>
      <c r="E6313" s="13"/>
      <c r="F6313" s="13"/>
      <c r="G6313" s="12"/>
      <c r="H6313" s="11"/>
    </row>
    <row r="6314" spans="3:8" x14ac:dyDescent="0.25">
      <c r="C6314" s="12"/>
      <c r="D6314" s="13"/>
      <c r="E6314" s="13"/>
      <c r="F6314" s="13"/>
      <c r="G6314" s="12"/>
      <c r="H6314" s="11"/>
    </row>
    <row r="6315" spans="3:8" x14ac:dyDescent="0.25">
      <c r="C6315" s="12"/>
      <c r="D6315" s="13"/>
      <c r="E6315" s="13"/>
      <c r="F6315" s="13"/>
      <c r="G6315" s="12"/>
      <c r="H6315" s="11"/>
    </row>
    <row r="6316" spans="3:8" x14ac:dyDescent="0.25">
      <c r="C6316" s="12"/>
      <c r="D6316" s="13"/>
      <c r="E6316" s="13"/>
      <c r="F6316" s="13"/>
      <c r="G6316" s="12"/>
      <c r="H6316" s="11"/>
    </row>
    <row r="6317" spans="3:8" x14ac:dyDescent="0.25">
      <c r="C6317" s="12"/>
      <c r="D6317" s="13"/>
      <c r="E6317" s="13"/>
      <c r="F6317" s="13"/>
      <c r="G6317" s="12"/>
      <c r="H6317" s="11"/>
    </row>
    <row r="6318" spans="3:8" x14ac:dyDescent="0.25">
      <c r="C6318" s="12"/>
      <c r="D6318" s="13"/>
      <c r="E6318" s="13"/>
      <c r="F6318" s="13"/>
      <c r="G6318" s="12"/>
      <c r="H6318" s="11"/>
    </row>
    <row r="6319" spans="3:8" x14ac:dyDescent="0.25">
      <c r="C6319" s="12"/>
      <c r="D6319" s="13"/>
      <c r="E6319" s="13"/>
      <c r="F6319" s="13"/>
      <c r="G6319" s="12"/>
      <c r="H6319" s="11"/>
    </row>
    <row r="6320" spans="3:8" x14ac:dyDescent="0.25">
      <c r="C6320" s="12"/>
      <c r="D6320" s="13"/>
      <c r="E6320" s="13"/>
      <c r="F6320" s="13"/>
      <c r="G6320" s="12"/>
      <c r="H6320" s="11"/>
    </row>
    <row r="6321" spans="3:8" x14ac:dyDescent="0.25">
      <c r="C6321" s="12"/>
      <c r="D6321" s="13"/>
      <c r="E6321" s="13"/>
      <c r="F6321" s="13"/>
      <c r="G6321" s="12"/>
      <c r="H6321" s="11"/>
    </row>
    <row r="6322" spans="3:8" x14ac:dyDescent="0.25">
      <c r="C6322" s="12"/>
      <c r="D6322" s="13"/>
      <c r="E6322" s="13"/>
      <c r="F6322" s="13"/>
      <c r="G6322" s="12"/>
      <c r="H6322" s="11"/>
    </row>
    <row r="6323" spans="3:8" x14ac:dyDescent="0.25">
      <c r="C6323" s="12"/>
      <c r="D6323" s="13"/>
      <c r="E6323" s="13"/>
      <c r="F6323" s="13"/>
      <c r="G6323" s="12"/>
      <c r="H6323" s="11"/>
    </row>
    <row r="6324" spans="3:8" x14ac:dyDescent="0.25">
      <c r="C6324" s="12"/>
      <c r="D6324" s="13"/>
      <c r="E6324" s="13"/>
      <c r="F6324" s="13"/>
      <c r="G6324" s="12"/>
      <c r="H6324" s="11"/>
    </row>
    <row r="6325" spans="3:8" x14ac:dyDescent="0.25">
      <c r="C6325" s="12"/>
      <c r="D6325" s="13"/>
      <c r="E6325" s="13"/>
      <c r="F6325" s="13"/>
      <c r="G6325" s="12"/>
      <c r="H6325" s="11"/>
    </row>
    <row r="6326" spans="3:8" x14ac:dyDescent="0.25">
      <c r="C6326" s="12"/>
      <c r="D6326" s="13"/>
      <c r="E6326" s="13"/>
      <c r="F6326" s="13"/>
      <c r="G6326" s="12"/>
      <c r="H6326" s="11"/>
    </row>
    <row r="6327" spans="3:8" x14ac:dyDescent="0.25">
      <c r="C6327" s="12"/>
      <c r="D6327" s="13"/>
      <c r="E6327" s="13"/>
      <c r="F6327" s="13"/>
      <c r="G6327" s="12"/>
      <c r="H6327" s="11"/>
    </row>
    <row r="6328" spans="3:8" x14ac:dyDescent="0.25">
      <c r="C6328" s="12"/>
      <c r="D6328" s="13"/>
      <c r="E6328" s="13"/>
      <c r="F6328" s="13"/>
      <c r="G6328" s="12"/>
      <c r="H6328" s="11"/>
    </row>
    <row r="6329" spans="3:8" x14ac:dyDescent="0.25">
      <c r="C6329" s="12"/>
      <c r="D6329" s="13"/>
      <c r="E6329" s="13"/>
      <c r="F6329" s="13"/>
      <c r="G6329" s="12"/>
      <c r="H6329" s="11"/>
    </row>
    <row r="6330" spans="3:8" x14ac:dyDescent="0.25">
      <c r="C6330" s="12"/>
      <c r="D6330" s="13"/>
      <c r="E6330" s="13"/>
      <c r="F6330" s="13"/>
      <c r="G6330" s="12"/>
      <c r="H6330" s="11"/>
    </row>
    <row r="6331" spans="3:8" x14ac:dyDescent="0.25">
      <c r="C6331" s="12"/>
      <c r="D6331" s="13"/>
      <c r="E6331" s="13"/>
      <c r="F6331" s="13"/>
      <c r="G6331" s="12"/>
      <c r="H6331" s="11"/>
    </row>
    <row r="6332" spans="3:8" x14ac:dyDescent="0.25">
      <c r="C6332" s="12"/>
      <c r="D6332" s="13"/>
      <c r="E6332" s="13"/>
      <c r="F6332" s="13"/>
      <c r="G6332" s="12"/>
      <c r="H6332" s="11"/>
    </row>
    <row r="6333" spans="3:8" x14ac:dyDescent="0.25">
      <c r="C6333" s="12"/>
      <c r="D6333" s="13"/>
      <c r="E6333" s="13"/>
      <c r="F6333" s="13"/>
      <c r="G6333" s="12"/>
      <c r="H6333" s="11"/>
    </row>
    <row r="6334" spans="3:8" x14ac:dyDescent="0.25">
      <c r="C6334" s="12"/>
      <c r="D6334" s="13"/>
      <c r="E6334" s="13"/>
      <c r="F6334" s="13"/>
      <c r="G6334" s="12"/>
      <c r="H6334" s="11"/>
    </row>
    <row r="6335" spans="3:8" x14ac:dyDescent="0.25">
      <c r="C6335" s="12"/>
      <c r="D6335" s="13"/>
      <c r="E6335" s="13"/>
      <c r="F6335" s="13"/>
      <c r="G6335" s="12"/>
      <c r="H6335" s="11"/>
    </row>
    <row r="6336" spans="3:8" x14ac:dyDescent="0.25">
      <c r="C6336" s="12"/>
      <c r="D6336" s="13"/>
      <c r="E6336" s="13"/>
      <c r="F6336" s="13"/>
      <c r="G6336" s="12"/>
      <c r="H6336" s="11"/>
    </row>
    <row r="6337" spans="3:8" x14ac:dyDescent="0.25">
      <c r="C6337" s="12"/>
      <c r="D6337" s="13"/>
      <c r="E6337" s="13"/>
      <c r="F6337" s="13"/>
      <c r="G6337" s="12"/>
      <c r="H6337" s="11"/>
    </row>
    <row r="6338" spans="3:8" x14ac:dyDescent="0.25">
      <c r="C6338" s="12"/>
      <c r="D6338" s="13"/>
      <c r="E6338" s="13"/>
      <c r="F6338" s="13"/>
      <c r="G6338" s="12"/>
      <c r="H6338" s="11"/>
    </row>
    <row r="6339" spans="3:8" x14ac:dyDescent="0.25">
      <c r="C6339" s="12"/>
      <c r="D6339" s="13"/>
      <c r="E6339" s="13"/>
      <c r="F6339" s="13"/>
      <c r="G6339" s="12"/>
      <c r="H6339" s="11"/>
    </row>
    <row r="6340" spans="3:8" x14ac:dyDescent="0.25">
      <c r="C6340" s="12"/>
      <c r="D6340" s="13"/>
      <c r="E6340" s="13"/>
      <c r="F6340" s="13"/>
      <c r="G6340" s="12"/>
      <c r="H6340" s="11"/>
    </row>
    <row r="6341" spans="3:8" x14ac:dyDescent="0.25">
      <c r="C6341" s="12"/>
      <c r="D6341" s="13"/>
      <c r="E6341" s="13"/>
      <c r="F6341" s="13"/>
      <c r="G6341" s="12"/>
      <c r="H6341" s="11"/>
    </row>
    <row r="6342" spans="3:8" x14ac:dyDescent="0.25">
      <c r="C6342" s="12"/>
      <c r="D6342" s="13"/>
      <c r="E6342" s="13"/>
      <c r="F6342" s="13"/>
      <c r="G6342" s="12"/>
      <c r="H6342" s="11"/>
    </row>
    <row r="6343" spans="3:8" x14ac:dyDescent="0.25">
      <c r="C6343" s="12"/>
      <c r="D6343" s="13"/>
      <c r="E6343" s="13"/>
      <c r="F6343" s="13"/>
      <c r="G6343" s="12"/>
      <c r="H6343" s="11"/>
    </row>
    <row r="6344" spans="3:8" x14ac:dyDescent="0.25">
      <c r="C6344" s="12"/>
      <c r="D6344" s="13"/>
      <c r="E6344" s="13"/>
      <c r="F6344" s="13"/>
      <c r="G6344" s="12"/>
      <c r="H6344" s="11"/>
    </row>
    <row r="6345" spans="3:8" x14ac:dyDescent="0.25">
      <c r="C6345" s="12"/>
      <c r="D6345" s="13"/>
      <c r="E6345" s="13"/>
      <c r="F6345" s="13"/>
      <c r="G6345" s="12"/>
      <c r="H6345" s="11"/>
    </row>
    <row r="6346" spans="3:8" x14ac:dyDescent="0.25">
      <c r="C6346" s="12"/>
      <c r="D6346" s="13"/>
      <c r="E6346" s="13"/>
      <c r="F6346" s="13"/>
      <c r="G6346" s="12"/>
      <c r="H6346" s="11"/>
    </row>
    <row r="6347" spans="3:8" x14ac:dyDescent="0.25">
      <c r="C6347" s="12"/>
      <c r="D6347" s="13"/>
      <c r="E6347" s="13"/>
      <c r="F6347" s="13"/>
      <c r="G6347" s="12"/>
      <c r="H6347" s="11"/>
    </row>
    <row r="6348" spans="3:8" x14ac:dyDescent="0.25">
      <c r="C6348" s="12"/>
      <c r="D6348" s="13"/>
      <c r="E6348" s="13"/>
      <c r="F6348" s="13"/>
      <c r="G6348" s="12"/>
      <c r="H6348" s="11"/>
    </row>
    <row r="6349" spans="3:8" x14ac:dyDescent="0.25">
      <c r="C6349" s="12"/>
      <c r="D6349" s="13"/>
      <c r="E6349" s="13"/>
      <c r="F6349" s="13"/>
      <c r="G6349" s="12"/>
      <c r="H6349" s="11"/>
    </row>
    <row r="6350" spans="3:8" x14ac:dyDescent="0.25">
      <c r="C6350" s="12"/>
      <c r="D6350" s="13"/>
      <c r="E6350" s="13"/>
      <c r="F6350" s="13"/>
      <c r="G6350" s="12"/>
      <c r="H6350" s="11"/>
    </row>
    <row r="6351" spans="3:8" x14ac:dyDescent="0.25">
      <c r="C6351" s="12"/>
      <c r="D6351" s="13"/>
      <c r="E6351" s="13"/>
      <c r="F6351" s="13"/>
      <c r="G6351" s="12"/>
      <c r="H6351" s="11"/>
    </row>
    <row r="6352" spans="3:8" x14ac:dyDescent="0.25">
      <c r="C6352" s="12"/>
      <c r="D6352" s="13"/>
      <c r="E6352" s="13"/>
      <c r="F6352" s="13"/>
      <c r="G6352" s="12"/>
      <c r="H6352" s="11"/>
    </row>
    <row r="6353" spans="3:8" x14ac:dyDescent="0.25">
      <c r="C6353" s="12"/>
      <c r="D6353" s="13"/>
      <c r="E6353" s="13"/>
      <c r="F6353" s="13"/>
      <c r="G6353" s="12"/>
      <c r="H6353" s="11"/>
    </row>
    <row r="6354" spans="3:8" x14ac:dyDescent="0.25">
      <c r="C6354" s="12"/>
      <c r="D6354" s="13"/>
      <c r="E6354" s="13"/>
      <c r="F6354" s="13"/>
      <c r="G6354" s="12"/>
      <c r="H6354" s="11"/>
    </row>
    <row r="6355" spans="3:8" x14ac:dyDescent="0.25">
      <c r="C6355" s="12"/>
      <c r="D6355" s="13"/>
      <c r="E6355" s="13"/>
      <c r="F6355" s="13"/>
      <c r="G6355" s="12"/>
      <c r="H6355" s="11"/>
    </row>
    <row r="6356" spans="3:8" x14ac:dyDescent="0.25">
      <c r="C6356" s="12"/>
      <c r="D6356" s="13"/>
      <c r="E6356" s="13"/>
      <c r="F6356" s="13"/>
      <c r="G6356" s="12"/>
      <c r="H6356" s="11"/>
    </row>
    <row r="6357" spans="3:8" x14ac:dyDescent="0.25">
      <c r="C6357" s="12"/>
      <c r="D6357" s="13"/>
      <c r="E6357" s="13"/>
      <c r="F6357" s="13"/>
      <c r="G6357" s="12"/>
      <c r="H6357" s="11"/>
    </row>
    <row r="6358" spans="3:8" x14ac:dyDescent="0.25">
      <c r="C6358" s="12"/>
      <c r="D6358" s="13"/>
      <c r="E6358" s="13"/>
      <c r="F6358" s="13"/>
      <c r="G6358" s="12"/>
      <c r="H6358" s="11"/>
    </row>
    <row r="6359" spans="3:8" x14ac:dyDescent="0.25">
      <c r="C6359" s="12"/>
      <c r="D6359" s="13"/>
      <c r="E6359" s="13"/>
      <c r="F6359" s="13"/>
      <c r="G6359" s="12"/>
      <c r="H6359" s="11"/>
    </row>
    <row r="6360" spans="3:8" x14ac:dyDescent="0.25">
      <c r="C6360" s="12"/>
      <c r="D6360" s="13"/>
      <c r="E6360" s="13"/>
      <c r="F6360" s="13"/>
      <c r="G6360" s="12"/>
      <c r="H6360" s="11"/>
    </row>
    <row r="6361" spans="3:8" x14ac:dyDescent="0.25">
      <c r="C6361" s="12"/>
      <c r="D6361" s="13"/>
      <c r="E6361" s="13"/>
      <c r="F6361" s="13"/>
      <c r="G6361" s="12"/>
      <c r="H6361" s="11"/>
    </row>
    <row r="6362" spans="3:8" x14ac:dyDescent="0.25">
      <c r="C6362" s="12"/>
      <c r="D6362" s="13"/>
      <c r="E6362" s="13"/>
      <c r="F6362" s="13"/>
      <c r="G6362" s="12"/>
      <c r="H6362" s="11"/>
    </row>
    <row r="6363" spans="3:8" x14ac:dyDescent="0.25">
      <c r="C6363" s="12"/>
      <c r="D6363" s="13"/>
      <c r="E6363" s="13"/>
      <c r="F6363" s="13"/>
      <c r="G6363" s="12"/>
      <c r="H6363" s="11"/>
    </row>
    <row r="6364" spans="3:8" x14ac:dyDescent="0.25">
      <c r="C6364" s="12"/>
      <c r="D6364" s="13"/>
      <c r="E6364" s="13"/>
      <c r="F6364" s="13"/>
      <c r="G6364" s="12"/>
      <c r="H6364" s="11"/>
    </row>
    <row r="6365" spans="3:8" x14ac:dyDescent="0.25">
      <c r="C6365" s="12"/>
      <c r="D6365" s="13"/>
      <c r="E6365" s="13"/>
      <c r="F6365" s="13"/>
      <c r="G6365" s="12"/>
      <c r="H6365" s="11"/>
    </row>
    <row r="6366" spans="3:8" x14ac:dyDescent="0.25">
      <c r="C6366" s="12"/>
      <c r="D6366" s="13"/>
      <c r="E6366" s="13"/>
      <c r="F6366" s="13"/>
      <c r="G6366" s="12"/>
      <c r="H6366" s="11"/>
    </row>
    <row r="6367" spans="3:8" x14ac:dyDescent="0.25">
      <c r="C6367" s="12"/>
      <c r="D6367" s="13"/>
      <c r="E6367" s="13"/>
      <c r="F6367" s="13"/>
      <c r="G6367" s="12"/>
      <c r="H6367" s="11"/>
    </row>
    <row r="6368" spans="3:8" x14ac:dyDescent="0.25">
      <c r="C6368" s="12"/>
      <c r="D6368" s="13"/>
      <c r="E6368" s="13"/>
      <c r="F6368" s="13"/>
      <c r="G6368" s="12"/>
      <c r="H6368" s="11"/>
    </row>
    <row r="6369" spans="3:8" x14ac:dyDescent="0.25">
      <c r="C6369" s="12"/>
      <c r="D6369" s="13"/>
      <c r="E6369" s="13"/>
      <c r="F6369" s="13"/>
      <c r="G6369" s="12"/>
      <c r="H6369" s="11"/>
    </row>
    <row r="6370" spans="3:8" x14ac:dyDescent="0.25">
      <c r="C6370" s="12"/>
      <c r="D6370" s="13"/>
      <c r="E6370" s="13"/>
      <c r="F6370" s="13"/>
      <c r="G6370" s="12"/>
      <c r="H6370" s="11"/>
    </row>
    <row r="6371" spans="3:8" x14ac:dyDescent="0.25">
      <c r="C6371" s="12"/>
      <c r="D6371" s="13"/>
      <c r="E6371" s="13"/>
      <c r="F6371" s="13"/>
      <c r="G6371" s="12"/>
      <c r="H6371" s="11"/>
    </row>
    <row r="6372" spans="3:8" x14ac:dyDescent="0.25">
      <c r="C6372" s="12"/>
      <c r="D6372" s="13"/>
      <c r="E6372" s="13"/>
      <c r="F6372" s="13"/>
      <c r="G6372" s="12"/>
      <c r="H6372" s="11"/>
    </row>
    <row r="6373" spans="3:8" x14ac:dyDescent="0.25">
      <c r="C6373" s="12"/>
      <c r="D6373" s="13"/>
      <c r="E6373" s="13"/>
      <c r="F6373" s="13"/>
      <c r="G6373" s="12"/>
      <c r="H6373" s="11"/>
    </row>
    <row r="6374" spans="3:8" x14ac:dyDescent="0.25">
      <c r="C6374" s="12"/>
      <c r="D6374" s="13"/>
      <c r="E6374" s="13"/>
      <c r="F6374" s="13"/>
      <c r="G6374" s="12"/>
      <c r="H6374" s="11"/>
    </row>
    <row r="6375" spans="3:8" x14ac:dyDescent="0.25">
      <c r="C6375" s="12"/>
      <c r="D6375" s="13"/>
      <c r="E6375" s="13"/>
      <c r="F6375" s="13"/>
      <c r="G6375" s="12"/>
      <c r="H6375" s="11"/>
    </row>
    <row r="6376" spans="3:8" x14ac:dyDescent="0.25">
      <c r="C6376" s="12"/>
      <c r="D6376" s="13"/>
      <c r="E6376" s="13"/>
      <c r="F6376" s="13"/>
      <c r="G6376" s="12"/>
      <c r="H6376" s="11"/>
    </row>
    <row r="6377" spans="3:8" x14ac:dyDescent="0.25">
      <c r="C6377" s="12"/>
      <c r="D6377" s="13"/>
      <c r="E6377" s="13"/>
      <c r="F6377" s="13"/>
      <c r="G6377" s="12"/>
      <c r="H6377" s="11"/>
    </row>
    <row r="6378" spans="3:8" x14ac:dyDescent="0.25">
      <c r="C6378" s="12"/>
      <c r="D6378" s="13"/>
      <c r="E6378" s="13"/>
      <c r="F6378" s="13"/>
      <c r="G6378" s="12"/>
      <c r="H6378" s="11"/>
    </row>
    <row r="6379" spans="3:8" x14ac:dyDescent="0.25">
      <c r="C6379" s="12"/>
      <c r="D6379" s="13"/>
      <c r="E6379" s="13"/>
      <c r="F6379" s="13"/>
      <c r="G6379" s="12"/>
      <c r="H6379" s="11"/>
    </row>
    <row r="6380" spans="3:8" x14ac:dyDescent="0.25">
      <c r="C6380" s="12"/>
      <c r="D6380" s="13"/>
      <c r="E6380" s="13"/>
      <c r="F6380" s="13"/>
      <c r="G6380" s="12"/>
      <c r="H6380" s="11"/>
    </row>
    <row r="6381" spans="3:8" x14ac:dyDescent="0.25">
      <c r="C6381" s="12"/>
      <c r="D6381" s="13"/>
      <c r="E6381" s="13"/>
      <c r="F6381" s="13"/>
      <c r="G6381" s="12"/>
      <c r="H6381" s="11"/>
    </row>
    <row r="6382" spans="3:8" x14ac:dyDescent="0.25">
      <c r="C6382" s="12"/>
      <c r="D6382" s="13"/>
      <c r="E6382" s="13"/>
      <c r="F6382" s="13"/>
      <c r="G6382" s="12"/>
      <c r="H6382" s="11"/>
    </row>
    <row r="6383" spans="3:8" x14ac:dyDescent="0.25">
      <c r="C6383" s="12"/>
      <c r="D6383" s="13"/>
      <c r="E6383" s="13"/>
      <c r="F6383" s="13"/>
      <c r="G6383" s="12"/>
      <c r="H6383" s="11"/>
    </row>
    <row r="6384" spans="3:8" x14ac:dyDescent="0.25">
      <c r="C6384" s="12"/>
      <c r="D6384" s="13"/>
      <c r="E6384" s="13"/>
      <c r="F6384" s="13"/>
      <c r="G6384" s="12"/>
      <c r="H6384" s="11"/>
    </row>
    <row r="6385" spans="3:8" x14ac:dyDescent="0.25">
      <c r="C6385" s="12"/>
      <c r="D6385" s="13"/>
      <c r="E6385" s="13"/>
      <c r="F6385" s="13"/>
      <c r="G6385" s="12"/>
      <c r="H6385" s="11"/>
    </row>
    <row r="6386" spans="3:8" x14ac:dyDescent="0.25">
      <c r="C6386" s="12"/>
      <c r="D6386" s="13"/>
      <c r="E6386" s="13"/>
      <c r="F6386" s="13"/>
      <c r="G6386" s="12"/>
      <c r="H6386" s="11"/>
    </row>
    <row r="6387" spans="3:8" x14ac:dyDescent="0.25">
      <c r="C6387" s="12"/>
      <c r="D6387" s="13"/>
      <c r="E6387" s="13"/>
      <c r="F6387" s="13"/>
      <c r="G6387" s="12"/>
      <c r="H6387" s="11"/>
    </row>
    <row r="6388" spans="3:8" x14ac:dyDescent="0.25">
      <c r="C6388" s="12"/>
      <c r="D6388" s="13"/>
      <c r="E6388" s="13"/>
      <c r="F6388" s="13"/>
      <c r="G6388" s="12"/>
      <c r="H6388" s="11"/>
    </row>
    <row r="6389" spans="3:8" x14ac:dyDescent="0.25">
      <c r="C6389" s="12"/>
      <c r="D6389" s="13"/>
      <c r="E6389" s="13"/>
      <c r="F6389" s="13"/>
      <c r="G6389" s="12"/>
      <c r="H6389" s="11"/>
    </row>
    <row r="6390" spans="3:8" x14ac:dyDescent="0.25">
      <c r="C6390" s="12"/>
      <c r="D6390" s="13"/>
      <c r="E6390" s="13"/>
      <c r="F6390" s="13"/>
      <c r="G6390" s="12"/>
      <c r="H6390" s="11"/>
    </row>
    <row r="6391" spans="3:8" x14ac:dyDescent="0.25">
      <c r="C6391" s="12"/>
      <c r="D6391" s="13"/>
      <c r="E6391" s="13"/>
      <c r="F6391" s="13"/>
      <c r="G6391" s="12"/>
      <c r="H6391" s="11"/>
    </row>
    <row r="6392" spans="3:8" x14ac:dyDescent="0.25">
      <c r="C6392" s="12"/>
      <c r="D6392" s="13"/>
      <c r="E6392" s="13"/>
      <c r="F6392" s="13"/>
      <c r="G6392" s="12"/>
      <c r="H6392" s="11"/>
    </row>
    <row r="6393" spans="3:8" x14ac:dyDescent="0.25">
      <c r="C6393" s="12"/>
      <c r="D6393" s="13"/>
      <c r="E6393" s="13"/>
      <c r="F6393" s="13"/>
      <c r="G6393" s="12"/>
      <c r="H6393" s="11"/>
    </row>
    <row r="6394" spans="3:8" x14ac:dyDescent="0.25">
      <c r="C6394" s="12"/>
      <c r="D6394" s="13"/>
      <c r="E6394" s="13"/>
      <c r="F6394" s="13"/>
      <c r="G6394" s="12"/>
      <c r="H6394" s="11"/>
    </row>
    <row r="6395" spans="3:8" x14ac:dyDescent="0.25">
      <c r="C6395" s="12"/>
      <c r="D6395" s="13"/>
      <c r="E6395" s="13"/>
      <c r="F6395" s="13"/>
      <c r="G6395" s="12"/>
      <c r="H6395" s="11"/>
    </row>
    <row r="6396" spans="3:8" x14ac:dyDescent="0.25">
      <c r="C6396" s="12"/>
      <c r="D6396" s="13"/>
      <c r="E6396" s="13"/>
      <c r="F6396" s="13"/>
      <c r="G6396" s="12"/>
      <c r="H6396" s="11"/>
    </row>
    <row r="6397" spans="3:8" x14ac:dyDescent="0.25">
      <c r="C6397" s="12"/>
      <c r="D6397" s="13"/>
      <c r="E6397" s="13"/>
      <c r="F6397" s="13"/>
      <c r="G6397" s="12"/>
      <c r="H6397" s="11"/>
    </row>
    <row r="6398" spans="3:8" x14ac:dyDescent="0.25">
      <c r="C6398" s="12"/>
      <c r="D6398" s="13"/>
      <c r="E6398" s="13"/>
      <c r="F6398" s="13"/>
      <c r="G6398" s="12"/>
      <c r="H6398" s="11"/>
    </row>
    <row r="6399" spans="3:8" x14ac:dyDescent="0.25">
      <c r="C6399" s="12"/>
      <c r="D6399" s="13"/>
      <c r="E6399" s="13"/>
      <c r="F6399" s="13"/>
      <c r="G6399" s="12"/>
      <c r="H6399" s="11"/>
    </row>
    <row r="6400" spans="3:8" x14ac:dyDescent="0.25">
      <c r="C6400" s="12"/>
      <c r="D6400" s="13"/>
      <c r="E6400" s="13"/>
      <c r="F6400" s="13"/>
      <c r="G6400" s="12"/>
      <c r="H6400" s="11"/>
    </row>
    <row r="6401" spans="3:8" x14ac:dyDescent="0.25">
      <c r="C6401" s="12"/>
      <c r="D6401" s="13"/>
      <c r="E6401" s="13"/>
      <c r="F6401" s="13"/>
      <c r="G6401" s="12"/>
      <c r="H6401" s="11"/>
    </row>
    <row r="6402" spans="3:8" x14ac:dyDescent="0.25">
      <c r="C6402" s="12"/>
      <c r="D6402" s="13"/>
      <c r="E6402" s="13"/>
      <c r="F6402" s="13"/>
      <c r="G6402" s="12"/>
      <c r="H6402" s="11"/>
    </row>
    <row r="6403" spans="3:8" x14ac:dyDescent="0.25">
      <c r="C6403" s="12"/>
      <c r="D6403" s="13"/>
      <c r="E6403" s="13"/>
      <c r="F6403" s="13"/>
      <c r="G6403" s="12"/>
      <c r="H6403" s="11"/>
    </row>
    <row r="6404" spans="3:8" x14ac:dyDescent="0.25">
      <c r="C6404" s="12"/>
      <c r="D6404" s="13"/>
      <c r="E6404" s="13"/>
      <c r="F6404" s="13"/>
      <c r="G6404" s="12"/>
      <c r="H6404" s="11"/>
    </row>
    <row r="6405" spans="3:8" x14ac:dyDescent="0.25">
      <c r="C6405" s="12"/>
      <c r="D6405" s="13"/>
      <c r="E6405" s="13"/>
      <c r="F6405" s="13"/>
      <c r="G6405" s="12"/>
      <c r="H6405" s="11"/>
    </row>
    <row r="6406" spans="3:8" x14ac:dyDescent="0.25">
      <c r="C6406" s="12"/>
      <c r="D6406" s="13"/>
      <c r="E6406" s="13"/>
      <c r="F6406" s="13"/>
      <c r="G6406" s="12"/>
      <c r="H6406" s="11"/>
    </row>
    <row r="6407" spans="3:8" x14ac:dyDescent="0.25">
      <c r="C6407" s="12"/>
      <c r="D6407" s="13"/>
      <c r="E6407" s="13"/>
      <c r="F6407" s="13"/>
      <c r="G6407" s="12"/>
      <c r="H6407" s="11"/>
    </row>
    <row r="6408" spans="3:8" x14ac:dyDescent="0.25">
      <c r="C6408" s="12"/>
      <c r="D6408" s="13"/>
      <c r="E6408" s="13"/>
      <c r="F6408" s="13"/>
      <c r="G6408" s="12"/>
      <c r="H6408" s="11"/>
    </row>
    <row r="6409" spans="3:8" x14ac:dyDescent="0.25">
      <c r="C6409" s="12"/>
      <c r="D6409" s="13"/>
      <c r="E6409" s="13"/>
      <c r="F6409" s="13"/>
      <c r="G6409" s="12"/>
      <c r="H6409" s="11"/>
    </row>
    <row r="6410" spans="3:8" x14ac:dyDescent="0.25">
      <c r="C6410" s="12"/>
      <c r="D6410" s="13"/>
      <c r="E6410" s="13"/>
      <c r="F6410" s="13"/>
      <c r="G6410" s="12"/>
      <c r="H6410" s="11"/>
    </row>
    <row r="6411" spans="3:8" x14ac:dyDescent="0.25">
      <c r="C6411" s="12"/>
      <c r="D6411" s="13"/>
      <c r="E6411" s="13"/>
      <c r="F6411" s="13"/>
      <c r="G6411" s="12"/>
      <c r="H6411" s="11"/>
    </row>
    <row r="6412" spans="3:8" x14ac:dyDescent="0.25">
      <c r="C6412" s="12"/>
      <c r="D6412" s="13"/>
      <c r="E6412" s="13"/>
      <c r="F6412" s="13"/>
      <c r="G6412" s="12"/>
      <c r="H6412" s="11"/>
    </row>
    <row r="6413" spans="3:8" x14ac:dyDescent="0.25">
      <c r="C6413" s="12"/>
      <c r="D6413" s="13"/>
      <c r="E6413" s="13"/>
      <c r="F6413" s="13"/>
      <c r="G6413" s="12"/>
      <c r="H6413" s="11"/>
    </row>
    <row r="6414" spans="3:8" x14ac:dyDescent="0.25">
      <c r="C6414" s="12"/>
      <c r="D6414" s="13"/>
      <c r="E6414" s="13"/>
      <c r="F6414" s="13"/>
      <c r="G6414" s="12"/>
      <c r="H6414" s="11"/>
    </row>
    <row r="6415" spans="3:8" x14ac:dyDescent="0.25">
      <c r="C6415" s="12"/>
      <c r="D6415" s="13"/>
      <c r="E6415" s="13"/>
      <c r="F6415" s="13"/>
      <c r="G6415" s="12"/>
      <c r="H6415" s="11"/>
    </row>
    <row r="6416" spans="3:8" x14ac:dyDescent="0.25">
      <c r="C6416" s="12"/>
      <c r="D6416" s="13"/>
      <c r="E6416" s="13"/>
      <c r="F6416" s="13"/>
      <c r="G6416" s="12"/>
      <c r="H6416" s="11"/>
    </row>
    <row r="6417" spans="3:8" x14ac:dyDescent="0.25">
      <c r="C6417" s="12"/>
      <c r="D6417" s="13"/>
      <c r="E6417" s="13"/>
      <c r="F6417" s="13"/>
      <c r="G6417" s="12"/>
      <c r="H6417" s="11"/>
    </row>
    <row r="6418" spans="3:8" x14ac:dyDescent="0.25">
      <c r="C6418" s="12"/>
      <c r="D6418" s="13"/>
      <c r="E6418" s="13"/>
      <c r="F6418" s="13"/>
      <c r="G6418" s="12"/>
      <c r="H6418" s="11"/>
    </row>
    <row r="6419" spans="3:8" x14ac:dyDescent="0.25">
      <c r="C6419" s="12"/>
      <c r="D6419" s="13"/>
      <c r="E6419" s="13"/>
      <c r="F6419" s="13"/>
      <c r="G6419" s="12"/>
      <c r="H6419" s="11"/>
    </row>
    <row r="6420" spans="3:8" x14ac:dyDescent="0.25">
      <c r="C6420" s="12"/>
      <c r="D6420" s="13"/>
      <c r="E6420" s="13"/>
      <c r="F6420" s="13"/>
      <c r="G6420" s="12"/>
      <c r="H6420" s="11"/>
    </row>
    <row r="6421" spans="3:8" x14ac:dyDescent="0.25">
      <c r="C6421" s="12"/>
      <c r="D6421" s="13"/>
      <c r="E6421" s="13"/>
      <c r="F6421" s="13"/>
      <c r="G6421" s="12"/>
      <c r="H6421" s="11"/>
    </row>
    <row r="6422" spans="3:8" x14ac:dyDescent="0.25">
      <c r="C6422" s="12"/>
      <c r="D6422" s="13"/>
      <c r="E6422" s="13"/>
      <c r="F6422" s="13"/>
      <c r="G6422" s="12"/>
      <c r="H6422" s="11"/>
    </row>
    <row r="6423" spans="3:8" x14ac:dyDescent="0.25">
      <c r="C6423" s="12"/>
      <c r="D6423" s="13"/>
      <c r="E6423" s="13"/>
      <c r="F6423" s="13"/>
      <c r="G6423" s="12"/>
      <c r="H6423" s="11"/>
    </row>
    <row r="6424" spans="3:8" x14ac:dyDescent="0.25">
      <c r="C6424" s="12"/>
      <c r="D6424" s="13"/>
      <c r="E6424" s="13"/>
      <c r="F6424" s="13"/>
      <c r="G6424" s="12"/>
      <c r="H6424" s="11"/>
    </row>
    <row r="6425" spans="3:8" x14ac:dyDescent="0.25">
      <c r="C6425" s="12"/>
      <c r="D6425" s="13"/>
      <c r="E6425" s="13"/>
      <c r="F6425" s="13"/>
      <c r="G6425" s="12"/>
      <c r="H6425" s="11"/>
    </row>
    <row r="6426" spans="3:8" x14ac:dyDescent="0.25">
      <c r="C6426" s="12"/>
      <c r="D6426" s="13"/>
      <c r="E6426" s="13"/>
      <c r="F6426" s="13"/>
      <c r="G6426" s="12"/>
      <c r="H6426" s="11"/>
    </row>
    <row r="6427" spans="3:8" x14ac:dyDescent="0.25">
      <c r="C6427" s="12"/>
      <c r="D6427" s="13"/>
      <c r="E6427" s="13"/>
      <c r="F6427" s="13"/>
      <c r="G6427" s="12"/>
      <c r="H6427" s="11"/>
    </row>
    <row r="6428" spans="3:8" x14ac:dyDescent="0.25">
      <c r="C6428" s="12"/>
      <c r="D6428" s="13"/>
      <c r="E6428" s="13"/>
      <c r="F6428" s="13"/>
      <c r="G6428" s="12"/>
      <c r="H6428" s="11"/>
    </row>
    <row r="6429" spans="3:8" x14ac:dyDescent="0.25">
      <c r="C6429" s="12"/>
      <c r="D6429" s="13"/>
      <c r="E6429" s="13"/>
      <c r="F6429" s="13"/>
      <c r="G6429" s="12"/>
      <c r="H6429" s="11"/>
    </row>
    <row r="6430" spans="3:8" x14ac:dyDescent="0.25">
      <c r="C6430" s="12"/>
      <c r="D6430" s="13"/>
      <c r="E6430" s="13"/>
      <c r="F6430" s="13"/>
      <c r="G6430" s="12"/>
      <c r="H6430" s="11"/>
    </row>
    <row r="6431" spans="3:8" x14ac:dyDescent="0.25">
      <c r="C6431" s="12"/>
      <c r="D6431" s="13"/>
      <c r="E6431" s="13"/>
      <c r="F6431" s="13"/>
      <c r="G6431" s="12"/>
      <c r="H6431" s="11"/>
    </row>
    <row r="6432" spans="3:8" x14ac:dyDescent="0.25">
      <c r="C6432" s="12"/>
      <c r="D6432" s="13"/>
      <c r="E6432" s="13"/>
      <c r="F6432" s="13"/>
      <c r="G6432" s="12"/>
      <c r="H6432" s="11"/>
    </row>
    <row r="6433" spans="3:8" x14ac:dyDescent="0.25">
      <c r="C6433" s="12"/>
      <c r="D6433" s="13"/>
      <c r="E6433" s="13"/>
      <c r="F6433" s="13"/>
      <c r="G6433" s="12"/>
      <c r="H6433" s="11"/>
    </row>
    <row r="6434" spans="3:8" x14ac:dyDescent="0.25">
      <c r="C6434" s="12"/>
      <c r="D6434" s="13"/>
      <c r="E6434" s="13"/>
      <c r="F6434" s="13"/>
      <c r="G6434" s="12"/>
      <c r="H6434" s="11"/>
    </row>
    <row r="6435" spans="3:8" x14ac:dyDescent="0.25">
      <c r="C6435" s="12"/>
      <c r="D6435" s="13"/>
      <c r="E6435" s="13"/>
      <c r="F6435" s="13"/>
      <c r="G6435" s="12"/>
      <c r="H6435" s="11"/>
    </row>
    <row r="6436" spans="3:8" x14ac:dyDescent="0.25">
      <c r="C6436" s="12"/>
      <c r="D6436" s="13"/>
      <c r="E6436" s="13"/>
      <c r="F6436" s="13"/>
      <c r="G6436" s="12"/>
      <c r="H6436" s="11"/>
    </row>
    <row r="6437" spans="3:8" x14ac:dyDescent="0.25">
      <c r="C6437" s="12"/>
      <c r="D6437" s="13"/>
      <c r="E6437" s="13"/>
      <c r="F6437" s="13"/>
      <c r="G6437" s="12"/>
      <c r="H6437" s="11"/>
    </row>
    <row r="6438" spans="3:8" x14ac:dyDescent="0.25">
      <c r="C6438" s="12"/>
      <c r="D6438" s="13"/>
      <c r="E6438" s="13"/>
      <c r="F6438" s="13"/>
      <c r="G6438" s="12"/>
      <c r="H6438" s="11"/>
    </row>
    <row r="6439" spans="3:8" x14ac:dyDescent="0.25">
      <c r="C6439" s="12"/>
      <c r="D6439" s="13"/>
      <c r="E6439" s="13"/>
      <c r="F6439" s="13"/>
      <c r="G6439" s="12"/>
      <c r="H6439" s="11"/>
    </row>
    <row r="6440" spans="3:8" x14ac:dyDescent="0.25">
      <c r="C6440" s="12"/>
      <c r="D6440" s="13"/>
      <c r="E6440" s="13"/>
      <c r="F6440" s="13"/>
      <c r="G6440" s="12"/>
      <c r="H6440" s="11"/>
    </row>
    <row r="6441" spans="3:8" x14ac:dyDescent="0.25">
      <c r="C6441" s="12"/>
      <c r="D6441" s="13"/>
      <c r="E6441" s="13"/>
      <c r="F6441" s="13"/>
      <c r="G6441" s="12"/>
      <c r="H6441" s="11"/>
    </row>
    <row r="6442" spans="3:8" x14ac:dyDescent="0.25">
      <c r="C6442" s="12"/>
      <c r="D6442" s="13"/>
      <c r="E6442" s="13"/>
      <c r="F6442" s="13"/>
      <c r="G6442" s="12"/>
      <c r="H6442" s="11"/>
    </row>
    <row r="6443" spans="3:8" x14ac:dyDescent="0.25">
      <c r="C6443" s="12"/>
      <c r="D6443" s="13"/>
      <c r="E6443" s="13"/>
      <c r="F6443" s="13"/>
      <c r="G6443" s="12"/>
      <c r="H6443" s="11"/>
    </row>
    <row r="6444" spans="3:8" x14ac:dyDescent="0.25">
      <c r="C6444" s="12"/>
      <c r="D6444" s="13"/>
      <c r="E6444" s="13"/>
      <c r="F6444" s="13"/>
      <c r="G6444" s="12"/>
      <c r="H6444" s="11"/>
    </row>
    <row r="6445" spans="3:8" x14ac:dyDescent="0.25">
      <c r="C6445" s="12"/>
      <c r="D6445" s="13"/>
      <c r="E6445" s="13"/>
      <c r="F6445" s="13"/>
      <c r="G6445" s="12"/>
      <c r="H6445" s="11"/>
    </row>
    <row r="6446" spans="3:8" x14ac:dyDescent="0.25">
      <c r="C6446" s="12"/>
      <c r="D6446" s="13"/>
      <c r="E6446" s="13"/>
      <c r="F6446" s="13"/>
      <c r="G6446" s="12"/>
      <c r="H6446" s="11"/>
    </row>
    <row r="6447" spans="3:8" x14ac:dyDescent="0.25">
      <c r="C6447" s="12"/>
      <c r="D6447" s="13"/>
      <c r="E6447" s="13"/>
      <c r="F6447" s="13"/>
      <c r="G6447" s="12"/>
      <c r="H6447" s="11"/>
    </row>
    <row r="6448" spans="3:8" x14ac:dyDescent="0.25">
      <c r="C6448" s="12"/>
      <c r="D6448" s="13"/>
      <c r="E6448" s="13"/>
      <c r="F6448" s="13"/>
      <c r="G6448" s="12"/>
      <c r="H6448" s="11"/>
    </row>
    <row r="6449" spans="3:8" x14ac:dyDescent="0.25">
      <c r="C6449" s="12"/>
      <c r="D6449" s="13"/>
      <c r="E6449" s="13"/>
      <c r="F6449" s="13"/>
      <c r="G6449" s="12"/>
      <c r="H6449" s="11"/>
    </row>
    <row r="6450" spans="3:8" x14ac:dyDescent="0.25">
      <c r="C6450" s="12"/>
      <c r="D6450" s="13"/>
      <c r="E6450" s="13"/>
      <c r="F6450" s="13"/>
      <c r="G6450" s="12"/>
      <c r="H6450" s="11"/>
    </row>
    <row r="6451" spans="3:8" x14ac:dyDescent="0.25">
      <c r="C6451" s="12"/>
      <c r="D6451" s="13"/>
      <c r="E6451" s="13"/>
      <c r="F6451" s="13"/>
      <c r="G6451" s="12"/>
      <c r="H6451" s="11"/>
    </row>
    <row r="6452" spans="3:8" x14ac:dyDescent="0.25">
      <c r="C6452" s="12"/>
      <c r="D6452" s="13"/>
      <c r="E6452" s="13"/>
      <c r="F6452" s="13"/>
      <c r="G6452" s="12"/>
      <c r="H6452" s="11"/>
    </row>
    <row r="6453" spans="3:8" x14ac:dyDescent="0.25">
      <c r="C6453" s="12"/>
      <c r="D6453" s="13"/>
      <c r="E6453" s="13"/>
      <c r="F6453" s="13"/>
      <c r="G6453" s="12"/>
      <c r="H6453" s="11"/>
    </row>
    <row r="6454" spans="3:8" x14ac:dyDescent="0.25">
      <c r="C6454" s="12"/>
      <c r="D6454" s="13"/>
      <c r="E6454" s="13"/>
      <c r="F6454" s="13"/>
      <c r="G6454" s="12"/>
      <c r="H6454" s="11"/>
    </row>
    <row r="6455" spans="3:8" x14ac:dyDescent="0.25">
      <c r="C6455" s="12"/>
      <c r="D6455" s="13"/>
      <c r="E6455" s="13"/>
      <c r="F6455" s="13"/>
      <c r="G6455" s="12"/>
      <c r="H6455" s="11"/>
    </row>
    <row r="6456" spans="3:8" x14ac:dyDescent="0.25">
      <c r="C6456" s="12"/>
      <c r="D6456" s="13"/>
      <c r="E6456" s="13"/>
      <c r="F6456" s="13"/>
      <c r="G6456" s="12"/>
      <c r="H6456" s="11"/>
    </row>
    <row r="6457" spans="3:8" x14ac:dyDescent="0.25">
      <c r="C6457" s="12"/>
      <c r="D6457" s="13"/>
      <c r="E6457" s="13"/>
      <c r="F6457" s="13"/>
      <c r="G6457" s="12"/>
      <c r="H6457" s="11"/>
    </row>
    <row r="6458" spans="3:8" x14ac:dyDescent="0.25">
      <c r="C6458" s="12"/>
      <c r="D6458" s="13"/>
      <c r="E6458" s="13"/>
      <c r="F6458" s="13"/>
      <c r="G6458" s="12"/>
      <c r="H6458" s="11"/>
    </row>
    <row r="6459" spans="3:8" x14ac:dyDescent="0.25">
      <c r="C6459" s="12"/>
      <c r="D6459" s="13"/>
      <c r="E6459" s="13"/>
      <c r="F6459" s="13"/>
      <c r="G6459" s="12"/>
      <c r="H6459" s="11"/>
    </row>
    <row r="6460" spans="3:8" x14ac:dyDescent="0.25">
      <c r="C6460" s="12"/>
      <c r="D6460" s="13"/>
      <c r="E6460" s="13"/>
      <c r="F6460" s="13"/>
      <c r="G6460" s="12"/>
      <c r="H6460" s="11"/>
    </row>
    <row r="6461" spans="3:8" x14ac:dyDescent="0.25">
      <c r="C6461" s="12"/>
      <c r="D6461" s="13"/>
      <c r="E6461" s="13"/>
      <c r="F6461" s="13"/>
      <c r="G6461" s="12"/>
      <c r="H6461" s="11"/>
    </row>
    <row r="6462" spans="3:8" x14ac:dyDescent="0.25">
      <c r="C6462" s="12"/>
      <c r="D6462" s="13"/>
      <c r="E6462" s="13"/>
      <c r="F6462" s="13"/>
      <c r="G6462" s="12"/>
      <c r="H6462" s="11"/>
    </row>
    <row r="6463" spans="3:8" x14ac:dyDescent="0.25">
      <c r="C6463" s="12"/>
      <c r="D6463" s="13"/>
      <c r="E6463" s="13"/>
      <c r="F6463" s="13"/>
      <c r="G6463" s="12"/>
      <c r="H6463" s="11"/>
    </row>
    <row r="6464" spans="3:8" x14ac:dyDescent="0.25">
      <c r="C6464" s="12"/>
      <c r="D6464" s="13"/>
      <c r="E6464" s="13"/>
      <c r="F6464" s="13"/>
      <c r="G6464" s="12"/>
      <c r="H6464" s="11"/>
    </row>
    <row r="6465" spans="3:8" x14ac:dyDescent="0.25">
      <c r="C6465" s="12"/>
      <c r="D6465" s="13"/>
      <c r="E6465" s="13"/>
      <c r="F6465" s="13"/>
      <c r="G6465" s="12"/>
      <c r="H6465" s="11"/>
    </row>
    <row r="6466" spans="3:8" x14ac:dyDescent="0.25">
      <c r="C6466" s="12"/>
      <c r="D6466" s="13"/>
      <c r="E6466" s="13"/>
      <c r="F6466" s="13"/>
      <c r="G6466" s="12"/>
      <c r="H6466" s="11"/>
    </row>
    <row r="6467" spans="3:8" x14ac:dyDescent="0.25">
      <c r="C6467" s="12"/>
      <c r="D6467" s="13"/>
      <c r="E6467" s="13"/>
      <c r="F6467" s="13"/>
      <c r="G6467" s="12"/>
      <c r="H6467" s="11"/>
    </row>
    <row r="6468" spans="3:8" x14ac:dyDescent="0.25">
      <c r="C6468" s="12"/>
      <c r="D6468" s="13"/>
      <c r="E6468" s="13"/>
      <c r="F6468" s="13"/>
      <c r="G6468" s="12"/>
      <c r="H6468" s="11"/>
    </row>
    <row r="6469" spans="3:8" x14ac:dyDescent="0.25">
      <c r="C6469" s="12"/>
      <c r="D6469" s="13"/>
      <c r="E6469" s="13"/>
      <c r="F6469" s="13"/>
      <c r="G6469" s="12"/>
      <c r="H6469" s="11"/>
    </row>
    <row r="6470" spans="3:8" x14ac:dyDescent="0.25">
      <c r="C6470" s="12"/>
      <c r="D6470" s="13"/>
      <c r="E6470" s="13"/>
      <c r="F6470" s="13"/>
      <c r="G6470" s="12"/>
      <c r="H6470" s="11"/>
    </row>
    <row r="6471" spans="3:8" x14ac:dyDescent="0.25">
      <c r="C6471" s="12"/>
      <c r="D6471" s="13"/>
      <c r="E6471" s="13"/>
      <c r="F6471" s="13"/>
      <c r="G6471" s="12"/>
      <c r="H6471" s="11"/>
    </row>
    <row r="6472" spans="3:8" x14ac:dyDescent="0.25">
      <c r="C6472" s="12"/>
      <c r="D6472" s="13"/>
      <c r="E6472" s="13"/>
      <c r="F6472" s="13"/>
      <c r="G6472" s="12"/>
      <c r="H6472" s="11"/>
    </row>
    <row r="6473" spans="3:8" x14ac:dyDescent="0.25">
      <c r="C6473" s="12"/>
      <c r="D6473" s="13"/>
      <c r="E6473" s="13"/>
      <c r="F6473" s="13"/>
      <c r="G6473" s="12"/>
      <c r="H6473" s="11"/>
    </row>
    <row r="6474" spans="3:8" x14ac:dyDescent="0.25">
      <c r="C6474" s="12"/>
      <c r="D6474" s="13"/>
      <c r="E6474" s="13"/>
      <c r="F6474" s="13"/>
      <c r="G6474" s="12"/>
      <c r="H6474" s="11"/>
    </row>
    <row r="6475" spans="3:8" x14ac:dyDescent="0.25">
      <c r="C6475" s="12"/>
      <c r="D6475" s="13"/>
      <c r="E6475" s="13"/>
      <c r="F6475" s="13"/>
      <c r="G6475" s="12"/>
      <c r="H6475" s="11"/>
    </row>
    <row r="6476" spans="3:8" x14ac:dyDescent="0.25">
      <c r="C6476" s="12"/>
      <c r="D6476" s="13"/>
      <c r="E6476" s="13"/>
      <c r="F6476" s="13"/>
      <c r="G6476" s="12"/>
      <c r="H6476" s="11"/>
    </row>
    <row r="6477" spans="3:8" x14ac:dyDescent="0.25">
      <c r="C6477" s="12"/>
      <c r="D6477" s="13"/>
      <c r="E6477" s="13"/>
      <c r="F6477" s="13"/>
      <c r="G6477" s="12"/>
      <c r="H6477" s="11"/>
    </row>
    <row r="6478" spans="3:8" x14ac:dyDescent="0.25">
      <c r="C6478" s="12"/>
      <c r="D6478" s="13"/>
      <c r="E6478" s="13"/>
      <c r="F6478" s="13"/>
      <c r="G6478" s="12"/>
      <c r="H6478" s="11"/>
    </row>
    <row r="6479" spans="3:8" x14ac:dyDescent="0.25">
      <c r="C6479" s="12"/>
      <c r="D6479" s="13"/>
      <c r="E6479" s="13"/>
      <c r="F6479" s="13"/>
      <c r="G6479" s="12"/>
      <c r="H6479" s="11"/>
    </row>
    <row r="6480" spans="3:8" x14ac:dyDescent="0.25">
      <c r="C6480" s="12"/>
      <c r="D6480" s="13"/>
      <c r="E6480" s="13"/>
      <c r="F6480" s="13"/>
      <c r="G6480" s="12"/>
      <c r="H6480" s="11"/>
    </row>
    <row r="6481" spans="3:8" x14ac:dyDescent="0.25">
      <c r="C6481" s="12"/>
      <c r="D6481" s="13"/>
      <c r="E6481" s="13"/>
      <c r="F6481" s="13"/>
      <c r="G6481" s="12"/>
      <c r="H6481" s="11"/>
    </row>
    <row r="6482" spans="3:8" x14ac:dyDescent="0.25">
      <c r="C6482" s="12"/>
      <c r="D6482" s="13"/>
      <c r="E6482" s="13"/>
      <c r="F6482" s="13"/>
      <c r="G6482" s="12"/>
      <c r="H6482" s="11"/>
    </row>
    <row r="6483" spans="3:8" x14ac:dyDescent="0.25">
      <c r="C6483" s="12"/>
      <c r="D6483" s="13"/>
      <c r="E6483" s="13"/>
      <c r="F6483" s="13"/>
      <c r="G6483" s="12"/>
      <c r="H6483" s="11"/>
    </row>
    <row r="6484" spans="3:8" x14ac:dyDescent="0.25">
      <c r="C6484" s="12"/>
      <c r="D6484" s="13"/>
      <c r="E6484" s="13"/>
      <c r="F6484" s="13"/>
      <c r="G6484" s="12"/>
      <c r="H6484" s="11"/>
    </row>
    <row r="6485" spans="3:8" x14ac:dyDescent="0.25">
      <c r="C6485" s="12"/>
      <c r="D6485" s="13"/>
      <c r="E6485" s="13"/>
      <c r="F6485" s="13"/>
      <c r="G6485" s="12"/>
      <c r="H6485" s="11"/>
    </row>
    <row r="6486" spans="3:8" x14ac:dyDescent="0.25">
      <c r="C6486" s="12"/>
      <c r="D6486" s="13"/>
      <c r="E6486" s="13"/>
      <c r="F6486" s="13"/>
      <c r="G6486" s="12"/>
      <c r="H6486" s="11"/>
    </row>
    <row r="6487" spans="3:8" x14ac:dyDescent="0.25">
      <c r="C6487" s="12"/>
      <c r="D6487" s="13"/>
      <c r="E6487" s="13"/>
      <c r="F6487" s="13"/>
      <c r="G6487" s="12"/>
      <c r="H6487" s="11"/>
    </row>
    <row r="6488" spans="3:8" x14ac:dyDescent="0.25">
      <c r="C6488" s="12"/>
      <c r="D6488" s="13"/>
      <c r="E6488" s="13"/>
      <c r="F6488" s="13"/>
      <c r="G6488" s="12"/>
      <c r="H6488" s="11"/>
    </row>
    <row r="6489" spans="3:8" x14ac:dyDescent="0.25">
      <c r="C6489" s="12"/>
      <c r="D6489" s="13"/>
      <c r="E6489" s="13"/>
      <c r="F6489" s="13"/>
      <c r="G6489" s="12"/>
      <c r="H6489" s="11"/>
    </row>
    <row r="6490" spans="3:8" x14ac:dyDescent="0.25">
      <c r="C6490" s="12"/>
      <c r="D6490" s="13"/>
      <c r="E6490" s="13"/>
      <c r="F6490" s="13"/>
      <c r="G6490" s="12"/>
      <c r="H6490" s="11"/>
    </row>
    <row r="6491" spans="3:8" x14ac:dyDescent="0.25">
      <c r="C6491" s="12"/>
      <c r="D6491" s="13"/>
      <c r="E6491" s="13"/>
      <c r="F6491" s="13"/>
      <c r="G6491" s="12"/>
      <c r="H6491" s="11"/>
    </row>
    <row r="6492" spans="3:8" x14ac:dyDescent="0.25">
      <c r="C6492" s="12"/>
      <c r="D6492" s="13"/>
      <c r="E6492" s="13"/>
      <c r="F6492" s="13"/>
      <c r="G6492" s="12"/>
      <c r="H6492" s="11"/>
    </row>
    <row r="6493" spans="3:8" x14ac:dyDescent="0.25">
      <c r="C6493" s="12"/>
      <c r="D6493" s="13"/>
      <c r="E6493" s="13"/>
      <c r="F6493" s="13"/>
      <c r="G6493" s="12"/>
      <c r="H6493" s="11"/>
    </row>
    <row r="6494" spans="3:8" x14ac:dyDescent="0.25">
      <c r="C6494" s="12"/>
      <c r="D6494" s="13"/>
      <c r="E6494" s="13"/>
      <c r="F6494" s="13"/>
      <c r="G6494" s="12"/>
      <c r="H6494" s="11"/>
    </row>
    <row r="6495" spans="3:8" x14ac:dyDescent="0.25">
      <c r="C6495" s="12"/>
      <c r="D6495" s="13"/>
      <c r="E6495" s="13"/>
      <c r="F6495" s="13"/>
      <c r="G6495" s="12"/>
      <c r="H6495" s="11"/>
    </row>
    <row r="6496" spans="3:8" x14ac:dyDescent="0.25">
      <c r="C6496" s="12"/>
      <c r="D6496" s="13"/>
      <c r="E6496" s="13"/>
      <c r="F6496" s="13"/>
      <c r="G6496" s="12"/>
      <c r="H6496" s="11"/>
    </row>
    <row r="6497" spans="3:8" x14ac:dyDescent="0.25">
      <c r="C6497" s="12"/>
      <c r="D6497" s="13"/>
      <c r="E6497" s="13"/>
      <c r="F6497" s="13"/>
      <c r="G6497" s="12"/>
      <c r="H6497" s="11"/>
    </row>
    <row r="6498" spans="3:8" x14ac:dyDescent="0.25">
      <c r="C6498" s="12"/>
      <c r="D6498" s="13"/>
      <c r="E6498" s="13"/>
      <c r="F6498" s="13"/>
      <c r="G6498" s="12"/>
      <c r="H6498" s="11"/>
    </row>
    <row r="6499" spans="3:8" x14ac:dyDescent="0.25">
      <c r="C6499" s="12"/>
      <c r="D6499" s="13"/>
      <c r="E6499" s="13"/>
      <c r="F6499" s="13"/>
      <c r="G6499" s="12"/>
      <c r="H6499" s="11"/>
    </row>
    <row r="6500" spans="3:8" x14ac:dyDescent="0.25">
      <c r="C6500" s="12"/>
      <c r="D6500" s="13"/>
      <c r="E6500" s="13"/>
      <c r="F6500" s="13"/>
      <c r="G6500" s="12"/>
      <c r="H6500" s="11"/>
    </row>
    <row r="6501" spans="3:8" x14ac:dyDescent="0.25">
      <c r="C6501" s="12"/>
      <c r="D6501" s="13"/>
      <c r="E6501" s="13"/>
      <c r="F6501" s="13"/>
      <c r="G6501" s="12"/>
      <c r="H6501" s="11"/>
    </row>
    <row r="6502" spans="3:8" x14ac:dyDescent="0.25">
      <c r="C6502" s="12"/>
      <c r="D6502" s="13"/>
      <c r="E6502" s="13"/>
      <c r="F6502" s="13"/>
      <c r="G6502" s="12"/>
      <c r="H6502" s="11"/>
    </row>
    <row r="6503" spans="3:8" x14ac:dyDescent="0.25">
      <c r="C6503" s="12"/>
      <c r="D6503" s="13"/>
      <c r="E6503" s="13"/>
      <c r="F6503" s="13"/>
      <c r="G6503" s="12"/>
      <c r="H6503" s="11"/>
    </row>
    <row r="6504" spans="3:8" x14ac:dyDescent="0.25">
      <c r="C6504" s="12"/>
      <c r="D6504" s="13"/>
      <c r="E6504" s="13"/>
      <c r="F6504" s="13"/>
      <c r="G6504" s="12"/>
      <c r="H6504" s="11"/>
    </row>
    <row r="6505" spans="3:8" x14ac:dyDescent="0.25">
      <c r="C6505" s="12"/>
      <c r="D6505" s="13"/>
      <c r="E6505" s="13"/>
      <c r="F6505" s="13"/>
      <c r="G6505" s="12"/>
      <c r="H6505" s="11"/>
    </row>
    <row r="6506" spans="3:8" x14ac:dyDescent="0.25">
      <c r="C6506" s="12"/>
      <c r="D6506" s="13"/>
      <c r="E6506" s="13"/>
      <c r="F6506" s="13"/>
      <c r="G6506" s="12"/>
      <c r="H6506" s="11"/>
    </row>
    <row r="6507" spans="3:8" x14ac:dyDescent="0.25">
      <c r="C6507" s="12"/>
      <c r="D6507" s="13"/>
      <c r="E6507" s="13"/>
      <c r="F6507" s="13"/>
      <c r="G6507" s="12"/>
      <c r="H6507" s="11"/>
    </row>
    <row r="6508" spans="3:8" x14ac:dyDescent="0.25">
      <c r="C6508" s="12"/>
      <c r="D6508" s="13"/>
      <c r="E6508" s="13"/>
      <c r="F6508" s="13"/>
      <c r="G6508" s="12"/>
      <c r="H6508" s="11"/>
    </row>
    <row r="6509" spans="3:8" x14ac:dyDescent="0.25">
      <c r="C6509" s="12"/>
      <c r="D6509" s="13"/>
      <c r="E6509" s="13"/>
      <c r="F6509" s="13"/>
      <c r="G6509" s="12"/>
      <c r="H6509" s="11"/>
    </row>
    <row r="6510" spans="3:8" x14ac:dyDescent="0.25">
      <c r="C6510" s="12"/>
      <c r="D6510" s="13"/>
      <c r="E6510" s="13"/>
      <c r="F6510" s="13"/>
      <c r="G6510" s="12"/>
      <c r="H6510" s="11"/>
    </row>
    <row r="6511" spans="3:8" x14ac:dyDescent="0.25">
      <c r="C6511" s="12"/>
      <c r="D6511" s="13"/>
      <c r="E6511" s="13"/>
      <c r="F6511" s="13"/>
      <c r="G6511" s="12"/>
      <c r="H6511" s="11"/>
    </row>
    <row r="6512" spans="3:8" x14ac:dyDescent="0.25">
      <c r="C6512" s="12"/>
      <c r="D6512" s="13"/>
      <c r="E6512" s="13"/>
      <c r="F6512" s="13"/>
      <c r="G6512" s="12"/>
      <c r="H6512" s="11"/>
    </row>
    <row r="6513" spans="3:8" x14ac:dyDescent="0.25">
      <c r="C6513" s="12"/>
      <c r="D6513" s="13"/>
      <c r="E6513" s="13"/>
      <c r="F6513" s="13"/>
      <c r="G6513" s="12"/>
      <c r="H6513" s="11"/>
    </row>
    <row r="6514" spans="3:8" x14ac:dyDescent="0.25">
      <c r="C6514" s="12"/>
      <c r="D6514" s="13"/>
      <c r="E6514" s="13"/>
      <c r="F6514" s="13"/>
      <c r="G6514" s="12"/>
      <c r="H6514" s="11"/>
    </row>
    <row r="6515" spans="3:8" x14ac:dyDescent="0.25">
      <c r="C6515" s="12"/>
      <c r="D6515" s="13"/>
      <c r="E6515" s="13"/>
      <c r="F6515" s="13"/>
      <c r="G6515" s="12"/>
      <c r="H6515" s="11"/>
    </row>
    <row r="6516" spans="3:8" x14ac:dyDescent="0.25">
      <c r="C6516" s="12"/>
      <c r="D6516" s="13"/>
      <c r="E6516" s="13"/>
      <c r="F6516" s="13"/>
      <c r="G6516" s="12"/>
      <c r="H6516" s="11"/>
    </row>
    <row r="6517" spans="3:8" x14ac:dyDescent="0.25">
      <c r="C6517" s="12"/>
      <c r="D6517" s="13"/>
      <c r="E6517" s="13"/>
      <c r="F6517" s="13"/>
      <c r="G6517" s="12"/>
      <c r="H6517" s="11"/>
    </row>
    <row r="6518" spans="3:8" x14ac:dyDescent="0.25">
      <c r="C6518" s="12"/>
      <c r="D6518" s="13"/>
      <c r="E6518" s="13"/>
      <c r="F6518" s="13"/>
      <c r="G6518" s="12"/>
      <c r="H6518" s="11"/>
    </row>
    <row r="6519" spans="3:8" x14ac:dyDescent="0.25">
      <c r="C6519" s="12"/>
      <c r="D6519" s="13"/>
      <c r="E6519" s="13"/>
      <c r="F6519" s="13"/>
      <c r="G6519" s="12"/>
      <c r="H6519" s="11"/>
    </row>
    <row r="6520" spans="3:8" x14ac:dyDescent="0.25">
      <c r="C6520" s="12"/>
      <c r="D6520" s="13"/>
      <c r="E6520" s="13"/>
      <c r="F6520" s="13"/>
      <c r="G6520" s="12"/>
      <c r="H6520" s="11"/>
    </row>
    <row r="6521" spans="3:8" x14ac:dyDescent="0.25">
      <c r="C6521" s="12"/>
      <c r="D6521" s="13"/>
      <c r="E6521" s="13"/>
      <c r="F6521" s="13"/>
      <c r="G6521" s="12"/>
      <c r="H6521" s="11"/>
    </row>
    <row r="6522" spans="3:8" x14ac:dyDescent="0.25">
      <c r="C6522" s="12"/>
      <c r="D6522" s="13"/>
      <c r="E6522" s="13"/>
      <c r="F6522" s="13"/>
      <c r="G6522" s="12"/>
      <c r="H6522" s="11"/>
    </row>
    <row r="6523" spans="3:8" x14ac:dyDescent="0.25">
      <c r="C6523" s="12"/>
      <c r="D6523" s="13"/>
      <c r="E6523" s="13"/>
      <c r="F6523" s="13"/>
      <c r="G6523" s="12"/>
      <c r="H6523" s="11"/>
    </row>
    <row r="6524" spans="3:8" x14ac:dyDescent="0.25">
      <c r="C6524" s="12"/>
      <c r="D6524" s="13"/>
      <c r="E6524" s="13"/>
      <c r="F6524" s="13"/>
      <c r="G6524" s="12"/>
      <c r="H6524" s="11"/>
    </row>
    <row r="6525" spans="3:8" x14ac:dyDescent="0.25">
      <c r="C6525" s="12"/>
      <c r="D6525" s="13"/>
      <c r="E6525" s="13"/>
      <c r="F6525" s="13"/>
      <c r="G6525" s="12"/>
      <c r="H6525" s="11"/>
    </row>
    <row r="6526" spans="3:8" x14ac:dyDescent="0.25">
      <c r="C6526" s="12"/>
      <c r="D6526" s="13"/>
      <c r="E6526" s="13"/>
      <c r="F6526" s="13"/>
      <c r="G6526" s="12"/>
      <c r="H6526" s="11"/>
    </row>
    <row r="6527" spans="3:8" x14ac:dyDescent="0.25">
      <c r="C6527" s="12"/>
      <c r="D6527" s="13"/>
      <c r="E6527" s="13"/>
      <c r="F6527" s="13"/>
      <c r="G6527" s="12"/>
      <c r="H6527" s="11"/>
    </row>
    <row r="6528" spans="3:8" x14ac:dyDescent="0.25">
      <c r="C6528" s="12"/>
      <c r="D6528" s="13"/>
      <c r="E6528" s="13"/>
      <c r="F6528" s="13"/>
      <c r="G6528" s="12"/>
      <c r="H6528" s="11"/>
    </row>
    <row r="6529" spans="3:8" x14ac:dyDescent="0.25">
      <c r="C6529" s="12"/>
      <c r="D6529" s="13"/>
      <c r="E6529" s="13"/>
      <c r="F6529" s="13"/>
      <c r="G6529" s="12"/>
      <c r="H6529" s="11"/>
    </row>
    <row r="6530" spans="3:8" x14ac:dyDescent="0.25">
      <c r="C6530" s="12"/>
      <c r="D6530" s="13"/>
      <c r="E6530" s="13"/>
      <c r="F6530" s="13"/>
      <c r="G6530" s="12"/>
      <c r="H6530" s="11"/>
    </row>
    <row r="6531" spans="3:8" x14ac:dyDescent="0.25">
      <c r="C6531" s="12"/>
      <c r="D6531" s="13"/>
      <c r="E6531" s="13"/>
      <c r="F6531" s="13"/>
      <c r="G6531" s="12"/>
      <c r="H6531" s="11"/>
    </row>
    <row r="6532" spans="3:8" x14ac:dyDescent="0.25">
      <c r="C6532" s="12"/>
      <c r="D6532" s="13"/>
      <c r="E6532" s="13"/>
      <c r="F6532" s="13"/>
      <c r="G6532" s="12"/>
      <c r="H6532" s="11"/>
    </row>
    <row r="6533" spans="3:8" x14ac:dyDescent="0.25">
      <c r="C6533" s="12"/>
      <c r="D6533" s="13"/>
      <c r="E6533" s="13"/>
      <c r="F6533" s="13"/>
      <c r="G6533" s="12"/>
      <c r="H6533" s="11"/>
    </row>
    <row r="6534" spans="3:8" x14ac:dyDescent="0.25">
      <c r="C6534" s="12"/>
      <c r="D6534" s="13"/>
      <c r="E6534" s="13"/>
      <c r="F6534" s="13"/>
      <c r="G6534" s="12"/>
      <c r="H6534" s="11"/>
    </row>
    <row r="6535" spans="3:8" x14ac:dyDescent="0.25">
      <c r="C6535" s="12"/>
      <c r="D6535" s="13"/>
      <c r="E6535" s="13"/>
      <c r="F6535" s="13"/>
      <c r="G6535" s="12"/>
      <c r="H6535" s="11"/>
    </row>
    <row r="6536" spans="3:8" x14ac:dyDescent="0.25">
      <c r="C6536" s="12"/>
      <c r="D6536" s="13"/>
      <c r="E6536" s="13"/>
      <c r="F6536" s="13"/>
      <c r="G6536" s="12"/>
      <c r="H6536" s="11"/>
    </row>
    <row r="6537" spans="3:8" x14ac:dyDescent="0.25">
      <c r="C6537" s="12"/>
      <c r="D6537" s="13"/>
      <c r="E6537" s="13"/>
      <c r="F6537" s="13"/>
      <c r="G6537" s="12"/>
      <c r="H6537" s="11"/>
    </row>
    <row r="6538" spans="3:8" x14ac:dyDescent="0.25">
      <c r="C6538" s="12"/>
      <c r="D6538" s="13"/>
      <c r="E6538" s="13"/>
      <c r="F6538" s="13"/>
      <c r="G6538" s="12"/>
      <c r="H6538" s="11"/>
    </row>
    <row r="6539" spans="3:8" x14ac:dyDescent="0.25">
      <c r="C6539" s="12"/>
      <c r="D6539" s="13"/>
      <c r="E6539" s="13"/>
      <c r="F6539" s="13"/>
      <c r="G6539" s="12"/>
      <c r="H6539" s="11"/>
    </row>
    <row r="6540" spans="3:8" x14ac:dyDescent="0.25">
      <c r="C6540" s="12"/>
      <c r="D6540" s="13"/>
      <c r="E6540" s="13"/>
      <c r="F6540" s="13"/>
      <c r="G6540" s="12"/>
      <c r="H6540" s="11"/>
    </row>
    <row r="6541" spans="3:8" x14ac:dyDescent="0.25">
      <c r="C6541" s="12"/>
      <c r="D6541" s="13"/>
      <c r="E6541" s="13"/>
      <c r="F6541" s="13"/>
      <c r="G6541" s="12"/>
      <c r="H6541" s="11"/>
    </row>
    <row r="6542" spans="3:8" x14ac:dyDescent="0.25">
      <c r="C6542" s="12"/>
      <c r="D6542" s="13"/>
      <c r="E6542" s="13"/>
      <c r="F6542" s="13"/>
      <c r="G6542" s="12"/>
      <c r="H6542" s="11"/>
    </row>
    <row r="6543" spans="3:8" x14ac:dyDescent="0.25">
      <c r="C6543" s="12"/>
      <c r="D6543" s="13"/>
      <c r="E6543" s="13"/>
      <c r="F6543" s="13"/>
      <c r="G6543" s="12"/>
      <c r="H6543" s="11"/>
    </row>
    <row r="6544" spans="3:8" x14ac:dyDescent="0.25">
      <c r="C6544" s="12"/>
      <c r="D6544" s="13"/>
      <c r="E6544" s="13"/>
      <c r="F6544" s="13"/>
      <c r="G6544" s="12"/>
      <c r="H6544" s="11"/>
    </row>
    <row r="6545" spans="3:8" x14ac:dyDescent="0.25">
      <c r="C6545" s="12"/>
      <c r="D6545" s="13"/>
      <c r="E6545" s="13"/>
      <c r="F6545" s="13"/>
      <c r="G6545" s="12"/>
      <c r="H6545" s="11"/>
    </row>
    <row r="6546" spans="3:8" x14ac:dyDescent="0.25">
      <c r="C6546" s="12"/>
      <c r="D6546" s="13"/>
      <c r="E6546" s="13"/>
      <c r="F6546" s="13"/>
      <c r="G6546" s="12"/>
      <c r="H6546" s="11"/>
    </row>
    <row r="6547" spans="3:8" x14ac:dyDescent="0.25">
      <c r="C6547" s="12"/>
      <c r="D6547" s="13"/>
      <c r="E6547" s="13"/>
      <c r="F6547" s="13"/>
      <c r="G6547" s="12"/>
      <c r="H6547" s="11"/>
    </row>
    <row r="6548" spans="3:8" x14ac:dyDescent="0.25">
      <c r="C6548" s="12"/>
      <c r="D6548" s="13"/>
      <c r="E6548" s="13"/>
      <c r="F6548" s="13"/>
      <c r="G6548" s="12"/>
      <c r="H6548" s="11"/>
    </row>
    <row r="6549" spans="3:8" x14ac:dyDescent="0.25">
      <c r="C6549" s="12"/>
      <c r="D6549" s="13"/>
      <c r="E6549" s="13"/>
      <c r="F6549" s="13"/>
      <c r="G6549" s="12"/>
      <c r="H6549" s="11"/>
    </row>
    <row r="6550" spans="3:8" x14ac:dyDescent="0.25">
      <c r="C6550" s="12"/>
      <c r="D6550" s="13"/>
      <c r="E6550" s="13"/>
      <c r="F6550" s="13"/>
      <c r="G6550" s="12"/>
      <c r="H6550" s="11"/>
    </row>
    <row r="6551" spans="3:8" x14ac:dyDescent="0.25">
      <c r="C6551" s="12"/>
      <c r="D6551" s="13"/>
      <c r="E6551" s="13"/>
      <c r="F6551" s="13"/>
      <c r="G6551" s="12"/>
      <c r="H6551" s="11"/>
    </row>
    <row r="6552" spans="3:8" x14ac:dyDescent="0.25">
      <c r="C6552" s="12"/>
      <c r="D6552" s="13"/>
      <c r="E6552" s="13"/>
      <c r="F6552" s="13"/>
      <c r="G6552" s="12"/>
      <c r="H6552" s="11"/>
    </row>
    <row r="6553" spans="3:8" x14ac:dyDescent="0.25">
      <c r="C6553" s="12"/>
      <c r="D6553" s="13"/>
      <c r="E6553" s="13"/>
      <c r="F6553" s="13"/>
      <c r="G6553" s="12"/>
      <c r="H6553" s="11"/>
    </row>
    <row r="6554" spans="3:8" x14ac:dyDescent="0.25">
      <c r="C6554" s="12"/>
      <c r="D6554" s="13"/>
      <c r="E6554" s="13"/>
      <c r="F6554" s="13"/>
      <c r="G6554" s="12"/>
      <c r="H6554" s="11"/>
    </row>
    <row r="6555" spans="3:8" x14ac:dyDescent="0.25">
      <c r="C6555" s="12"/>
      <c r="D6555" s="13"/>
      <c r="E6555" s="13"/>
      <c r="F6555" s="13"/>
      <c r="G6555" s="12"/>
      <c r="H6555" s="11"/>
    </row>
    <row r="6556" spans="3:8" x14ac:dyDescent="0.25">
      <c r="C6556" s="12"/>
      <c r="D6556" s="13"/>
      <c r="E6556" s="13"/>
      <c r="F6556" s="13"/>
      <c r="G6556" s="12"/>
      <c r="H6556" s="11"/>
    </row>
    <row r="6557" spans="3:8" x14ac:dyDescent="0.25">
      <c r="C6557" s="12"/>
      <c r="D6557" s="13"/>
      <c r="E6557" s="13"/>
      <c r="F6557" s="13"/>
      <c r="G6557" s="12"/>
      <c r="H6557" s="11"/>
    </row>
    <row r="6558" spans="3:8" x14ac:dyDescent="0.25">
      <c r="C6558" s="12"/>
      <c r="D6558" s="13"/>
      <c r="E6558" s="13"/>
      <c r="F6558" s="13"/>
      <c r="G6558" s="12"/>
      <c r="H6558" s="11"/>
    </row>
    <row r="6559" spans="3:8" x14ac:dyDescent="0.25">
      <c r="C6559" s="12"/>
      <c r="D6559" s="13"/>
      <c r="E6559" s="13"/>
      <c r="F6559" s="13"/>
      <c r="G6559" s="12"/>
      <c r="H6559" s="11"/>
    </row>
    <row r="6560" spans="3:8" x14ac:dyDescent="0.25">
      <c r="C6560" s="12"/>
      <c r="D6560" s="13"/>
      <c r="E6560" s="13"/>
      <c r="F6560" s="13"/>
      <c r="G6560" s="12"/>
      <c r="H6560" s="11"/>
    </row>
    <row r="6561" spans="3:8" x14ac:dyDescent="0.25">
      <c r="C6561" s="12"/>
      <c r="D6561" s="13"/>
      <c r="E6561" s="13"/>
      <c r="F6561" s="13"/>
      <c r="G6561" s="12"/>
      <c r="H6561" s="11"/>
    </row>
    <row r="6562" spans="3:8" x14ac:dyDescent="0.25">
      <c r="C6562" s="12"/>
      <c r="D6562" s="13"/>
      <c r="E6562" s="13"/>
      <c r="F6562" s="13"/>
      <c r="G6562" s="12"/>
      <c r="H6562" s="11"/>
    </row>
    <row r="6563" spans="3:8" x14ac:dyDescent="0.25">
      <c r="C6563" s="12"/>
      <c r="D6563" s="13"/>
      <c r="E6563" s="13"/>
      <c r="F6563" s="13"/>
      <c r="G6563" s="12"/>
      <c r="H6563" s="11"/>
    </row>
    <row r="6564" spans="3:8" x14ac:dyDescent="0.25">
      <c r="C6564" s="12"/>
      <c r="D6564" s="13"/>
      <c r="E6564" s="13"/>
      <c r="F6564" s="13"/>
      <c r="G6564" s="12"/>
      <c r="H6564" s="11"/>
    </row>
    <row r="6565" spans="3:8" x14ac:dyDescent="0.25">
      <c r="C6565" s="12"/>
      <c r="D6565" s="13"/>
      <c r="E6565" s="13"/>
      <c r="F6565" s="13"/>
      <c r="G6565" s="12"/>
      <c r="H6565" s="11"/>
    </row>
    <row r="6566" spans="3:8" x14ac:dyDescent="0.25">
      <c r="C6566" s="12"/>
      <c r="D6566" s="13"/>
      <c r="E6566" s="13"/>
      <c r="F6566" s="13"/>
      <c r="G6566" s="12"/>
      <c r="H6566" s="11"/>
    </row>
    <row r="6567" spans="3:8" x14ac:dyDescent="0.25">
      <c r="C6567" s="12"/>
      <c r="D6567" s="13"/>
      <c r="E6567" s="13"/>
      <c r="F6567" s="13"/>
      <c r="G6567" s="12"/>
      <c r="H6567" s="11"/>
    </row>
    <row r="6568" spans="3:8" x14ac:dyDescent="0.25">
      <c r="C6568" s="12"/>
      <c r="D6568" s="13"/>
      <c r="E6568" s="13"/>
      <c r="F6568" s="13"/>
      <c r="G6568" s="12"/>
      <c r="H6568" s="11"/>
    </row>
    <row r="6569" spans="3:8" x14ac:dyDescent="0.25">
      <c r="C6569" s="12"/>
      <c r="D6569" s="13"/>
      <c r="E6569" s="13"/>
      <c r="F6569" s="13"/>
      <c r="G6569" s="12"/>
      <c r="H6569" s="11"/>
    </row>
    <row r="6570" spans="3:8" x14ac:dyDescent="0.25">
      <c r="C6570" s="12"/>
      <c r="D6570" s="13"/>
      <c r="E6570" s="13"/>
      <c r="F6570" s="13"/>
      <c r="G6570" s="12"/>
      <c r="H6570" s="11"/>
    </row>
    <row r="6571" spans="3:8" x14ac:dyDescent="0.25">
      <c r="C6571" s="12"/>
      <c r="D6571" s="13"/>
      <c r="E6571" s="13"/>
      <c r="F6571" s="13"/>
      <c r="G6571" s="12"/>
      <c r="H6571" s="11"/>
    </row>
    <row r="6572" spans="3:8" x14ac:dyDescent="0.25">
      <c r="C6572" s="12"/>
      <c r="D6572" s="13"/>
      <c r="E6572" s="13"/>
      <c r="F6572" s="13"/>
      <c r="G6572" s="12"/>
      <c r="H6572" s="11"/>
    </row>
    <row r="6573" spans="3:8" x14ac:dyDescent="0.25">
      <c r="C6573" s="12"/>
      <c r="D6573" s="13"/>
      <c r="E6573" s="13"/>
      <c r="F6573" s="13"/>
      <c r="G6573" s="12"/>
      <c r="H6573" s="11"/>
    </row>
    <row r="6574" spans="3:8" x14ac:dyDescent="0.25">
      <c r="C6574" s="12"/>
      <c r="D6574" s="13"/>
      <c r="E6574" s="13"/>
      <c r="F6574" s="13"/>
      <c r="G6574" s="12"/>
      <c r="H6574" s="11"/>
    </row>
    <row r="6575" spans="3:8" x14ac:dyDescent="0.25">
      <c r="C6575" s="12"/>
      <c r="D6575" s="13"/>
      <c r="E6575" s="13"/>
      <c r="F6575" s="13"/>
      <c r="G6575" s="12"/>
      <c r="H6575" s="11"/>
    </row>
    <row r="6576" spans="3:8" x14ac:dyDescent="0.25">
      <c r="C6576" s="12"/>
      <c r="D6576" s="13"/>
      <c r="E6576" s="13"/>
      <c r="F6576" s="13"/>
      <c r="G6576" s="12"/>
      <c r="H6576" s="11"/>
    </row>
    <row r="6577" spans="3:8" x14ac:dyDescent="0.25">
      <c r="C6577" s="12"/>
      <c r="D6577" s="13"/>
      <c r="E6577" s="13"/>
      <c r="F6577" s="13"/>
      <c r="G6577" s="12"/>
      <c r="H6577" s="11"/>
    </row>
    <row r="6578" spans="3:8" x14ac:dyDescent="0.25">
      <c r="C6578" s="12"/>
      <c r="D6578" s="13"/>
      <c r="E6578" s="13"/>
      <c r="F6578" s="13"/>
      <c r="G6578" s="12"/>
      <c r="H6578" s="11"/>
    </row>
    <row r="6579" spans="3:8" x14ac:dyDescent="0.25">
      <c r="C6579" s="12"/>
      <c r="D6579" s="13"/>
      <c r="E6579" s="13"/>
      <c r="F6579" s="13"/>
      <c r="G6579" s="12"/>
      <c r="H6579" s="11"/>
    </row>
    <row r="6580" spans="3:8" x14ac:dyDescent="0.25">
      <c r="C6580" s="12"/>
      <c r="D6580" s="13"/>
      <c r="E6580" s="13"/>
      <c r="F6580" s="13"/>
      <c r="G6580" s="12"/>
      <c r="H6580" s="11"/>
    </row>
    <row r="6581" spans="3:8" x14ac:dyDescent="0.25">
      <c r="C6581" s="12"/>
      <c r="D6581" s="13"/>
      <c r="E6581" s="13"/>
      <c r="F6581" s="13"/>
      <c r="G6581" s="12"/>
      <c r="H6581" s="11"/>
    </row>
    <row r="6582" spans="3:8" x14ac:dyDescent="0.25">
      <c r="C6582" s="12"/>
      <c r="D6582" s="13"/>
      <c r="E6582" s="13"/>
      <c r="F6582" s="13"/>
      <c r="G6582" s="12"/>
      <c r="H6582" s="11"/>
    </row>
    <row r="6583" spans="3:8" x14ac:dyDescent="0.25">
      <c r="C6583" s="12"/>
      <c r="D6583" s="13"/>
      <c r="E6583" s="13"/>
      <c r="F6583" s="13"/>
      <c r="G6583" s="12"/>
      <c r="H6583" s="11"/>
    </row>
    <row r="6584" spans="3:8" x14ac:dyDescent="0.25">
      <c r="C6584" s="12"/>
      <c r="D6584" s="13"/>
      <c r="E6584" s="13"/>
      <c r="F6584" s="13"/>
      <c r="G6584" s="12"/>
      <c r="H6584" s="11"/>
    </row>
    <row r="6585" spans="3:8" x14ac:dyDescent="0.25">
      <c r="C6585" s="12"/>
      <c r="D6585" s="13"/>
      <c r="E6585" s="13"/>
      <c r="F6585" s="13"/>
      <c r="G6585" s="12"/>
      <c r="H6585" s="11"/>
    </row>
    <row r="6586" spans="3:8" x14ac:dyDescent="0.25">
      <c r="C6586" s="12"/>
      <c r="D6586" s="13"/>
      <c r="E6586" s="13"/>
      <c r="F6586" s="13"/>
      <c r="G6586" s="12"/>
      <c r="H6586" s="11"/>
    </row>
    <row r="6587" spans="3:8" x14ac:dyDescent="0.25">
      <c r="C6587" s="12"/>
      <c r="D6587" s="13"/>
      <c r="E6587" s="13"/>
      <c r="F6587" s="13"/>
      <c r="G6587" s="12"/>
      <c r="H6587" s="11"/>
    </row>
    <row r="6588" spans="3:8" x14ac:dyDescent="0.25">
      <c r="C6588" s="12"/>
      <c r="D6588" s="13"/>
      <c r="E6588" s="13"/>
      <c r="F6588" s="13"/>
      <c r="G6588" s="12"/>
      <c r="H6588" s="11"/>
    </row>
    <row r="6589" spans="3:8" x14ac:dyDescent="0.25">
      <c r="C6589" s="12"/>
      <c r="D6589" s="13"/>
      <c r="E6589" s="13"/>
      <c r="F6589" s="13"/>
      <c r="G6589" s="12"/>
      <c r="H6589" s="11"/>
    </row>
    <row r="6590" spans="3:8" x14ac:dyDescent="0.25">
      <c r="C6590" s="12"/>
      <c r="D6590" s="13"/>
      <c r="E6590" s="13"/>
      <c r="F6590" s="13"/>
      <c r="G6590" s="12"/>
      <c r="H6590" s="11"/>
    </row>
    <row r="6591" spans="3:8" x14ac:dyDescent="0.25">
      <c r="C6591" s="12"/>
      <c r="D6591" s="13"/>
      <c r="E6591" s="13"/>
      <c r="F6591" s="13"/>
      <c r="G6591" s="12"/>
      <c r="H6591" s="11"/>
    </row>
    <row r="6592" spans="3:8" x14ac:dyDescent="0.25">
      <c r="C6592" s="12"/>
      <c r="D6592" s="13"/>
      <c r="E6592" s="13"/>
      <c r="F6592" s="13"/>
      <c r="G6592" s="12"/>
      <c r="H6592" s="11"/>
    </row>
    <row r="6593" spans="3:8" x14ac:dyDescent="0.25">
      <c r="C6593" s="12"/>
      <c r="D6593" s="13"/>
      <c r="E6593" s="13"/>
      <c r="F6593" s="13"/>
      <c r="G6593" s="12"/>
      <c r="H6593" s="11"/>
    </row>
    <row r="6594" spans="3:8" x14ac:dyDescent="0.25">
      <c r="C6594" s="12"/>
      <c r="D6594" s="13"/>
      <c r="E6594" s="13"/>
      <c r="F6594" s="13"/>
      <c r="G6594" s="12"/>
      <c r="H6594" s="11"/>
    </row>
    <row r="6595" spans="3:8" x14ac:dyDescent="0.25">
      <c r="C6595" s="12"/>
      <c r="D6595" s="13"/>
      <c r="E6595" s="13"/>
      <c r="F6595" s="13"/>
      <c r="G6595" s="12"/>
      <c r="H6595" s="11"/>
    </row>
    <row r="6596" spans="3:8" x14ac:dyDescent="0.25">
      <c r="C6596" s="12"/>
      <c r="D6596" s="13"/>
      <c r="E6596" s="13"/>
      <c r="F6596" s="13"/>
      <c r="G6596" s="12"/>
      <c r="H6596" s="11"/>
    </row>
    <row r="6597" spans="3:8" x14ac:dyDescent="0.25">
      <c r="C6597" s="12"/>
      <c r="D6597" s="13"/>
      <c r="E6597" s="13"/>
      <c r="F6597" s="13"/>
      <c r="G6597" s="12"/>
      <c r="H6597" s="11"/>
    </row>
    <row r="6598" spans="3:8" x14ac:dyDescent="0.25">
      <c r="C6598" s="12"/>
      <c r="D6598" s="13"/>
      <c r="E6598" s="13"/>
      <c r="F6598" s="13"/>
      <c r="G6598" s="12"/>
      <c r="H6598" s="11"/>
    </row>
    <row r="6599" spans="3:8" x14ac:dyDescent="0.25">
      <c r="C6599" s="12"/>
      <c r="D6599" s="13"/>
      <c r="E6599" s="13"/>
      <c r="F6599" s="13"/>
      <c r="G6599" s="12"/>
      <c r="H6599" s="11"/>
    </row>
    <row r="6600" spans="3:8" x14ac:dyDescent="0.25">
      <c r="C6600" s="12"/>
      <c r="D6600" s="13"/>
      <c r="E6600" s="13"/>
      <c r="F6600" s="13"/>
      <c r="G6600" s="12"/>
      <c r="H6600" s="11"/>
    </row>
    <row r="6601" spans="3:8" x14ac:dyDescent="0.25">
      <c r="C6601" s="12"/>
      <c r="D6601" s="13"/>
      <c r="E6601" s="13"/>
      <c r="F6601" s="13"/>
      <c r="G6601" s="12"/>
      <c r="H6601" s="11"/>
    </row>
    <row r="6602" spans="3:8" x14ac:dyDescent="0.25">
      <c r="C6602" s="12"/>
      <c r="D6602" s="13"/>
      <c r="E6602" s="13"/>
      <c r="F6602" s="13"/>
      <c r="G6602" s="12"/>
      <c r="H6602" s="11"/>
    </row>
    <row r="6603" spans="3:8" x14ac:dyDescent="0.25">
      <c r="C6603" s="12"/>
      <c r="D6603" s="13"/>
      <c r="E6603" s="13"/>
      <c r="F6603" s="13"/>
      <c r="G6603" s="12"/>
      <c r="H6603" s="11"/>
    </row>
    <row r="6604" spans="3:8" x14ac:dyDescent="0.25">
      <c r="C6604" s="12"/>
      <c r="D6604" s="13"/>
      <c r="E6604" s="13"/>
      <c r="F6604" s="13"/>
      <c r="G6604" s="12"/>
      <c r="H6604" s="11"/>
    </row>
    <row r="6605" spans="3:8" x14ac:dyDescent="0.25">
      <c r="C6605" s="12"/>
      <c r="D6605" s="13"/>
      <c r="E6605" s="13"/>
      <c r="F6605" s="13"/>
      <c r="G6605" s="12"/>
      <c r="H6605" s="11"/>
    </row>
    <row r="6606" spans="3:8" x14ac:dyDescent="0.25">
      <c r="C6606" s="12"/>
      <c r="D6606" s="13"/>
      <c r="E6606" s="13"/>
      <c r="F6606" s="13"/>
      <c r="G6606" s="12"/>
      <c r="H6606" s="11"/>
    </row>
    <row r="6607" spans="3:8" x14ac:dyDescent="0.25">
      <c r="C6607" s="12"/>
      <c r="D6607" s="13"/>
      <c r="E6607" s="13"/>
      <c r="F6607" s="13"/>
      <c r="G6607" s="12"/>
      <c r="H6607" s="11"/>
    </row>
    <row r="6608" spans="3:8" x14ac:dyDescent="0.25">
      <c r="C6608" s="12"/>
      <c r="D6608" s="13"/>
      <c r="E6608" s="13"/>
      <c r="F6608" s="13"/>
      <c r="G6608" s="12"/>
      <c r="H6608" s="11"/>
    </row>
    <row r="6609" spans="3:8" x14ac:dyDescent="0.25">
      <c r="C6609" s="12"/>
      <c r="D6609" s="13"/>
      <c r="E6609" s="13"/>
      <c r="F6609" s="13"/>
      <c r="G6609" s="12"/>
      <c r="H6609" s="11"/>
    </row>
    <row r="6610" spans="3:8" x14ac:dyDescent="0.25">
      <c r="C6610" s="12"/>
      <c r="D6610" s="13"/>
      <c r="E6610" s="13"/>
      <c r="F6610" s="13"/>
      <c r="G6610" s="12"/>
      <c r="H6610" s="11"/>
    </row>
    <row r="6611" spans="3:8" x14ac:dyDescent="0.25">
      <c r="C6611" s="12"/>
      <c r="D6611" s="13"/>
      <c r="E6611" s="13"/>
      <c r="F6611" s="13"/>
      <c r="G6611" s="12"/>
      <c r="H6611" s="11"/>
    </row>
    <row r="6612" spans="3:8" x14ac:dyDescent="0.25">
      <c r="C6612" s="12"/>
      <c r="D6612" s="13"/>
      <c r="E6612" s="13"/>
      <c r="F6612" s="13"/>
      <c r="G6612" s="12"/>
      <c r="H6612" s="11"/>
    </row>
    <row r="6613" spans="3:8" x14ac:dyDescent="0.25">
      <c r="C6613" s="12"/>
      <c r="D6613" s="13"/>
      <c r="E6613" s="13"/>
      <c r="F6613" s="13"/>
      <c r="G6613" s="12"/>
      <c r="H6613" s="11"/>
    </row>
    <row r="6614" spans="3:8" x14ac:dyDescent="0.25">
      <c r="C6614" s="12"/>
      <c r="D6614" s="13"/>
      <c r="E6614" s="13"/>
      <c r="F6614" s="13"/>
      <c r="G6614" s="12"/>
      <c r="H6614" s="11"/>
    </row>
    <row r="6615" spans="3:8" x14ac:dyDescent="0.25">
      <c r="C6615" s="12"/>
      <c r="D6615" s="13"/>
      <c r="E6615" s="13"/>
      <c r="F6615" s="13"/>
      <c r="G6615" s="12"/>
      <c r="H6615" s="11"/>
    </row>
    <row r="6616" spans="3:8" x14ac:dyDescent="0.25">
      <c r="C6616" s="12"/>
      <c r="D6616" s="13"/>
      <c r="E6616" s="13"/>
      <c r="F6616" s="13"/>
      <c r="G6616" s="12"/>
      <c r="H6616" s="11"/>
    </row>
    <row r="6617" spans="3:8" x14ac:dyDescent="0.25">
      <c r="C6617" s="12"/>
      <c r="D6617" s="13"/>
      <c r="E6617" s="13"/>
      <c r="F6617" s="13"/>
      <c r="G6617" s="12"/>
      <c r="H6617" s="11"/>
    </row>
    <row r="6618" spans="3:8" x14ac:dyDescent="0.25">
      <c r="C6618" s="12"/>
      <c r="D6618" s="13"/>
      <c r="E6618" s="13"/>
      <c r="F6618" s="13"/>
      <c r="G6618" s="12"/>
      <c r="H6618" s="11"/>
    </row>
    <row r="6619" spans="3:8" x14ac:dyDescent="0.25">
      <c r="C6619" s="12"/>
      <c r="D6619" s="13"/>
      <c r="E6619" s="13"/>
      <c r="F6619" s="13"/>
      <c r="G6619" s="12"/>
      <c r="H6619" s="11"/>
    </row>
    <row r="6620" spans="3:8" x14ac:dyDescent="0.25">
      <c r="C6620" s="12"/>
      <c r="D6620" s="13"/>
      <c r="E6620" s="13"/>
      <c r="F6620" s="13"/>
      <c r="G6620" s="12"/>
      <c r="H6620" s="11"/>
    </row>
    <row r="6621" spans="3:8" x14ac:dyDescent="0.25">
      <c r="C6621" s="12"/>
      <c r="D6621" s="13"/>
      <c r="E6621" s="13"/>
      <c r="F6621" s="13"/>
      <c r="G6621" s="12"/>
      <c r="H6621" s="11"/>
    </row>
    <row r="6622" spans="3:8" x14ac:dyDescent="0.25">
      <c r="C6622" s="12"/>
      <c r="D6622" s="13"/>
      <c r="E6622" s="13"/>
      <c r="F6622" s="13"/>
      <c r="G6622" s="12"/>
      <c r="H6622" s="11"/>
    </row>
    <row r="6623" spans="3:8" x14ac:dyDescent="0.25">
      <c r="C6623" s="12"/>
      <c r="D6623" s="13"/>
      <c r="E6623" s="13"/>
      <c r="F6623" s="13"/>
      <c r="G6623" s="12"/>
      <c r="H6623" s="11"/>
    </row>
    <row r="6624" spans="3:8" x14ac:dyDescent="0.25">
      <c r="C6624" s="12"/>
      <c r="D6624" s="13"/>
      <c r="E6624" s="13"/>
      <c r="F6624" s="13"/>
      <c r="G6624" s="12"/>
      <c r="H6624" s="11"/>
    </row>
    <row r="6625" spans="3:8" x14ac:dyDescent="0.25">
      <c r="C6625" s="12"/>
      <c r="D6625" s="13"/>
      <c r="E6625" s="13"/>
      <c r="F6625" s="13"/>
      <c r="G6625" s="12"/>
      <c r="H6625" s="11"/>
    </row>
    <row r="6626" spans="3:8" x14ac:dyDescent="0.25">
      <c r="C6626" s="12"/>
      <c r="D6626" s="13"/>
      <c r="E6626" s="13"/>
      <c r="F6626" s="13"/>
      <c r="G6626" s="12"/>
      <c r="H6626" s="11"/>
    </row>
    <row r="6627" spans="3:8" x14ac:dyDescent="0.25">
      <c r="C6627" s="12"/>
      <c r="D6627" s="13"/>
      <c r="E6627" s="13"/>
      <c r="F6627" s="13"/>
      <c r="G6627" s="12"/>
      <c r="H6627" s="11"/>
    </row>
    <row r="6628" spans="3:8" x14ac:dyDescent="0.25">
      <c r="C6628" s="12"/>
      <c r="D6628" s="13"/>
      <c r="E6628" s="13"/>
      <c r="F6628" s="13"/>
      <c r="G6628" s="12"/>
      <c r="H6628" s="11"/>
    </row>
    <row r="6629" spans="3:8" x14ac:dyDescent="0.25">
      <c r="C6629" s="12"/>
      <c r="D6629" s="13"/>
      <c r="E6629" s="13"/>
      <c r="F6629" s="13"/>
      <c r="G6629" s="12"/>
      <c r="H6629" s="11"/>
    </row>
    <row r="6630" spans="3:8" x14ac:dyDescent="0.25">
      <c r="C6630" s="12"/>
      <c r="D6630" s="13"/>
      <c r="E6630" s="13"/>
      <c r="F6630" s="13"/>
      <c r="G6630" s="12"/>
      <c r="H6630" s="11"/>
    </row>
    <row r="6631" spans="3:8" x14ac:dyDescent="0.25">
      <c r="C6631" s="12"/>
      <c r="D6631" s="13"/>
      <c r="E6631" s="13"/>
      <c r="F6631" s="13"/>
      <c r="G6631" s="12"/>
      <c r="H6631" s="11"/>
    </row>
    <row r="6632" spans="3:8" x14ac:dyDescent="0.25">
      <c r="C6632" s="12"/>
      <c r="D6632" s="13"/>
      <c r="E6632" s="13"/>
      <c r="F6632" s="13"/>
      <c r="G6632" s="12"/>
      <c r="H6632" s="11"/>
    </row>
    <row r="6633" spans="3:8" x14ac:dyDescent="0.25">
      <c r="C6633" s="12"/>
      <c r="D6633" s="13"/>
      <c r="E6633" s="13"/>
      <c r="F6633" s="13"/>
      <c r="G6633" s="12"/>
      <c r="H6633" s="11"/>
    </row>
    <row r="6634" spans="3:8" x14ac:dyDescent="0.25">
      <c r="C6634" s="12"/>
      <c r="D6634" s="13"/>
      <c r="E6634" s="13"/>
      <c r="F6634" s="13"/>
      <c r="G6634" s="12"/>
      <c r="H6634" s="11"/>
    </row>
    <row r="6635" spans="3:8" x14ac:dyDescent="0.25">
      <c r="C6635" s="12"/>
      <c r="D6635" s="13"/>
      <c r="E6635" s="13"/>
      <c r="F6635" s="13"/>
      <c r="G6635" s="12"/>
      <c r="H6635" s="11"/>
    </row>
    <row r="6636" spans="3:8" x14ac:dyDescent="0.25">
      <c r="C6636" s="12"/>
      <c r="D6636" s="13"/>
      <c r="E6636" s="13"/>
      <c r="F6636" s="13"/>
      <c r="G6636" s="12"/>
      <c r="H6636" s="11"/>
    </row>
    <row r="6637" spans="3:8" x14ac:dyDescent="0.25">
      <c r="C6637" s="12"/>
      <c r="D6637" s="13"/>
      <c r="E6637" s="13"/>
      <c r="F6637" s="13"/>
      <c r="G6637" s="12"/>
      <c r="H6637" s="11"/>
    </row>
    <row r="6638" spans="3:8" x14ac:dyDescent="0.25">
      <c r="C6638" s="12"/>
      <c r="D6638" s="13"/>
      <c r="E6638" s="13"/>
      <c r="F6638" s="13"/>
      <c r="G6638" s="12"/>
      <c r="H6638" s="11"/>
    </row>
    <row r="6639" spans="3:8" x14ac:dyDescent="0.25">
      <c r="C6639" s="12"/>
      <c r="D6639" s="13"/>
      <c r="E6639" s="13"/>
      <c r="F6639" s="13"/>
      <c r="G6639" s="12"/>
      <c r="H6639" s="11"/>
    </row>
    <row r="6640" spans="3:8" x14ac:dyDescent="0.25">
      <c r="C6640" s="12"/>
      <c r="D6640" s="13"/>
      <c r="E6640" s="13"/>
      <c r="F6640" s="13"/>
      <c r="G6640" s="12"/>
      <c r="H6640" s="11"/>
    </row>
    <row r="6641" spans="3:8" x14ac:dyDescent="0.25">
      <c r="C6641" s="12"/>
      <c r="D6641" s="13"/>
      <c r="E6641" s="13"/>
      <c r="F6641" s="13"/>
      <c r="G6641" s="12"/>
      <c r="H6641" s="11"/>
    </row>
    <row r="6642" spans="3:8" x14ac:dyDescent="0.25">
      <c r="C6642" s="12"/>
      <c r="D6642" s="13"/>
      <c r="E6642" s="13"/>
      <c r="F6642" s="13"/>
      <c r="G6642" s="12"/>
      <c r="H6642" s="11"/>
    </row>
    <row r="6643" spans="3:8" x14ac:dyDescent="0.25">
      <c r="C6643" s="12"/>
      <c r="D6643" s="13"/>
      <c r="E6643" s="13"/>
      <c r="F6643" s="13"/>
      <c r="G6643" s="12"/>
      <c r="H6643" s="11"/>
    </row>
    <row r="6644" spans="3:8" x14ac:dyDescent="0.25">
      <c r="C6644" s="12"/>
      <c r="D6644" s="13"/>
      <c r="E6644" s="13"/>
      <c r="F6644" s="13"/>
      <c r="G6644" s="12"/>
      <c r="H6644" s="11"/>
    </row>
    <row r="6645" spans="3:8" x14ac:dyDescent="0.25">
      <c r="C6645" s="12"/>
      <c r="D6645" s="13"/>
      <c r="E6645" s="13"/>
      <c r="F6645" s="13"/>
      <c r="G6645" s="12"/>
      <c r="H6645" s="11"/>
    </row>
    <row r="6646" spans="3:8" x14ac:dyDescent="0.25">
      <c r="C6646" s="12"/>
      <c r="D6646" s="13"/>
      <c r="E6646" s="13"/>
      <c r="F6646" s="13"/>
      <c r="G6646" s="12"/>
      <c r="H6646" s="11"/>
    </row>
    <row r="6647" spans="3:8" x14ac:dyDescent="0.25">
      <c r="C6647" s="12"/>
      <c r="D6647" s="13"/>
      <c r="E6647" s="13"/>
      <c r="F6647" s="13"/>
      <c r="G6647" s="12"/>
      <c r="H6647" s="11"/>
    </row>
    <row r="6648" spans="3:8" x14ac:dyDescent="0.25">
      <c r="C6648" s="12"/>
      <c r="D6648" s="13"/>
      <c r="E6648" s="13"/>
      <c r="F6648" s="13"/>
      <c r="G6648" s="12"/>
      <c r="H6648" s="11"/>
    </row>
    <row r="6649" spans="3:8" x14ac:dyDescent="0.25">
      <c r="C6649" s="12"/>
      <c r="D6649" s="13"/>
      <c r="E6649" s="13"/>
      <c r="F6649" s="13"/>
      <c r="G6649" s="12"/>
      <c r="H6649" s="11"/>
    </row>
    <row r="6650" spans="3:8" x14ac:dyDescent="0.25">
      <c r="C6650" s="12"/>
      <c r="D6650" s="13"/>
      <c r="E6650" s="13"/>
      <c r="F6650" s="13"/>
      <c r="G6650" s="12"/>
      <c r="H6650" s="11"/>
    </row>
    <row r="6651" spans="3:8" x14ac:dyDescent="0.25">
      <c r="C6651" s="12"/>
      <c r="D6651" s="13"/>
      <c r="E6651" s="13"/>
      <c r="F6651" s="13"/>
      <c r="G6651" s="12"/>
      <c r="H6651" s="11"/>
    </row>
    <row r="6652" spans="3:8" x14ac:dyDescent="0.25">
      <c r="C6652" s="12"/>
      <c r="D6652" s="13"/>
      <c r="E6652" s="13"/>
      <c r="F6652" s="13"/>
      <c r="G6652" s="12"/>
      <c r="H6652" s="11"/>
    </row>
    <row r="6653" spans="3:8" x14ac:dyDescent="0.25">
      <c r="C6653" s="12"/>
      <c r="D6653" s="13"/>
      <c r="E6653" s="13"/>
      <c r="F6653" s="13"/>
      <c r="G6653" s="12"/>
      <c r="H6653" s="11"/>
    </row>
    <row r="6654" spans="3:8" x14ac:dyDescent="0.25">
      <c r="C6654" s="12"/>
      <c r="D6654" s="13"/>
      <c r="E6654" s="13"/>
      <c r="F6654" s="13"/>
      <c r="G6654" s="12"/>
      <c r="H6654" s="11"/>
    </row>
    <row r="6655" spans="3:8" x14ac:dyDescent="0.25">
      <c r="C6655" s="12"/>
      <c r="D6655" s="13"/>
      <c r="E6655" s="13"/>
      <c r="F6655" s="13"/>
      <c r="G6655" s="12"/>
      <c r="H6655" s="11"/>
    </row>
    <row r="6656" spans="3:8" x14ac:dyDescent="0.25">
      <c r="C6656" s="12"/>
      <c r="D6656" s="13"/>
      <c r="E6656" s="13"/>
      <c r="F6656" s="13"/>
      <c r="G6656" s="12"/>
      <c r="H6656" s="11"/>
    </row>
    <row r="6657" spans="3:8" x14ac:dyDescent="0.25">
      <c r="C6657" s="12"/>
      <c r="D6657" s="13"/>
      <c r="E6657" s="13"/>
      <c r="F6657" s="13"/>
      <c r="G6657" s="12"/>
      <c r="H6657" s="11"/>
    </row>
    <row r="6658" spans="3:8" x14ac:dyDescent="0.25">
      <c r="C6658" s="12"/>
      <c r="D6658" s="13"/>
      <c r="E6658" s="13"/>
      <c r="F6658" s="13"/>
      <c r="G6658" s="12"/>
      <c r="H6658" s="11"/>
    </row>
    <row r="6659" spans="3:8" x14ac:dyDescent="0.25">
      <c r="C6659" s="12"/>
      <c r="D6659" s="13"/>
      <c r="E6659" s="13"/>
      <c r="F6659" s="13"/>
      <c r="G6659" s="12"/>
      <c r="H6659" s="11"/>
    </row>
    <row r="6660" spans="3:8" x14ac:dyDescent="0.25">
      <c r="C6660" s="12"/>
      <c r="D6660" s="13"/>
      <c r="E6660" s="13"/>
      <c r="F6660" s="13"/>
      <c r="G6660" s="12"/>
      <c r="H6660" s="11"/>
    </row>
    <row r="6661" spans="3:8" x14ac:dyDescent="0.25">
      <c r="C6661" s="12"/>
      <c r="D6661" s="13"/>
      <c r="E6661" s="13"/>
      <c r="F6661" s="13"/>
      <c r="G6661" s="12"/>
      <c r="H6661" s="11"/>
    </row>
    <row r="6662" spans="3:8" x14ac:dyDescent="0.25">
      <c r="C6662" s="12"/>
      <c r="D6662" s="13"/>
      <c r="E6662" s="13"/>
      <c r="F6662" s="13"/>
      <c r="G6662" s="12"/>
      <c r="H6662" s="11"/>
    </row>
    <row r="6663" spans="3:8" x14ac:dyDescent="0.25">
      <c r="C6663" s="12"/>
      <c r="D6663" s="13"/>
      <c r="E6663" s="13"/>
      <c r="F6663" s="13"/>
      <c r="G6663" s="12"/>
      <c r="H6663" s="11"/>
    </row>
    <row r="6664" spans="3:8" x14ac:dyDescent="0.25">
      <c r="C6664" s="12"/>
      <c r="D6664" s="13"/>
      <c r="E6664" s="13"/>
      <c r="F6664" s="13"/>
      <c r="G6664" s="12"/>
      <c r="H6664" s="11"/>
    </row>
    <row r="6665" spans="3:8" x14ac:dyDescent="0.25">
      <c r="C6665" s="12"/>
      <c r="D6665" s="13"/>
      <c r="E6665" s="13"/>
      <c r="F6665" s="13"/>
      <c r="G6665" s="12"/>
      <c r="H6665" s="11"/>
    </row>
    <row r="6666" spans="3:8" x14ac:dyDescent="0.25">
      <c r="C6666" s="12"/>
      <c r="D6666" s="13"/>
      <c r="E6666" s="13"/>
      <c r="F6666" s="13"/>
      <c r="G6666" s="12"/>
      <c r="H6666" s="11"/>
    </row>
    <row r="6667" spans="3:8" x14ac:dyDescent="0.25">
      <c r="C6667" s="12"/>
      <c r="D6667" s="13"/>
      <c r="E6667" s="13"/>
      <c r="F6667" s="13"/>
      <c r="G6667" s="12"/>
      <c r="H6667" s="11"/>
    </row>
    <row r="6668" spans="3:8" x14ac:dyDescent="0.25">
      <c r="C6668" s="12"/>
      <c r="D6668" s="13"/>
      <c r="E6668" s="13"/>
      <c r="F6668" s="13"/>
      <c r="G6668" s="12"/>
      <c r="H6668" s="11"/>
    </row>
    <row r="6669" spans="3:8" x14ac:dyDescent="0.25">
      <c r="C6669" s="12"/>
      <c r="D6669" s="13"/>
      <c r="E6669" s="13"/>
      <c r="F6669" s="13"/>
      <c r="G6669" s="12"/>
      <c r="H6669" s="11"/>
    </row>
    <row r="6670" spans="3:8" x14ac:dyDescent="0.25">
      <c r="C6670" s="12"/>
      <c r="D6670" s="13"/>
      <c r="E6670" s="13"/>
      <c r="F6670" s="13"/>
      <c r="G6670" s="12"/>
      <c r="H6670" s="11"/>
    </row>
    <row r="6671" spans="3:8" x14ac:dyDescent="0.25">
      <c r="C6671" s="12"/>
      <c r="D6671" s="13"/>
      <c r="E6671" s="13"/>
      <c r="F6671" s="13"/>
      <c r="G6671" s="12"/>
      <c r="H6671" s="11"/>
    </row>
    <row r="6672" spans="3:8" x14ac:dyDescent="0.25">
      <c r="C6672" s="12"/>
      <c r="D6672" s="13"/>
      <c r="E6672" s="13"/>
      <c r="F6672" s="13"/>
      <c r="G6672" s="12"/>
      <c r="H6672" s="11"/>
    </row>
    <row r="6673" spans="3:8" x14ac:dyDescent="0.25">
      <c r="C6673" s="12"/>
      <c r="D6673" s="13"/>
      <c r="E6673" s="13"/>
      <c r="F6673" s="13"/>
      <c r="G6673" s="12"/>
      <c r="H6673" s="11"/>
    </row>
    <row r="6674" spans="3:8" x14ac:dyDescent="0.25">
      <c r="C6674" s="12"/>
      <c r="D6674" s="13"/>
      <c r="E6674" s="13"/>
      <c r="F6674" s="13"/>
      <c r="G6674" s="12"/>
      <c r="H6674" s="11"/>
    </row>
    <row r="6675" spans="3:8" x14ac:dyDescent="0.25">
      <c r="C6675" s="12"/>
      <c r="D6675" s="13"/>
      <c r="E6675" s="13"/>
      <c r="F6675" s="13"/>
      <c r="G6675" s="12"/>
      <c r="H6675" s="11"/>
    </row>
    <row r="6676" spans="3:8" x14ac:dyDescent="0.25">
      <c r="C6676" s="12"/>
      <c r="D6676" s="13"/>
      <c r="E6676" s="13"/>
      <c r="F6676" s="13"/>
      <c r="G6676" s="12"/>
      <c r="H6676" s="11"/>
    </row>
    <row r="6677" spans="3:8" x14ac:dyDescent="0.25">
      <c r="C6677" s="12"/>
      <c r="D6677" s="13"/>
      <c r="E6677" s="13"/>
      <c r="F6677" s="13"/>
      <c r="G6677" s="12"/>
      <c r="H6677" s="11"/>
    </row>
    <row r="6678" spans="3:8" x14ac:dyDescent="0.25">
      <c r="C6678" s="12"/>
      <c r="D6678" s="13"/>
      <c r="E6678" s="13"/>
      <c r="F6678" s="13"/>
      <c r="G6678" s="12"/>
      <c r="H6678" s="11"/>
    </row>
    <row r="6679" spans="3:8" x14ac:dyDescent="0.25">
      <c r="C6679" s="12"/>
      <c r="D6679" s="13"/>
      <c r="E6679" s="13"/>
      <c r="F6679" s="13"/>
      <c r="G6679" s="12"/>
      <c r="H6679" s="11"/>
    </row>
    <row r="6680" spans="3:8" x14ac:dyDescent="0.25">
      <c r="C6680" s="12"/>
      <c r="D6680" s="13"/>
      <c r="E6680" s="13"/>
      <c r="F6680" s="13"/>
      <c r="G6680" s="12"/>
      <c r="H6680" s="11"/>
    </row>
    <row r="6681" spans="3:8" x14ac:dyDescent="0.25">
      <c r="C6681" s="12"/>
      <c r="D6681" s="13"/>
      <c r="E6681" s="13"/>
      <c r="F6681" s="13"/>
      <c r="G6681" s="12"/>
      <c r="H6681" s="11"/>
    </row>
    <row r="6682" spans="3:8" x14ac:dyDescent="0.25">
      <c r="C6682" s="12"/>
      <c r="D6682" s="13"/>
      <c r="E6682" s="13"/>
      <c r="F6682" s="13"/>
      <c r="G6682" s="12"/>
      <c r="H6682" s="11"/>
    </row>
    <row r="6683" spans="3:8" x14ac:dyDescent="0.25">
      <c r="C6683" s="12"/>
      <c r="D6683" s="13"/>
      <c r="E6683" s="13"/>
      <c r="F6683" s="13"/>
      <c r="G6683" s="12"/>
      <c r="H6683" s="11"/>
    </row>
    <row r="6684" spans="3:8" x14ac:dyDescent="0.25">
      <c r="C6684" s="12"/>
      <c r="D6684" s="13"/>
      <c r="E6684" s="13"/>
      <c r="F6684" s="13"/>
      <c r="G6684" s="12"/>
      <c r="H6684" s="11"/>
    </row>
    <row r="6685" spans="3:8" x14ac:dyDescent="0.25">
      <c r="C6685" s="12"/>
      <c r="D6685" s="13"/>
      <c r="E6685" s="13"/>
      <c r="F6685" s="13"/>
      <c r="G6685" s="12"/>
      <c r="H6685" s="11"/>
    </row>
    <row r="6686" spans="3:8" x14ac:dyDescent="0.25">
      <c r="C6686" s="12"/>
      <c r="D6686" s="13"/>
      <c r="E6686" s="13"/>
      <c r="F6686" s="13"/>
      <c r="G6686" s="12"/>
      <c r="H6686" s="11"/>
    </row>
    <row r="6687" spans="3:8" x14ac:dyDescent="0.25">
      <c r="C6687" s="12"/>
      <c r="D6687" s="13"/>
      <c r="E6687" s="13"/>
      <c r="F6687" s="13"/>
      <c r="G6687" s="12"/>
      <c r="H6687" s="11"/>
    </row>
    <row r="6688" spans="3:8" x14ac:dyDescent="0.25">
      <c r="C6688" s="12"/>
      <c r="D6688" s="13"/>
      <c r="E6688" s="13"/>
      <c r="F6688" s="13"/>
      <c r="G6688" s="12"/>
      <c r="H6688" s="11"/>
    </row>
    <row r="6689" spans="3:8" x14ac:dyDescent="0.25">
      <c r="C6689" s="12"/>
      <c r="D6689" s="13"/>
      <c r="E6689" s="13"/>
      <c r="F6689" s="13"/>
      <c r="G6689" s="12"/>
      <c r="H6689" s="11"/>
    </row>
    <row r="6690" spans="3:8" x14ac:dyDescent="0.25">
      <c r="C6690" s="12"/>
      <c r="D6690" s="13"/>
      <c r="E6690" s="13"/>
      <c r="F6690" s="13"/>
      <c r="G6690" s="12"/>
      <c r="H6690" s="11"/>
    </row>
    <row r="6691" spans="3:8" x14ac:dyDescent="0.25">
      <c r="C6691" s="12"/>
      <c r="D6691" s="13"/>
      <c r="E6691" s="13"/>
      <c r="F6691" s="13"/>
      <c r="G6691" s="12"/>
      <c r="H6691" s="11"/>
    </row>
    <row r="6692" spans="3:8" x14ac:dyDescent="0.25">
      <c r="C6692" s="12"/>
      <c r="D6692" s="13"/>
      <c r="E6692" s="13"/>
      <c r="F6692" s="13"/>
      <c r="G6692" s="12"/>
      <c r="H6692" s="11"/>
    </row>
    <row r="6693" spans="3:8" x14ac:dyDescent="0.25">
      <c r="C6693" s="12"/>
      <c r="D6693" s="13"/>
      <c r="E6693" s="13"/>
      <c r="F6693" s="13"/>
      <c r="G6693" s="12"/>
      <c r="H6693" s="11"/>
    </row>
    <row r="6694" spans="3:8" x14ac:dyDescent="0.25">
      <c r="C6694" s="12"/>
      <c r="D6694" s="13"/>
      <c r="E6694" s="13"/>
      <c r="F6694" s="13"/>
      <c r="G6694" s="12"/>
      <c r="H6694" s="11"/>
    </row>
    <row r="6695" spans="3:8" x14ac:dyDescent="0.25">
      <c r="C6695" s="12"/>
      <c r="D6695" s="13"/>
      <c r="E6695" s="13"/>
      <c r="F6695" s="13"/>
      <c r="G6695" s="12"/>
      <c r="H6695" s="11"/>
    </row>
    <row r="6696" spans="3:8" x14ac:dyDescent="0.25">
      <c r="C6696" s="12"/>
      <c r="D6696" s="13"/>
      <c r="E6696" s="13"/>
      <c r="F6696" s="13"/>
      <c r="G6696" s="12"/>
      <c r="H6696" s="11"/>
    </row>
    <row r="6697" spans="3:8" x14ac:dyDescent="0.25">
      <c r="C6697" s="12"/>
      <c r="D6697" s="13"/>
      <c r="E6697" s="13"/>
      <c r="F6697" s="13"/>
      <c r="G6697" s="12"/>
      <c r="H6697" s="11"/>
    </row>
    <row r="6698" spans="3:8" x14ac:dyDescent="0.25">
      <c r="C6698" s="12"/>
      <c r="D6698" s="13"/>
      <c r="E6698" s="13"/>
      <c r="F6698" s="13"/>
      <c r="G6698" s="12"/>
      <c r="H6698" s="11"/>
    </row>
    <row r="6699" spans="3:8" x14ac:dyDescent="0.25">
      <c r="C6699" s="12"/>
      <c r="D6699" s="13"/>
      <c r="E6699" s="13"/>
      <c r="F6699" s="13"/>
      <c r="G6699" s="12"/>
      <c r="H6699" s="11"/>
    </row>
    <row r="6700" spans="3:8" x14ac:dyDescent="0.25">
      <c r="C6700" s="12"/>
      <c r="D6700" s="13"/>
      <c r="E6700" s="13"/>
      <c r="F6700" s="13"/>
      <c r="G6700" s="12"/>
      <c r="H6700" s="11"/>
    </row>
    <row r="6701" spans="3:8" x14ac:dyDescent="0.25">
      <c r="C6701" s="12"/>
      <c r="D6701" s="13"/>
      <c r="E6701" s="13"/>
      <c r="F6701" s="13"/>
      <c r="G6701" s="12"/>
      <c r="H6701" s="11"/>
    </row>
    <row r="6702" spans="3:8" x14ac:dyDescent="0.25">
      <c r="C6702" s="12"/>
      <c r="D6702" s="13"/>
      <c r="E6702" s="13"/>
      <c r="F6702" s="13"/>
      <c r="G6702" s="12"/>
      <c r="H6702" s="11"/>
    </row>
    <row r="6703" spans="3:8" x14ac:dyDescent="0.25">
      <c r="C6703" s="12"/>
      <c r="D6703" s="13"/>
      <c r="E6703" s="13"/>
      <c r="F6703" s="13"/>
      <c r="G6703" s="12"/>
      <c r="H6703" s="11"/>
    </row>
    <row r="6704" spans="3:8" x14ac:dyDescent="0.25">
      <c r="C6704" s="12"/>
      <c r="D6704" s="13"/>
      <c r="E6704" s="13"/>
      <c r="F6704" s="13"/>
      <c r="G6704" s="12"/>
      <c r="H6704" s="11"/>
    </row>
    <row r="6705" spans="3:8" x14ac:dyDescent="0.25">
      <c r="C6705" s="12"/>
      <c r="D6705" s="13"/>
      <c r="E6705" s="13"/>
      <c r="F6705" s="13"/>
      <c r="G6705" s="12"/>
      <c r="H6705" s="11"/>
    </row>
    <row r="6706" spans="3:8" x14ac:dyDescent="0.25">
      <c r="C6706" s="12"/>
      <c r="D6706" s="13"/>
      <c r="E6706" s="13"/>
      <c r="F6706" s="13"/>
      <c r="G6706" s="12"/>
      <c r="H6706" s="11"/>
    </row>
    <row r="6707" spans="3:8" x14ac:dyDescent="0.25">
      <c r="C6707" s="12"/>
      <c r="D6707" s="13"/>
      <c r="E6707" s="13"/>
      <c r="F6707" s="13"/>
      <c r="G6707" s="12"/>
      <c r="H6707" s="11"/>
    </row>
    <row r="6708" spans="3:8" x14ac:dyDescent="0.25">
      <c r="C6708" s="12"/>
      <c r="D6708" s="13"/>
      <c r="E6708" s="13"/>
      <c r="F6708" s="13"/>
      <c r="G6708" s="12"/>
      <c r="H6708" s="11"/>
    </row>
    <row r="6709" spans="3:8" x14ac:dyDescent="0.25">
      <c r="C6709" s="12"/>
      <c r="D6709" s="13"/>
      <c r="E6709" s="13"/>
      <c r="F6709" s="13"/>
      <c r="G6709" s="12"/>
      <c r="H6709" s="11"/>
    </row>
    <row r="6710" spans="3:8" x14ac:dyDescent="0.25">
      <c r="C6710" s="12"/>
      <c r="D6710" s="13"/>
      <c r="E6710" s="13"/>
      <c r="F6710" s="13"/>
      <c r="G6710" s="12"/>
      <c r="H6710" s="11"/>
    </row>
    <row r="6711" spans="3:8" x14ac:dyDescent="0.25">
      <c r="C6711" s="12"/>
      <c r="D6711" s="13"/>
      <c r="E6711" s="13"/>
      <c r="F6711" s="13"/>
      <c r="G6711" s="12"/>
      <c r="H6711" s="11"/>
    </row>
    <row r="6712" spans="3:8" x14ac:dyDescent="0.25">
      <c r="C6712" s="12"/>
      <c r="D6712" s="13"/>
      <c r="E6712" s="13"/>
      <c r="F6712" s="13"/>
      <c r="G6712" s="12"/>
      <c r="H6712" s="11"/>
    </row>
    <row r="6713" spans="3:8" x14ac:dyDescent="0.25">
      <c r="C6713" s="12"/>
      <c r="D6713" s="13"/>
      <c r="E6713" s="13"/>
      <c r="F6713" s="13"/>
      <c r="G6713" s="12"/>
      <c r="H6713" s="11"/>
    </row>
    <row r="6714" spans="3:8" x14ac:dyDescent="0.25">
      <c r="C6714" s="12"/>
      <c r="D6714" s="13"/>
      <c r="E6714" s="13"/>
      <c r="F6714" s="13"/>
      <c r="G6714" s="12"/>
      <c r="H6714" s="11"/>
    </row>
    <row r="6715" spans="3:8" x14ac:dyDescent="0.25">
      <c r="C6715" s="12"/>
      <c r="D6715" s="13"/>
      <c r="E6715" s="13"/>
      <c r="F6715" s="13"/>
      <c r="G6715" s="12"/>
      <c r="H6715" s="11"/>
    </row>
    <row r="6716" spans="3:8" x14ac:dyDescent="0.25">
      <c r="C6716" s="12"/>
      <c r="D6716" s="13"/>
      <c r="E6716" s="13"/>
      <c r="F6716" s="13"/>
      <c r="G6716" s="12"/>
      <c r="H6716" s="11"/>
    </row>
    <row r="6717" spans="3:8" x14ac:dyDescent="0.25">
      <c r="C6717" s="12"/>
      <c r="D6717" s="13"/>
      <c r="E6717" s="13"/>
      <c r="F6717" s="13"/>
      <c r="G6717" s="12"/>
      <c r="H6717" s="11"/>
    </row>
    <row r="6718" spans="3:8" x14ac:dyDescent="0.25">
      <c r="C6718" s="12"/>
      <c r="D6718" s="13"/>
      <c r="E6718" s="13"/>
      <c r="F6718" s="13"/>
      <c r="G6718" s="12"/>
      <c r="H6718" s="11"/>
    </row>
    <row r="6719" spans="3:8" x14ac:dyDescent="0.25">
      <c r="C6719" s="12"/>
      <c r="D6719" s="13"/>
      <c r="E6719" s="13"/>
      <c r="F6719" s="13"/>
      <c r="G6719" s="12"/>
      <c r="H6719" s="11"/>
    </row>
    <row r="6720" spans="3:8" x14ac:dyDescent="0.25">
      <c r="C6720" s="12"/>
      <c r="D6720" s="13"/>
      <c r="E6720" s="13"/>
      <c r="F6720" s="13"/>
      <c r="G6720" s="12"/>
      <c r="H6720" s="11"/>
    </row>
    <row r="6721" spans="3:8" x14ac:dyDescent="0.25">
      <c r="C6721" s="12"/>
      <c r="D6721" s="13"/>
      <c r="E6721" s="13"/>
      <c r="F6721" s="13"/>
      <c r="G6721" s="12"/>
      <c r="H6721" s="11"/>
    </row>
    <row r="6722" spans="3:8" x14ac:dyDescent="0.25">
      <c r="C6722" s="12"/>
      <c r="D6722" s="13"/>
      <c r="E6722" s="13"/>
      <c r="F6722" s="13"/>
      <c r="G6722" s="12"/>
      <c r="H6722" s="11"/>
    </row>
    <row r="6723" spans="3:8" x14ac:dyDescent="0.25">
      <c r="C6723" s="12"/>
      <c r="D6723" s="13"/>
      <c r="E6723" s="13"/>
      <c r="F6723" s="13"/>
      <c r="G6723" s="12"/>
      <c r="H6723" s="11"/>
    </row>
    <row r="6724" spans="3:8" x14ac:dyDescent="0.25">
      <c r="C6724" s="12"/>
      <c r="D6724" s="13"/>
      <c r="E6724" s="13"/>
      <c r="F6724" s="13"/>
      <c r="G6724" s="12"/>
      <c r="H6724" s="11"/>
    </row>
    <row r="6725" spans="3:8" x14ac:dyDescent="0.25">
      <c r="C6725" s="12"/>
      <c r="D6725" s="13"/>
      <c r="E6725" s="13"/>
      <c r="F6725" s="13"/>
      <c r="G6725" s="12"/>
      <c r="H6725" s="11"/>
    </row>
    <row r="6726" spans="3:8" x14ac:dyDescent="0.25">
      <c r="C6726" s="12"/>
      <c r="D6726" s="13"/>
      <c r="E6726" s="13"/>
      <c r="F6726" s="13"/>
      <c r="G6726" s="12"/>
      <c r="H6726" s="11"/>
    </row>
    <row r="6727" spans="3:8" x14ac:dyDescent="0.25">
      <c r="C6727" s="12"/>
      <c r="D6727" s="13"/>
      <c r="E6727" s="13"/>
      <c r="F6727" s="13"/>
      <c r="G6727" s="12"/>
      <c r="H6727" s="11"/>
    </row>
    <row r="6728" spans="3:8" x14ac:dyDescent="0.25">
      <c r="C6728" s="12"/>
      <c r="D6728" s="13"/>
      <c r="E6728" s="13"/>
      <c r="F6728" s="13"/>
      <c r="G6728" s="12"/>
      <c r="H6728" s="11"/>
    </row>
    <row r="6729" spans="3:8" x14ac:dyDescent="0.25">
      <c r="C6729" s="12"/>
      <c r="D6729" s="13"/>
      <c r="E6729" s="13"/>
      <c r="F6729" s="13"/>
      <c r="G6729" s="12"/>
      <c r="H6729" s="11"/>
    </row>
    <row r="6730" spans="3:8" x14ac:dyDescent="0.25">
      <c r="C6730" s="12"/>
      <c r="D6730" s="13"/>
      <c r="E6730" s="13"/>
      <c r="F6730" s="13"/>
      <c r="G6730" s="12"/>
      <c r="H6730" s="11"/>
    </row>
    <row r="6731" spans="3:8" x14ac:dyDescent="0.25">
      <c r="C6731" s="12"/>
      <c r="D6731" s="13"/>
      <c r="E6731" s="13"/>
      <c r="F6731" s="13"/>
      <c r="G6731" s="12"/>
      <c r="H6731" s="11"/>
    </row>
    <row r="6732" spans="3:8" x14ac:dyDescent="0.25">
      <c r="C6732" s="12"/>
      <c r="D6732" s="13"/>
      <c r="E6732" s="13"/>
      <c r="F6732" s="13"/>
      <c r="G6732" s="12"/>
      <c r="H6732" s="11"/>
    </row>
    <row r="6733" spans="3:8" x14ac:dyDescent="0.25">
      <c r="C6733" s="12"/>
      <c r="D6733" s="13"/>
      <c r="E6733" s="13"/>
      <c r="F6733" s="13"/>
      <c r="G6733" s="12"/>
      <c r="H6733" s="11"/>
    </row>
    <row r="6734" spans="3:8" x14ac:dyDescent="0.25">
      <c r="C6734" s="12"/>
      <c r="D6734" s="13"/>
      <c r="E6734" s="13"/>
      <c r="F6734" s="13"/>
      <c r="G6734" s="12"/>
      <c r="H6734" s="11"/>
    </row>
    <row r="6735" spans="3:8" x14ac:dyDescent="0.25">
      <c r="C6735" s="12"/>
      <c r="D6735" s="13"/>
      <c r="E6735" s="13"/>
      <c r="F6735" s="13"/>
      <c r="G6735" s="12"/>
      <c r="H6735" s="11"/>
    </row>
    <row r="6736" spans="3:8" x14ac:dyDescent="0.25">
      <c r="C6736" s="12"/>
      <c r="D6736" s="13"/>
      <c r="E6736" s="13"/>
      <c r="F6736" s="13"/>
      <c r="G6736" s="12"/>
      <c r="H6736" s="11"/>
    </row>
    <row r="6737" spans="3:8" x14ac:dyDescent="0.25">
      <c r="C6737" s="12"/>
      <c r="D6737" s="13"/>
      <c r="E6737" s="13"/>
      <c r="F6737" s="13"/>
      <c r="G6737" s="12"/>
      <c r="H6737" s="11"/>
    </row>
    <row r="6738" spans="3:8" x14ac:dyDescent="0.25">
      <c r="C6738" s="12"/>
      <c r="D6738" s="13"/>
      <c r="E6738" s="13"/>
      <c r="F6738" s="13"/>
      <c r="G6738" s="12"/>
      <c r="H6738" s="11"/>
    </row>
    <row r="6739" spans="3:8" x14ac:dyDescent="0.25">
      <c r="C6739" s="12"/>
      <c r="D6739" s="13"/>
      <c r="E6739" s="13"/>
      <c r="F6739" s="13"/>
      <c r="G6739" s="12"/>
      <c r="H6739" s="11"/>
    </row>
    <row r="6740" spans="3:8" x14ac:dyDescent="0.25">
      <c r="C6740" s="12"/>
      <c r="D6740" s="13"/>
      <c r="E6740" s="13"/>
      <c r="F6740" s="13"/>
      <c r="G6740" s="12"/>
      <c r="H6740" s="11"/>
    </row>
    <row r="6741" spans="3:8" x14ac:dyDescent="0.25">
      <c r="C6741" s="12"/>
      <c r="D6741" s="13"/>
      <c r="E6741" s="13"/>
      <c r="F6741" s="13"/>
      <c r="G6741" s="12"/>
      <c r="H6741" s="11"/>
    </row>
    <row r="6742" spans="3:8" x14ac:dyDescent="0.25">
      <c r="C6742" s="12"/>
      <c r="D6742" s="13"/>
      <c r="E6742" s="13"/>
      <c r="F6742" s="13"/>
      <c r="G6742" s="12"/>
      <c r="H6742" s="11"/>
    </row>
    <row r="6743" spans="3:8" x14ac:dyDescent="0.25">
      <c r="C6743" s="12"/>
      <c r="D6743" s="13"/>
      <c r="E6743" s="13"/>
      <c r="F6743" s="13"/>
      <c r="G6743" s="12"/>
      <c r="H6743" s="11"/>
    </row>
    <row r="6744" spans="3:8" x14ac:dyDescent="0.25">
      <c r="C6744" s="12"/>
      <c r="D6744" s="13"/>
      <c r="E6744" s="13"/>
      <c r="F6744" s="13"/>
      <c r="G6744" s="12"/>
      <c r="H6744" s="11"/>
    </row>
    <row r="6745" spans="3:8" x14ac:dyDescent="0.25">
      <c r="C6745" s="12"/>
      <c r="D6745" s="13"/>
      <c r="E6745" s="13"/>
      <c r="F6745" s="13"/>
      <c r="G6745" s="12"/>
      <c r="H6745" s="11"/>
    </row>
    <row r="6746" spans="3:8" x14ac:dyDescent="0.25">
      <c r="C6746" s="12"/>
      <c r="D6746" s="13"/>
      <c r="E6746" s="13"/>
      <c r="F6746" s="13"/>
      <c r="G6746" s="12"/>
      <c r="H6746" s="11"/>
    </row>
    <row r="6747" spans="3:8" x14ac:dyDescent="0.25">
      <c r="C6747" s="12"/>
      <c r="D6747" s="13"/>
      <c r="E6747" s="13"/>
      <c r="F6747" s="13"/>
      <c r="G6747" s="12"/>
      <c r="H6747" s="11"/>
    </row>
    <row r="6748" spans="3:8" x14ac:dyDescent="0.25">
      <c r="C6748" s="12"/>
      <c r="D6748" s="13"/>
      <c r="E6748" s="13"/>
      <c r="F6748" s="13"/>
      <c r="G6748" s="12"/>
      <c r="H6748" s="11"/>
    </row>
    <row r="6749" spans="3:8" x14ac:dyDescent="0.25">
      <c r="C6749" s="12"/>
      <c r="D6749" s="13"/>
      <c r="E6749" s="13"/>
      <c r="F6749" s="13"/>
      <c r="G6749" s="12"/>
      <c r="H6749" s="11"/>
    </row>
    <row r="6750" spans="3:8" x14ac:dyDescent="0.25">
      <c r="C6750" s="12"/>
      <c r="D6750" s="13"/>
      <c r="E6750" s="13"/>
      <c r="F6750" s="13"/>
      <c r="G6750" s="12"/>
      <c r="H6750" s="11"/>
    </row>
    <row r="6751" spans="3:8" x14ac:dyDescent="0.25">
      <c r="C6751" s="12"/>
      <c r="D6751" s="13"/>
      <c r="E6751" s="13"/>
      <c r="F6751" s="13"/>
      <c r="G6751" s="12"/>
      <c r="H6751" s="11"/>
    </row>
    <row r="6752" spans="3:8" x14ac:dyDescent="0.25">
      <c r="C6752" s="12"/>
      <c r="D6752" s="13"/>
      <c r="E6752" s="13"/>
      <c r="F6752" s="13"/>
      <c r="G6752" s="12"/>
      <c r="H6752" s="11"/>
    </row>
    <row r="6753" spans="3:8" x14ac:dyDescent="0.25">
      <c r="C6753" s="12"/>
      <c r="D6753" s="13"/>
      <c r="E6753" s="13"/>
      <c r="F6753" s="13"/>
      <c r="G6753" s="12"/>
      <c r="H6753" s="11"/>
    </row>
    <row r="6754" spans="3:8" x14ac:dyDescent="0.25">
      <c r="C6754" s="12"/>
      <c r="D6754" s="13"/>
      <c r="E6754" s="13"/>
      <c r="F6754" s="13"/>
      <c r="G6754" s="12"/>
      <c r="H6754" s="11"/>
    </row>
    <row r="6755" spans="3:8" x14ac:dyDescent="0.25">
      <c r="C6755" s="12"/>
      <c r="D6755" s="13"/>
      <c r="E6755" s="13"/>
      <c r="F6755" s="13"/>
      <c r="G6755" s="12"/>
      <c r="H6755" s="11"/>
    </row>
    <row r="6756" spans="3:8" x14ac:dyDescent="0.25">
      <c r="C6756" s="12"/>
      <c r="D6756" s="13"/>
      <c r="E6756" s="13"/>
      <c r="F6756" s="13"/>
      <c r="G6756" s="12"/>
      <c r="H6756" s="11"/>
    </row>
    <row r="6757" spans="3:8" x14ac:dyDescent="0.25">
      <c r="C6757" s="12"/>
      <c r="D6757" s="13"/>
      <c r="E6757" s="13"/>
      <c r="F6757" s="13"/>
      <c r="G6757" s="12"/>
      <c r="H6757" s="11"/>
    </row>
    <row r="6758" spans="3:8" x14ac:dyDescent="0.25">
      <c r="C6758" s="12"/>
      <c r="D6758" s="13"/>
      <c r="E6758" s="13"/>
      <c r="F6758" s="13"/>
      <c r="G6758" s="12"/>
      <c r="H6758" s="11"/>
    </row>
    <row r="6759" spans="3:8" x14ac:dyDescent="0.25">
      <c r="C6759" s="12"/>
      <c r="D6759" s="13"/>
      <c r="E6759" s="13"/>
      <c r="F6759" s="13"/>
      <c r="G6759" s="12"/>
      <c r="H6759" s="11"/>
    </row>
    <row r="6760" spans="3:8" x14ac:dyDescent="0.25">
      <c r="C6760" s="12"/>
      <c r="D6760" s="13"/>
      <c r="E6760" s="13"/>
      <c r="F6760" s="13"/>
      <c r="G6760" s="12"/>
      <c r="H6760" s="11"/>
    </row>
    <row r="6761" spans="3:8" x14ac:dyDescent="0.25">
      <c r="C6761" s="12"/>
      <c r="D6761" s="13"/>
      <c r="E6761" s="13"/>
      <c r="F6761" s="13"/>
      <c r="G6761" s="12"/>
      <c r="H6761" s="11"/>
    </row>
    <row r="6762" spans="3:8" x14ac:dyDescent="0.25">
      <c r="C6762" s="12"/>
      <c r="D6762" s="13"/>
      <c r="E6762" s="13"/>
      <c r="F6762" s="13"/>
      <c r="G6762" s="12"/>
      <c r="H6762" s="11"/>
    </row>
    <row r="6763" spans="3:8" x14ac:dyDescent="0.25">
      <c r="C6763" s="12"/>
      <c r="D6763" s="13"/>
      <c r="E6763" s="13"/>
      <c r="F6763" s="13"/>
      <c r="G6763" s="12"/>
      <c r="H6763" s="11"/>
    </row>
    <row r="6764" spans="3:8" x14ac:dyDescent="0.25">
      <c r="C6764" s="12"/>
      <c r="D6764" s="13"/>
      <c r="E6764" s="13"/>
      <c r="F6764" s="13"/>
      <c r="G6764" s="12"/>
      <c r="H6764" s="11"/>
    </row>
    <row r="6765" spans="3:8" x14ac:dyDescent="0.25">
      <c r="C6765" s="12"/>
      <c r="D6765" s="13"/>
      <c r="E6765" s="13"/>
      <c r="F6765" s="13"/>
      <c r="G6765" s="12"/>
      <c r="H6765" s="11"/>
    </row>
    <row r="6766" spans="3:8" x14ac:dyDescent="0.25">
      <c r="C6766" s="12"/>
      <c r="D6766" s="13"/>
      <c r="E6766" s="13"/>
      <c r="F6766" s="13"/>
      <c r="G6766" s="12"/>
      <c r="H6766" s="11"/>
    </row>
    <row r="6767" spans="3:8" x14ac:dyDescent="0.25">
      <c r="C6767" s="12"/>
      <c r="D6767" s="13"/>
      <c r="E6767" s="13"/>
      <c r="F6767" s="13"/>
      <c r="G6767" s="12"/>
      <c r="H6767" s="11"/>
    </row>
    <row r="6768" spans="3:8" x14ac:dyDescent="0.25">
      <c r="C6768" s="12"/>
      <c r="D6768" s="13"/>
      <c r="E6768" s="13"/>
      <c r="F6768" s="13"/>
      <c r="G6768" s="12"/>
      <c r="H6768" s="11"/>
    </row>
    <row r="6769" spans="3:8" x14ac:dyDescent="0.25">
      <c r="C6769" s="12"/>
      <c r="D6769" s="13"/>
      <c r="E6769" s="13"/>
      <c r="F6769" s="13"/>
      <c r="G6769" s="12"/>
      <c r="H6769" s="11"/>
    </row>
    <row r="6770" spans="3:8" x14ac:dyDescent="0.25">
      <c r="C6770" s="12"/>
      <c r="D6770" s="13"/>
      <c r="E6770" s="13"/>
      <c r="F6770" s="13"/>
      <c r="G6770" s="12"/>
      <c r="H6770" s="11"/>
    </row>
    <row r="6771" spans="3:8" x14ac:dyDescent="0.25">
      <c r="C6771" s="12"/>
      <c r="D6771" s="13"/>
      <c r="E6771" s="13"/>
      <c r="F6771" s="13"/>
      <c r="G6771" s="12"/>
      <c r="H6771" s="11"/>
    </row>
    <row r="6772" spans="3:8" x14ac:dyDescent="0.25">
      <c r="C6772" s="12"/>
      <c r="D6772" s="13"/>
      <c r="E6772" s="13"/>
      <c r="F6772" s="13"/>
      <c r="G6772" s="12"/>
      <c r="H6772" s="11"/>
    </row>
    <row r="6773" spans="3:8" x14ac:dyDescent="0.25">
      <c r="C6773" s="12"/>
      <c r="D6773" s="13"/>
      <c r="E6773" s="13"/>
      <c r="F6773" s="13"/>
      <c r="G6773" s="12"/>
      <c r="H6773" s="11"/>
    </row>
    <row r="6774" spans="3:8" x14ac:dyDescent="0.25">
      <c r="C6774" s="12"/>
      <c r="D6774" s="13"/>
      <c r="E6774" s="13"/>
      <c r="F6774" s="13"/>
      <c r="G6774" s="12"/>
      <c r="H6774" s="11"/>
    </row>
    <row r="6775" spans="3:8" x14ac:dyDescent="0.25">
      <c r="C6775" s="12"/>
      <c r="D6775" s="13"/>
      <c r="E6775" s="13"/>
      <c r="F6775" s="13"/>
      <c r="G6775" s="12"/>
      <c r="H6775" s="11"/>
    </row>
    <row r="6776" spans="3:8" x14ac:dyDescent="0.25">
      <c r="C6776" s="12"/>
      <c r="D6776" s="13"/>
      <c r="E6776" s="13"/>
      <c r="F6776" s="13"/>
      <c r="G6776" s="12"/>
      <c r="H6776" s="11"/>
    </row>
    <row r="6777" spans="3:8" x14ac:dyDescent="0.25">
      <c r="C6777" s="12"/>
      <c r="D6777" s="13"/>
      <c r="E6777" s="13"/>
      <c r="F6777" s="13"/>
      <c r="G6777" s="12"/>
      <c r="H6777" s="11"/>
    </row>
    <row r="6778" spans="3:8" x14ac:dyDescent="0.25">
      <c r="C6778" s="12"/>
      <c r="D6778" s="13"/>
      <c r="E6778" s="13"/>
      <c r="F6778" s="13"/>
      <c r="G6778" s="12"/>
      <c r="H6778" s="11"/>
    </row>
    <row r="6779" spans="3:8" x14ac:dyDescent="0.25">
      <c r="C6779" s="12"/>
      <c r="D6779" s="13"/>
      <c r="E6779" s="13"/>
      <c r="F6779" s="13"/>
      <c r="G6779" s="12"/>
      <c r="H6779" s="11"/>
    </row>
    <row r="6780" spans="3:8" x14ac:dyDescent="0.25">
      <c r="C6780" s="12"/>
      <c r="D6780" s="13"/>
      <c r="E6780" s="13"/>
      <c r="F6780" s="13"/>
      <c r="G6780" s="12"/>
      <c r="H6780" s="11"/>
    </row>
    <row r="6781" spans="3:8" x14ac:dyDescent="0.25">
      <c r="C6781" s="12"/>
      <c r="D6781" s="13"/>
      <c r="E6781" s="13"/>
      <c r="F6781" s="13"/>
      <c r="G6781" s="12"/>
      <c r="H6781" s="11"/>
    </row>
    <row r="6782" spans="3:8" x14ac:dyDescent="0.25">
      <c r="C6782" s="12"/>
      <c r="D6782" s="13"/>
      <c r="E6782" s="13"/>
      <c r="F6782" s="13"/>
      <c r="G6782" s="12"/>
      <c r="H6782" s="11"/>
    </row>
    <row r="6783" spans="3:8" x14ac:dyDescent="0.25">
      <c r="C6783" s="12"/>
      <c r="D6783" s="13"/>
      <c r="E6783" s="13"/>
      <c r="F6783" s="13"/>
      <c r="G6783" s="12"/>
      <c r="H6783" s="11"/>
    </row>
    <row r="6784" spans="3:8" x14ac:dyDescent="0.25">
      <c r="C6784" s="12"/>
      <c r="D6784" s="13"/>
      <c r="E6784" s="13"/>
      <c r="F6784" s="13"/>
      <c r="G6784" s="12"/>
      <c r="H6784" s="11"/>
    </row>
    <row r="6785" spans="3:8" x14ac:dyDescent="0.25">
      <c r="C6785" s="12"/>
      <c r="D6785" s="13"/>
      <c r="E6785" s="13"/>
      <c r="F6785" s="13"/>
      <c r="G6785" s="12"/>
      <c r="H6785" s="11"/>
    </row>
    <row r="6786" spans="3:8" x14ac:dyDescent="0.25">
      <c r="C6786" s="12"/>
      <c r="D6786" s="13"/>
      <c r="E6786" s="13"/>
      <c r="F6786" s="13"/>
      <c r="G6786" s="12"/>
      <c r="H6786" s="11"/>
    </row>
    <row r="6787" spans="3:8" x14ac:dyDescent="0.25">
      <c r="C6787" s="12"/>
      <c r="D6787" s="13"/>
      <c r="E6787" s="13"/>
      <c r="F6787" s="13"/>
      <c r="G6787" s="12"/>
      <c r="H6787" s="11"/>
    </row>
    <row r="6788" spans="3:8" x14ac:dyDescent="0.25">
      <c r="C6788" s="12"/>
      <c r="D6788" s="13"/>
      <c r="E6788" s="13"/>
      <c r="F6788" s="13"/>
      <c r="G6788" s="12"/>
      <c r="H6788" s="11"/>
    </row>
    <row r="6789" spans="3:8" x14ac:dyDescent="0.25">
      <c r="C6789" s="12"/>
      <c r="D6789" s="13"/>
      <c r="E6789" s="13"/>
      <c r="F6789" s="13"/>
      <c r="G6789" s="12"/>
      <c r="H6789" s="11"/>
    </row>
    <row r="6790" spans="3:8" x14ac:dyDescent="0.25">
      <c r="C6790" s="12"/>
      <c r="D6790" s="13"/>
      <c r="E6790" s="13"/>
      <c r="F6790" s="13"/>
      <c r="G6790" s="12"/>
      <c r="H6790" s="11"/>
    </row>
    <row r="6791" spans="3:8" x14ac:dyDescent="0.25">
      <c r="C6791" s="12"/>
      <c r="D6791" s="13"/>
      <c r="E6791" s="13"/>
      <c r="F6791" s="13"/>
      <c r="G6791" s="12"/>
      <c r="H6791" s="11"/>
    </row>
    <row r="6792" spans="3:8" x14ac:dyDescent="0.25">
      <c r="C6792" s="12"/>
      <c r="D6792" s="13"/>
      <c r="E6792" s="13"/>
      <c r="F6792" s="13"/>
      <c r="G6792" s="12"/>
      <c r="H6792" s="11"/>
    </row>
    <row r="6793" spans="3:8" x14ac:dyDescent="0.25">
      <c r="C6793" s="12"/>
      <c r="D6793" s="13"/>
      <c r="E6793" s="13"/>
      <c r="F6793" s="13"/>
      <c r="G6793" s="12"/>
      <c r="H6793" s="11"/>
    </row>
    <row r="6794" spans="3:8" x14ac:dyDescent="0.25">
      <c r="C6794" s="12"/>
      <c r="D6794" s="13"/>
      <c r="E6794" s="13"/>
      <c r="F6794" s="13"/>
      <c r="G6794" s="12"/>
      <c r="H6794" s="11"/>
    </row>
    <row r="6795" spans="3:8" x14ac:dyDescent="0.25">
      <c r="C6795" s="12"/>
      <c r="D6795" s="13"/>
      <c r="E6795" s="13"/>
      <c r="F6795" s="13"/>
      <c r="G6795" s="12"/>
      <c r="H6795" s="11"/>
    </row>
    <row r="6796" spans="3:8" x14ac:dyDescent="0.25">
      <c r="C6796" s="12"/>
      <c r="D6796" s="13"/>
      <c r="E6796" s="13"/>
      <c r="F6796" s="13"/>
      <c r="G6796" s="12"/>
      <c r="H6796" s="11"/>
    </row>
    <row r="6797" spans="3:8" x14ac:dyDescent="0.25">
      <c r="C6797" s="12"/>
      <c r="D6797" s="13"/>
      <c r="E6797" s="13"/>
      <c r="F6797" s="13"/>
      <c r="G6797" s="12"/>
      <c r="H6797" s="11"/>
    </row>
    <row r="6798" spans="3:8" x14ac:dyDescent="0.25">
      <c r="C6798" s="12"/>
      <c r="D6798" s="13"/>
      <c r="E6798" s="13"/>
      <c r="F6798" s="13"/>
      <c r="G6798" s="12"/>
      <c r="H6798" s="11"/>
    </row>
    <row r="6799" spans="3:8" x14ac:dyDescent="0.25">
      <c r="C6799" s="12"/>
      <c r="D6799" s="13"/>
      <c r="E6799" s="13"/>
      <c r="F6799" s="13"/>
      <c r="G6799" s="12"/>
      <c r="H6799" s="11"/>
    </row>
    <row r="6800" spans="3:8" x14ac:dyDescent="0.25">
      <c r="C6800" s="12"/>
      <c r="D6800" s="13"/>
      <c r="E6800" s="13"/>
      <c r="F6800" s="13"/>
      <c r="G6800" s="12"/>
      <c r="H6800" s="11"/>
    </row>
    <row r="6801" spans="3:8" x14ac:dyDescent="0.25">
      <c r="C6801" s="12"/>
      <c r="D6801" s="13"/>
      <c r="E6801" s="13"/>
      <c r="F6801" s="13"/>
      <c r="G6801" s="12"/>
      <c r="H6801" s="11"/>
    </row>
    <row r="6802" spans="3:8" x14ac:dyDescent="0.25">
      <c r="C6802" s="12"/>
      <c r="D6802" s="13"/>
      <c r="E6802" s="13"/>
      <c r="F6802" s="13"/>
      <c r="G6802" s="12"/>
      <c r="H6802" s="11"/>
    </row>
    <row r="6803" spans="3:8" x14ac:dyDescent="0.25">
      <c r="C6803" s="12"/>
      <c r="D6803" s="13"/>
      <c r="E6803" s="13"/>
      <c r="F6803" s="13"/>
      <c r="G6803" s="12"/>
      <c r="H6803" s="11"/>
    </row>
    <row r="6804" spans="3:8" x14ac:dyDescent="0.25">
      <c r="C6804" s="12"/>
      <c r="D6804" s="13"/>
      <c r="E6804" s="13"/>
      <c r="F6804" s="13"/>
      <c r="G6804" s="12"/>
      <c r="H6804" s="11"/>
    </row>
    <row r="6805" spans="3:8" x14ac:dyDescent="0.25">
      <c r="C6805" s="12"/>
      <c r="D6805" s="13"/>
      <c r="E6805" s="13"/>
      <c r="F6805" s="13"/>
      <c r="G6805" s="12"/>
      <c r="H6805" s="11"/>
    </row>
    <row r="6806" spans="3:8" x14ac:dyDescent="0.25">
      <c r="C6806" s="12"/>
      <c r="D6806" s="13"/>
      <c r="E6806" s="13"/>
      <c r="F6806" s="13"/>
      <c r="G6806" s="12"/>
      <c r="H6806" s="11"/>
    </row>
    <row r="6807" spans="3:8" x14ac:dyDescent="0.25">
      <c r="C6807" s="12"/>
      <c r="D6807" s="13"/>
      <c r="E6807" s="13"/>
      <c r="F6807" s="13"/>
      <c r="G6807" s="12"/>
      <c r="H6807" s="11"/>
    </row>
    <row r="6808" spans="3:8" x14ac:dyDescent="0.25">
      <c r="C6808" s="12"/>
      <c r="D6808" s="13"/>
      <c r="E6808" s="13"/>
      <c r="F6808" s="13"/>
      <c r="G6808" s="12"/>
      <c r="H6808" s="11"/>
    </row>
    <row r="6809" spans="3:8" x14ac:dyDescent="0.25">
      <c r="C6809" s="12"/>
      <c r="D6809" s="13"/>
      <c r="E6809" s="13"/>
      <c r="F6809" s="13"/>
      <c r="G6809" s="12"/>
      <c r="H6809" s="11"/>
    </row>
    <row r="6810" spans="3:8" x14ac:dyDescent="0.25">
      <c r="C6810" s="12"/>
      <c r="D6810" s="13"/>
      <c r="E6810" s="13"/>
      <c r="F6810" s="13"/>
      <c r="G6810" s="12"/>
      <c r="H6810" s="11"/>
    </row>
    <row r="6811" spans="3:8" x14ac:dyDescent="0.25">
      <c r="C6811" s="12"/>
      <c r="D6811" s="13"/>
      <c r="E6811" s="13"/>
      <c r="F6811" s="13"/>
      <c r="G6811" s="12"/>
      <c r="H6811" s="11"/>
    </row>
    <row r="6812" spans="3:8" x14ac:dyDescent="0.25">
      <c r="C6812" s="12"/>
      <c r="D6812" s="13"/>
      <c r="E6812" s="13"/>
      <c r="F6812" s="13"/>
      <c r="G6812" s="12"/>
      <c r="H6812" s="11"/>
    </row>
    <row r="6813" spans="3:8" x14ac:dyDescent="0.25">
      <c r="C6813" s="12"/>
      <c r="D6813" s="13"/>
      <c r="E6813" s="13"/>
      <c r="F6813" s="13"/>
      <c r="G6813" s="12"/>
      <c r="H6813" s="11"/>
    </row>
    <row r="6814" spans="3:8" x14ac:dyDescent="0.25">
      <c r="C6814" s="12"/>
      <c r="D6814" s="13"/>
      <c r="E6814" s="13"/>
      <c r="F6814" s="13"/>
      <c r="G6814" s="12"/>
      <c r="H6814" s="11"/>
    </row>
    <row r="6815" spans="3:8" x14ac:dyDescent="0.25">
      <c r="C6815" s="12"/>
      <c r="D6815" s="13"/>
      <c r="E6815" s="13"/>
      <c r="F6815" s="13"/>
      <c r="G6815" s="12"/>
      <c r="H6815" s="11"/>
    </row>
    <row r="6816" spans="3:8" x14ac:dyDescent="0.25">
      <c r="C6816" s="12"/>
      <c r="D6816" s="13"/>
      <c r="E6816" s="13"/>
      <c r="F6816" s="13"/>
      <c r="G6816" s="12"/>
      <c r="H6816" s="11"/>
    </row>
    <row r="6817" spans="3:8" x14ac:dyDescent="0.25">
      <c r="C6817" s="12"/>
      <c r="D6817" s="13"/>
      <c r="E6817" s="13"/>
      <c r="F6817" s="13"/>
      <c r="G6817" s="12"/>
      <c r="H6817" s="11"/>
    </row>
    <row r="6818" spans="3:8" x14ac:dyDescent="0.25">
      <c r="C6818" s="12"/>
      <c r="D6818" s="13"/>
      <c r="E6818" s="13"/>
      <c r="F6818" s="13"/>
      <c r="G6818" s="12"/>
      <c r="H6818" s="11"/>
    </row>
    <row r="6819" spans="3:8" x14ac:dyDescent="0.25">
      <c r="C6819" s="12"/>
      <c r="D6819" s="13"/>
      <c r="E6819" s="13"/>
      <c r="F6819" s="13"/>
      <c r="G6819" s="12"/>
      <c r="H6819" s="11"/>
    </row>
    <row r="6820" spans="3:8" x14ac:dyDescent="0.25">
      <c r="C6820" s="12"/>
      <c r="D6820" s="13"/>
      <c r="E6820" s="13"/>
      <c r="F6820" s="13"/>
      <c r="G6820" s="12"/>
      <c r="H6820" s="11"/>
    </row>
    <row r="6821" spans="3:8" x14ac:dyDescent="0.25">
      <c r="C6821" s="12"/>
      <c r="D6821" s="13"/>
      <c r="E6821" s="13"/>
      <c r="F6821" s="13"/>
      <c r="G6821" s="12"/>
      <c r="H6821" s="11"/>
    </row>
    <row r="6822" spans="3:8" x14ac:dyDescent="0.25">
      <c r="C6822" s="12"/>
      <c r="D6822" s="13"/>
      <c r="E6822" s="13"/>
      <c r="F6822" s="13"/>
      <c r="G6822" s="12"/>
      <c r="H6822" s="11"/>
    </row>
    <row r="6823" spans="3:8" x14ac:dyDescent="0.25">
      <c r="C6823" s="12"/>
      <c r="D6823" s="13"/>
      <c r="E6823" s="13"/>
      <c r="F6823" s="13"/>
      <c r="G6823" s="12"/>
      <c r="H6823" s="11"/>
    </row>
    <row r="6824" spans="3:8" x14ac:dyDescent="0.25">
      <c r="C6824" s="12"/>
      <c r="D6824" s="13"/>
      <c r="E6824" s="13"/>
      <c r="F6824" s="13"/>
      <c r="G6824" s="12"/>
      <c r="H6824" s="11"/>
    </row>
    <row r="6825" spans="3:8" x14ac:dyDescent="0.25">
      <c r="C6825" s="12"/>
      <c r="D6825" s="13"/>
      <c r="E6825" s="13"/>
      <c r="F6825" s="13"/>
      <c r="G6825" s="12"/>
      <c r="H6825" s="11"/>
    </row>
    <row r="6826" spans="3:8" x14ac:dyDescent="0.25">
      <c r="C6826" s="12"/>
      <c r="D6826" s="13"/>
      <c r="E6826" s="13"/>
      <c r="F6826" s="13"/>
      <c r="G6826" s="12"/>
      <c r="H6826" s="11"/>
    </row>
    <row r="6827" spans="3:8" x14ac:dyDescent="0.25">
      <c r="C6827" s="12"/>
      <c r="D6827" s="13"/>
      <c r="E6827" s="13"/>
      <c r="F6827" s="13"/>
      <c r="G6827" s="12"/>
      <c r="H6827" s="11"/>
    </row>
    <row r="6828" spans="3:8" x14ac:dyDescent="0.25">
      <c r="C6828" s="12"/>
      <c r="D6828" s="13"/>
      <c r="E6828" s="13"/>
      <c r="F6828" s="13"/>
      <c r="G6828" s="12"/>
      <c r="H6828" s="11"/>
    </row>
    <row r="6829" spans="3:8" x14ac:dyDescent="0.25">
      <c r="C6829" s="12"/>
      <c r="D6829" s="13"/>
      <c r="E6829" s="13"/>
      <c r="F6829" s="13"/>
      <c r="G6829" s="12"/>
      <c r="H6829" s="11"/>
    </row>
    <row r="6830" spans="3:8" x14ac:dyDescent="0.25">
      <c r="C6830" s="12"/>
      <c r="D6830" s="13"/>
      <c r="E6830" s="13"/>
      <c r="F6830" s="13"/>
      <c r="G6830" s="12"/>
      <c r="H6830" s="11"/>
    </row>
    <row r="6831" spans="3:8" x14ac:dyDescent="0.25">
      <c r="C6831" s="12"/>
      <c r="D6831" s="13"/>
      <c r="E6831" s="13"/>
      <c r="F6831" s="13"/>
      <c r="G6831" s="12"/>
      <c r="H6831" s="11"/>
    </row>
    <row r="6832" spans="3:8" x14ac:dyDescent="0.25">
      <c r="C6832" s="12"/>
      <c r="D6832" s="13"/>
      <c r="E6832" s="13"/>
      <c r="F6832" s="13"/>
      <c r="G6832" s="12"/>
      <c r="H6832" s="11"/>
    </row>
    <row r="6833" spans="3:8" x14ac:dyDescent="0.25">
      <c r="C6833" s="12"/>
      <c r="D6833" s="13"/>
      <c r="E6833" s="13"/>
      <c r="F6833" s="13"/>
      <c r="G6833" s="12"/>
      <c r="H6833" s="11"/>
    </row>
    <row r="6834" spans="3:8" x14ac:dyDescent="0.25">
      <c r="C6834" s="12"/>
      <c r="D6834" s="13"/>
      <c r="E6834" s="13"/>
      <c r="F6834" s="13"/>
      <c r="G6834" s="12"/>
      <c r="H6834" s="11"/>
    </row>
    <row r="6835" spans="3:8" x14ac:dyDescent="0.25">
      <c r="C6835" s="12"/>
      <c r="D6835" s="13"/>
      <c r="E6835" s="13"/>
      <c r="F6835" s="13"/>
      <c r="G6835" s="12"/>
      <c r="H6835" s="11"/>
    </row>
    <row r="6836" spans="3:8" x14ac:dyDescent="0.25">
      <c r="C6836" s="12"/>
      <c r="D6836" s="13"/>
      <c r="E6836" s="13"/>
      <c r="F6836" s="13"/>
      <c r="G6836" s="12"/>
      <c r="H6836" s="11"/>
    </row>
    <row r="6837" spans="3:8" x14ac:dyDescent="0.25">
      <c r="C6837" s="12"/>
      <c r="D6837" s="13"/>
      <c r="E6837" s="13"/>
      <c r="F6837" s="13"/>
      <c r="G6837" s="12"/>
      <c r="H6837" s="11"/>
    </row>
    <row r="6838" spans="3:8" x14ac:dyDescent="0.25">
      <c r="C6838" s="12"/>
      <c r="D6838" s="13"/>
      <c r="E6838" s="13"/>
      <c r="F6838" s="13"/>
      <c r="G6838" s="12"/>
      <c r="H6838" s="11"/>
    </row>
    <row r="6839" spans="3:8" x14ac:dyDescent="0.25">
      <c r="C6839" s="12"/>
      <c r="D6839" s="13"/>
      <c r="E6839" s="13"/>
      <c r="F6839" s="13"/>
      <c r="G6839" s="12"/>
      <c r="H6839" s="11"/>
    </row>
    <row r="6840" spans="3:8" x14ac:dyDescent="0.25">
      <c r="C6840" s="12"/>
      <c r="D6840" s="13"/>
      <c r="E6840" s="13"/>
      <c r="F6840" s="13"/>
      <c r="G6840" s="12"/>
      <c r="H6840" s="11"/>
    </row>
    <row r="6841" spans="3:8" x14ac:dyDescent="0.25">
      <c r="C6841" s="12"/>
      <c r="D6841" s="13"/>
      <c r="E6841" s="13"/>
      <c r="F6841" s="13"/>
      <c r="G6841" s="12"/>
      <c r="H6841" s="11"/>
    </row>
    <row r="6842" spans="3:8" x14ac:dyDescent="0.25">
      <c r="C6842" s="12"/>
      <c r="D6842" s="13"/>
      <c r="E6842" s="13"/>
      <c r="F6842" s="13"/>
      <c r="G6842" s="12"/>
      <c r="H6842" s="11"/>
    </row>
    <row r="6843" spans="3:8" x14ac:dyDescent="0.25">
      <c r="C6843" s="12"/>
      <c r="D6843" s="13"/>
      <c r="E6843" s="13"/>
      <c r="F6843" s="13"/>
      <c r="G6843" s="12"/>
      <c r="H6843" s="11"/>
    </row>
    <row r="6844" spans="3:8" x14ac:dyDescent="0.25">
      <c r="C6844" s="12"/>
      <c r="D6844" s="13"/>
      <c r="E6844" s="13"/>
      <c r="F6844" s="13"/>
      <c r="G6844" s="12"/>
      <c r="H6844" s="11"/>
    </row>
    <row r="6845" spans="3:8" x14ac:dyDescent="0.25">
      <c r="C6845" s="12"/>
      <c r="D6845" s="13"/>
      <c r="E6845" s="13"/>
      <c r="F6845" s="13"/>
      <c r="G6845" s="12"/>
      <c r="H6845" s="11"/>
    </row>
    <row r="6846" spans="3:8" x14ac:dyDescent="0.25">
      <c r="C6846" s="12"/>
      <c r="D6846" s="13"/>
      <c r="E6846" s="13"/>
      <c r="F6846" s="13"/>
      <c r="G6846" s="12"/>
      <c r="H6846" s="11"/>
    </row>
    <row r="6847" spans="3:8" x14ac:dyDescent="0.25">
      <c r="C6847" s="12"/>
      <c r="D6847" s="13"/>
      <c r="E6847" s="13"/>
      <c r="F6847" s="13"/>
      <c r="G6847" s="12"/>
      <c r="H6847" s="11"/>
    </row>
    <row r="6848" spans="3:8" x14ac:dyDescent="0.25">
      <c r="C6848" s="12"/>
      <c r="D6848" s="13"/>
      <c r="E6848" s="13"/>
      <c r="F6848" s="13"/>
      <c r="G6848" s="12"/>
      <c r="H6848" s="11"/>
    </row>
    <row r="6849" spans="3:8" x14ac:dyDescent="0.25">
      <c r="C6849" s="12"/>
      <c r="D6849" s="13"/>
      <c r="E6849" s="13"/>
      <c r="F6849" s="13"/>
      <c r="G6849" s="12"/>
      <c r="H6849" s="11"/>
    </row>
    <row r="6850" spans="3:8" x14ac:dyDescent="0.25">
      <c r="C6850" s="12"/>
      <c r="D6850" s="13"/>
      <c r="E6850" s="13"/>
      <c r="F6850" s="13"/>
      <c r="G6850" s="12"/>
      <c r="H6850" s="11"/>
    </row>
    <row r="6851" spans="3:8" x14ac:dyDescent="0.25">
      <c r="C6851" s="12"/>
      <c r="D6851" s="13"/>
      <c r="E6851" s="13"/>
      <c r="F6851" s="13"/>
      <c r="G6851" s="12"/>
      <c r="H6851" s="11"/>
    </row>
    <row r="6852" spans="3:8" x14ac:dyDescent="0.25">
      <c r="C6852" s="12"/>
      <c r="D6852" s="13"/>
      <c r="E6852" s="13"/>
      <c r="F6852" s="13"/>
      <c r="G6852" s="12"/>
      <c r="H6852" s="11"/>
    </row>
    <row r="6853" spans="3:8" x14ac:dyDescent="0.25">
      <c r="C6853" s="12"/>
      <c r="D6853" s="13"/>
      <c r="E6853" s="13"/>
      <c r="F6853" s="13"/>
      <c r="G6853" s="12"/>
      <c r="H6853" s="11"/>
    </row>
    <row r="6854" spans="3:8" x14ac:dyDescent="0.25">
      <c r="C6854" s="12"/>
      <c r="D6854" s="13"/>
      <c r="E6854" s="13"/>
      <c r="F6854" s="13"/>
      <c r="G6854" s="12"/>
      <c r="H6854" s="11"/>
    </row>
    <row r="6855" spans="3:8" x14ac:dyDescent="0.25">
      <c r="C6855" s="12"/>
      <c r="D6855" s="13"/>
      <c r="E6855" s="13"/>
      <c r="F6855" s="13"/>
      <c r="G6855" s="12"/>
      <c r="H6855" s="11"/>
    </row>
    <row r="6856" spans="3:8" x14ac:dyDescent="0.25">
      <c r="C6856" s="12"/>
      <c r="D6856" s="13"/>
      <c r="E6856" s="13"/>
      <c r="F6856" s="13"/>
      <c r="G6856" s="12"/>
      <c r="H6856" s="11"/>
    </row>
    <row r="6857" spans="3:8" x14ac:dyDescent="0.25">
      <c r="C6857" s="12"/>
      <c r="D6857" s="13"/>
      <c r="E6857" s="13"/>
      <c r="F6857" s="13"/>
      <c r="G6857" s="12"/>
      <c r="H6857" s="11"/>
    </row>
    <row r="6858" spans="3:8" x14ac:dyDescent="0.25">
      <c r="C6858" s="12"/>
      <c r="D6858" s="13"/>
      <c r="E6858" s="13"/>
      <c r="F6858" s="13"/>
      <c r="G6858" s="12"/>
      <c r="H6858" s="11"/>
    </row>
    <row r="6859" spans="3:8" x14ac:dyDescent="0.25">
      <c r="C6859" s="12"/>
      <c r="D6859" s="13"/>
      <c r="E6859" s="13"/>
      <c r="F6859" s="13"/>
      <c r="G6859" s="12"/>
      <c r="H6859" s="11"/>
    </row>
    <row r="6860" spans="3:8" x14ac:dyDescent="0.25">
      <c r="C6860" s="12"/>
      <c r="D6860" s="13"/>
      <c r="E6860" s="13"/>
      <c r="F6860" s="13"/>
      <c r="G6860" s="12"/>
      <c r="H6860" s="11"/>
    </row>
    <row r="6861" spans="3:8" x14ac:dyDescent="0.25">
      <c r="C6861" s="12"/>
      <c r="D6861" s="13"/>
      <c r="E6861" s="13"/>
      <c r="F6861" s="13"/>
      <c r="G6861" s="12"/>
      <c r="H6861" s="11"/>
    </row>
    <row r="6862" spans="3:8" x14ac:dyDescent="0.25">
      <c r="C6862" s="12"/>
      <c r="D6862" s="13"/>
      <c r="E6862" s="13"/>
      <c r="F6862" s="13"/>
      <c r="G6862" s="12"/>
      <c r="H6862" s="11"/>
    </row>
    <row r="6863" spans="3:8" x14ac:dyDescent="0.25">
      <c r="C6863" s="12"/>
      <c r="D6863" s="13"/>
      <c r="E6863" s="13"/>
      <c r="F6863" s="13"/>
      <c r="G6863" s="12"/>
      <c r="H6863" s="11"/>
    </row>
    <row r="6864" spans="3:8" x14ac:dyDescent="0.25">
      <c r="C6864" s="12"/>
      <c r="D6864" s="13"/>
      <c r="E6864" s="13"/>
      <c r="F6864" s="13"/>
      <c r="G6864" s="12"/>
      <c r="H6864" s="11"/>
    </row>
    <row r="6865" spans="3:8" x14ac:dyDescent="0.25">
      <c r="C6865" s="12"/>
      <c r="D6865" s="13"/>
      <c r="E6865" s="13"/>
      <c r="F6865" s="13"/>
      <c r="G6865" s="12"/>
      <c r="H6865" s="11"/>
    </row>
    <row r="6866" spans="3:8" x14ac:dyDescent="0.25">
      <c r="C6866" s="12"/>
      <c r="D6866" s="13"/>
      <c r="E6866" s="13"/>
      <c r="F6866" s="13"/>
      <c r="G6866" s="12"/>
      <c r="H6866" s="11"/>
    </row>
    <row r="6867" spans="3:8" x14ac:dyDescent="0.25">
      <c r="C6867" s="12"/>
      <c r="D6867" s="13"/>
      <c r="E6867" s="13"/>
      <c r="F6867" s="13"/>
      <c r="G6867" s="12"/>
      <c r="H6867" s="11"/>
    </row>
    <row r="6868" spans="3:8" x14ac:dyDescent="0.25">
      <c r="C6868" s="12"/>
      <c r="D6868" s="13"/>
      <c r="E6868" s="13"/>
      <c r="F6868" s="13"/>
      <c r="G6868" s="12"/>
      <c r="H6868" s="11"/>
    </row>
    <row r="6869" spans="3:8" x14ac:dyDescent="0.25">
      <c r="C6869" s="12"/>
      <c r="D6869" s="13"/>
      <c r="E6869" s="13"/>
      <c r="F6869" s="13"/>
      <c r="G6869" s="12"/>
      <c r="H6869" s="11"/>
    </row>
    <row r="6870" spans="3:8" x14ac:dyDescent="0.25">
      <c r="C6870" s="12"/>
      <c r="D6870" s="13"/>
      <c r="E6870" s="13"/>
      <c r="F6870" s="13"/>
      <c r="G6870" s="12"/>
      <c r="H6870" s="11"/>
    </row>
    <row r="6871" spans="3:8" x14ac:dyDescent="0.25">
      <c r="C6871" s="12"/>
      <c r="D6871" s="13"/>
      <c r="E6871" s="13"/>
      <c r="F6871" s="13"/>
      <c r="G6871" s="12"/>
      <c r="H6871" s="11"/>
    </row>
    <row r="6872" spans="3:8" x14ac:dyDescent="0.25">
      <c r="C6872" s="12"/>
      <c r="D6872" s="13"/>
      <c r="E6872" s="13"/>
      <c r="F6872" s="13"/>
      <c r="G6872" s="12"/>
      <c r="H6872" s="11"/>
    </row>
    <row r="6873" spans="3:8" x14ac:dyDescent="0.25">
      <c r="C6873" s="12"/>
      <c r="D6873" s="13"/>
      <c r="E6873" s="13"/>
      <c r="F6873" s="13"/>
      <c r="G6873" s="12"/>
      <c r="H6873" s="11"/>
    </row>
    <row r="6874" spans="3:8" x14ac:dyDescent="0.25">
      <c r="C6874" s="12"/>
      <c r="D6874" s="13"/>
      <c r="E6874" s="13"/>
      <c r="F6874" s="13"/>
      <c r="G6874" s="12"/>
      <c r="H6874" s="11"/>
    </row>
    <row r="6875" spans="3:8" x14ac:dyDescent="0.25">
      <c r="C6875" s="12"/>
      <c r="D6875" s="13"/>
      <c r="E6875" s="13"/>
      <c r="F6875" s="13"/>
      <c r="G6875" s="12"/>
      <c r="H6875" s="11"/>
    </row>
    <row r="6876" spans="3:8" x14ac:dyDescent="0.25">
      <c r="C6876" s="12"/>
      <c r="D6876" s="13"/>
      <c r="E6876" s="13"/>
      <c r="F6876" s="13"/>
      <c r="G6876" s="12"/>
      <c r="H6876" s="11"/>
    </row>
    <row r="6877" spans="3:8" x14ac:dyDescent="0.25">
      <c r="C6877" s="12"/>
      <c r="D6877" s="13"/>
      <c r="E6877" s="13"/>
      <c r="F6877" s="13"/>
      <c r="G6877" s="12"/>
      <c r="H6877" s="11"/>
    </row>
    <row r="6878" spans="3:8" x14ac:dyDescent="0.25">
      <c r="C6878" s="12"/>
      <c r="D6878" s="13"/>
      <c r="E6878" s="13"/>
      <c r="F6878" s="13"/>
      <c r="G6878" s="12"/>
      <c r="H6878" s="11"/>
    </row>
    <row r="6879" spans="3:8" x14ac:dyDescent="0.25">
      <c r="C6879" s="12"/>
      <c r="D6879" s="13"/>
      <c r="E6879" s="13"/>
      <c r="F6879" s="13"/>
      <c r="G6879" s="12"/>
      <c r="H6879" s="11"/>
    </row>
    <row r="6880" spans="3:8" x14ac:dyDescent="0.25">
      <c r="C6880" s="12"/>
      <c r="D6880" s="13"/>
      <c r="E6880" s="13"/>
      <c r="F6880" s="13"/>
      <c r="G6880" s="12"/>
      <c r="H6880" s="11"/>
    </row>
    <row r="6881" spans="3:8" x14ac:dyDescent="0.25">
      <c r="C6881" s="12"/>
      <c r="D6881" s="13"/>
      <c r="E6881" s="13"/>
      <c r="F6881" s="13"/>
      <c r="G6881" s="12"/>
      <c r="H6881" s="11"/>
    </row>
    <row r="6882" spans="3:8" x14ac:dyDescent="0.25">
      <c r="C6882" s="12"/>
      <c r="D6882" s="13"/>
      <c r="E6882" s="13"/>
      <c r="F6882" s="13"/>
      <c r="G6882" s="12"/>
      <c r="H6882" s="11"/>
    </row>
    <row r="6883" spans="3:8" x14ac:dyDescent="0.25">
      <c r="C6883" s="12"/>
      <c r="D6883" s="13"/>
      <c r="E6883" s="13"/>
      <c r="F6883" s="13"/>
      <c r="G6883" s="12"/>
      <c r="H6883" s="11"/>
    </row>
    <row r="6884" spans="3:8" x14ac:dyDescent="0.25">
      <c r="C6884" s="12"/>
      <c r="D6884" s="13"/>
      <c r="E6884" s="13"/>
      <c r="F6884" s="13"/>
      <c r="G6884" s="12"/>
      <c r="H6884" s="11"/>
    </row>
    <row r="6885" spans="3:8" x14ac:dyDescent="0.25">
      <c r="C6885" s="12"/>
      <c r="D6885" s="13"/>
      <c r="E6885" s="13"/>
      <c r="F6885" s="13"/>
      <c r="G6885" s="12"/>
      <c r="H6885" s="11"/>
    </row>
    <row r="6886" spans="3:8" x14ac:dyDescent="0.25">
      <c r="C6886" s="12"/>
      <c r="D6886" s="13"/>
      <c r="E6886" s="13"/>
      <c r="F6886" s="13"/>
      <c r="G6886" s="12"/>
      <c r="H6886" s="11"/>
    </row>
    <row r="6887" spans="3:8" x14ac:dyDescent="0.25">
      <c r="C6887" s="12"/>
      <c r="D6887" s="13"/>
      <c r="E6887" s="13"/>
      <c r="F6887" s="13"/>
      <c r="G6887" s="12"/>
      <c r="H6887" s="11"/>
    </row>
    <row r="6888" spans="3:8" x14ac:dyDescent="0.25">
      <c r="C6888" s="12"/>
      <c r="D6888" s="13"/>
      <c r="E6888" s="13"/>
      <c r="F6888" s="13"/>
      <c r="G6888" s="12"/>
      <c r="H6888" s="11"/>
    </row>
    <row r="6889" spans="3:8" x14ac:dyDescent="0.25">
      <c r="C6889" s="12"/>
      <c r="D6889" s="13"/>
      <c r="E6889" s="13"/>
      <c r="F6889" s="13"/>
      <c r="G6889" s="12"/>
      <c r="H6889" s="11"/>
    </row>
    <row r="6890" spans="3:8" x14ac:dyDescent="0.25">
      <c r="C6890" s="12"/>
      <c r="D6890" s="13"/>
      <c r="E6890" s="13"/>
      <c r="F6890" s="13"/>
      <c r="G6890" s="12"/>
      <c r="H6890" s="11"/>
    </row>
    <row r="6891" spans="3:8" x14ac:dyDescent="0.25">
      <c r="C6891" s="12"/>
      <c r="D6891" s="13"/>
      <c r="E6891" s="13"/>
      <c r="F6891" s="13"/>
      <c r="G6891" s="12"/>
      <c r="H6891" s="11"/>
    </row>
    <row r="6892" spans="3:8" x14ac:dyDescent="0.25">
      <c r="C6892" s="12"/>
      <c r="D6892" s="13"/>
      <c r="E6892" s="13"/>
      <c r="F6892" s="13"/>
      <c r="G6892" s="12"/>
      <c r="H6892" s="11"/>
    </row>
    <row r="6893" spans="3:8" x14ac:dyDescent="0.25">
      <c r="C6893" s="12"/>
      <c r="D6893" s="13"/>
      <c r="E6893" s="13"/>
      <c r="F6893" s="13"/>
      <c r="G6893" s="12"/>
      <c r="H6893" s="11"/>
    </row>
    <row r="6894" spans="3:8" x14ac:dyDescent="0.25">
      <c r="C6894" s="12"/>
      <c r="D6894" s="13"/>
      <c r="E6894" s="13"/>
      <c r="F6894" s="13"/>
      <c r="G6894" s="12"/>
      <c r="H6894" s="11"/>
    </row>
    <row r="6895" spans="3:8" x14ac:dyDescent="0.25">
      <c r="C6895" s="12"/>
      <c r="D6895" s="13"/>
      <c r="E6895" s="13"/>
      <c r="F6895" s="13"/>
      <c r="G6895" s="12"/>
      <c r="H6895" s="11"/>
    </row>
    <row r="6896" spans="3:8" x14ac:dyDescent="0.25">
      <c r="C6896" s="12"/>
      <c r="D6896" s="13"/>
      <c r="E6896" s="13"/>
      <c r="F6896" s="13"/>
      <c r="G6896" s="12"/>
      <c r="H6896" s="11"/>
    </row>
    <row r="6897" spans="3:8" x14ac:dyDescent="0.25">
      <c r="C6897" s="12"/>
      <c r="D6897" s="13"/>
      <c r="E6897" s="13"/>
      <c r="F6897" s="13"/>
      <c r="G6897" s="12"/>
      <c r="H6897" s="11"/>
    </row>
    <row r="6898" spans="3:8" x14ac:dyDescent="0.25">
      <c r="C6898" s="12"/>
      <c r="D6898" s="13"/>
      <c r="E6898" s="13"/>
      <c r="F6898" s="13"/>
      <c r="G6898" s="12"/>
      <c r="H6898" s="11"/>
    </row>
    <row r="6899" spans="3:8" x14ac:dyDescent="0.25">
      <c r="C6899" s="12"/>
      <c r="D6899" s="13"/>
      <c r="E6899" s="13"/>
      <c r="F6899" s="13"/>
      <c r="G6899" s="12"/>
      <c r="H6899" s="11"/>
    </row>
    <row r="6900" spans="3:8" x14ac:dyDescent="0.25">
      <c r="C6900" s="12"/>
      <c r="D6900" s="13"/>
      <c r="E6900" s="13"/>
      <c r="F6900" s="13"/>
      <c r="G6900" s="12"/>
      <c r="H6900" s="11"/>
    </row>
    <row r="6901" spans="3:8" x14ac:dyDescent="0.25">
      <c r="C6901" s="12"/>
      <c r="D6901" s="13"/>
      <c r="E6901" s="13"/>
      <c r="F6901" s="13"/>
      <c r="G6901" s="12"/>
      <c r="H6901" s="11"/>
    </row>
    <row r="6902" spans="3:8" x14ac:dyDescent="0.25">
      <c r="C6902" s="12"/>
      <c r="D6902" s="13"/>
      <c r="E6902" s="13"/>
      <c r="F6902" s="13"/>
      <c r="G6902" s="12"/>
      <c r="H6902" s="11"/>
    </row>
    <row r="6903" spans="3:8" x14ac:dyDescent="0.25">
      <c r="C6903" s="12"/>
      <c r="D6903" s="13"/>
      <c r="E6903" s="13"/>
      <c r="F6903" s="13"/>
      <c r="G6903" s="12"/>
      <c r="H6903" s="11"/>
    </row>
    <row r="6904" spans="3:8" x14ac:dyDescent="0.25">
      <c r="C6904" s="12"/>
      <c r="D6904" s="13"/>
      <c r="E6904" s="13"/>
      <c r="F6904" s="13"/>
      <c r="G6904" s="12"/>
      <c r="H6904" s="11"/>
    </row>
    <row r="6905" spans="3:8" x14ac:dyDescent="0.25">
      <c r="C6905" s="12"/>
      <c r="D6905" s="13"/>
      <c r="E6905" s="13"/>
      <c r="F6905" s="13"/>
      <c r="G6905" s="12"/>
      <c r="H6905" s="11"/>
    </row>
    <row r="6906" spans="3:8" x14ac:dyDescent="0.25">
      <c r="C6906" s="12"/>
      <c r="D6906" s="13"/>
      <c r="E6906" s="13"/>
      <c r="F6906" s="13"/>
      <c r="G6906" s="12"/>
      <c r="H6906" s="11"/>
    </row>
    <row r="6907" spans="3:8" x14ac:dyDescent="0.25">
      <c r="C6907" s="12"/>
      <c r="D6907" s="13"/>
      <c r="E6907" s="13"/>
      <c r="F6907" s="13"/>
      <c r="G6907" s="12"/>
      <c r="H6907" s="11"/>
    </row>
    <row r="6908" spans="3:8" x14ac:dyDescent="0.25">
      <c r="C6908" s="12"/>
      <c r="D6908" s="13"/>
      <c r="E6908" s="13"/>
      <c r="F6908" s="13"/>
      <c r="G6908" s="12"/>
      <c r="H6908" s="11"/>
    </row>
    <row r="6909" spans="3:8" x14ac:dyDescent="0.25">
      <c r="C6909" s="12"/>
      <c r="D6909" s="13"/>
      <c r="E6909" s="13"/>
      <c r="F6909" s="13"/>
      <c r="G6909" s="12"/>
      <c r="H6909" s="11"/>
    </row>
    <row r="6910" spans="3:8" x14ac:dyDescent="0.25">
      <c r="C6910" s="12"/>
      <c r="D6910" s="13"/>
      <c r="E6910" s="13"/>
      <c r="F6910" s="13"/>
      <c r="G6910" s="12"/>
      <c r="H6910" s="11"/>
    </row>
    <row r="6911" spans="3:8" x14ac:dyDescent="0.25">
      <c r="C6911" s="12"/>
      <c r="D6911" s="13"/>
      <c r="E6911" s="13"/>
      <c r="F6911" s="13"/>
      <c r="G6911" s="12"/>
      <c r="H6911" s="11"/>
    </row>
    <row r="6912" spans="3:8" x14ac:dyDescent="0.25">
      <c r="C6912" s="12"/>
      <c r="D6912" s="13"/>
      <c r="E6912" s="13"/>
      <c r="F6912" s="13"/>
      <c r="G6912" s="12"/>
      <c r="H6912" s="11"/>
    </row>
    <row r="6913" spans="3:8" x14ac:dyDescent="0.25">
      <c r="C6913" s="12"/>
      <c r="D6913" s="13"/>
      <c r="E6913" s="13"/>
      <c r="F6913" s="13"/>
      <c r="G6913" s="12"/>
      <c r="H6913" s="11"/>
    </row>
    <row r="6914" spans="3:8" x14ac:dyDescent="0.25">
      <c r="C6914" s="12"/>
      <c r="D6914" s="13"/>
      <c r="E6914" s="13"/>
      <c r="F6914" s="13"/>
      <c r="G6914" s="12"/>
      <c r="H6914" s="11"/>
    </row>
    <row r="6915" spans="3:8" x14ac:dyDescent="0.25">
      <c r="C6915" s="12"/>
      <c r="D6915" s="13"/>
      <c r="E6915" s="13"/>
      <c r="F6915" s="13"/>
      <c r="G6915" s="12"/>
      <c r="H6915" s="11"/>
    </row>
    <row r="6916" spans="3:8" x14ac:dyDescent="0.25">
      <c r="C6916" s="12"/>
      <c r="D6916" s="13"/>
      <c r="E6916" s="13"/>
      <c r="F6916" s="13"/>
      <c r="G6916" s="12"/>
      <c r="H6916" s="11"/>
    </row>
    <row r="6917" spans="3:8" x14ac:dyDescent="0.25">
      <c r="C6917" s="12"/>
      <c r="D6917" s="13"/>
      <c r="E6917" s="13"/>
      <c r="F6917" s="13"/>
      <c r="G6917" s="12"/>
      <c r="H6917" s="11"/>
    </row>
    <row r="6918" spans="3:8" x14ac:dyDescent="0.25">
      <c r="C6918" s="12"/>
      <c r="D6918" s="13"/>
      <c r="E6918" s="13"/>
      <c r="F6918" s="13"/>
      <c r="G6918" s="12"/>
      <c r="H6918" s="11"/>
    </row>
    <row r="6919" spans="3:8" x14ac:dyDescent="0.25">
      <c r="C6919" s="12"/>
      <c r="D6919" s="13"/>
      <c r="E6919" s="13"/>
      <c r="F6919" s="13"/>
      <c r="G6919" s="12"/>
      <c r="H6919" s="11"/>
    </row>
    <row r="6920" spans="3:8" x14ac:dyDescent="0.25">
      <c r="C6920" s="12"/>
      <c r="D6920" s="13"/>
      <c r="E6920" s="13"/>
      <c r="F6920" s="13"/>
      <c r="G6920" s="12"/>
      <c r="H6920" s="11"/>
    </row>
    <row r="6921" spans="3:8" x14ac:dyDescent="0.25">
      <c r="C6921" s="12"/>
      <c r="D6921" s="13"/>
      <c r="E6921" s="13"/>
      <c r="F6921" s="13"/>
      <c r="G6921" s="12"/>
      <c r="H6921" s="11"/>
    </row>
    <row r="6922" spans="3:8" x14ac:dyDescent="0.25">
      <c r="C6922" s="12"/>
      <c r="D6922" s="13"/>
      <c r="E6922" s="13"/>
      <c r="F6922" s="13"/>
      <c r="G6922" s="12"/>
      <c r="H6922" s="11"/>
    </row>
    <row r="6923" spans="3:8" x14ac:dyDescent="0.25">
      <c r="C6923" s="12"/>
      <c r="D6923" s="13"/>
      <c r="E6923" s="13"/>
      <c r="F6923" s="13"/>
      <c r="G6923" s="12"/>
      <c r="H6923" s="11"/>
    </row>
    <row r="6924" spans="3:8" x14ac:dyDescent="0.25">
      <c r="C6924" s="12"/>
      <c r="D6924" s="13"/>
      <c r="E6924" s="13"/>
      <c r="F6924" s="13"/>
      <c r="G6924" s="12"/>
      <c r="H6924" s="11"/>
    </row>
    <row r="6925" spans="3:8" x14ac:dyDescent="0.25">
      <c r="C6925" s="12"/>
      <c r="D6925" s="13"/>
      <c r="E6925" s="13"/>
      <c r="F6925" s="13"/>
      <c r="G6925" s="12"/>
      <c r="H6925" s="11"/>
    </row>
    <row r="6926" spans="3:8" x14ac:dyDescent="0.25">
      <c r="C6926" s="12"/>
      <c r="D6926" s="13"/>
      <c r="E6926" s="13"/>
      <c r="F6926" s="13"/>
      <c r="G6926" s="12"/>
      <c r="H6926" s="11"/>
    </row>
    <row r="6927" spans="3:8" x14ac:dyDescent="0.25">
      <c r="C6927" s="12"/>
      <c r="D6927" s="13"/>
      <c r="E6927" s="13"/>
      <c r="F6927" s="13"/>
      <c r="G6927" s="12"/>
      <c r="H6927" s="11"/>
    </row>
    <row r="6928" spans="3:8" x14ac:dyDescent="0.25">
      <c r="C6928" s="12"/>
      <c r="D6928" s="13"/>
      <c r="E6928" s="13"/>
      <c r="F6928" s="13"/>
      <c r="G6928" s="12"/>
      <c r="H6928" s="11"/>
    </row>
    <row r="6929" spans="3:8" x14ac:dyDescent="0.25">
      <c r="C6929" s="12"/>
      <c r="D6929" s="13"/>
      <c r="E6929" s="13"/>
      <c r="F6929" s="13"/>
      <c r="G6929" s="12"/>
      <c r="H6929" s="11"/>
    </row>
    <row r="6930" spans="3:8" x14ac:dyDescent="0.25">
      <c r="C6930" s="12"/>
      <c r="D6930" s="13"/>
      <c r="E6930" s="13"/>
      <c r="F6930" s="13"/>
      <c r="G6930" s="12"/>
      <c r="H6930" s="11"/>
    </row>
    <row r="6931" spans="3:8" x14ac:dyDescent="0.25">
      <c r="C6931" s="12"/>
      <c r="D6931" s="13"/>
      <c r="E6931" s="13"/>
      <c r="F6931" s="13"/>
      <c r="G6931" s="12"/>
      <c r="H6931" s="11"/>
    </row>
    <row r="6932" spans="3:8" x14ac:dyDescent="0.25">
      <c r="C6932" s="12"/>
      <c r="D6932" s="13"/>
      <c r="E6932" s="13"/>
      <c r="F6932" s="13"/>
      <c r="G6932" s="12"/>
      <c r="H6932" s="11"/>
    </row>
    <row r="6933" spans="3:8" x14ac:dyDescent="0.25">
      <c r="C6933" s="12"/>
      <c r="D6933" s="13"/>
      <c r="E6933" s="13"/>
      <c r="F6933" s="13"/>
      <c r="G6933" s="12"/>
      <c r="H6933" s="11"/>
    </row>
    <row r="6934" spans="3:8" x14ac:dyDescent="0.25">
      <c r="C6934" s="12"/>
      <c r="D6934" s="13"/>
      <c r="E6934" s="13"/>
      <c r="F6934" s="13"/>
      <c r="G6934" s="12"/>
      <c r="H6934" s="11"/>
    </row>
    <row r="6935" spans="3:8" x14ac:dyDescent="0.25">
      <c r="C6935" s="12"/>
      <c r="D6935" s="13"/>
      <c r="E6935" s="13"/>
      <c r="F6935" s="13"/>
      <c r="G6935" s="12"/>
      <c r="H6935" s="11"/>
    </row>
    <row r="6936" spans="3:8" x14ac:dyDescent="0.25">
      <c r="C6936" s="12"/>
      <c r="D6936" s="13"/>
      <c r="E6936" s="13"/>
      <c r="F6936" s="13"/>
      <c r="G6936" s="12"/>
      <c r="H6936" s="11"/>
    </row>
    <row r="6937" spans="3:8" x14ac:dyDescent="0.25">
      <c r="C6937" s="12"/>
      <c r="D6937" s="13"/>
      <c r="E6937" s="13"/>
      <c r="F6937" s="13"/>
      <c r="G6937" s="12"/>
      <c r="H6937" s="11"/>
    </row>
    <row r="6938" spans="3:8" x14ac:dyDescent="0.25">
      <c r="C6938" s="12"/>
      <c r="D6938" s="13"/>
      <c r="E6938" s="13"/>
      <c r="F6938" s="13"/>
      <c r="G6938" s="12"/>
      <c r="H6938" s="11"/>
    </row>
    <row r="6939" spans="3:8" x14ac:dyDescent="0.25">
      <c r="C6939" s="12"/>
      <c r="D6939" s="13"/>
      <c r="E6939" s="13"/>
      <c r="F6939" s="13"/>
      <c r="G6939" s="12"/>
      <c r="H6939" s="11"/>
    </row>
    <row r="6940" spans="3:8" x14ac:dyDescent="0.25">
      <c r="C6940" s="12"/>
      <c r="D6940" s="13"/>
      <c r="E6940" s="13"/>
      <c r="F6940" s="13"/>
      <c r="G6940" s="12"/>
      <c r="H6940" s="11"/>
    </row>
    <row r="6941" spans="3:8" x14ac:dyDescent="0.25">
      <c r="C6941" s="12"/>
      <c r="D6941" s="13"/>
      <c r="E6941" s="13"/>
      <c r="F6941" s="13"/>
      <c r="G6941" s="12"/>
      <c r="H6941" s="11"/>
    </row>
    <row r="6942" spans="3:8" x14ac:dyDescent="0.25">
      <c r="C6942" s="12"/>
      <c r="D6942" s="13"/>
      <c r="E6942" s="13"/>
      <c r="F6942" s="13"/>
      <c r="G6942" s="12"/>
      <c r="H6942" s="11"/>
    </row>
    <row r="6943" spans="3:8" x14ac:dyDescent="0.25">
      <c r="C6943" s="12"/>
      <c r="D6943" s="13"/>
      <c r="E6943" s="13"/>
      <c r="F6943" s="13"/>
      <c r="G6943" s="12"/>
      <c r="H6943" s="11"/>
    </row>
    <row r="6944" spans="3:8" x14ac:dyDescent="0.25">
      <c r="C6944" s="12"/>
      <c r="D6944" s="13"/>
      <c r="E6944" s="13"/>
      <c r="F6944" s="13"/>
      <c r="G6944" s="12"/>
      <c r="H6944" s="11"/>
    </row>
    <row r="6945" spans="3:8" x14ac:dyDescent="0.25">
      <c r="C6945" s="12"/>
      <c r="D6945" s="13"/>
      <c r="E6945" s="13"/>
      <c r="F6945" s="13"/>
      <c r="G6945" s="12"/>
      <c r="H6945" s="11"/>
    </row>
    <row r="6946" spans="3:8" x14ac:dyDescent="0.25">
      <c r="C6946" s="12"/>
      <c r="D6946" s="13"/>
      <c r="E6946" s="13"/>
      <c r="F6946" s="13"/>
      <c r="G6946" s="12"/>
      <c r="H6946" s="11"/>
    </row>
    <row r="6947" spans="3:8" x14ac:dyDescent="0.25">
      <c r="C6947" s="12"/>
      <c r="D6947" s="13"/>
      <c r="E6947" s="13"/>
      <c r="F6947" s="13"/>
      <c r="G6947" s="12"/>
      <c r="H6947" s="11"/>
    </row>
    <row r="6948" spans="3:8" x14ac:dyDescent="0.25">
      <c r="C6948" s="12"/>
      <c r="D6948" s="13"/>
      <c r="E6948" s="13"/>
      <c r="F6948" s="13"/>
      <c r="G6948" s="12"/>
      <c r="H6948" s="11"/>
    </row>
    <row r="6949" spans="3:8" x14ac:dyDescent="0.25">
      <c r="C6949" s="12"/>
      <c r="D6949" s="13"/>
      <c r="E6949" s="13"/>
      <c r="F6949" s="13"/>
      <c r="G6949" s="12"/>
      <c r="H6949" s="11"/>
    </row>
    <row r="6950" spans="3:8" x14ac:dyDescent="0.25">
      <c r="C6950" s="12"/>
      <c r="D6950" s="13"/>
      <c r="E6950" s="13"/>
      <c r="F6950" s="13"/>
      <c r="G6950" s="12"/>
      <c r="H6950" s="11"/>
    </row>
    <row r="6951" spans="3:8" x14ac:dyDescent="0.25">
      <c r="C6951" s="12"/>
      <c r="D6951" s="13"/>
      <c r="E6951" s="13"/>
      <c r="F6951" s="13"/>
      <c r="G6951" s="12"/>
      <c r="H6951" s="11"/>
    </row>
    <row r="6952" spans="3:8" x14ac:dyDescent="0.25">
      <c r="C6952" s="12"/>
      <c r="D6952" s="13"/>
      <c r="E6952" s="13"/>
      <c r="F6952" s="13"/>
      <c r="G6952" s="12"/>
      <c r="H6952" s="11"/>
    </row>
    <row r="6953" spans="3:8" x14ac:dyDescent="0.25">
      <c r="C6953" s="12"/>
      <c r="D6953" s="13"/>
      <c r="E6953" s="13"/>
      <c r="F6953" s="13"/>
      <c r="G6953" s="12"/>
      <c r="H6953" s="11"/>
    </row>
    <row r="6954" spans="3:8" x14ac:dyDescent="0.25">
      <c r="C6954" s="12"/>
      <c r="D6954" s="13"/>
      <c r="E6954" s="13"/>
      <c r="F6954" s="13"/>
      <c r="G6954" s="12"/>
      <c r="H6954" s="11"/>
    </row>
    <row r="6955" spans="3:8" x14ac:dyDescent="0.25">
      <c r="C6955" s="12"/>
      <c r="D6955" s="13"/>
      <c r="E6955" s="13"/>
      <c r="F6955" s="13"/>
      <c r="G6955" s="12"/>
      <c r="H6955" s="11"/>
    </row>
    <row r="6956" spans="3:8" x14ac:dyDescent="0.25">
      <c r="C6956" s="12"/>
      <c r="D6956" s="13"/>
      <c r="E6956" s="13"/>
      <c r="F6956" s="13"/>
      <c r="G6956" s="12"/>
      <c r="H6956" s="11"/>
    </row>
    <row r="6957" spans="3:8" x14ac:dyDescent="0.25">
      <c r="C6957" s="12"/>
      <c r="D6957" s="13"/>
      <c r="E6957" s="13"/>
      <c r="F6957" s="13"/>
      <c r="G6957" s="12"/>
      <c r="H6957" s="11"/>
    </row>
    <row r="6958" spans="3:8" x14ac:dyDescent="0.25">
      <c r="C6958" s="12"/>
      <c r="D6958" s="13"/>
      <c r="E6958" s="13"/>
      <c r="F6958" s="13"/>
      <c r="G6958" s="12"/>
      <c r="H6958" s="11"/>
    </row>
    <row r="6959" spans="3:8" x14ac:dyDescent="0.25">
      <c r="C6959" s="12"/>
      <c r="D6959" s="13"/>
      <c r="E6959" s="13"/>
      <c r="F6959" s="13"/>
      <c r="G6959" s="12"/>
      <c r="H6959" s="11"/>
    </row>
    <row r="6960" spans="3:8" x14ac:dyDescent="0.25">
      <c r="C6960" s="12"/>
      <c r="D6960" s="13"/>
      <c r="E6960" s="13"/>
      <c r="F6960" s="13"/>
      <c r="G6960" s="12"/>
      <c r="H6960" s="11"/>
    </row>
    <row r="6961" spans="3:8" x14ac:dyDescent="0.25">
      <c r="C6961" s="12"/>
      <c r="D6961" s="13"/>
      <c r="E6961" s="13"/>
      <c r="F6961" s="13"/>
      <c r="G6961" s="12"/>
      <c r="H6961" s="11"/>
    </row>
    <row r="6962" spans="3:8" x14ac:dyDescent="0.25">
      <c r="C6962" s="12"/>
      <c r="D6962" s="13"/>
      <c r="E6962" s="13"/>
      <c r="F6962" s="13"/>
      <c r="G6962" s="12"/>
      <c r="H6962" s="11"/>
    </row>
    <row r="6963" spans="3:8" x14ac:dyDescent="0.25">
      <c r="C6963" s="12"/>
      <c r="D6963" s="13"/>
      <c r="E6963" s="13"/>
      <c r="F6963" s="13"/>
      <c r="G6963" s="12"/>
      <c r="H6963" s="11"/>
    </row>
    <row r="6964" spans="3:8" x14ac:dyDescent="0.25">
      <c r="C6964" s="12"/>
      <c r="D6964" s="13"/>
      <c r="E6964" s="13"/>
      <c r="F6964" s="13"/>
      <c r="G6964" s="12"/>
      <c r="H6964" s="11"/>
    </row>
    <row r="6965" spans="3:8" x14ac:dyDescent="0.25">
      <c r="C6965" s="12"/>
      <c r="D6965" s="13"/>
      <c r="E6965" s="13"/>
      <c r="F6965" s="13"/>
      <c r="G6965" s="12"/>
      <c r="H6965" s="11"/>
    </row>
    <row r="6966" spans="3:8" x14ac:dyDescent="0.25">
      <c r="C6966" s="12"/>
      <c r="D6966" s="13"/>
      <c r="E6966" s="13"/>
      <c r="F6966" s="13"/>
      <c r="G6966" s="12"/>
      <c r="H6966" s="11"/>
    </row>
    <row r="6967" spans="3:8" x14ac:dyDescent="0.25">
      <c r="C6967" s="12"/>
      <c r="D6967" s="13"/>
      <c r="E6967" s="13"/>
      <c r="F6967" s="13"/>
      <c r="G6967" s="12"/>
      <c r="H6967" s="11"/>
    </row>
    <row r="6968" spans="3:8" x14ac:dyDescent="0.25">
      <c r="C6968" s="12"/>
      <c r="D6968" s="13"/>
      <c r="E6968" s="13"/>
      <c r="F6968" s="13"/>
      <c r="G6968" s="12"/>
      <c r="H6968" s="11"/>
    </row>
    <row r="6969" spans="3:8" x14ac:dyDescent="0.25">
      <c r="C6969" s="12"/>
      <c r="D6969" s="13"/>
      <c r="E6969" s="13"/>
      <c r="F6969" s="13"/>
      <c r="G6969" s="12"/>
      <c r="H6969" s="11"/>
    </row>
    <row r="6970" spans="3:8" x14ac:dyDescent="0.25">
      <c r="C6970" s="12"/>
      <c r="D6970" s="13"/>
      <c r="E6970" s="13"/>
      <c r="F6970" s="13"/>
      <c r="G6970" s="12"/>
      <c r="H6970" s="11"/>
    </row>
    <row r="6971" spans="3:8" x14ac:dyDescent="0.25">
      <c r="C6971" s="12"/>
      <c r="D6971" s="13"/>
      <c r="E6971" s="13"/>
      <c r="F6971" s="13"/>
      <c r="G6971" s="12"/>
      <c r="H6971" s="11"/>
    </row>
    <row r="6972" spans="3:8" x14ac:dyDescent="0.25">
      <c r="C6972" s="12"/>
      <c r="D6972" s="13"/>
      <c r="E6972" s="13"/>
      <c r="F6972" s="13"/>
      <c r="G6972" s="12"/>
      <c r="H6972" s="11"/>
    </row>
    <row r="6973" spans="3:8" x14ac:dyDescent="0.25">
      <c r="C6973" s="12"/>
      <c r="D6973" s="13"/>
      <c r="E6973" s="13"/>
      <c r="F6973" s="13"/>
      <c r="G6973" s="12"/>
      <c r="H6973" s="11"/>
    </row>
    <row r="6974" spans="3:8" x14ac:dyDescent="0.25">
      <c r="C6974" s="12"/>
      <c r="D6974" s="13"/>
      <c r="E6974" s="13"/>
      <c r="F6974" s="13"/>
      <c r="G6974" s="12"/>
      <c r="H6974" s="11"/>
    </row>
    <row r="6975" spans="3:8" x14ac:dyDescent="0.25">
      <c r="C6975" s="12"/>
      <c r="D6975" s="13"/>
      <c r="E6975" s="13"/>
      <c r="F6975" s="13"/>
      <c r="G6975" s="12"/>
      <c r="H6975" s="11"/>
    </row>
    <row r="6976" spans="3:8" x14ac:dyDescent="0.25">
      <c r="C6976" s="12"/>
      <c r="D6976" s="13"/>
      <c r="E6976" s="13"/>
      <c r="F6976" s="13"/>
      <c r="G6976" s="12"/>
      <c r="H6976" s="11"/>
    </row>
    <row r="6977" spans="3:8" x14ac:dyDescent="0.25">
      <c r="C6977" s="12"/>
      <c r="D6977" s="13"/>
      <c r="E6977" s="13"/>
      <c r="F6977" s="13"/>
      <c r="G6977" s="12"/>
      <c r="H6977" s="11"/>
    </row>
    <row r="6978" spans="3:8" x14ac:dyDescent="0.25">
      <c r="C6978" s="12"/>
      <c r="D6978" s="13"/>
      <c r="E6978" s="13"/>
      <c r="F6978" s="13"/>
      <c r="G6978" s="12"/>
      <c r="H6978" s="11"/>
    </row>
    <row r="6979" spans="3:8" x14ac:dyDescent="0.25">
      <c r="C6979" s="12"/>
      <c r="D6979" s="13"/>
      <c r="E6979" s="13"/>
      <c r="F6979" s="13"/>
      <c r="G6979" s="12"/>
      <c r="H6979" s="11"/>
    </row>
    <row r="6980" spans="3:8" x14ac:dyDescent="0.25">
      <c r="C6980" s="12"/>
      <c r="D6980" s="13"/>
      <c r="E6980" s="13"/>
      <c r="F6980" s="13"/>
      <c r="G6980" s="12"/>
      <c r="H6980" s="11"/>
    </row>
    <row r="6981" spans="3:8" x14ac:dyDescent="0.25">
      <c r="C6981" s="12"/>
      <c r="D6981" s="13"/>
      <c r="E6981" s="13"/>
      <c r="F6981" s="13"/>
      <c r="G6981" s="12"/>
      <c r="H6981" s="11"/>
    </row>
    <row r="6982" spans="3:8" x14ac:dyDescent="0.25">
      <c r="C6982" s="12"/>
      <c r="D6982" s="13"/>
      <c r="E6982" s="13"/>
      <c r="F6982" s="13"/>
      <c r="G6982" s="12"/>
      <c r="H6982" s="11"/>
    </row>
    <row r="6983" spans="3:8" x14ac:dyDescent="0.25">
      <c r="C6983" s="12"/>
      <c r="D6983" s="13"/>
      <c r="E6983" s="13"/>
      <c r="F6983" s="13"/>
      <c r="G6983" s="12"/>
      <c r="H6983" s="11"/>
    </row>
    <row r="6984" spans="3:8" x14ac:dyDescent="0.25">
      <c r="C6984" s="12"/>
      <c r="D6984" s="13"/>
      <c r="E6984" s="13"/>
      <c r="F6984" s="13"/>
      <c r="G6984" s="12"/>
      <c r="H6984" s="11"/>
    </row>
    <row r="6985" spans="3:8" x14ac:dyDescent="0.25">
      <c r="C6985" s="12"/>
      <c r="D6985" s="13"/>
      <c r="E6985" s="13"/>
      <c r="F6985" s="13"/>
      <c r="G6985" s="12"/>
      <c r="H6985" s="11"/>
    </row>
    <row r="6986" spans="3:8" x14ac:dyDescent="0.25">
      <c r="C6986" s="12"/>
      <c r="D6986" s="13"/>
      <c r="E6986" s="13"/>
      <c r="F6986" s="13"/>
      <c r="G6986" s="12"/>
      <c r="H6986" s="11"/>
    </row>
    <row r="6987" spans="3:8" x14ac:dyDescent="0.25">
      <c r="C6987" s="12"/>
      <c r="D6987" s="13"/>
      <c r="E6987" s="13"/>
      <c r="F6987" s="13"/>
      <c r="G6987" s="12"/>
      <c r="H6987" s="11"/>
    </row>
    <row r="6988" spans="3:8" x14ac:dyDescent="0.25">
      <c r="C6988" s="12"/>
      <c r="D6988" s="13"/>
      <c r="E6988" s="13"/>
      <c r="F6988" s="13"/>
      <c r="G6988" s="12"/>
      <c r="H6988" s="11"/>
    </row>
    <row r="6989" spans="3:8" x14ac:dyDescent="0.25">
      <c r="C6989" s="12"/>
      <c r="D6989" s="13"/>
      <c r="E6989" s="13"/>
      <c r="F6989" s="13"/>
      <c r="G6989" s="12"/>
      <c r="H6989" s="11"/>
    </row>
    <row r="6990" spans="3:8" x14ac:dyDescent="0.25">
      <c r="C6990" s="12"/>
      <c r="D6990" s="13"/>
      <c r="E6990" s="13"/>
      <c r="F6990" s="13"/>
      <c r="G6990" s="12"/>
      <c r="H6990" s="11"/>
    </row>
    <row r="6991" spans="3:8" x14ac:dyDescent="0.25">
      <c r="C6991" s="12"/>
      <c r="D6991" s="13"/>
      <c r="E6991" s="13"/>
      <c r="F6991" s="13"/>
      <c r="G6991" s="12"/>
      <c r="H6991" s="11"/>
    </row>
    <row r="6992" spans="3:8" x14ac:dyDescent="0.25">
      <c r="C6992" s="12"/>
      <c r="D6992" s="13"/>
      <c r="E6992" s="13"/>
      <c r="F6992" s="13"/>
      <c r="G6992" s="12"/>
      <c r="H6992" s="11"/>
    </row>
    <row r="6993" spans="3:8" x14ac:dyDescent="0.25">
      <c r="C6993" s="12"/>
      <c r="D6993" s="13"/>
      <c r="E6993" s="13"/>
      <c r="F6993" s="13"/>
      <c r="G6993" s="12"/>
      <c r="H6993" s="11"/>
    </row>
    <row r="6994" spans="3:8" x14ac:dyDescent="0.25">
      <c r="C6994" s="12"/>
      <c r="D6994" s="13"/>
      <c r="E6994" s="13"/>
      <c r="F6994" s="13"/>
      <c r="G6994" s="12"/>
      <c r="H6994" s="11"/>
    </row>
    <row r="6995" spans="3:8" x14ac:dyDescent="0.25">
      <c r="C6995" s="12"/>
      <c r="D6995" s="13"/>
      <c r="E6995" s="13"/>
      <c r="F6995" s="13"/>
      <c r="G6995" s="12"/>
      <c r="H6995" s="11"/>
    </row>
    <row r="6996" spans="3:8" x14ac:dyDescent="0.25">
      <c r="C6996" s="12"/>
      <c r="D6996" s="13"/>
      <c r="E6996" s="13"/>
      <c r="F6996" s="13"/>
      <c r="G6996" s="12"/>
      <c r="H6996" s="11"/>
    </row>
    <row r="6997" spans="3:8" x14ac:dyDescent="0.25">
      <c r="C6997" s="12"/>
      <c r="D6997" s="13"/>
      <c r="E6997" s="13"/>
      <c r="F6997" s="13"/>
      <c r="G6997" s="12"/>
      <c r="H6997" s="11"/>
    </row>
    <row r="6998" spans="3:8" x14ac:dyDescent="0.25">
      <c r="C6998" s="12"/>
      <c r="D6998" s="13"/>
      <c r="E6998" s="13"/>
      <c r="F6998" s="13"/>
      <c r="G6998" s="12"/>
      <c r="H6998" s="11"/>
    </row>
    <row r="6999" spans="3:8" x14ac:dyDescent="0.25">
      <c r="C6999" s="12"/>
      <c r="D6999" s="13"/>
      <c r="E6999" s="13"/>
      <c r="F6999" s="13"/>
      <c r="G6999" s="12"/>
      <c r="H6999" s="11"/>
    </row>
    <row r="7000" spans="3:8" x14ac:dyDescent="0.25">
      <c r="C7000" s="12"/>
      <c r="D7000" s="13"/>
      <c r="E7000" s="13"/>
      <c r="F7000" s="13"/>
      <c r="G7000" s="12"/>
      <c r="H7000" s="11"/>
    </row>
    <row r="7001" spans="3:8" x14ac:dyDescent="0.25">
      <c r="C7001" s="12"/>
      <c r="D7001" s="13"/>
      <c r="E7001" s="13"/>
      <c r="F7001" s="13"/>
      <c r="G7001" s="12"/>
      <c r="H7001" s="11"/>
    </row>
    <row r="7002" spans="3:8" x14ac:dyDescent="0.25">
      <c r="C7002" s="12"/>
      <c r="D7002" s="13"/>
      <c r="E7002" s="13"/>
      <c r="F7002" s="13"/>
      <c r="G7002" s="12"/>
      <c r="H7002" s="11"/>
    </row>
    <row r="7003" spans="3:8" x14ac:dyDescent="0.25">
      <c r="C7003" s="12"/>
      <c r="D7003" s="13"/>
      <c r="E7003" s="13"/>
      <c r="F7003" s="13"/>
      <c r="G7003" s="12"/>
      <c r="H7003" s="11"/>
    </row>
    <row r="7004" spans="3:8" x14ac:dyDescent="0.25">
      <c r="C7004" s="12"/>
      <c r="D7004" s="13"/>
      <c r="E7004" s="13"/>
      <c r="F7004" s="13"/>
      <c r="G7004" s="12"/>
      <c r="H7004" s="11"/>
    </row>
    <row r="7005" spans="3:8" x14ac:dyDescent="0.25">
      <c r="C7005" s="12"/>
      <c r="D7005" s="13"/>
      <c r="E7005" s="13"/>
      <c r="F7005" s="13"/>
      <c r="G7005" s="12"/>
      <c r="H7005" s="11"/>
    </row>
    <row r="7006" spans="3:8" x14ac:dyDescent="0.25">
      <c r="C7006" s="12"/>
      <c r="D7006" s="13"/>
      <c r="E7006" s="13"/>
      <c r="F7006" s="13"/>
      <c r="G7006" s="12"/>
      <c r="H7006" s="11"/>
    </row>
    <row r="7007" spans="3:8" x14ac:dyDescent="0.25">
      <c r="C7007" s="12"/>
      <c r="D7007" s="13"/>
      <c r="E7007" s="13"/>
      <c r="F7007" s="13"/>
      <c r="G7007" s="12"/>
      <c r="H7007" s="11"/>
    </row>
    <row r="7008" spans="3:8" x14ac:dyDescent="0.25">
      <c r="C7008" s="12"/>
      <c r="D7008" s="13"/>
      <c r="E7008" s="13"/>
      <c r="F7008" s="13"/>
      <c r="G7008" s="12"/>
      <c r="H7008" s="11"/>
    </row>
    <row r="7009" spans="3:8" x14ac:dyDescent="0.25">
      <c r="C7009" s="12"/>
      <c r="D7009" s="13"/>
      <c r="E7009" s="13"/>
      <c r="F7009" s="13"/>
      <c r="G7009" s="12"/>
      <c r="H7009" s="11"/>
    </row>
    <row r="7010" spans="3:8" x14ac:dyDescent="0.25">
      <c r="C7010" s="12"/>
      <c r="D7010" s="13"/>
      <c r="E7010" s="13"/>
      <c r="F7010" s="13"/>
      <c r="G7010" s="12"/>
      <c r="H7010" s="11"/>
    </row>
    <row r="7011" spans="3:8" x14ac:dyDescent="0.25">
      <c r="C7011" s="12"/>
      <c r="D7011" s="13"/>
      <c r="E7011" s="13"/>
      <c r="F7011" s="13"/>
      <c r="G7011" s="12"/>
      <c r="H7011" s="11"/>
    </row>
    <row r="7012" spans="3:8" x14ac:dyDescent="0.25">
      <c r="C7012" s="12"/>
      <c r="D7012" s="13"/>
      <c r="E7012" s="13"/>
      <c r="F7012" s="13"/>
      <c r="G7012" s="12"/>
      <c r="H7012" s="11"/>
    </row>
    <row r="7013" spans="3:8" x14ac:dyDescent="0.25">
      <c r="C7013" s="12"/>
      <c r="D7013" s="13"/>
      <c r="E7013" s="13"/>
      <c r="F7013" s="13"/>
      <c r="G7013" s="12"/>
      <c r="H7013" s="11"/>
    </row>
    <row r="7014" spans="3:8" x14ac:dyDescent="0.25">
      <c r="C7014" s="12"/>
      <c r="D7014" s="13"/>
      <c r="E7014" s="13"/>
      <c r="F7014" s="13"/>
      <c r="G7014" s="12"/>
      <c r="H7014" s="11"/>
    </row>
    <row r="7015" spans="3:8" x14ac:dyDescent="0.25">
      <c r="C7015" s="12"/>
      <c r="D7015" s="13"/>
      <c r="E7015" s="13"/>
      <c r="F7015" s="13"/>
      <c r="G7015" s="12"/>
      <c r="H7015" s="11"/>
    </row>
    <row r="7016" spans="3:8" x14ac:dyDescent="0.25">
      <c r="C7016" s="12"/>
      <c r="D7016" s="13"/>
      <c r="E7016" s="13"/>
      <c r="F7016" s="13"/>
      <c r="G7016" s="12"/>
      <c r="H7016" s="11"/>
    </row>
    <row r="7017" spans="3:8" x14ac:dyDescent="0.25">
      <c r="C7017" s="12"/>
      <c r="D7017" s="13"/>
      <c r="E7017" s="13"/>
      <c r="F7017" s="13"/>
      <c r="G7017" s="12"/>
      <c r="H7017" s="11"/>
    </row>
    <row r="7018" spans="3:8" x14ac:dyDescent="0.25">
      <c r="C7018" s="12"/>
      <c r="D7018" s="13"/>
      <c r="E7018" s="13"/>
      <c r="F7018" s="13"/>
      <c r="G7018" s="12"/>
      <c r="H7018" s="11"/>
    </row>
    <row r="7019" spans="3:8" x14ac:dyDescent="0.25">
      <c r="C7019" s="12"/>
      <c r="D7019" s="13"/>
      <c r="E7019" s="13"/>
      <c r="F7019" s="13"/>
      <c r="G7019" s="12"/>
      <c r="H7019" s="11"/>
    </row>
    <row r="7020" spans="3:8" x14ac:dyDescent="0.25">
      <c r="C7020" s="12"/>
      <c r="D7020" s="13"/>
      <c r="E7020" s="13"/>
      <c r="F7020" s="13"/>
      <c r="G7020" s="12"/>
      <c r="H7020" s="11"/>
    </row>
    <row r="7021" spans="3:8" x14ac:dyDescent="0.25">
      <c r="C7021" s="12"/>
      <c r="D7021" s="13"/>
      <c r="E7021" s="13"/>
      <c r="F7021" s="13"/>
      <c r="G7021" s="12"/>
      <c r="H7021" s="11"/>
    </row>
    <row r="7022" spans="3:8" x14ac:dyDescent="0.25">
      <c r="C7022" s="12"/>
      <c r="D7022" s="13"/>
      <c r="E7022" s="13"/>
      <c r="F7022" s="13"/>
      <c r="G7022" s="12"/>
      <c r="H7022" s="11"/>
    </row>
    <row r="7023" spans="3:8" x14ac:dyDescent="0.25">
      <c r="C7023" s="12"/>
      <c r="D7023" s="13"/>
      <c r="E7023" s="13"/>
      <c r="F7023" s="13"/>
      <c r="G7023" s="12"/>
      <c r="H7023" s="11"/>
    </row>
    <row r="7024" spans="3:8" x14ac:dyDescent="0.25">
      <c r="C7024" s="12"/>
      <c r="D7024" s="13"/>
      <c r="E7024" s="13"/>
      <c r="F7024" s="13"/>
      <c r="G7024" s="12"/>
      <c r="H7024" s="11"/>
    </row>
    <row r="7025" spans="3:8" x14ac:dyDescent="0.25">
      <c r="C7025" s="12"/>
      <c r="D7025" s="13"/>
      <c r="E7025" s="13"/>
      <c r="F7025" s="13"/>
      <c r="G7025" s="12"/>
      <c r="H7025" s="11"/>
    </row>
    <row r="7026" spans="3:8" x14ac:dyDescent="0.25">
      <c r="C7026" s="12"/>
      <c r="D7026" s="13"/>
      <c r="E7026" s="13"/>
      <c r="F7026" s="13"/>
      <c r="G7026" s="12"/>
      <c r="H7026" s="11"/>
    </row>
    <row r="7027" spans="3:8" x14ac:dyDescent="0.25">
      <c r="C7027" s="12"/>
      <c r="D7027" s="13"/>
      <c r="E7027" s="13"/>
      <c r="F7027" s="13"/>
      <c r="G7027" s="12"/>
      <c r="H7027" s="11"/>
    </row>
    <row r="7028" spans="3:8" x14ac:dyDescent="0.25">
      <c r="C7028" s="12"/>
      <c r="D7028" s="13"/>
      <c r="E7028" s="13"/>
      <c r="F7028" s="13"/>
      <c r="G7028" s="12"/>
      <c r="H7028" s="11"/>
    </row>
    <row r="7029" spans="3:8" x14ac:dyDescent="0.25">
      <c r="C7029" s="12"/>
      <c r="D7029" s="13"/>
      <c r="E7029" s="13"/>
      <c r="F7029" s="13"/>
      <c r="G7029" s="12"/>
      <c r="H7029" s="11"/>
    </row>
    <row r="7030" spans="3:8" x14ac:dyDescent="0.25">
      <c r="C7030" s="12"/>
      <c r="D7030" s="13"/>
      <c r="E7030" s="13"/>
      <c r="F7030" s="13"/>
      <c r="G7030" s="12"/>
      <c r="H7030" s="11"/>
    </row>
    <row r="7031" spans="3:8" x14ac:dyDescent="0.25">
      <c r="C7031" s="12"/>
      <c r="D7031" s="13"/>
      <c r="E7031" s="13"/>
      <c r="F7031" s="13"/>
      <c r="G7031" s="12"/>
      <c r="H7031" s="11"/>
    </row>
    <row r="7032" spans="3:8" x14ac:dyDescent="0.25">
      <c r="C7032" s="12"/>
      <c r="D7032" s="13"/>
      <c r="E7032" s="13"/>
      <c r="F7032" s="13"/>
      <c r="G7032" s="12"/>
      <c r="H7032" s="11"/>
    </row>
    <row r="7033" spans="3:8" x14ac:dyDescent="0.25">
      <c r="C7033" s="12"/>
      <c r="D7033" s="13"/>
      <c r="E7033" s="13"/>
      <c r="F7033" s="13"/>
      <c r="G7033" s="12"/>
      <c r="H7033" s="11"/>
    </row>
    <row r="7034" spans="3:8" x14ac:dyDescent="0.25">
      <c r="C7034" s="12"/>
      <c r="D7034" s="13"/>
      <c r="E7034" s="13"/>
      <c r="F7034" s="13"/>
      <c r="G7034" s="12"/>
      <c r="H7034" s="11"/>
    </row>
    <row r="7035" spans="3:8" x14ac:dyDescent="0.25">
      <c r="C7035" s="12"/>
      <c r="D7035" s="13"/>
      <c r="E7035" s="13"/>
      <c r="F7035" s="13"/>
      <c r="G7035" s="12"/>
      <c r="H7035" s="11"/>
    </row>
    <row r="7036" spans="3:8" x14ac:dyDescent="0.25">
      <c r="C7036" s="12"/>
      <c r="D7036" s="13"/>
      <c r="E7036" s="13"/>
      <c r="F7036" s="13"/>
      <c r="G7036" s="12"/>
      <c r="H7036" s="11"/>
    </row>
    <row r="7037" spans="3:8" x14ac:dyDescent="0.25">
      <c r="C7037" s="12"/>
      <c r="D7037" s="13"/>
      <c r="E7037" s="13"/>
      <c r="F7037" s="13"/>
      <c r="G7037" s="12"/>
      <c r="H7037" s="11"/>
    </row>
    <row r="7038" spans="3:8" x14ac:dyDescent="0.25">
      <c r="C7038" s="12"/>
      <c r="D7038" s="13"/>
      <c r="E7038" s="13"/>
      <c r="F7038" s="13"/>
      <c r="G7038" s="12"/>
      <c r="H7038" s="11"/>
    </row>
    <row r="7039" spans="3:8" x14ac:dyDescent="0.25">
      <c r="C7039" s="12"/>
      <c r="D7039" s="13"/>
      <c r="E7039" s="13"/>
      <c r="F7039" s="13"/>
      <c r="G7039" s="12"/>
      <c r="H7039" s="11"/>
    </row>
    <row r="7040" spans="3:8" x14ac:dyDescent="0.25">
      <c r="C7040" s="12"/>
      <c r="D7040" s="13"/>
      <c r="E7040" s="13"/>
      <c r="F7040" s="13"/>
      <c r="G7040" s="12"/>
      <c r="H7040" s="11"/>
    </row>
    <row r="7041" spans="3:8" x14ac:dyDescent="0.25">
      <c r="C7041" s="12"/>
      <c r="D7041" s="13"/>
      <c r="E7041" s="13"/>
      <c r="F7041" s="13"/>
      <c r="G7041" s="12"/>
      <c r="H7041" s="11"/>
    </row>
    <row r="7042" spans="3:8" x14ac:dyDescent="0.25">
      <c r="C7042" s="12"/>
      <c r="D7042" s="13"/>
      <c r="E7042" s="13"/>
      <c r="F7042" s="13"/>
      <c r="G7042" s="12"/>
      <c r="H7042" s="11"/>
    </row>
    <row r="7043" spans="3:8" x14ac:dyDescent="0.25">
      <c r="C7043" s="12"/>
      <c r="D7043" s="13"/>
      <c r="E7043" s="13"/>
      <c r="F7043" s="13"/>
      <c r="G7043" s="12"/>
      <c r="H7043" s="11"/>
    </row>
    <row r="7044" spans="3:8" x14ac:dyDescent="0.25">
      <c r="C7044" s="12"/>
      <c r="D7044" s="13"/>
      <c r="E7044" s="13"/>
      <c r="F7044" s="13"/>
      <c r="G7044" s="12"/>
      <c r="H7044" s="11"/>
    </row>
    <row r="7045" spans="3:8" x14ac:dyDescent="0.25">
      <c r="C7045" s="12"/>
      <c r="D7045" s="13"/>
      <c r="E7045" s="13"/>
      <c r="F7045" s="13"/>
      <c r="G7045" s="12"/>
      <c r="H7045" s="11"/>
    </row>
    <row r="7046" spans="3:8" x14ac:dyDescent="0.25">
      <c r="C7046" s="12"/>
      <c r="D7046" s="13"/>
      <c r="E7046" s="13"/>
      <c r="F7046" s="13"/>
      <c r="G7046" s="12"/>
      <c r="H7046" s="11"/>
    </row>
    <row r="7047" spans="3:8" x14ac:dyDescent="0.25">
      <c r="C7047" s="12"/>
      <c r="D7047" s="13"/>
      <c r="E7047" s="13"/>
      <c r="F7047" s="13"/>
      <c r="G7047" s="12"/>
      <c r="H7047" s="11"/>
    </row>
    <row r="7048" spans="3:8" x14ac:dyDescent="0.25">
      <c r="C7048" s="12"/>
      <c r="D7048" s="13"/>
      <c r="E7048" s="13"/>
      <c r="F7048" s="13"/>
      <c r="G7048" s="12"/>
      <c r="H7048" s="11"/>
    </row>
    <row r="7049" spans="3:8" x14ac:dyDescent="0.25">
      <c r="C7049" s="12"/>
      <c r="D7049" s="13"/>
      <c r="E7049" s="13"/>
      <c r="F7049" s="13"/>
      <c r="G7049" s="12"/>
      <c r="H7049" s="11"/>
    </row>
    <row r="7050" spans="3:8" x14ac:dyDescent="0.25">
      <c r="C7050" s="12"/>
      <c r="D7050" s="13"/>
      <c r="E7050" s="13"/>
      <c r="F7050" s="13"/>
      <c r="G7050" s="12"/>
      <c r="H7050" s="11"/>
    </row>
    <row r="7051" spans="3:8" x14ac:dyDescent="0.25">
      <c r="C7051" s="12"/>
      <c r="D7051" s="13"/>
      <c r="E7051" s="13"/>
      <c r="F7051" s="13"/>
      <c r="G7051" s="12"/>
      <c r="H7051" s="11"/>
    </row>
    <row r="7052" spans="3:8" x14ac:dyDescent="0.25">
      <c r="C7052" s="12"/>
      <c r="D7052" s="13"/>
      <c r="E7052" s="13"/>
      <c r="F7052" s="13"/>
      <c r="G7052" s="12"/>
      <c r="H7052" s="11"/>
    </row>
    <row r="7053" spans="3:8" x14ac:dyDescent="0.25">
      <c r="C7053" s="12"/>
      <c r="D7053" s="13"/>
      <c r="E7053" s="13"/>
      <c r="F7053" s="13"/>
      <c r="G7053" s="12"/>
      <c r="H7053" s="11"/>
    </row>
    <row r="7054" spans="3:8" x14ac:dyDescent="0.25">
      <c r="C7054" s="12"/>
      <c r="D7054" s="13"/>
      <c r="E7054" s="13"/>
      <c r="F7054" s="13"/>
      <c r="G7054" s="12"/>
      <c r="H7054" s="11"/>
    </row>
    <row r="7055" spans="3:8" x14ac:dyDescent="0.25">
      <c r="C7055" s="12"/>
      <c r="D7055" s="13"/>
      <c r="E7055" s="13"/>
      <c r="F7055" s="13"/>
      <c r="G7055" s="12"/>
      <c r="H7055" s="11"/>
    </row>
    <row r="7056" spans="3:8" x14ac:dyDescent="0.25">
      <c r="C7056" s="12"/>
      <c r="D7056" s="13"/>
      <c r="E7056" s="13"/>
      <c r="F7056" s="13"/>
      <c r="G7056" s="12"/>
      <c r="H7056" s="11"/>
    </row>
    <row r="7057" spans="3:8" x14ac:dyDescent="0.25">
      <c r="C7057" s="12"/>
      <c r="D7057" s="13"/>
      <c r="E7057" s="13"/>
      <c r="F7057" s="13"/>
      <c r="G7057" s="12"/>
      <c r="H7057" s="11"/>
    </row>
    <row r="7058" spans="3:8" x14ac:dyDescent="0.25">
      <c r="C7058" s="12"/>
      <c r="D7058" s="13"/>
      <c r="E7058" s="13"/>
      <c r="F7058" s="13"/>
      <c r="G7058" s="12"/>
      <c r="H7058" s="11"/>
    </row>
    <row r="7059" spans="3:8" x14ac:dyDescent="0.25">
      <c r="C7059" s="12"/>
      <c r="D7059" s="13"/>
      <c r="E7059" s="13"/>
      <c r="F7059" s="13"/>
      <c r="G7059" s="12"/>
      <c r="H7059" s="11"/>
    </row>
    <row r="7060" spans="3:8" x14ac:dyDescent="0.25">
      <c r="C7060" s="12"/>
      <c r="D7060" s="13"/>
      <c r="E7060" s="13"/>
      <c r="F7060" s="13"/>
      <c r="G7060" s="12"/>
      <c r="H7060" s="11"/>
    </row>
    <row r="7061" spans="3:8" x14ac:dyDescent="0.25">
      <c r="C7061" s="12"/>
      <c r="D7061" s="13"/>
      <c r="E7061" s="13"/>
      <c r="F7061" s="13"/>
      <c r="G7061" s="12"/>
      <c r="H7061" s="11"/>
    </row>
    <row r="7062" spans="3:8" x14ac:dyDescent="0.25">
      <c r="C7062" s="12"/>
      <c r="D7062" s="13"/>
      <c r="E7062" s="13"/>
      <c r="F7062" s="13"/>
      <c r="G7062" s="12"/>
      <c r="H7062" s="11"/>
    </row>
    <row r="7063" spans="3:8" x14ac:dyDescent="0.25">
      <c r="C7063" s="12"/>
      <c r="D7063" s="13"/>
      <c r="E7063" s="13"/>
      <c r="F7063" s="13"/>
      <c r="G7063" s="12"/>
      <c r="H7063" s="11"/>
    </row>
    <row r="7064" spans="3:8" x14ac:dyDescent="0.25">
      <c r="C7064" s="12"/>
      <c r="D7064" s="13"/>
      <c r="E7064" s="13"/>
      <c r="F7064" s="13"/>
      <c r="G7064" s="12"/>
      <c r="H7064" s="11"/>
    </row>
    <row r="7065" spans="3:8" x14ac:dyDescent="0.25">
      <c r="C7065" s="12"/>
      <c r="D7065" s="13"/>
      <c r="E7065" s="13"/>
      <c r="F7065" s="13"/>
      <c r="G7065" s="12"/>
      <c r="H7065" s="11"/>
    </row>
    <row r="7066" spans="3:8" x14ac:dyDescent="0.25">
      <c r="C7066" s="12"/>
      <c r="D7066" s="13"/>
      <c r="E7066" s="13"/>
      <c r="F7066" s="13"/>
      <c r="G7066" s="12"/>
      <c r="H7066" s="11"/>
    </row>
    <row r="7067" spans="3:8" x14ac:dyDescent="0.25">
      <c r="C7067" s="12"/>
      <c r="D7067" s="13"/>
      <c r="E7067" s="13"/>
      <c r="F7067" s="13"/>
      <c r="G7067" s="12"/>
      <c r="H7067" s="11"/>
    </row>
    <row r="7068" spans="3:8" x14ac:dyDescent="0.25">
      <c r="C7068" s="12"/>
      <c r="D7068" s="13"/>
      <c r="E7068" s="13"/>
      <c r="F7068" s="13"/>
      <c r="G7068" s="12"/>
      <c r="H7068" s="11"/>
    </row>
    <row r="7069" spans="3:8" x14ac:dyDescent="0.25">
      <c r="C7069" s="12"/>
      <c r="D7069" s="13"/>
      <c r="E7069" s="13"/>
      <c r="F7069" s="13"/>
      <c r="G7069" s="12"/>
      <c r="H7069" s="11"/>
    </row>
    <row r="7070" spans="3:8" x14ac:dyDescent="0.25">
      <c r="C7070" s="12"/>
      <c r="D7070" s="13"/>
      <c r="E7070" s="13"/>
      <c r="F7070" s="13"/>
      <c r="G7070" s="12"/>
      <c r="H7070" s="11"/>
    </row>
    <row r="7071" spans="3:8" x14ac:dyDescent="0.25">
      <c r="C7071" s="12"/>
      <c r="D7071" s="13"/>
      <c r="E7071" s="13"/>
      <c r="F7071" s="13"/>
      <c r="G7071" s="12"/>
      <c r="H7071" s="11"/>
    </row>
    <row r="7072" spans="3:8" x14ac:dyDescent="0.25">
      <c r="C7072" s="12"/>
      <c r="D7072" s="13"/>
      <c r="E7072" s="13"/>
      <c r="F7072" s="13"/>
      <c r="G7072" s="12"/>
      <c r="H7072" s="11"/>
    </row>
    <row r="7073" spans="3:8" x14ac:dyDescent="0.25">
      <c r="C7073" s="12"/>
      <c r="D7073" s="13"/>
      <c r="E7073" s="13"/>
      <c r="F7073" s="13"/>
      <c r="G7073" s="12"/>
      <c r="H7073" s="11"/>
    </row>
    <row r="7074" spans="3:8" x14ac:dyDescent="0.25">
      <c r="C7074" s="12"/>
      <c r="D7074" s="13"/>
      <c r="E7074" s="13"/>
      <c r="F7074" s="13"/>
      <c r="G7074" s="12"/>
      <c r="H7074" s="11"/>
    </row>
    <row r="7075" spans="3:8" x14ac:dyDescent="0.25">
      <c r="C7075" s="12"/>
      <c r="D7075" s="13"/>
      <c r="E7075" s="13"/>
      <c r="F7075" s="13"/>
      <c r="G7075" s="12"/>
      <c r="H7075" s="11"/>
    </row>
    <row r="7076" spans="3:8" x14ac:dyDescent="0.25">
      <c r="C7076" s="12"/>
      <c r="D7076" s="13"/>
      <c r="E7076" s="13"/>
      <c r="F7076" s="13"/>
      <c r="G7076" s="12"/>
      <c r="H7076" s="11"/>
    </row>
    <row r="7077" spans="3:8" x14ac:dyDescent="0.25">
      <c r="C7077" s="12"/>
      <c r="D7077" s="13"/>
      <c r="E7077" s="13"/>
      <c r="F7077" s="13"/>
      <c r="G7077" s="12"/>
      <c r="H7077" s="11"/>
    </row>
    <row r="7078" spans="3:8" x14ac:dyDescent="0.25">
      <c r="C7078" s="12"/>
      <c r="D7078" s="13"/>
      <c r="E7078" s="13"/>
      <c r="F7078" s="13"/>
      <c r="G7078" s="12"/>
      <c r="H7078" s="11"/>
    </row>
    <row r="7079" spans="3:8" x14ac:dyDescent="0.25">
      <c r="C7079" s="12"/>
      <c r="D7079" s="13"/>
      <c r="E7079" s="13"/>
      <c r="F7079" s="13"/>
      <c r="G7079" s="12"/>
      <c r="H7079" s="11"/>
    </row>
    <row r="7080" spans="3:8" x14ac:dyDescent="0.25">
      <c r="C7080" s="12"/>
      <c r="D7080" s="13"/>
      <c r="E7080" s="13"/>
      <c r="F7080" s="13"/>
      <c r="G7080" s="12"/>
      <c r="H7080" s="11"/>
    </row>
    <row r="7081" spans="3:8" x14ac:dyDescent="0.25">
      <c r="C7081" s="12"/>
      <c r="D7081" s="13"/>
      <c r="E7081" s="13"/>
      <c r="F7081" s="13"/>
      <c r="G7081" s="12"/>
      <c r="H7081" s="11"/>
    </row>
    <row r="7082" spans="3:8" x14ac:dyDescent="0.25">
      <c r="C7082" s="12"/>
      <c r="D7082" s="13"/>
      <c r="E7082" s="13"/>
      <c r="F7082" s="13"/>
      <c r="G7082" s="12"/>
      <c r="H7082" s="11"/>
    </row>
    <row r="7083" spans="3:8" x14ac:dyDescent="0.25">
      <c r="C7083" s="12"/>
      <c r="D7083" s="13"/>
      <c r="E7083" s="13"/>
      <c r="F7083" s="13"/>
      <c r="G7083" s="12"/>
      <c r="H7083" s="11"/>
    </row>
    <row r="7084" spans="3:8" x14ac:dyDescent="0.25">
      <c r="C7084" s="12"/>
      <c r="D7084" s="13"/>
      <c r="E7084" s="13"/>
      <c r="F7084" s="13"/>
      <c r="G7084" s="12"/>
      <c r="H7084" s="11"/>
    </row>
    <row r="7085" spans="3:8" x14ac:dyDescent="0.25">
      <c r="C7085" s="12"/>
      <c r="D7085" s="13"/>
      <c r="E7085" s="13"/>
      <c r="F7085" s="13"/>
      <c r="G7085" s="12"/>
      <c r="H7085" s="11"/>
    </row>
    <row r="7086" spans="3:8" x14ac:dyDescent="0.25">
      <c r="C7086" s="12"/>
      <c r="D7086" s="13"/>
      <c r="E7086" s="13"/>
      <c r="F7086" s="13"/>
      <c r="G7086" s="12"/>
      <c r="H7086" s="11"/>
    </row>
    <row r="7087" spans="3:8" x14ac:dyDescent="0.25">
      <c r="C7087" s="12"/>
      <c r="D7087" s="13"/>
      <c r="E7087" s="13"/>
      <c r="F7087" s="13"/>
      <c r="G7087" s="12"/>
      <c r="H7087" s="11"/>
    </row>
    <row r="7088" spans="3:8" x14ac:dyDescent="0.25">
      <c r="C7088" s="12"/>
      <c r="D7088" s="13"/>
      <c r="E7088" s="13"/>
      <c r="F7088" s="13"/>
      <c r="G7088" s="12"/>
      <c r="H7088" s="11"/>
    </row>
    <row r="7089" spans="3:8" x14ac:dyDescent="0.25">
      <c r="C7089" s="12"/>
      <c r="D7089" s="13"/>
      <c r="E7089" s="13"/>
      <c r="F7089" s="13"/>
      <c r="G7089" s="12"/>
      <c r="H7089" s="11"/>
    </row>
    <row r="7090" spans="3:8" x14ac:dyDescent="0.25">
      <c r="C7090" s="12"/>
      <c r="D7090" s="13"/>
      <c r="E7090" s="13"/>
      <c r="F7090" s="13"/>
      <c r="G7090" s="12"/>
      <c r="H7090" s="11"/>
    </row>
    <row r="7091" spans="3:8" x14ac:dyDescent="0.25">
      <c r="C7091" s="12"/>
      <c r="D7091" s="13"/>
      <c r="E7091" s="13"/>
      <c r="F7091" s="13"/>
      <c r="G7091" s="12"/>
      <c r="H7091" s="11"/>
    </row>
    <row r="7092" spans="3:8" x14ac:dyDescent="0.25">
      <c r="C7092" s="12"/>
      <c r="D7092" s="13"/>
      <c r="E7092" s="13"/>
      <c r="F7092" s="13"/>
      <c r="G7092" s="12"/>
      <c r="H7092" s="11"/>
    </row>
    <row r="7093" spans="3:8" x14ac:dyDescent="0.25">
      <c r="C7093" s="12"/>
      <c r="D7093" s="13"/>
      <c r="E7093" s="13"/>
      <c r="F7093" s="13"/>
      <c r="G7093" s="12"/>
      <c r="H7093" s="11"/>
    </row>
    <row r="7094" spans="3:8" x14ac:dyDescent="0.25">
      <c r="C7094" s="12"/>
      <c r="D7094" s="13"/>
      <c r="E7094" s="13"/>
      <c r="F7094" s="13"/>
      <c r="G7094" s="12"/>
      <c r="H7094" s="11"/>
    </row>
    <row r="7095" spans="3:8" x14ac:dyDescent="0.25">
      <c r="C7095" s="12"/>
      <c r="D7095" s="13"/>
      <c r="E7095" s="13"/>
      <c r="F7095" s="13"/>
      <c r="G7095" s="12"/>
      <c r="H7095" s="11"/>
    </row>
    <row r="7096" spans="3:8" x14ac:dyDescent="0.25">
      <c r="C7096" s="12"/>
      <c r="D7096" s="13"/>
      <c r="E7096" s="13"/>
      <c r="F7096" s="13"/>
      <c r="G7096" s="12"/>
      <c r="H7096" s="11"/>
    </row>
    <row r="7097" spans="3:8" x14ac:dyDescent="0.25">
      <c r="C7097" s="12"/>
      <c r="D7097" s="13"/>
      <c r="E7097" s="13"/>
      <c r="F7097" s="13"/>
      <c r="G7097" s="12"/>
      <c r="H7097" s="11"/>
    </row>
    <row r="7098" spans="3:8" x14ac:dyDescent="0.25">
      <c r="C7098" s="12"/>
      <c r="D7098" s="13"/>
      <c r="E7098" s="13"/>
      <c r="F7098" s="13"/>
      <c r="G7098" s="12"/>
      <c r="H7098" s="11"/>
    </row>
    <row r="7099" spans="3:8" x14ac:dyDescent="0.25">
      <c r="C7099" s="12"/>
      <c r="D7099" s="13"/>
      <c r="E7099" s="13"/>
      <c r="F7099" s="13"/>
      <c r="G7099" s="12"/>
      <c r="H7099" s="11"/>
    </row>
    <row r="7100" spans="3:8" x14ac:dyDescent="0.25">
      <c r="C7100" s="12"/>
      <c r="D7100" s="13"/>
      <c r="E7100" s="13"/>
      <c r="F7100" s="13"/>
      <c r="G7100" s="12"/>
      <c r="H7100" s="11"/>
    </row>
    <row r="7101" spans="3:8" x14ac:dyDescent="0.25">
      <c r="C7101" s="12"/>
      <c r="D7101" s="13"/>
      <c r="E7101" s="13"/>
      <c r="F7101" s="13"/>
      <c r="G7101" s="12"/>
      <c r="H7101" s="11"/>
    </row>
    <row r="7102" spans="3:8" x14ac:dyDescent="0.25">
      <c r="C7102" s="12"/>
      <c r="D7102" s="13"/>
      <c r="E7102" s="13"/>
      <c r="F7102" s="13"/>
      <c r="G7102" s="12"/>
      <c r="H7102" s="11"/>
    </row>
    <row r="7103" spans="3:8" x14ac:dyDescent="0.25">
      <c r="C7103" s="12"/>
      <c r="D7103" s="13"/>
      <c r="E7103" s="13"/>
      <c r="F7103" s="13"/>
      <c r="G7103" s="12"/>
      <c r="H7103" s="11"/>
    </row>
    <row r="7104" spans="3:8" x14ac:dyDescent="0.25">
      <c r="C7104" s="12"/>
      <c r="D7104" s="13"/>
      <c r="E7104" s="13"/>
      <c r="F7104" s="13"/>
      <c r="G7104" s="12"/>
      <c r="H7104" s="11"/>
    </row>
    <row r="7105" spans="3:8" x14ac:dyDescent="0.25">
      <c r="C7105" s="12"/>
      <c r="D7105" s="13"/>
      <c r="E7105" s="13"/>
      <c r="F7105" s="13"/>
      <c r="G7105" s="12"/>
      <c r="H7105" s="11"/>
    </row>
    <row r="7106" spans="3:8" x14ac:dyDescent="0.25">
      <c r="C7106" s="12"/>
      <c r="D7106" s="13"/>
      <c r="E7106" s="13"/>
      <c r="F7106" s="13"/>
      <c r="G7106" s="12"/>
      <c r="H7106" s="11"/>
    </row>
    <row r="7107" spans="3:8" x14ac:dyDescent="0.25">
      <c r="C7107" s="12"/>
      <c r="D7107" s="13"/>
      <c r="E7107" s="13"/>
      <c r="F7107" s="13"/>
      <c r="G7107" s="12"/>
      <c r="H7107" s="11"/>
    </row>
    <row r="7108" spans="3:8" x14ac:dyDescent="0.25">
      <c r="C7108" s="12"/>
      <c r="D7108" s="13"/>
      <c r="E7108" s="13"/>
      <c r="F7108" s="13"/>
      <c r="G7108" s="12"/>
      <c r="H7108" s="11"/>
    </row>
    <row r="7109" spans="3:8" x14ac:dyDescent="0.25">
      <c r="C7109" s="12"/>
      <c r="D7109" s="13"/>
      <c r="E7109" s="13"/>
      <c r="F7109" s="13"/>
      <c r="G7109" s="12"/>
      <c r="H7109" s="11"/>
    </row>
    <row r="7110" spans="3:8" x14ac:dyDescent="0.25">
      <c r="C7110" s="12"/>
      <c r="D7110" s="13"/>
      <c r="E7110" s="13"/>
      <c r="F7110" s="13"/>
      <c r="G7110" s="12"/>
      <c r="H7110" s="11"/>
    </row>
    <row r="7111" spans="3:8" x14ac:dyDescent="0.25">
      <c r="C7111" s="12"/>
      <c r="D7111" s="13"/>
      <c r="E7111" s="13"/>
      <c r="F7111" s="13"/>
      <c r="G7111" s="12"/>
      <c r="H7111" s="11"/>
    </row>
    <row r="7112" spans="3:8" x14ac:dyDescent="0.25">
      <c r="C7112" s="12"/>
      <c r="D7112" s="13"/>
      <c r="E7112" s="13"/>
      <c r="F7112" s="13"/>
      <c r="G7112" s="12"/>
      <c r="H7112" s="11"/>
    </row>
    <row r="7113" spans="3:8" x14ac:dyDescent="0.25">
      <c r="C7113" s="12"/>
      <c r="D7113" s="13"/>
      <c r="E7113" s="13"/>
      <c r="F7113" s="13"/>
      <c r="G7113" s="12"/>
      <c r="H7113" s="11"/>
    </row>
    <row r="7114" spans="3:8" x14ac:dyDescent="0.25">
      <c r="C7114" s="12"/>
      <c r="D7114" s="13"/>
      <c r="E7114" s="13"/>
      <c r="F7114" s="13"/>
      <c r="G7114" s="12"/>
      <c r="H7114" s="11"/>
    </row>
    <row r="7115" spans="3:8" x14ac:dyDescent="0.25">
      <c r="C7115" s="12"/>
      <c r="D7115" s="13"/>
      <c r="E7115" s="13"/>
      <c r="F7115" s="13"/>
      <c r="G7115" s="12"/>
      <c r="H7115" s="11"/>
    </row>
    <row r="7116" spans="3:8" x14ac:dyDescent="0.25">
      <c r="C7116" s="12"/>
      <c r="D7116" s="13"/>
      <c r="E7116" s="13"/>
      <c r="F7116" s="13"/>
      <c r="G7116" s="12"/>
      <c r="H7116" s="11"/>
    </row>
    <row r="7117" spans="3:8" x14ac:dyDescent="0.25">
      <c r="C7117" s="12"/>
      <c r="D7117" s="13"/>
      <c r="E7117" s="13"/>
      <c r="F7117" s="13"/>
      <c r="G7117" s="12"/>
      <c r="H7117" s="11"/>
    </row>
    <row r="7118" spans="3:8" x14ac:dyDescent="0.25">
      <c r="C7118" s="12"/>
      <c r="D7118" s="13"/>
      <c r="E7118" s="13"/>
      <c r="F7118" s="13"/>
      <c r="G7118" s="12"/>
      <c r="H7118" s="11"/>
    </row>
    <row r="7119" spans="3:8" x14ac:dyDescent="0.25">
      <c r="C7119" s="12"/>
      <c r="D7119" s="13"/>
      <c r="E7119" s="13"/>
      <c r="F7119" s="13"/>
      <c r="G7119" s="12"/>
      <c r="H7119" s="11"/>
    </row>
    <row r="7120" spans="3:8" x14ac:dyDescent="0.25">
      <c r="C7120" s="12"/>
      <c r="D7120" s="13"/>
      <c r="E7120" s="13"/>
      <c r="F7120" s="13"/>
      <c r="G7120" s="12"/>
      <c r="H7120" s="11"/>
    </row>
    <row r="7121" spans="3:8" x14ac:dyDescent="0.25">
      <c r="C7121" s="12"/>
      <c r="D7121" s="13"/>
      <c r="E7121" s="13"/>
      <c r="F7121" s="13"/>
      <c r="G7121" s="12"/>
      <c r="H7121" s="11"/>
    </row>
    <row r="7122" spans="3:8" x14ac:dyDescent="0.25">
      <c r="C7122" s="12"/>
      <c r="D7122" s="13"/>
      <c r="E7122" s="13"/>
      <c r="F7122" s="13"/>
      <c r="G7122" s="12"/>
      <c r="H7122" s="11"/>
    </row>
    <row r="7123" spans="3:8" x14ac:dyDescent="0.25">
      <c r="C7123" s="12"/>
      <c r="D7123" s="13"/>
      <c r="E7123" s="13"/>
      <c r="F7123" s="13"/>
      <c r="G7123" s="12"/>
      <c r="H7123" s="11"/>
    </row>
    <row r="7124" spans="3:8" x14ac:dyDescent="0.25">
      <c r="C7124" s="12"/>
      <c r="D7124" s="13"/>
      <c r="E7124" s="13"/>
      <c r="F7124" s="13"/>
      <c r="G7124" s="12"/>
      <c r="H7124" s="11"/>
    </row>
    <row r="7125" spans="3:8" x14ac:dyDescent="0.25">
      <c r="C7125" s="12"/>
      <c r="D7125" s="13"/>
      <c r="E7125" s="13"/>
      <c r="F7125" s="13"/>
      <c r="G7125" s="12"/>
      <c r="H7125" s="11"/>
    </row>
    <row r="7126" spans="3:8" x14ac:dyDescent="0.25">
      <c r="C7126" s="12"/>
      <c r="D7126" s="13"/>
      <c r="E7126" s="13"/>
      <c r="F7126" s="13"/>
      <c r="G7126" s="12"/>
      <c r="H7126" s="11"/>
    </row>
    <row r="7127" spans="3:8" x14ac:dyDescent="0.25">
      <c r="C7127" s="12"/>
      <c r="D7127" s="13"/>
      <c r="E7127" s="13"/>
      <c r="F7127" s="13"/>
      <c r="G7127" s="12"/>
      <c r="H7127" s="11"/>
    </row>
    <row r="7128" spans="3:8" x14ac:dyDescent="0.25">
      <c r="C7128" s="12"/>
      <c r="D7128" s="13"/>
      <c r="E7128" s="13"/>
      <c r="F7128" s="13"/>
      <c r="G7128" s="12"/>
      <c r="H7128" s="11"/>
    </row>
    <row r="7129" spans="3:8" x14ac:dyDescent="0.25">
      <c r="C7129" s="12"/>
      <c r="D7129" s="13"/>
      <c r="E7129" s="13"/>
      <c r="F7129" s="13"/>
      <c r="G7129" s="12"/>
      <c r="H7129" s="11"/>
    </row>
    <row r="7130" spans="3:8" x14ac:dyDescent="0.25">
      <c r="C7130" s="12"/>
      <c r="D7130" s="13"/>
      <c r="E7130" s="13"/>
      <c r="F7130" s="13"/>
      <c r="G7130" s="12"/>
      <c r="H7130" s="11"/>
    </row>
    <row r="7131" spans="3:8" x14ac:dyDescent="0.25">
      <c r="C7131" s="12"/>
      <c r="D7131" s="13"/>
      <c r="E7131" s="13"/>
      <c r="F7131" s="13"/>
      <c r="G7131" s="12"/>
      <c r="H7131" s="11"/>
    </row>
    <row r="7132" spans="3:8" x14ac:dyDescent="0.25">
      <c r="C7132" s="12"/>
      <c r="D7132" s="13"/>
      <c r="E7132" s="13"/>
      <c r="F7132" s="13"/>
      <c r="G7132" s="12"/>
      <c r="H7132" s="11"/>
    </row>
    <row r="7133" spans="3:8" x14ac:dyDescent="0.25">
      <c r="C7133" s="12"/>
      <c r="D7133" s="13"/>
      <c r="E7133" s="13"/>
      <c r="F7133" s="13"/>
      <c r="G7133" s="12"/>
      <c r="H7133" s="11"/>
    </row>
    <row r="7134" spans="3:8" x14ac:dyDescent="0.25">
      <c r="C7134" s="12"/>
      <c r="D7134" s="13"/>
      <c r="E7134" s="13"/>
      <c r="F7134" s="13"/>
      <c r="G7134" s="12"/>
      <c r="H7134" s="11"/>
    </row>
    <row r="7135" spans="3:8" x14ac:dyDescent="0.25">
      <c r="C7135" s="12"/>
      <c r="D7135" s="13"/>
      <c r="E7135" s="13"/>
      <c r="F7135" s="13"/>
      <c r="G7135" s="12"/>
      <c r="H7135" s="11"/>
    </row>
    <row r="7136" spans="3:8" x14ac:dyDescent="0.25">
      <c r="C7136" s="12"/>
      <c r="D7136" s="13"/>
      <c r="E7136" s="13"/>
      <c r="F7136" s="13"/>
      <c r="G7136" s="12"/>
      <c r="H7136" s="11"/>
    </row>
    <row r="7137" spans="3:8" x14ac:dyDescent="0.25">
      <c r="C7137" s="12"/>
      <c r="D7137" s="13"/>
      <c r="E7137" s="13"/>
      <c r="F7137" s="13"/>
      <c r="G7137" s="12"/>
      <c r="H7137" s="11"/>
    </row>
    <row r="7138" spans="3:8" x14ac:dyDescent="0.25">
      <c r="C7138" s="12"/>
      <c r="D7138" s="13"/>
      <c r="E7138" s="13"/>
      <c r="F7138" s="13"/>
      <c r="G7138" s="12"/>
      <c r="H7138" s="11"/>
    </row>
    <row r="7139" spans="3:8" x14ac:dyDescent="0.25">
      <c r="C7139" s="12"/>
      <c r="D7139" s="13"/>
      <c r="E7139" s="13"/>
      <c r="F7139" s="13"/>
      <c r="G7139" s="12"/>
      <c r="H7139" s="11"/>
    </row>
    <row r="7140" spans="3:8" x14ac:dyDescent="0.25">
      <c r="C7140" s="12"/>
      <c r="D7140" s="13"/>
      <c r="E7140" s="13"/>
      <c r="F7140" s="13"/>
      <c r="G7140" s="12"/>
      <c r="H7140" s="11"/>
    </row>
    <row r="7141" spans="3:8" x14ac:dyDescent="0.25">
      <c r="C7141" s="12"/>
      <c r="D7141" s="13"/>
      <c r="E7141" s="13"/>
      <c r="F7141" s="13"/>
      <c r="G7141" s="12"/>
      <c r="H7141" s="11"/>
    </row>
    <row r="7142" spans="3:8" x14ac:dyDescent="0.25">
      <c r="C7142" s="12"/>
      <c r="D7142" s="13"/>
      <c r="E7142" s="13"/>
      <c r="F7142" s="13"/>
      <c r="G7142" s="12"/>
      <c r="H7142" s="11"/>
    </row>
    <row r="7143" spans="3:8" x14ac:dyDescent="0.25">
      <c r="C7143" s="12"/>
      <c r="D7143" s="13"/>
      <c r="E7143" s="13"/>
      <c r="F7143" s="13"/>
      <c r="G7143" s="12"/>
      <c r="H7143" s="11"/>
    </row>
    <row r="7144" spans="3:8" x14ac:dyDescent="0.25">
      <c r="C7144" s="12"/>
      <c r="D7144" s="13"/>
      <c r="E7144" s="13"/>
      <c r="F7144" s="13"/>
      <c r="G7144" s="12"/>
      <c r="H7144" s="11"/>
    </row>
    <row r="7145" spans="3:8" x14ac:dyDescent="0.25">
      <c r="C7145" s="12"/>
      <c r="D7145" s="13"/>
      <c r="E7145" s="13"/>
      <c r="F7145" s="13"/>
      <c r="G7145" s="12"/>
      <c r="H7145" s="11"/>
    </row>
    <row r="7146" spans="3:8" x14ac:dyDescent="0.25">
      <c r="C7146" s="12"/>
      <c r="D7146" s="13"/>
      <c r="E7146" s="13"/>
      <c r="F7146" s="13"/>
      <c r="G7146" s="12"/>
      <c r="H7146" s="11"/>
    </row>
    <row r="7147" spans="3:8" x14ac:dyDescent="0.25">
      <c r="C7147" s="12"/>
      <c r="D7147" s="13"/>
      <c r="E7147" s="13"/>
      <c r="F7147" s="13"/>
      <c r="G7147" s="12"/>
      <c r="H7147" s="11"/>
    </row>
    <row r="7148" spans="3:8" x14ac:dyDescent="0.25">
      <c r="C7148" s="12"/>
      <c r="D7148" s="13"/>
      <c r="E7148" s="13"/>
      <c r="F7148" s="13"/>
      <c r="G7148" s="12"/>
      <c r="H7148" s="11"/>
    </row>
    <row r="7149" spans="3:8" x14ac:dyDescent="0.25">
      <c r="C7149" s="12"/>
      <c r="D7149" s="13"/>
      <c r="E7149" s="13"/>
      <c r="F7149" s="13"/>
      <c r="G7149" s="12"/>
      <c r="H7149" s="11"/>
    </row>
    <row r="7150" spans="3:8" x14ac:dyDescent="0.25">
      <c r="C7150" s="12"/>
      <c r="D7150" s="13"/>
      <c r="E7150" s="13"/>
      <c r="F7150" s="13"/>
      <c r="G7150" s="12"/>
      <c r="H7150" s="11"/>
    </row>
    <row r="7151" spans="3:8" x14ac:dyDescent="0.25">
      <c r="C7151" s="12"/>
      <c r="D7151" s="13"/>
      <c r="E7151" s="13"/>
      <c r="F7151" s="13"/>
      <c r="G7151" s="12"/>
      <c r="H7151" s="11"/>
    </row>
    <row r="7152" spans="3:8" x14ac:dyDescent="0.25">
      <c r="C7152" s="12"/>
      <c r="D7152" s="13"/>
      <c r="E7152" s="13"/>
      <c r="F7152" s="13"/>
      <c r="G7152" s="12"/>
      <c r="H7152" s="11"/>
    </row>
    <row r="7153" spans="3:8" x14ac:dyDescent="0.25">
      <c r="C7153" s="12"/>
      <c r="D7153" s="13"/>
      <c r="E7153" s="13"/>
      <c r="F7153" s="13"/>
      <c r="G7153" s="12"/>
      <c r="H7153" s="11"/>
    </row>
    <row r="7154" spans="3:8" x14ac:dyDescent="0.25">
      <c r="C7154" s="12"/>
      <c r="D7154" s="13"/>
      <c r="E7154" s="13"/>
      <c r="F7154" s="13"/>
      <c r="G7154" s="12"/>
      <c r="H7154" s="11"/>
    </row>
    <row r="7155" spans="3:8" x14ac:dyDescent="0.25">
      <c r="C7155" s="12"/>
      <c r="D7155" s="13"/>
      <c r="E7155" s="13"/>
      <c r="F7155" s="13"/>
      <c r="G7155" s="12"/>
      <c r="H7155" s="11"/>
    </row>
    <row r="7156" spans="3:8" x14ac:dyDescent="0.25">
      <c r="C7156" s="12"/>
      <c r="D7156" s="13"/>
      <c r="E7156" s="13"/>
      <c r="F7156" s="13"/>
      <c r="G7156" s="12"/>
      <c r="H7156" s="11"/>
    </row>
    <row r="7157" spans="3:8" x14ac:dyDescent="0.25">
      <c r="C7157" s="12"/>
      <c r="D7157" s="13"/>
      <c r="E7157" s="13"/>
      <c r="F7157" s="13"/>
      <c r="G7157" s="12"/>
      <c r="H7157" s="11"/>
    </row>
    <row r="7158" spans="3:8" x14ac:dyDescent="0.25">
      <c r="C7158" s="12"/>
      <c r="D7158" s="13"/>
      <c r="E7158" s="13"/>
      <c r="F7158" s="13"/>
      <c r="G7158" s="12"/>
      <c r="H7158" s="11"/>
    </row>
    <row r="7159" spans="3:8" x14ac:dyDescent="0.25">
      <c r="C7159" s="12"/>
      <c r="D7159" s="13"/>
      <c r="E7159" s="13"/>
      <c r="F7159" s="13"/>
      <c r="G7159" s="12"/>
      <c r="H7159" s="11"/>
    </row>
    <row r="7160" spans="3:8" x14ac:dyDescent="0.25">
      <c r="C7160" s="12"/>
      <c r="D7160" s="13"/>
      <c r="E7160" s="13"/>
      <c r="F7160" s="13"/>
      <c r="G7160" s="12"/>
      <c r="H7160" s="11"/>
    </row>
    <row r="7161" spans="3:8" x14ac:dyDescent="0.25">
      <c r="C7161" s="12"/>
      <c r="D7161" s="13"/>
      <c r="E7161" s="13"/>
      <c r="F7161" s="13"/>
      <c r="G7161" s="12"/>
      <c r="H7161" s="11"/>
    </row>
    <row r="7162" spans="3:8" x14ac:dyDescent="0.25">
      <c r="C7162" s="12"/>
      <c r="D7162" s="13"/>
      <c r="E7162" s="13"/>
      <c r="F7162" s="13"/>
      <c r="G7162" s="12"/>
      <c r="H7162" s="11"/>
    </row>
    <row r="7163" spans="3:8" x14ac:dyDescent="0.25">
      <c r="C7163" s="12"/>
      <c r="D7163" s="13"/>
      <c r="E7163" s="13"/>
      <c r="F7163" s="13"/>
      <c r="G7163" s="12"/>
      <c r="H7163" s="11"/>
    </row>
    <row r="7164" spans="3:8" x14ac:dyDescent="0.25">
      <c r="C7164" s="12"/>
      <c r="D7164" s="13"/>
      <c r="E7164" s="13"/>
      <c r="F7164" s="13"/>
      <c r="G7164" s="12"/>
      <c r="H7164" s="11"/>
    </row>
    <row r="7165" spans="3:8" x14ac:dyDescent="0.25">
      <c r="C7165" s="12"/>
      <c r="D7165" s="13"/>
      <c r="E7165" s="13"/>
      <c r="F7165" s="13"/>
      <c r="G7165" s="12"/>
      <c r="H7165" s="11"/>
    </row>
    <row r="7166" spans="3:8" x14ac:dyDescent="0.25">
      <c r="C7166" s="12"/>
      <c r="D7166" s="13"/>
      <c r="E7166" s="13"/>
      <c r="F7166" s="13"/>
      <c r="G7166" s="12"/>
      <c r="H7166" s="11"/>
    </row>
    <row r="7167" spans="3:8" x14ac:dyDescent="0.25">
      <c r="C7167" s="12"/>
      <c r="D7167" s="13"/>
      <c r="E7167" s="13"/>
      <c r="F7167" s="13"/>
      <c r="G7167" s="12"/>
      <c r="H7167" s="11"/>
    </row>
    <row r="7168" spans="3:8" x14ac:dyDescent="0.25">
      <c r="C7168" s="12"/>
      <c r="D7168" s="13"/>
      <c r="E7168" s="13"/>
      <c r="F7168" s="13"/>
      <c r="G7168" s="12"/>
      <c r="H7168" s="11"/>
    </row>
    <row r="7169" spans="3:8" x14ac:dyDescent="0.25">
      <c r="C7169" s="12"/>
      <c r="D7169" s="13"/>
      <c r="E7169" s="13"/>
      <c r="F7169" s="13"/>
      <c r="G7169" s="12"/>
      <c r="H7169" s="11"/>
    </row>
    <row r="7170" spans="3:8" x14ac:dyDescent="0.25">
      <c r="C7170" s="12"/>
      <c r="D7170" s="13"/>
      <c r="E7170" s="13"/>
      <c r="F7170" s="13"/>
      <c r="G7170" s="12"/>
      <c r="H7170" s="11"/>
    </row>
    <row r="7171" spans="3:8" x14ac:dyDescent="0.25">
      <c r="C7171" s="12"/>
      <c r="D7171" s="13"/>
      <c r="E7171" s="13"/>
      <c r="F7171" s="13"/>
      <c r="G7171" s="12"/>
      <c r="H7171" s="11"/>
    </row>
    <row r="7172" spans="3:8" x14ac:dyDescent="0.25">
      <c r="C7172" s="12"/>
      <c r="D7172" s="13"/>
      <c r="E7172" s="13"/>
      <c r="F7172" s="13"/>
      <c r="G7172" s="12"/>
      <c r="H7172" s="11"/>
    </row>
    <row r="7173" spans="3:8" x14ac:dyDescent="0.25">
      <c r="C7173" s="12"/>
      <c r="D7173" s="13"/>
      <c r="E7173" s="13"/>
      <c r="F7173" s="13"/>
      <c r="G7173" s="12"/>
      <c r="H7173" s="11"/>
    </row>
    <row r="7174" spans="3:8" x14ac:dyDescent="0.25">
      <c r="C7174" s="12"/>
      <c r="D7174" s="13"/>
      <c r="E7174" s="13"/>
      <c r="F7174" s="13"/>
      <c r="G7174" s="12"/>
      <c r="H7174" s="11"/>
    </row>
    <row r="7175" spans="3:8" x14ac:dyDescent="0.25">
      <c r="C7175" s="12"/>
      <c r="D7175" s="13"/>
      <c r="E7175" s="13"/>
      <c r="F7175" s="13"/>
      <c r="G7175" s="12"/>
      <c r="H7175" s="11"/>
    </row>
    <row r="7176" spans="3:8" x14ac:dyDescent="0.25">
      <c r="C7176" s="12"/>
      <c r="D7176" s="13"/>
      <c r="E7176" s="13"/>
      <c r="F7176" s="13"/>
      <c r="G7176" s="12"/>
      <c r="H7176" s="11"/>
    </row>
    <row r="7177" spans="3:8" x14ac:dyDescent="0.25">
      <c r="C7177" s="12"/>
      <c r="D7177" s="13"/>
      <c r="E7177" s="13"/>
      <c r="F7177" s="13"/>
      <c r="G7177" s="12"/>
      <c r="H7177" s="11"/>
    </row>
    <row r="7178" spans="3:8" x14ac:dyDescent="0.25">
      <c r="C7178" s="12"/>
      <c r="D7178" s="13"/>
      <c r="E7178" s="13"/>
      <c r="F7178" s="13"/>
      <c r="G7178" s="12"/>
      <c r="H7178" s="11"/>
    </row>
    <row r="7179" spans="3:8" x14ac:dyDescent="0.25">
      <c r="C7179" s="12"/>
      <c r="D7179" s="13"/>
      <c r="E7179" s="13"/>
      <c r="F7179" s="13"/>
      <c r="G7179" s="12"/>
      <c r="H7179" s="11"/>
    </row>
    <row r="7180" spans="3:8" x14ac:dyDescent="0.25">
      <c r="C7180" s="12"/>
      <c r="D7180" s="13"/>
      <c r="E7180" s="13"/>
      <c r="F7180" s="13"/>
      <c r="G7180" s="12"/>
      <c r="H7180" s="11"/>
    </row>
    <row r="7181" spans="3:8" x14ac:dyDescent="0.25">
      <c r="C7181" s="12"/>
      <c r="D7181" s="13"/>
      <c r="E7181" s="13"/>
      <c r="F7181" s="13"/>
      <c r="G7181" s="12"/>
      <c r="H7181" s="11"/>
    </row>
    <row r="7182" spans="3:8" x14ac:dyDescent="0.25">
      <c r="C7182" s="12"/>
      <c r="D7182" s="13"/>
      <c r="E7182" s="13"/>
      <c r="F7182" s="13"/>
      <c r="G7182" s="12"/>
      <c r="H7182" s="11"/>
    </row>
    <row r="7183" spans="3:8" x14ac:dyDescent="0.25">
      <c r="C7183" s="12"/>
      <c r="D7183" s="13"/>
      <c r="E7183" s="13"/>
      <c r="F7183" s="13"/>
      <c r="G7183" s="12"/>
      <c r="H7183" s="11"/>
    </row>
    <row r="7184" spans="3:8" x14ac:dyDescent="0.25">
      <c r="C7184" s="12"/>
      <c r="D7184" s="13"/>
      <c r="E7184" s="13"/>
      <c r="F7184" s="13"/>
      <c r="G7184" s="12"/>
      <c r="H7184" s="11"/>
    </row>
    <row r="7185" spans="3:8" x14ac:dyDescent="0.25">
      <c r="C7185" s="12"/>
      <c r="D7185" s="13"/>
      <c r="E7185" s="13"/>
      <c r="F7185" s="13"/>
      <c r="G7185" s="12"/>
      <c r="H7185" s="11"/>
    </row>
    <row r="7186" spans="3:8" x14ac:dyDescent="0.25">
      <c r="C7186" s="12"/>
      <c r="D7186" s="13"/>
      <c r="E7186" s="13"/>
      <c r="F7186" s="13"/>
      <c r="G7186" s="12"/>
      <c r="H7186" s="11"/>
    </row>
    <row r="7187" spans="3:8" x14ac:dyDescent="0.25">
      <c r="C7187" s="12"/>
      <c r="D7187" s="13"/>
      <c r="E7187" s="13"/>
      <c r="F7187" s="13"/>
      <c r="G7187" s="12"/>
      <c r="H7187" s="11"/>
    </row>
    <row r="7188" spans="3:8" x14ac:dyDescent="0.25">
      <c r="C7188" s="12"/>
      <c r="D7188" s="13"/>
      <c r="E7188" s="13"/>
      <c r="F7188" s="13"/>
      <c r="G7188" s="12"/>
      <c r="H7188" s="11"/>
    </row>
    <row r="7189" spans="3:8" x14ac:dyDescent="0.25">
      <c r="C7189" s="12"/>
      <c r="D7189" s="13"/>
      <c r="E7189" s="13"/>
      <c r="F7189" s="13"/>
      <c r="G7189" s="12"/>
      <c r="H7189" s="11"/>
    </row>
    <row r="7190" spans="3:8" x14ac:dyDescent="0.25">
      <c r="C7190" s="12"/>
      <c r="D7190" s="13"/>
      <c r="E7190" s="13"/>
      <c r="F7190" s="13"/>
      <c r="G7190" s="12"/>
      <c r="H7190" s="11"/>
    </row>
    <row r="7191" spans="3:8" x14ac:dyDescent="0.25">
      <c r="C7191" s="12"/>
      <c r="D7191" s="13"/>
      <c r="E7191" s="13"/>
      <c r="F7191" s="13"/>
      <c r="G7191" s="12"/>
      <c r="H7191" s="11"/>
    </row>
    <row r="7192" spans="3:8" x14ac:dyDescent="0.25">
      <c r="C7192" s="12"/>
      <c r="D7192" s="13"/>
      <c r="E7192" s="13"/>
      <c r="F7192" s="13"/>
      <c r="G7192" s="12"/>
      <c r="H7192" s="11"/>
    </row>
    <row r="7193" spans="3:8" x14ac:dyDescent="0.25">
      <c r="C7193" s="12"/>
      <c r="D7193" s="13"/>
      <c r="E7193" s="13"/>
      <c r="F7193" s="13"/>
      <c r="G7193" s="12"/>
      <c r="H7193" s="11"/>
    </row>
    <row r="7194" spans="3:8" x14ac:dyDescent="0.25">
      <c r="C7194" s="12"/>
      <c r="D7194" s="13"/>
      <c r="E7194" s="13"/>
      <c r="F7194" s="13"/>
      <c r="G7194" s="12"/>
      <c r="H7194" s="11"/>
    </row>
    <row r="7195" spans="3:8" x14ac:dyDescent="0.25">
      <c r="C7195" s="12"/>
      <c r="D7195" s="13"/>
      <c r="E7195" s="13"/>
      <c r="F7195" s="13"/>
      <c r="G7195" s="12"/>
      <c r="H7195" s="11"/>
    </row>
    <row r="7196" spans="3:8" x14ac:dyDescent="0.25">
      <c r="C7196" s="12"/>
      <c r="D7196" s="13"/>
      <c r="E7196" s="13"/>
      <c r="F7196" s="13"/>
      <c r="G7196" s="12"/>
      <c r="H7196" s="11"/>
    </row>
    <row r="7197" spans="3:8" x14ac:dyDescent="0.25">
      <c r="C7197" s="12"/>
      <c r="D7197" s="13"/>
      <c r="E7197" s="13"/>
      <c r="F7197" s="13"/>
      <c r="G7197" s="12"/>
      <c r="H7197" s="11"/>
    </row>
    <row r="7198" spans="3:8" x14ac:dyDescent="0.25">
      <c r="C7198" s="12"/>
      <c r="D7198" s="13"/>
      <c r="E7198" s="13"/>
      <c r="F7198" s="13"/>
      <c r="G7198" s="12"/>
      <c r="H7198" s="11"/>
    </row>
    <row r="7199" spans="3:8" x14ac:dyDescent="0.25">
      <c r="C7199" s="12"/>
      <c r="D7199" s="13"/>
      <c r="E7199" s="13"/>
      <c r="F7199" s="13"/>
      <c r="G7199" s="12"/>
      <c r="H7199" s="11"/>
    </row>
    <row r="7200" spans="3:8" x14ac:dyDescent="0.25">
      <c r="C7200" s="12"/>
      <c r="D7200" s="13"/>
      <c r="E7200" s="13"/>
      <c r="F7200" s="13"/>
      <c r="G7200" s="12"/>
      <c r="H7200" s="11"/>
    </row>
    <row r="7201" spans="3:8" x14ac:dyDescent="0.25">
      <c r="C7201" s="12"/>
      <c r="D7201" s="13"/>
      <c r="E7201" s="13"/>
      <c r="F7201" s="13"/>
      <c r="G7201" s="12"/>
      <c r="H7201" s="11"/>
    </row>
    <row r="7202" spans="3:8" x14ac:dyDescent="0.25">
      <c r="C7202" s="12"/>
      <c r="D7202" s="13"/>
      <c r="E7202" s="13"/>
      <c r="F7202" s="13"/>
      <c r="G7202" s="12"/>
      <c r="H7202" s="11"/>
    </row>
    <row r="7203" spans="3:8" x14ac:dyDescent="0.25">
      <c r="C7203" s="12"/>
      <c r="D7203" s="13"/>
      <c r="E7203" s="13"/>
      <c r="F7203" s="13"/>
      <c r="G7203" s="12"/>
      <c r="H7203" s="11"/>
    </row>
    <row r="7204" spans="3:8" x14ac:dyDescent="0.25">
      <c r="C7204" s="12"/>
      <c r="D7204" s="13"/>
      <c r="E7204" s="13"/>
      <c r="F7204" s="13"/>
      <c r="G7204" s="12"/>
      <c r="H7204" s="11"/>
    </row>
    <row r="7205" spans="3:8" x14ac:dyDescent="0.25">
      <c r="C7205" s="12"/>
      <c r="D7205" s="13"/>
      <c r="E7205" s="13"/>
      <c r="F7205" s="13"/>
      <c r="G7205" s="12"/>
      <c r="H7205" s="11"/>
    </row>
    <row r="7206" spans="3:8" x14ac:dyDescent="0.25">
      <c r="C7206" s="12"/>
      <c r="D7206" s="13"/>
      <c r="E7206" s="13"/>
      <c r="F7206" s="13"/>
      <c r="G7206" s="12"/>
      <c r="H7206" s="11"/>
    </row>
    <row r="7207" spans="3:8" x14ac:dyDescent="0.25">
      <c r="C7207" s="12"/>
      <c r="D7207" s="13"/>
      <c r="E7207" s="13"/>
      <c r="F7207" s="13"/>
      <c r="G7207" s="12"/>
      <c r="H7207" s="11"/>
    </row>
    <row r="7208" spans="3:8" x14ac:dyDescent="0.25">
      <c r="C7208" s="12"/>
      <c r="D7208" s="13"/>
      <c r="E7208" s="13"/>
      <c r="F7208" s="13"/>
      <c r="G7208" s="12"/>
      <c r="H7208" s="11"/>
    </row>
    <row r="7209" spans="3:8" x14ac:dyDescent="0.25">
      <c r="C7209" s="12"/>
      <c r="D7209" s="13"/>
      <c r="E7209" s="13"/>
      <c r="F7209" s="13"/>
      <c r="G7209" s="12"/>
      <c r="H7209" s="11"/>
    </row>
    <row r="7210" spans="3:8" x14ac:dyDescent="0.25">
      <c r="C7210" s="12"/>
      <c r="D7210" s="13"/>
      <c r="E7210" s="13"/>
      <c r="F7210" s="13"/>
      <c r="G7210" s="12"/>
      <c r="H7210" s="11"/>
    </row>
    <row r="7211" spans="3:8" x14ac:dyDescent="0.25">
      <c r="C7211" s="12"/>
      <c r="D7211" s="13"/>
      <c r="E7211" s="13"/>
      <c r="F7211" s="13"/>
      <c r="G7211" s="12"/>
      <c r="H7211" s="11"/>
    </row>
    <row r="7212" spans="3:8" x14ac:dyDescent="0.25">
      <c r="C7212" s="12"/>
      <c r="D7212" s="13"/>
      <c r="E7212" s="13"/>
      <c r="F7212" s="13"/>
      <c r="G7212" s="12"/>
      <c r="H7212" s="11"/>
    </row>
    <row r="7213" spans="3:8" x14ac:dyDescent="0.25">
      <c r="C7213" s="12"/>
      <c r="D7213" s="13"/>
      <c r="E7213" s="13"/>
      <c r="F7213" s="13"/>
      <c r="G7213" s="12"/>
      <c r="H7213" s="11"/>
    </row>
    <row r="7214" spans="3:8" x14ac:dyDescent="0.25">
      <c r="C7214" s="12"/>
      <c r="D7214" s="13"/>
      <c r="E7214" s="13"/>
      <c r="F7214" s="13"/>
      <c r="G7214" s="12"/>
      <c r="H7214" s="11"/>
    </row>
    <row r="7215" spans="3:8" x14ac:dyDescent="0.25">
      <c r="C7215" s="12"/>
      <c r="D7215" s="13"/>
      <c r="E7215" s="13"/>
      <c r="F7215" s="13"/>
      <c r="G7215" s="12"/>
      <c r="H7215" s="11"/>
    </row>
    <row r="7216" spans="3:8" x14ac:dyDescent="0.25">
      <c r="C7216" s="12"/>
      <c r="D7216" s="13"/>
      <c r="E7216" s="13"/>
      <c r="F7216" s="13"/>
      <c r="G7216" s="12"/>
      <c r="H7216" s="11"/>
    </row>
    <row r="7217" spans="3:8" x14ac:dyDescent="0.25">
      <c r="C7217" s="12"/>
      <c r="D7217" s="13"/>
      <c r="E7217" s="13"/>
      <c r="F7217" s="13"/>
      <c r="G7217" s="12"/>
      <c r="H7217" s="11"/>
    </row>
    <row r="7218" spans="3:8" x14ac:dyDescent="0.25">
      <c r="C7218" s="12"/>
      <c r="D7218" s="13"/>
      <c r="E7218" s="13"/>
      <c r="F7218" s="13"/>
      <c r="G7218" s="12"/>
      <c r="H7218" s="11"/>
    </row>
    <row r="7219" spans="3:8" x14ac:dyDescent="0.25">
      <c r="C7219" s="12"/>
      <c r="D7219" s="13"/>
      <c r="E7219" s="13"/>
      <c r="F7219" s="13"/>
      <c r="G7219" s="12"/>
      <c r="H7219" s="11"/>
    </row>
    <row r="7220" spans="3:8" x14ac:dyDescent="0.25">
      <c r="C7220" s="12"/>
      <c r="D7220" s="13"/>
      <c r="E7220" s="13"/>
      <c r="F7220" s="13"/>
      <c r="G7220" s="12"/>
      <c r="H7220" s="11"/>
    </row>
    <row r="7221" spans="3:8" x14ac:dyDescent="0.25">
      <c r="C7221" s="12"/>
      <c r="D7221" s="13"/>
      <c r="E7221" s="13"/>
      <c r="F7221" s="13"/>
      <c r="G7221" s="12"/>
      <c r="H7221" s="11"/>
    </row>
    <row r="7222" spans="3:8" x14ac:dyDescent="0.25">
      <c r="C7222" s="12"/>
      <c r="D7222" s="13"/>
      <c r="E7222" s="13"/>
      <c r="F7222" s="13"/>
      <c r="G7222" s="12"/>
      <c r="H7222" s="11"/>
    </row>
    <row r="7223" spans="3:8" x14ac:dyDescent="0.25">
      <c r="C7223" s="12"/>
      <c r="D7223" s="13"/>
      <c r="E7223" s="13"/>
      <c r="F7223" s="13"/>
      <c r="G7223" s="12"/>
      <c r="H7223" s="11"/>
    </row>
    <row r="7224" spans="3:8" x14ac:dyDescent="0.25">
      <c r="C7224" s="12"/>
      <c r="D7224" s="13"/>
      <c r="E7224" s="13"/>
      <c r="F7224" s="13"/>
      <c r="G7224" s="12"/>
      <c r="H7224" s="11"/>
    </row>
    <row r="7225" spans="3:8" x14ac:dyDescent="0.25">
      <c r="C7225" s="12"/>
      <c r="D7225" s="13"/>
      <c r="E7225" s="13"/>
      <c r="F7225" s="13"/>
      <c r="G7225" s="12"/>
      <c r="H7225" s="11"/>
    </row>
    <row r="7226" spans="3:8" x14ac:dyDescent="0.25">
      <c r="C7226" s="12"/>
      <c r="D7226" s="13"/>
      <c r="E7226" s="13"/>
      <c r="F7226" s="13"/>
      <c r="G7226" s="12"/>
      <c r="H7226" s="11"/>
    </row>
    <row r="7227" spans="3:8" x14ac:dyDescent="0.25">
      <c r="C7227" s="12"/>
      <c r="D7227" s="13"/>
      <c r="E7227" s="13"/>
      <c r="F7227" s="13"/>
      <c r="G7227" s="12"/>
      <c r="H7227" s="11"/>
    </row>
    <row r="7228" spans="3:8" x14ac:dyDescent="0.25">
      <c r="C7228" s="12"/>
      <c r="D7228" s="13"/>
      <c r="E7228" s="13"/>
      <c r="F7228" s="13"/>
      <c r="G7228" s="12"/>
      <c r="H7228" s="11"/>
    </row>
    <row r="7229" spans="3:8" x14ac:dyDescent="0.25">
      <c r="C7229" s="12"/>
      <c r="D7229" s="13"/>
      <c r="E7229" s="13"/>
      <c r="F7229" s="13"/>
      <c r="G7229" s="12"/>
      <c r="H7229" s="11"/>
    </row>
    <row r="7230" spans="3:8" x14ac:dyDescent="0.25">
      <c r="C7230" s="12"/>
      <c r="D7230" s="13"/>
      <c r="E7230" s="13"/>
      <c r="F7230" s="13"/>
      <c r="G7230" s="12"/>
      <c r="H7230" s="11"/>
    </row>
    <row r="7231" spans="3:8" x14ac:dyDescent="0.25">
      <c r="C7231" s="12"/>
      <c r="D7231" s="13"/>
      <c r="E7231" s="13"/>
      <c r="F7231" s="13"/>
      <c r="G7231" s="12"/>
      <c r="H7231" s="11"/>
    </row>
    <row r="7232" spans="3:8" x14ac:dyDescent="0.25">
      <c r="C7232" s="12"/>
      <c r="D7232" s="13"/>
      <c r="E7232" s="13"/>
      <c r="F7232" s="13"/>
      <c r="G7232" s="12"/>
      <c r="H7232" s="11"/>
    </row>
    <row r="7233" spans="3:8" x14ac:dyDescent="0.25">
      <c r="C7233" s="12"/>
      <c r="D7233" s="13"/>
      <c r="E7233" s="13"/>
      <c r="F7233" s="13"/>
      <c r="G7233" s="12"/>
      <c r="H7233" s="11"/>
    </row>
    <row r="7234" spans="3:8" x14ac:dyDescent="0.25">
      <c r="C7234" s="12"/>
      <c r="D7234" s="13"/>
      <c r="E7234" s="13"/>
      <c r="F7234" s="13"/>
      <c r="G7234" s="12"/>
      <c r="H7234" s="11"/>
    </row>
    <row r="7235" spans="3:8" x14ac:dyDescent="0.25">
      <c r="C7235" s="12"/>
      <c r="D7235" s="13"/>
      <c r="E7235" s="13"/>
      <c r="F7235" s="13"/>
      <c r="G7235" s="12"/>
      <c r="H7235" s="11"/>
    </row>
    <row r="7236" spans="3:8" x14ac:dyDescent="0.25">
      <c r="C7236" s="12"/>
      <c r="D7236" s="13"/>
      <c r="E7236" s="13"/>
      <c r="F7236" s="13"/>
      <c r="G7236" s="12"/>
      <c r="H7236" s="11"/>
    </row>
    <row r="7237" spans="3:8" x14ac:dyDescent="0.25">
      <c r="C7237" s="12"/>
      <c r="D7237" s="13"/>
      <c r="E7237" s="13"/>
      <c r="F7237" s="13"/>
      <c r="G7237" s="12"/>
      <c r="H7237" s="11"/>
    </row>
    <row r="7238" spans="3:8" x14ac:dyDescent="0.25">
      <c r="C7238" s="12"/>
      <c r="D7238" s="13"/>
      <c r="E7238" s="13"/>
      <c r="F7238" s="13"/>
      <c r="G7238" s="12"/>
      <c r="H7238" s="11"/>
    </row>
    <row r="7239" spans="3:8" x14ac:dyDescent="0.25">
      <c r="C7239" s="12"/>
      <c r="D7239" s="13"/>
      <c r="E7239" s="13"/>
      <c r="F7239" s="13"/>
      <c r="G7239" s="12"/>
      <c r="H7239" s="11"/>
    </row>
    <row r="7240" spans="3:8" x14ac:dyDescent="0.25">
      <c r="C7240" s="12"/>
      <c r="D7240" s="13"/>
      <c r="E7240" s="13"/>
      <c r="F7240" s="13"/>
      <c r="G7240" s="12"/>
      <c r="H7240" s="11"/>
    </row>
    <row r="7241" spans="3:8" x14ac:dyDescent="0.25">
      <c r="C7241" s="12"/>
      <c r="D7241" s="13"/>
      <c r="E7241" s="13"/>
      <c r="F7241" s="13"/>
      <c r="G7241" s="12"/>
      <c r="H7241" s="11"/>
    </row>
    <row r="7242" spans="3:8" x14ac:dyDescent="0.25">
      <c r="C7242" s="12"/>
      <c r="D7242" s="13"/>
      <c r="E7242" s="13"/>
      <c r="F7242" s="13"/>
      <c r="G7242" s="12"/>
      <c r="H7242" s="11"/>
    </row>
    <row r="7243" spans="3:8" x14ac:dyDescent="0.25">
      <c r="C7243" s="12"/>
      <c r="D7243" s="13"/>
      <c r="E7243" s="13"/>
      <c r="F7243" s="13"/>
      <c r="G7243" s="12"/>
      <c r="H7243" s="11"/>
    </row>
    <row r="7244" spans="3:8" x14ac:dyDescent="0.25">
      <c r="C7244" s="12"/>
      <c r="D7244" s="13"/>
      <c r="E7244" s="13"/>
      <c r="F7244" s="13"/>
      <c r="G7244" s="12"/>
      <c r="H7244" s="11"/>
    </row>
    <row r="7245" spans="3:8" x14ac:dyDescent="0.25">
      <c r="C7245" s="12"/>
      <c r="D7245" s="13"/>
      <c r="E7245" s="13"/>
      <c r="F7245" s="13"/>
      <c r="G7245" s="12"/>
      <c r="H7245" s="11"/>
    </row>
    <row r="7246" spans="3:8" x14ac:dyDescent="0.25">
      <c r="C7246" s="12"/>
      <c r="D7246" s="13"/>
      <c r="E7246" s="13"/>
      <c r="F7246" s="13"/>
      <c r="G7246" s="12"/>
      <c r="H7246" s="11"/>
    </row>
    <row r="7247" spans="3:8" x14ac:dyDescent="0.25">
      <c r="C7247" s="12"/>
      <c r="D7247" s="13"/>
      <c r="E7247" s="13"/>
      <c r="F7247" s="13"/>
      <c r="G7247" s="12"/>
      <c r="H7247" s="11"/>
    </row>
    <row r="7248" spans="3:8" x14ac:dyDescent="0.25">
      <c r="C7248" s="12"/>
      <c r="D7248" s="13"/>
      <c r="E7248" s="13"/>
      <c r="F7248" s="13"/>
      <c r="G7248" s="12"/>
      <c r="H7248" s="11"/>
    </row>
    <row r="7249" spans="3:8" x14ac:dyDescent="0.25">
      <c r="C7249" s="12"/>
      <c r="D7249" s="13"/>
      <c r="E7249" s="13"/>
      <c r="F7249" s="13"/>
      <c r="G7249" s="12"/>
      <c r="H7249" s="11"/>
    </row>
    <row r="7250" spans="3:8" x14ac:dyDescent="0.25">
      <c r="C7250" s="12"/>
      <c r="D7250" s="13"/>
      <c r="E7250" s="13"/>
      <c r="F7250" s="13"/>
      <c r="G7250" s="12"/>
      <c r="H7250" s="11"/>
    </row>
    <row r="7251" spans="3:8" x14ac:dyDescent="0.25">
      <c r="C7251" s="12"/>
      <c r="D7251" s="13"/>
      <c r="E7251" s="13"/>
      <c r="F7251" s="13"/>
      <c r="G7251" s="12"/>
      <c r="H7251" s="11"/>
    </row>
    <row r="7252" spans="3:8" x14ac:dyDescent="0.25">
      <c r="C7252" s="12"/>
      <c r="D7252" s="13"/>
      <c r="E7252" s="13"/>
      <c r="F7252" s="13"/>
      <c r="G7252" s="12"/>
      <c r="H7252" s="11"/>
    </row>
    <row r="7253" spans="3:8" x14ac:dyDescent="0.25">
      <c r="C7253" s="12"/>
      <c r="D7253" s="13"/>
      <c r="E7253" s="13"/>
      <c r="F7253" s="13"/>
      <c r="G7253" s="12"/>
      <c r="H7253" s="11"/>
    </row>
    <row r="7254" spans="3:8" x14ac:dyDescent="0.25">
      <c r="C7254" s="12"/>
      <c r="D7254" s="13"/>
      <c r="E7254" s="13"/>
      <c r="F7254" s="13"/>
      <c r="G7254" s="12"/>
      <c r="H7254" s="11"/>
    </row>
    <row r="7255" spans="3:8" x14ac:dyDescent="0.25">
      <c r="C7255" s="12"/>
      <c r="D7255" s="13"/>
      <c r="E7255" s="13"/>
      <c r="F7255" s="13"/>
      <c r="G7255" s="12"/>
      <c r="H7255" s="11"/>
    </row>
    <row r="7256" spans="3:8" x14ac:dyDescent="0.25">
      <c r="C7256" s="12"/>
      <c r="D7256" s="13"/>
      <c r="E7256" s="13"/>
      <c r="F7256" s="13"/>
      <c r="G7256" s="12"/>
      <c r="H7256" s="11"/>
    </row>
    <row r="7257" spans="3:8" x14ac:dyDescent="0.25">
      <c r="C7257" s="12"/>
      <c r="D7257" s="13"/>
      <c r="E7257" s="13"/>
      <c r="F7257" s="13"/>
      <c r="G7257" s="12"/>
      <c r="H7257" s="11"/>
    </row>
    <row r="7258" spans="3:8" x14ac:dyDescent="0.25">
      <c r="C7258" s="12"/>
      <c r="D7258" s="13"/>
      <c r="E7258" s="13"/>
      <c r="F7258" s="13"/>
      <c r="G7258" s="12"/>
      <c r="H7258" s="11"/>
    </row>
    <row r="7259" spans="3:8" x14ac:dyDescent="0.25">
      <c r="C7259" s="12"/>
      <c r="D7259" s="13"/>
      <c r="E7259" s="13"/>
      <c r="F7259" s="13"/>
      <c r="G7259" s="12"/>
      <c r="H7259" s="11"/>
    </row>
    <row r="7260" spans="3:8" x14ac:dyDescent="0.25">
      <c r="C7260" s="12"/>
      <c r="D7260" s="13"/>
      <c r="E7260" s="13"/>
      <c r="F7260" s="13"/>
      <c r="G7260" s="12"/>
      <c r="H7260" s="11"/>
    </row>
    <row r="7261" spans="3:8" x14ac:dyDescent="0.25">
      <c r="C7261" s="12"/>
      <c r="D7261" s="13"/>
      <c r="E7261" s="13"/>
      <c r="F7261" s="13"/>
      <c r="G7261" s="12"/>
      <c r="H7261" s="11"/>
    </row>
    <row r="7262" spans="3:8" x14ac:dyDescent="0.25">
      <c r="C7262" s="12"/>
      <c r="D7262" s="13"/>
      <c r="E7262" s="13"/>
      <c r="F7262" s="13"/>
      <c r="G7262" s="12"/>
      <c r="H7262" s="11"/>
    </row>
    <row r="7263" spans="3:8" x14ac:dyDescent="0.25">
      <c r="C7263" s="12"/>
      <c r="D7263" s="13"/>
      <c r="E7263" s="13"/>
      <c r="F7263" s="13"/>
      <c r="G7263" s="12"/>
      <c r="H7263" s="11"/>
    </row>
    <row r="7264" spans="3:8" x14ac:dyDescent="0.25">
      <c r="C7264" s="12"/>
      <c r="D7264" s="13"/>
      <c r="E7264" s="13"/>
      <c r="F7264" s="13"/>
      <c r="G7264" s="12"/>
      <c r="H7264" s="11"/>
    </row>
    <row r="7265" spans="3:8" x14ac:dyDescent="0.25">
      <c r="C7265" s="12"/>
      <c r="D7265" s="13"/>
      <c r="E7265" s="13"/>
      <c r="F7265" s="13"/>
      <c r="G7265" s="12"/>
      <c r="H7265" s="11"/>
    </row>
    <row r="7266" spans="3:8" x14ac:dyDescent="0.25">
      <c r="C7266" s="12"/>
      <c r="D7266" s="13"/>
      <c r="E7266" s="13"/>
      <c r="F7266" s="13"/>
      <c r="G7266" s="12"/>
      <c r="H7266" s="11"/>
    </row>
    <row r="7267" spans="3:8" x14ac:dyDescent="0.25">
      <c r="C7267" s="12"/>
      <c r="D7267" s="13"/>
      <c r="E7267" s="13"/>
      <c r="F7267" s="13"/>
      <c r="G7267" s="12"/>
      <c r="H7267" s="11"/>
    </row>
    <row r="7268" spans="3:8" x14ac:dyDescent="0.25">
      <c r="C7268" s="12"/>
      <c r="D7268" s="13"/>
      <c r="E7268" s="13"/>
      <c r="F7268" s="13"/>
      <c r="G7268" s="12"/>
      <c r="H7268" s="11"/>
    </row>
    <row r="7269" spans="3:8" x14ac:dyDescent="0.25">
      <c r="C7269" s="12"/>
      <c r="D7269" s="13"/>
      <c r="E7269" s="13"/>
      <c r="F7269" s="13"/>
      <c r="G7269" s="12"/>
      <c r="H7269" s="11"/>
    </row>
    <row r="7270" spans="3:8" x14ac:dyDescent="0.25">
      <c r="C7270" s="12"/>
      <c r="D7270" s="13"/>
      <c r="E7270" s="13"/>
      <c r="F7270" s="13"/>
      <c r="G7270" s="12"/>
      <c r="H7270" s="11"/>
    </row>
    <row r="7271" spans="3:8" x14ac:dyDescent="0.25">
      <c r="C7271" s="12"/>
      <c r="D7271" s="13"/>
      <c r="E7271" s="13"/>
      <c r="F7271" s="13"/>
      <c r="G7271" s="12"/>
      <c r="H7271" s="11"/>
    </row>
    <row r="7272" spans="3:8" x14ac:dyDescent="0.25">
      <c r="C7272" s="12"/>
      <c r="D7272" s="13"/>
      <c r="E7272" s="13"/>
      <c r="F7272" s="13"/>
      <c r="G7272" s="12"/>
      <c r="H7272" s="11"/>
    </row>
    <row r="7273" spans="3:8" x14ac:dyDescent="0.25">
      <c r="C7273" s="12"/>
      <c r="D7273" s="13"/>
      <c r="E7273" s="13"/>
      <c r="F7273" s="13"/>
      <c r="G7273" s="12"/>
      <c r="H7273" s="11"/>
    </row>
    <row r="7274" spans="3:8" x14ac:dyDescent="0.25">
      <c r="C7274" s="12"/>
      <c r="D7274" s="13"/>
      <c r="E7274" s="13"/>
      <c r="F7274" s="13"/>
      <c r="G7274" s="12"/>
      <c r="H7274" s="11"/>
    </row>
    <row r="7275" spans="3:8" x14ac:dyDescent="0.25">
      <c r="C7275" s="12"/>
      <c r="D7275" s="13"/>
      <c r="E7275" s="13"/>
      <c r="F7275" s="13"/>
      <c r="G7275" s="12"/>
      <c r="H7275" s="11"/>
    </row>
    <row r="7276" spans="3:8" x14ac:dyDescent="0.25">
      <c r="C7276" s="12"/>
      <c r="D7276" s="13"/>
      <c r="E7276" s="13"/>
      <c r="F7276" s="13"/>
      <c r="G7276" s="12"/>
      <c r="H7276" s="11"/>
    </row>
    <row r="7277" spans="3:8" x14ac:dyDescent="0.25">
      <c r="C7277" s="12"/>
      <c r="D7277" s="13"/>
      <c r="E7277" s="13"/>
      <c r="F7277" s="13"/>
      <c r="G7277" s="12"/>
      <c r="H7277" s="11"/>
    </row>
    <row r="7278" spans="3:8" x14ac:dyDescent="0.25">
      <c r="C7278" s="12"/>
      <c r="D7278" s="13"/>
      <c r="E7278" s="13"/>
      <c r="F7278" s="13"/>
      <c r="G7278" s="12"/>
      <c r="H7278" s="11"/>
    </row>
    <row r="7279" spans="3:8" x14ac:dyDescent="0.25">
      <c r="C7279" s="12"/>
      <c r="D7279" s="13"/>
      <c r="E7279" s="13"/>
      <c r="F7279" s="13"/>
      <c r="G7279" s="12"/>
      <c r="H7279" s="11"/>
    </row>
    <row r="7280" spans="3:8" x14ac:dyDescent="0.25">
      <c r="C7280" s="12"/>
      <c r="D7280" s="13"/>
      <c r="E7280" s="13"/>
      <c r="F7280" s="13"/>
      <c r="G7280" s="12"/>
      <c r="H7280" s="11"/>
    </row>
    <row r="7281" spans="3:8" x14ac:dyDescent="0.25">
      <c r="C7281" s="12"/>
      <c r="D7281" s="13"/>
      <c r="E7281" s="13"/>
      <c r="F7281" s="13"/>
      <c r="G7281" s="12"/>
      <c r="H7281" s="11"/>
    </row>
    <row r="7282" spans="3:8" x14ac:dyDescent="0.25">
      <c r="C7282" s="12"/>
      <c r="D7282" s="13"/>
      <c r="E7282" s="13"/>
      <c r="F7282" s="13"/>
      <c r="G7282" s="12"/>
      <c r="H7282" s="11"/>
    </row>
    <row r="7283" spans="3:8" x14ac:dyDescent="0.25">
      <c r="C7283" s="12"/>
      <c r="D7283" s="13"/>
      <c r="E7283" s="13"/>
      <c r="F7283" s="13"/>
      <c r="G7283" s="12"/>
      <c r="H7283" s="11"/>
    </row>
    <row r="7284" spans="3:8" x14ac:dyDescent="0.25">
      <c r="C7284" s="12"/>
      <c r="D7284" s="13"/>
      <c r="E7284" s="13"/>
      <c r="F7284" s="13"/>
      <c r="G7284" s="12"/>
      <c r="H7284" s="11"/>
    </row>
    <row r="7285" spans="3:8" x14ac:dyDescent="0.25">
      <c r="C7285" s="12"/>
      <c r="D7285" s="13"/>
      <c r="E7285" s="13"/>
      <c r="F7285" s="13"/>
      <c r="G7285" s="12"/>
      <c r="H7285" s="11"/>
    </row>
    <row r="7286" spans="3:8" x14ac:dyDescent="0.25">
      <c r="C7286" s="12"/>
      <c r="D7286" s="13"/>
      <c r="E7286" s="13"/>
      <c r="F7286" s="13"/>
      <c r="G7286" s="12"/>
      <c r="H7286" s="11"/>
    </row>
    <row r="7287" spans="3:8" x14ac:dyDescent="0.25">
      <c r="C7287" s="12"/>
      <c r="D7287" s="13"/>
      <c r="E7287" s="13"/>
      <c r="F7287" s="13"/>
      <c r="G7287" s="12"/>
      <c r="H7287" s="11"/>
    </row>
    <row r="7288" spans="3:8" x14ac:dyDescent="0.25">
      <c r="C7288" s="12"/>
      <c r="D7288" s="13"/>
      <c r="E7288" s="13"/>
      <c r="F7288" s="13"/>
      <c r="G7288" s="12"/>
      <c r="H7288" s="11"/>
    </row>
    <row r="7289" spans="3:8" x14ac:dyDescent="0.25">
      <c r="C7289" s="12"/>
      <c r="D7289" s="13"/>
      <c r="E7289" s="13"/>
      <c r="F7289" s="13"/>
      <c r="G7289" s="12"/>
      <c r="H7289" s="11"/>
    </row>
    <row r="7290" spans="3:8" x14ac:dyDescent="0.25">
      <c r="C7290" s="12"/>
      <c r="D7290" s="13"/>
      <c r="E7290" s="13"/>
      <c r="F7290" s="13"/>
      <c r="G7290" s="12"/>
      <c r="H7290" s="11"/>
    </row>
    <row r="7291" spans="3:8" x14ac:dyDescent="0.25">
      <c r="C7291" s="12"/>
      <c r="D7291" s="13"/>
      <c r="E7291" s="13"/>
      <c r="F7291" s="13"/>
      <c r="G7291" s="12"/>
      <c r="H7291" s="11"/>
    </row>
    <row r="7292" spans="3:8" x14ac:dyDescent="0.25">
      <c r="C7292" s="12"/>
      <c r="D7292" s="13"/>
      <c r="E7292" s="13"/>
      <c r="F7292" s="13"/>
      <c r="G7292" s="12"/>
      <c r="H7292" s="11"/>
    </row>
    <row r="7293" spans="3:8" x14ac:dyDescent="0.25">
      <c r="C7293" s="12"/>
      <c r="D7293" s="13"/>
      <c r="E7293" s="13"/>
      <c r="F7293" s="13"/>
      <c r="G7293" s="12"/>
      <c r="H7293" s="11"/>
    </row>
    <row r="7294" spans="3:8" x14ac:dyDescent="0.25">
      <c r="C7294" s="12"/>
      <c r="D7294" s="13"/>
      <c r="E7294" s="13"/>
      <c r="F7294" s="13"/>
      <c r="G7294" s="12"/>
      <c r="H7294" s="11"/>
    </row>
    <row r="7295" spans="3:8" x14ac:dyDescent="0.25">
      <c r="C7295" s="12"/>
      <c r="D7295" s="13"/>
      <c r="E7295" s="13"/>
      <c r="F7295" s="13"/>
      <c r="G7295" s="12"/>
      <c r="H7295" s="11"/>
    </row>
    <row r="7296" spans="3:8" x14ac:dyDescent="0.25">
      <c r="C7296" s="12"/>
      <c r="D7296" s="13"/>
      <c r="E7296" s="13"/>
      <c r="F7296" s="13"/>
      <c r="G7296" s="12"/>
      <c r="H7296" s="11"/>
    </row>
    <row r="7297" spans="3:8" x14ac:dyDescent="0.25">
      <c r="C7297" s="12"/>
      <c r="D7297" s="13"/>
      <c r="E7297" s="13"/>
      <c r="F7297" s="13"/>
      <c r="G7297" s="12"/>
      <c r="H7297" s="11"/>
    </row>
    <row r="7298" spans="3:8" x14ac:dyDescent="0.25">
      <c r="C7298" s="12"/>
      <c r="D7298" s="13"/>
      <c r="E7298" s="13"/>
      <c r="F7298" s="13"/>
      <c r="G7298" s="12"/>
      <c r="H7298" s="11"/>
    </row>
    <row r="7299" spans="3:8" x14ac:dyDescent="0.25">
      <c r="C7299" s="12"/>
      <c r="D7299" s="13"/>
      <c r="E7299" s="13"/>
      <c r="F7299" s="13"/>
      <c r="G7299" s="12"/>
      <c r="H7299" s="11"/>
    </row>
    <row r="7300" spans="3:8" x14ac:dyDescent="0.25">
      <c r="C7300" s="12"/>
      <c r="D7300" s="13"/>
      <c r="E7300" s="13"/>
      <c r="F7300" s="13"/>
      <c r="G7300" s="12"/>
      <c r="H7300" s="11"/>
    </row>
    <row r="7301" spans="3:8" x14ac:dyDescent="0.25">
      <c r="C7301" s="12"/>
      <c r="D7301" s="13"/>
      <c r="E7301" s="13"/>
      <c r="F7301" s="13"/>
      <c r="G7301" s="12"/>
      <c r="H7301" s="11"/>
    </row>
    <row r="7302" spans="3:8" x14ac:dyDescent="0.25">
      <c r="C7302" s="12"/>
      <c r="D7302" s="13"/>
      <c r="E7302" s="13"/>
      <c r="F7302" s="13"/>
      <c r="G7302" s="12"/>
      <c r="H7302" s="11"/>
    </row>
    <row r="7303" spans="3:8" x14ac:dyDescent="0.25">
      <c r="C7303" s="12"/>
      <c r="D7303" s="13"/>
      <c r="E7303" s="13"/>
      <c r="F7303" s="13"/>
      <c r="G7303" s="12"/>
      <c r="H7303" s="11"/>
    </row>
    <row r="7304" spans="3:8" x14ac:dyDescent="0.25">
      <c r="C7304" s="12"/>
      <c r="D7304" s="13"/>
      <c r="E7304" s="13"/>
      <c r="F7304" s="13"/>
      <c r="G7304" s="12"/>
      <c r="H7304" s="11"/>
    </row>
    <row r="7305" spans="3:8" x14ac:dyDescent="0.25">
      <c r="C7305" s="12"/>
      <c r="D7305" s="13"/>
      <c r="E7305" s="13"/>
      <c r="F7305" s="13"/>
      <c r="G7305" s="12"/>
      <c r="H7305" s="11"/>
    </row>
    <row r="7306" spans="3:8" x14ac:dyDescent="0.25">
      <c r="C7306" s="12"/>
      <c r="D7306" s="13"/>
      <c r="E7306" s="13"/>
      <c r="F7306" s="13"/>
      <c r="G7306" s="12"/>
      <c r="H7306" s="11"/>
    </row>
    <row r="7307" spans="3:8" x14ac:dyDescent="0.25">
      <c r="C7307" s="12"/>
      <c r="D7307" s="13"/>
      <c r="E7307" s="13"/>
      <c r="F7307" s="13"/>
      <c r="G7307" s="12"/>
      <c r="H7307" s="11"/>
    </row>
    <row r="7308" spans="3:8" x14ac:dyDescent="0.25">
      <c r="C7308" s="12"/>
      <c r="D7308" s="13"/>
      <c r="E7308" s="13"/>
      <c r="F7308" s="13"/>
      <c r="G7308" s="12"/>
      <c r="H7308" s="11"/>
    </row>
    <row r="7309" spans="3:8" x14ac:dyDescent="0.25">
      <c r="C7309" s="12"/>
      <c r="D7309" s="13"/>
      <c r="E7309" s="13"/>
      <c r="F7309" s="13"/>
      <c r="G7309" s="12"/>
      <c r="H7309" s="11"/>
    </row>
    <row r="7310" spans="3:8" x14ac:dyDescent="0.25">
      <c r="C7310" s="12"/>
      <c r="D7310" s="13"/>
      <c r="E7310" s="13"/>
      <c r="F7310" s="13"/>
      <c r="G7310" s="12"/>
      <c r="H7310" s="11"/>
    </row>
    <row r="7311" spans="3:8" x14ac:dyDescent="0.25">
      <c r="C7311" s="12"/>
      <c r="D7311" s="13"/>
      <c r="E7311" s="13"/>
      <c r="F7311" s="13"/>
      <c r="G7311" s="12"/>
      <c r="H7311" s="11"/>
    </row>
    <row r="7312" spans="3:8" x14ac:dyDescent="0.25">
      <c r="C7312" s="12"/>
      <c r="D7312" s="13"/>
      <c r="E7312" s="13"/>
      <c r="F7312" s="13"/>
      <c r="G7312" s="12"/>
      <c r="H7312" s="11"/>
    </row>
    <row r="7313" spans="3:8" x14ac:dyDescent="0.25">
      <c r="C7313" s="12"/>
      <c r="D7313" s="13"/>
      <c r="E7313" s="13"/>
      <c r="F7313" s="13"/>
      <c r="G7313" s="12"/>
      <c r="H7313" s="11"/>
    </row>
    <row r="7314" spans="3:8" x14ac:dyDescent="0.25">
      <c r="C7314" s="12"/>
      <c r="D7314" s="13"/>
      <c r="E7314" s="13"/>
      <c r="F7314" s="13"/>
      <c r="G7314" s="12"/>
      <c r="H7314" s="11"/>
    </row>
    <row r="7315" spans="3:8" x14ac:dyDescent="0.25">
      <c r="C7315" s="12"/>
      <c r="D7315" s="13"/>
      <c r="E7315" s="13"/>
      <c r="F7315" s="13"/>
      <c r="G7315" s="12"/>
      <c r="H7315" s="11"/>
    </row>
    <row r="7316" spans="3:8" x14ac:dyDescent="0.25">
      <c r="C7316" s="12"/>
      <c r="D7316" s="13"/>
      <c r="E7316" s="13"/>
      <c r="F7316" s="13"/>
      <c r="G7316" s="12"/>
      <c r="H7316" s="11"/>
    </row>
    <row r="7317" spans="3:8" x14ac:dyDescent="0.25">
      <c r="C7317" s="12"/>
      <c r="D7317" s="13"/>
      <c r="E7317" s="13"/>
      <c r="F7317" s="13"/>
      <c r="G7317" s="12"/>
      <c r="H7317" s="11"/>
    </row>
    <row r="7318" spans="3:8" x14ac:dyDescent="0.25">
      <c r="C7318" s="12"/>
      <c r="D7318" s="13"/>
      <c r="E7318" s="13"/>
      <c r="F7318" s="13"/>
      <c r="G7318" s="12"/>
      <c r="H7318" s="11"/>
    </row>
    <row r="7319" spans="3:8" x14ac:dyDescent="0.25">
      <c r="C7319" s="12"/>
      <c r="D7319" s="13"/>
      <c r="E7319" s="13"/>
      <c r="F7319" s="13"/>
      <c r="G7319" s="12"/>
      <c r="H7319" s="11"/>
    </row>
    <row r="7320" spans="3:8" x14ac:dyDescent="0.25">
      <c r="C7320" s="12"/>
      <c r="D7320" s="13"/>
      <c r="E7320" s="13"/>
      <c r="F7320" s="13"/>
      <c r="G7320" s="12"/>
      <c r="H7320" s="11"/>
    </row>
    <row r="7321" spans="3:8" x14ac:dyDescent="0.25">
      <c r="C7321" s="12"/>
      <c r="D7321" s="13"/>
      <c r="E7321" s="13"/>
      <c r="F7321" s="13"/>
      <c r="G7321" s="12"/>
      <c r="H7321" s="11"/>
    </row>
    <row r="7322" spans="3:8" x14ac:dyDescent="0.25">
      <c r="C7322" s="12"/>
      <c r="D7322" s="13"/>
      <c r="E7322" s="13"/>
      <c r="F7322" s="13"/>
      <c r="G7322" s="12"/>
      <c r="H7322" s="11"/>
    </row>
    <row r="7323" spans="3:8" x14ac:dyDescent="0.25">
      <c r="C7323" s="12"/>
      <c r="D7323" s="13"/>
      <c r="E7323" s="13"/>
      <c r="F7323" s="13"/>
      <c r="G7323" s="12"/>
      <c r="H7323" s="11"/>
    </row>
    <row r="7324" spans="3:8" x14ac:dyDescent="0.25">
      <c r="C7324" s="12"/>
      <c r="D7324" s="13"/>
      <c r="E7324" s="13"/>
      <c r="F7324" s="13"/>
      <c r="G7324" s="12"/>
      <c r="H7324" s="11"/>
    </row>
    <row r="7325" spans="3:8" x14ac:dyDescent="0.25">
      <c r="C7325" s="12"/>
      <c r="D7325" s="13"/>
      <c r="E7325" s="13"/>
      <c r="F7325" s="13"/>
      <c r="G7325" s="12"/>
      <c r="H7325" s="11"/>
    </row>
    <row r="7326" spans="3:8" x14ac:dyDescent="0.25">
      <c r="C7326" s="12"/>
      <c r="D7326" s="13"/>
      <c r="E7326" s="13"/>
      <c r="F7326" s="13"/>
      <c r="G7326" s="12"/>
      <c r="H7326" s="11"/>
    </row>
    <row r="7327" spans="3:8" x14ac:dyDescent="0.25">
      <c r="C7327" s="12"/>
      <c r="D7327" s="13"/>
      <c r="E7327" s="13"/>
      <c r="F7327" s="13"/>
      <c r="G7327" s="12"/>
      <c r="H7327" s="11"/>
    </row>
    <row r="7328" spans="3:8" x14ac:dyDescent="0.25">
      <c r="C7328" s="12"/>
      <c r="D7328" s="13"/>
      <c r="E7328" s="13"/>
      <c r="F7328" s="13"/>
      <c r="G7328" s="12"/>
      <c r="H7328" s="11"/>
    </row>
    <row r="7329" spans="3:8" x14ac:dyDescent="0.25">
      <c r="C7329" s="12"/>
      <c r="D7329" s="13"/>
      <c r="E7329" s="13"/>
      <c r="F7329" s="13"/>
      <c r="G7329" s="12"/>
      <c r="H7329" s="11"/>
    </row>
    <row r="7330" spans="3:8" x14ac:dyDescent="0.25">
      <c r="C7330" s="12"/>
      <c r="D7330" s="13"/>
      <c r="E7330" s="13"/>
      <c r="F7330" s="13"/>
      <c r="G7330" s="12"/>
      <c r="H7330" s="11"/>
    </row>
    <row r="7331" spans="3:8" x14ac:dyDescent="0.25">
      <c r="C7331" s="12"/>
      <c r="D7331" s="13"/>
      <c r="E7331" s="13"/>
      <c r="F7331" s="13"/>
      <c r="G7331" s="12"/>
      <c r="H7331" s="11"/>
    </row>
    <row r="7332" spans="3:8" x14ac:dyDescent="0.25">
      <c r="C7332" s="12"/>
      <c r="D7332" s="13"/>
      <c r="E7332" s="13"/>
      <c r="F7332" s="13"/>
      <c r="G7332" s="12"/>
      <c r="H7332" s="11"/>
    </row>
    <row r="7333" spans="3:8" x14ac:dyDescent="0.25">
      <c r="C7333" s="12"/>
      <c r="D7333" s="13"/>
      <c r="E7333" s="13"/>
      <c r="F7333" s="13"/>
      <c r="G7333" s="12"/>
      <c r="H7333" s="11"/>
    </row>
    <row r="7334" spans="3:8" x14ac:dyDescent="0.25">
      <c r="C7334" s="12"/>
      <c r="D7334" s="13"/>
      <c r="E7334" s="13"/>
      <c r="F7334" s="13"/>
      <c r="G7334" s="12"/>
      <c r="H7334" s="11"/>
    </row>
    <row r="7335" spans="3:8" x14ac:dyDescent="0.25">
      <c r="C7335" s="12"/>
      <c r="D7335" s="13"/>
      <c r="E7335" s="13"/>
      <c r="F7335" s="13"/>
      <c r="G7335" s="12"/>
      <c r="H7335" s="11"/>
    </row>
    <row r="7336" spans="3:8" x14ac:dyDescent="0.25">
      <c r="C7336" s="12"/>
      <c r="D7336" s="13"/>
      <c r="E7336" s="13"/>
      <c r="F7336" s="13"/>
      <c r="G7336" s="12"/>
      <c r="H7336" s="11"/>
    </row>
    <row r="7337" spans="3:8" x14ac:dyDescent="0.25">
      <c r="C7337" s="12"/>
      <c r="D7337" s="13"/>
      <c r="E7337" s="13"/>
      <c r="F7337" s="13"/>
      <c r="G7337" s="12"/>
      <c r="H7337" s="11"/>
    </row>
    <row r="7338" spans="3:8" x14ac:dyDescent="0.25">
      <c r="C7338" s="12"/>
      <c r="D7338" s="13"/>
      <c r="E7338" s="13"/>
      <c r="F7338" s="13"/>
      <c r="G7338" s="12"/>
      <c r="H7338" s="11"/>
    </row>
    <row r="7339" spans="3:8" x14ac:dyDescent="0.25">
      <c r="C7339" s="12"/>
      <c r="D7339" s="13"/>
      <c r="E7339" s="13"/>
      <c r="F7339" s="13"/>
      <c r="G7339" s="12"/>
      <c r="H7339" s="11"/>
    </row>
    <row r="7340" spans="3:8" x14ac:dyDescent="0.25">
      <c r="C7340" s="12"/>
      <c r="D7340" s="13"/>
      <c r="E7340" s="13"/>
      <c r="F7340" s="13"/>
      <c r="G7340" s="12"/>
      <c r="H7340" s="11"/>
    </row>
    <row r="7341" spans="3:8" x14ac:dyDescent="0.25">
      <c r="C7341" s="12"/>
      <c r="D7341" s="13"/>
      <c r="E7341" s="13"/>
      <c r="F7341" s="13"/>
      <c r="G7341" s="12"/>
      <c r="H7341" s="11"/>
    </row>
    <row r="7342" spans="3:8" x14ac:dyDescent="0.25">
      <c r="C7342" s="12"/>
      <c r="D7342" s="13"/>
      <c r="E7342" s="13"/>
      <c r="F7342" s="13"/>
      <c r="G7342" s="12"/>
      <c r="H7342" s="11"/>
    </row>
    <row r="7343" spans="3:8" x14ac:dyDescent="0.25">
      <c r="C7343" s="12"/>
      <c r="D7343" s="13"/>
      <c r="E7343" s="13"/>
      <c r="F7343" s="13"/>
      <c r="G7343" s="12"/>
      <c r="H7343" s="11"/>
    </row>
    <row r="7344" spans="3:8" x14ac:dyDescent="0.25">
      <c r="C7344" s="12"/>
      <c r="D7344" s="13"/>
      <c r="E7344" s="13"/>
      <c r="F7344" s="13"/>
      <c r="G7344" s="12"/>
      <c r="H7344" s="11"/>
    </row>
    <row r="7345" spans="3:8" x14ac:dyDescent="0.25">
      <c r="C7345" s="12"/>
      <c r="D7345" s="13"/>
      <c r="E7345" s="13"/>
      <c r="F7345" s="13"/>
      <c r="G7345" s="12"/>
      <c r="H7345" s="11"/>
    </row>
    <row r="7346" spans="3:8" x14ac:dyDescent="0.25">
      <c r="C7346" s="12"/>
      <c r="D7346" s="13"/>
      <c r="E7346" s="13"/>
      <c r="F7346" s="13"/>
      <c r="G7346" s="12"/>
      <c r="H7346" s="11"/>
    </row>
    <row r="7347" spans="3:8" x14ac:dyDescent="0.25">
      <c r="C7347" s="12"/>
      <c r="D7347" s="13"/>
      <c r="E7347" s="13"/>
      <c r="F7347" s="13"/>
      <c r="G7347" s="12"/>
      <c r="H7347" s="11"/>
    </row>
    <row r="7348" spans="3:8" x14ac:dyDescent="0.25">
      <c r="C7348" s="12"/>
      <c r="D7348" s="13"/>
      <c r="E7348" s="13"/>
      <c r="F7348" s="13"/>
      <c r="G7348" s="12"/>
      <c r="H7348" s="11"/>
    </row>
    <row r="7349" spans="3:8" x14ac:dyDescent="0.25">
      <c r="C7349" s="12"/>
      <c r="D7349" s="13"/>
      <c r="E7349" s="13"/>
      <c r="F7349" s="13"/>
      <c r="G7349" s="12"/>
      <c r="H7349" s="11"/>
    </row>
    <row r="7350" spans="3:8" x14ac:dyDescent="0.25">
      <c r="C7350" s="12"/>
      <c r="D7350" s="13"/>
      <c r="E7350" s="13"/>
      <c r="F7350" s="13"/>
      <c r="G7350" s="12"/>
      <c r="H7350" s="11"/>
    </row>
    <row r="7351" spans="3:8" x14ac:dyDescent="0.25">
      <c r="C7351" s="12"/>
      <c r="D7351" s="13"/>
      <c r="E7351" s="13"/>
      <c r="F7351" s="13"/>
      <c r="G7351" s="12"/>
      <c r="H7351" s="11"/>
    </row>
    <row r="7352" spans="3:8" x14ac:dyDescent="0.25">
      <c r="C7352" s="12"/>
      <c r="D7352" s="13"/>
      <c r="E7352" s="13"/>
      <c r="F7352" s="13"/>
      <c r="G7352" s="12"/>
      <c r="H7352" s="11"/>
    </row>
    <row r="7353" spans="3:8" x14ac:dyDescent="0.25">
      <c r="C7353" s="12"/>
      <c r="D7353" s="13"/>
      <c r="E7353" s="13"/>
      <c r="F7353" s="13"/>
      <c r="G7353" s="12"/>
      <c r="H7353" s="11"/>
    </row>
    <row r="7354" spans="3:8" x14ac:dyDescent="0.25">
      <c r="C7354" s="12"/>
      <c r="D7354" s="13"/>
      <c r="E7354" s="13"/>
      <c r="F7354" s="13"/>
      <c r="G7354" s="12"/>
      <c r="H7354" s="11"/>
    </row>
    <row r="7355" spans="3:8" x14ac:dyDescent="0.25">
      <c r="C7355" s="12"/>
      <c r="D7355" s="13"/>
      <c r="E7355" s="13"/>
      <c r="F7355" s="13"/>
      <c r="G7355" s="12"/>
      <c r="H7355" s="11"/>
    </row>
    <row r="7356" spans="3:8" x14ac:dyDescent="0.25">
      <c r="C7356" s="12"/>
      <c r="D7356" s="13"/>
      <c r="E7356" s="13"/>
      <c r="F7356" s="13"/>
      <c r="G7356" s="12"/>
      <c r="H7356" s="11"/>
    </row>
    <row r="7357" spans="3:8" x14ac:dyDescent="0.25">
      <c r="C7357" s="12"/>
      <c r="D7357" s="13"/>
      <c r="E7357" s="13"/>
      <c r="F7357" s="13"/>
      <c r="G7357" s="12"/>
      <c r="H7357" s="11"/>
    </row>
    <row r="7358" spans="3:8" x14ac:dyDescent="0.25">
      <c r="C7358" s="12"/>
      <c r="D7358" s="13"/>
      <c r="E7358" s="13"/>
      <c r="F7358" s="13"/>
      <c r="G7358" s="12"/>
      <c r="H7358" s="11"/>
    </row>
    <row r="7359" spans="3:8" x14ac:dyDescent="0.25">
      <c r="C7359" s="12"/>
      <c r="D7359" s="13"/>
      <c r="E7359" s="13"/>
      <c r="F7359" s="13"/>
      <c r="G7359" s="12"/>
      <c r="H7359" s="11"/>
    </row>
    <row r="7360" spans="3:8" x14ac:dyDescent="0.25">
      <c r="C7360" s="12"/>
      <c r="D7360" s="13"/>
      <c r="E7360" s="13"/>
      <c r="F7360" s="13"/>
      <c r="G7360" s="12"/>
      <c r="H7360" s="11"/>
    </row>
    <row r="7361" spans="3:8" x14ac:dyDescent="0.25">
      <c r="C7361" s="12"/>
      <c r="D7361" s="13"/>
      <c r="E7361" s="13"/>
      <c r="F7361" s="13"/>
      <c r="G7361" s="12"/>
      <c r="H7361" s="11"/>
    </row>
    <row r="7362" spans="3:8" x14ac:dyDescent="0.25">
      <c r="C7362" s="12"/>
      <c r="D7362" s="13"/>
      <c r="E7362" s="13"/>
      <c r="F7362" s="13"/>
      <c r="G7362" s="12"/>
      <c r="H7362" s="11"/>
    </row>
    <row r="7363" spans="3:8" x14ac:dyDescent="0.25">
      <c r="C7363" s="12"/>
      <c r="D7363" s="13"/>
      <c r="E7363" s="13"/>
      <c r="F7363" s="13"/>
      <c r="G7363" s="12"/>
      <c r="H7363" s="11"/>
    </row>
    <row r="7364" spans="3:8" x14ac:dyDescent="0.25">
      <c r="C7364" s="12"/>
      <c r="D7364" s="13"/>
      <c r="E7364" s="13"/>
      <c r="F7364" s="13"/>
      <c r="G7364" s="12"/>
      <c r="H7364" s="11"/>
    </row>
    <row r="7365" spans="3:8" x14ac:dyDescent="0.25">
      <c r="C7365" s="12"/>
      <c r="D7365" s="13"/>
      <c r="E7365" s="13"/>
      <c r="F7365" s="13"/>
      <c r="G7365" s="12"/>
      <c r="H7365" s="11"/>
    </row>
    <row r="7366" spans="3:8" x14ac:dyDescent="0.25">
      <c r="C7366" s="12"/>
      <c r="D7366" s="13"/>
      <c r="E7366" s="13"/>
      <c r="F7366" s="13"/>
      <c r="G7366" s="12"/>
      <c r="H7366" s="11"/>
    </row>
    <row r="7367" spans="3:8" x14ac:dyDescent="0.25">
      <c r="C7367" s="12"/>
      <c r="D7367" s="13"/>
      <c r="E7367" s="13"/>
      <c r="F7367" s="13"/>
      <c r="G7367" s="12"/>
      <c r="H7367" s="11"/>
    </row>
    <row r="7368" spans="3:8" x14ac:dyDescent="0.25">
      <c r="C7368" s="12"/>
      <c r="D7368" s="13"/>
      <c r="E7368" s="13"/>
      <c r="F7368" s="13"/>
      <c r="G7368" s="12"/>
      <c r="H7368" s="11"/>
    </row>
    <row r="7369" spans="3:8" x14ac:dyDescent="0.25">
      <c r="C7369" s="12"/>
      <c r="D7369" s="13"/>
      <c r="E7369" s="13"/>
      <c r="F7369" s="13"/>
      <c r="G7369" s="12"/>
      <c r="H7369" s="11"/>
    </row>
    <row r="7370" spans="3:8" x14ac:dyDescent="0.25">
      <c r="C7370" s="12"/>
      <c r="D7370" s="13"/>
      <c r="E7370" s="13"/>
      <c r="F7370" s="13"/>
      <c r="G7370" s="12"/>
      <c r="H7370" s="11"/>
    </row>
    <row r="7371" spans="3:8" x14ac:dyDescent="0.25">
      <c r="C7371" s="12"/>
      <c r="D7371" s="13"/>
      <c r="E7371" s="13"/>
      <c r="F7371" s="13"/>
      <c r="G7371" s="12"/>
      <c r="H7371" s="11"/>
    </row>
    <row r="7372" spans="3:8" x14ac:dyDescent="0.25">
      <c r="C7372" s="12"/>
      <c r="D7372" s="13"/>
      <c r="E7372" s="13"/>
      <c r="F7372" s="13"/>
      <c r="G7372" s="12"/>
      <c r="H7372" s="11"/>
    </row>
    <row r="7373" spans="3:8" x14ac:dyDescent="0.25">
      <c r="C7373" s="12"/>
      <c r="D7373" s="13"/>
      <c r="E7373" s="13"/>
      <c r="F7373" s="13"/>
      <c r="G7373" s="12"/>
      <c r="H7373" s="11"/>
    </row>
    <row r="7374" spans="3:8" x14ac:dyDescent="0.25">
      <c r="C7374" s="12"/>
      <c r="D7374" s="13"/>
      <c r="E7374" s="13"/>
      <c r="F7374" s="13"/>
      <c r="G7374" s="12"/>
      <c r="H7374" s="11"/>
    </row>
    <row r="7375" spans="3:8" x14ac:dyDescent="0.25">
      <c r="C7375" s="12"/>
      <c r="D7375" s="13"/>
      <c r="E7375" s="13"/>
      <c r="F7375" s="13"/>
      <c r="G7375" s="12"/>
      <c r="H7375" s="11"/>
    </row>
    <row r="7376" spans="3:8" x14ac:dyDescent="0.25">
      <c r="C7376" s="12"/>
      <c r="D7376" s="13"/>
      <c r="E7376" s="13"/>
      <c r="F7376" s="13"/>
      <c r="G7376" s="12"/>
      <c r="H7376" s="11"/>
    </row>
    <row r="7377" spans="3:8" x14ac:dyDescent="0.25">
      <c r="C7377" s="12"/>
      <c r="D7377" s="13"/>
      <c r="E7377" s="13"/>
      <c r="F7377" s="13"/>
      <c r="G7377" s="12"/>
      <c r="H7377" s="11"/>
    </row>
    <row r="7378" spans="3:8" x14ac:dyDescent="0.25">
      <c r="C7378" s="12"/>
      <c r="D7378" s="13"/>
      <c r="E7378" s="13"/>
      <c r="F7378" s="13"/>
      <c r="G7378" s="12"/>
      <c r="H7378" s="11"/>
    </row>
    <row r="7379" spans="3:8" x14ac:dyDescent="0.25">
      <c r="C7379" s="12"/>
      <c r="D7379" s="13"/>
      <c r="E7379" s="13"/>
      <c r="F7379" s="13"/>
      <c r="G7379" s="12"/>
      <c r="H7379" s="11"/>
    </row>
    <row r="7380" spans="3:8" x14ac:dyDescent="0.25">
      <c r="C7380" s="12"/>
      <c r="D7380" s="13"/>
      <c r="E7380" s="13"/>
      <c r="F7380" s="13"/>
      <c r="G7380" s="12"/>
      <c r="H7380" s="11"/>
    </row>
    <row r="7381" spans="3:8" x14ac:dyDescent="0.25">
      <c r="C7381" s="12"/>
      <c r="D7381" s="13"/>
      <c r="E7381" s="13"/>
      <c r="F7381" s="13"/>
      <c r="G7381" s="12"/>
      <c r="H7381" s="11"/>
    </row>
    <row r="7382" spans="3:8" x14ac:dyDescent="0.25">
      <c r="C7382" s="12"/>
      <c r="D7382" s="13"/>
      <c r="E7382" s="13"/>
      <c r="F7382" s="13"/>
      <c r="G7382" s="12"/>
      <c r="H7382" s="11"/>
    </row>
    <row r="7383" spans="3:8" x14ac:dyDescent="0.25">
      <c r="C7383" s="12"/>
      <c r="D7383" s="13"/>
      <c r="E7383" s="13"/>
      <c r="F7383" s="13"/>
      <c r="G7383" s="12"/>
      <c r="H7383" s="11"/>
    </row>
    <row r="7384" spans="3:8" x14ac:dyDescent="0.25">
      <c r="C7384" s="12"/>
      <c r="D7384" s="13"/>
      <c r="E7384" s="13"/>
      <c r="F7384" s="13"/>
      <c r="G7384" s="12"/>
      <c r="H7384" s="11"/>
    </row>
    <row r="7385" spans="3:8" x14ac:dyDescent="0.25">
      <c r="C7385" s="12"/>
      <c r="D7385" s="13"/>
      <c r="E7385" s="13"/>
      <c r="F7385" s="13"/>
      <c r="G7385" s="12"/>
      <c r="H7385" s="11"/>
    </row>
    <row r="7386" spans="3:8" x14ac:dyDescent="0.25">
      <c r="C7386" s="12"/>
      <c r="D7386" s="13"/>
      <c r="E7386" s="13"/>
      <c r="F7386" s="13"/>
      <c r="G7386" s="12"/>
      <c r="H7386" s="11"/>
    </row>
    <row r="7387" spans="3:8" x14ac:dyDescent="0.25">
      <c r="C7387" s="12"/>
      <c r="D7387" s="13"/>
      <c r="E7387" s="13"/>
      <c r="F7387" s="13"/>
      <c r="G7387" s="12"/>
      <c r="H7387" s="11"/>
    </row>
    <row r="7388" spans="3:8" x14ac:dyDescent="0.25">
      <c r="C7388" s="12"/>
      <c r="D7388" s="13"/>
      <c r="E7388" s="13"/>
      <c r="F7388" s="13"/>
      <c r="G7388" s="12"/>
      <c r="H7388" s="11"/>
    </row>
    <row r="7389" spans="3:8" x14ac:dyDescent="0.25">
      <c r="C7389" s="12"/>
      <c r="D7389" s="13"/>
      <c r="E7389" s="13"/>
      <c r="F7389" s="13"/>
      <c r="G7389" s="12"/>
      <c r="H7389" s="11"/>
    </row>
    <row r="7390" spans="3:8" x14ac:dyDescent="0.25">
      <c r="C7390" s="12"/>
      <c r="D7390" s="13"/>
      <c r="E7390" s="13"/>
      <c r="F7390" s="13"/>
      <c r="G7390" s="12"/>
      <c r="H7390" s="11"/>
    </row>
    <row r="7391" spans="3:8" x14ac:dyDescent="0.25">
      <c r="C7391" s="12"/>
      <c r="D7391" s="13"/>
      <c r="E7391" s="13"/>
      <c r="F7391" s="13"/>
      <c r="G7391" s="12"/>
      <c r="H7391" s="11"/>
    </row>
    <row r="7392" spans="3:8" x14ac:dyDescent="0.25">
      <c r="C7392" s="12"/>
      <c r="D7392" s="13"/>
      <c r="E7392" s="13"/>
      <c r="F7392" s="13"/>
      <c r="G7392" s="12"/>
      <c r="H7392" s="11"/>
    </row>
    <row r="7393" spans="3:8" x14ac:dyDescent="0.25">
      <c r="C7393" s="12"/>
      <c r="D7393" s="13"/>
      <c r="E7393" s="13"/>
      <c r="F7393" s="13"/>
      <c r="G7393" s="12"/>
      <c r="H7393" s="11"/>
    </row>
    <row r="7394" spans="3:8" x14ac:dyDescent="0.25">
      <c r="C7394" s="12"/>
      <c r="D7394" s="13"/>
      <c r="E7394" s="13"/>
      <c r="F7394" s="13"/>
      <c r="G7394" s="12"/>
      <c r="H7394" s="11"/>
    </row>
    <row r="7395" spans="3:8" x14ac:dyDescent="0.25">
      <c r="C7395" s="12"/>
      <c r="D7395" s="13"/>
      <c r="E7395" s="13"/>
      <c r="F7395" s="13"/>
      <c r="G7395" s="12"/>
      <c r="H7395" s="11"/>
    </row>
    <row r="7396" spans="3:8" x14ac:dyDescent="0.25">
      <c r="C7396" s="12"/>
      <c r="D7396" s="13"/>
      <c r="E7396" s="13"/>
      <c r="F7396" s="13"/>
      <c r="G7396" s="12"/>
      <c r="H7396" s="11"/>
    </row>
    <row r="7397" spans="3:8" x14ac:dyDescent="0.25">
      <c r="C7397" s="12"/>
      <c r="D7397" s="13"/>
      <c r="E7397" s="13"/>
      <c r="F7397" s="13"/>
      <c r="G7397" s="12"/>
      <c r="H7397" s="11"/>
    </row>
    <row r="7398" spans="3:8" x14ac:dyDescent="0.25">
      <c r="C7398" s="12"/>
      <c r="D7398" s="13"/>
      <c r="E7398" s="13"/>
      <c r="F7398" s="13"/>
      <c r="G7398" s="12"/>
      <c r="H7398" s="11"/>
    </row>
    <row r="7399" spans="3:8" x14ac:dyDescent="0.25">
      <c r="C7399" s="12"/>
      <c r="D7399" s="13"/>
      <c r="E7399" s="13"/>
      <c r="F7399" s="13"/>
      <c r="G7399" s="12"/>
      <c r="H7399" s="11"/>
    </row>
    <row r="7400" spans="3:8" x14ac:dyDescent="0.25">
      <c r="C7400" s="12"/>
      <c r="D7400" s="13"/>
      <c r="E7400" s="13"/>
      <c r="F7400" s="13"/>
      <c r="G7400" s="12"/>
      <c r="H7400" s="11"/>
    </row>
    <row r="7401" spans="3:8" x14ac:dyDescent="0.25">
      <c r="C7401" s="12"/>
      <c r="D7401" s="13"/>
      <c r="E7401" s="13"/>
      <c r="F7401" s="13"/>
      <c r="G7401" s="12"/>
      <c r="H7401" s="11"/>
    </row>
    <row r="7402" spans="3:8" x14ac:dyDescent="0.25">
      <c r="C7402" s="12"/>
      <c r="D7402" s="13"/>
      <c r="E7402" s="13"/>
      <c r="F7402" s="13"/>
      <c r="G7402" s="12"/>
      <c r="H7402" s="11"/>
    </row>
    <row r="7403" spans="3:8" x14ac:dyDescent="0.25">
      <c r="C7403" s="12"/>
      <c r="D7403" s="13"/>
      <c r="E7403" s="13"/>
      <c r="F7403" s="13"/>
      <c r="G7403" s="12"/>
      <c r="H7403" s="11"/>
    </row>
    <row r="7404" spans="3:8" x14ac:dyDescent="0.25">
      <c r="C7404" s="12"/>
      <c r="D7404" s="13"/>
      <c r="E7404" s="13"/>
      <c r="F7404" s="13"/>
      <c r="G7404" s="12"/>
      <c r="H7404" s="11"/>
    </row>
    <row r="7405" spans="3:8" x14ac:dyDescent="0.25">
      <c r="C7405" s="12"/>
      <c r="D7405" s="13"/>
      <c r="E7405" s="13"/>
      <c r="F7405" s="13"/>
      <c r="G7405" s="12"/>
      <c r="H7405" s="11"/>
    </row>
    <row r="7406" spans="3:8" x14ac:dyDescent="0.25">
      <c r="C7406" s="12"/>
      <c r="D7406" s="13"/>
      <c r="E7406" s="13"/>
      <c r="F7406" s="13"/>
      <c r="G7406" s="12"/>
      <c r="H7406" s="11"/>
    </row>
    <row r="7407" spans="3:8" x14ac:dyDescent="0.25">
      <c r="C7407" s="12"/>
      <c r="D7407" s="13"/>
      <c r="E7407" s="13"/>
      <c r="F7407" s="13"/>
      <c r="G7407" s="12"/>
      <c r="H7407" s="11"/>
    </row>
    <row r="7408" spans="3:8" x14ac:dyDescent="0.25">
      <c r="C7408" s="12"/>
      <c r="D7408" s="13"/>
      <c r="E7408" s="13"/>
      <c r="F7408" s="13"/>
      <c r="G7408" s="12"/>
      <c r="H7408" s="11"/>
    </row>
    <row r="7409" spans="3:8" x14ac:dyDescent="0.25">
      <c r="C7409" s="12"/>
      <c r="D7409" s="13"/>
      <c r="E7409" s="13"/>
      <c r="F7409" s="13"/>
      <c r="G7409" s="12"/>
      <c r="H7409" s="11"/>
    </row>
    <row r="7410" spans="3:8" x14ac:dyDescent="0.25">
      <c r="C7410" s="12"/>
      <c r="D7410" s="13"/>
      <c r="E7410" s="13"/>
      <c r="F7410" s="13"/>
      <c r="G7410" s="12"/>
      <c r="H7410" s="11"/>
    </row>
    <row r="7411" spans="3:8" x14ac:dyDescent="0.25">
      <c r="C7411" s="12"/>
      <c r="D7411" s="13"/>
      <c r="E7411" s="13"/>
      <c r="F7411" s="13"/>
      <c r="G7411" s="12"/>
      <c r="H7411" s="11"/>
    </row>
    <row r="7412" spans="3:8" x14ac:dyDescent="0.25">
      <c r="C7412" s="12"/>
      <c r="D7412" s="13"/>
      <c r="E7412" s="13"/>
      <c r="F7412" s="13"/>
      <c r="G7412" s="12"/>
      <c r="H7412" s="11"/>
    </row>
    <row r="7413" spans="3:8" x14ac:dyDescent="0.25">
      <c r="C7413" s="12"/>
      <c r="D7413" s="13"/>
      <c r="E7413" s="13"/>
      <c r="F7413" s="13"/>
      <c r="G7413" s="12"/>
      <c r="H7413" s="11"/>
    </row>
    <row r="7414" spans="3:8" x14ac:dyDescent="0.25">
      <c r="C7414" s="12"/>
      <c r="D7414" s="13"/>
      <c r="E7414" s="13"/>
      <c r="F7414" s="13"/>
      <c r="G7414" s="12"/>
      <c r="H7414" s="11"/>
    </row>
    <row r="7415" spans="3:8" x14ac:dyDescent="0.25">
      <c r="C7415" s="12"/>
      <c r="D7415" s="13"/>
      <c r="E7415" s="13"/>
      <c r="F7415" s="13"/>
      <c r="G7415" s="12"/>
      <c r="H7415" s="11"/>
    </row>
    <row r="7416" spans="3:8" x14ac:dyDescent="0.25">
      <c r="C7416" s="12"/>
      <c r="D7416" s="13"/>
      <c r="E7416" s="13"/>
      <c r="F7416" s="13"/>
      <c r="G7416" s="12"/>
      <c r="H7416" s="11"/>
    </row>
    <row r="7417" spans="3:8" x14ac:dyDescent="0.25">
      <c r="C7417" s="12"/>
      <c r="D7417" s="13"/>
      <c r="E7417" s="13"/>
      <c r="F7417" s="13"/>
      <c r="G7417" s="12"/>
      <c r="H7417" s="11"/>
    </row>
    <row r="7418" spans="3:8" x14ac:dyDescent="0.25">
      <c r="C7418" s="12"/>
      <c r="D7418" s="13"/>
      <c r="E7418" s="13"/>
      <c r="F7418" s="13"/>
      <c r="G7418" s="12"/>
      <c r="H7418" s="11"/>
    </row>
    <row r="7419" spans="3:8" x14ac:dyDescent="0.25">
      <c r="C7419" s="12"/>
      <c r="D7419" s="13"/>
      <c r="E7419" s="13"/>
      <c r="F7419" s="13"/>
      <c r="G7419" s="12"/>
      <c r="H7419" s="11"/>
    </row>
    <row r="7420" spans="3:8" x14ac:dyDescent="0.25">
      <c r="C7420" s="12"/>
      <c r="D7420" s="13"/>
      <c r="E7420" s="13"/>
      <c r="F7420" s="13"/>
      <c r="G7420" s="12"/>
      <c r="H7420" s="11"/>
    </row>
    <row r="7421" spans="3:8" x14ac:dyDescent="0.25">
      <c r="C7421" s="12"/>
      <c r="D7421" s="13"/>
      <c r="E7421" s="13"/>
      <c r="F7421" s="13"/>
      <c r="G7421" s="12"/>
      <c r="H7421" s="11"/>
    </row>
    <row r="7422" spans="3:8" x14ac:dyDescent="0.25">
      <c r="C7422" s="12"/>
      <c r="D7422" s="13"/>
      <c r="E7422" s="13"/>
      <c r="F7422" s="13"/>
      <c r="G7422" s="12"/>
      <c r="H7422" s="11"/>
    </row>
    <row r="7423" spans="3:8" x14ac:dyDescent="0.25">
      <c r="C7423" s="12"/>
      <c r="D7423" s="13"/>
      <c r="E7423" s="13"/>
      <c r="F7423" s="13"/>
      <c r="G7423" s="12"/>
      <c r="H7423" s="11"/>
    </row>
    <row r="7424" spans="3:8" x14ac:dyDescent="0.25">
      <c r="C7424" s="12"/>
      <c r="D7424" s="13"/>
      <c r="E7424" s="13"/>
      <c r="F7424" s="13"/>
      <c r="G7424" s="12"/>
      <c r="H7424" s="11"/>
    </row>
    <row r="7425" spans="3:8" x14ac:dyDescent="0.25">
      <c r="C7425" s="12"/>
      <c r="D7425" s="13"/>
      <c r="E7425" s="13"/>
      <c r="F7425" s="13"/>
      <c r="G7425" s="12"/>
      <c r="H7425" s="11"/>
    </row>
    <row r="7426" spans="3:8" x14ac:dyDescent="0.25">
      <c r="C7426" s="12"/>
      <c r="D7426" s="13"/>
      <c r="E7426" s="13"/>
      <c r="F7426" s="13"/>
      <c r="G7426" s="12"/>
      <c r="H7426" s="11"/>
    </row>
    <row r="7427" spans="3:8" x14ac:dyDescent="0.25">
      <c r="C7427" s="12"/>
      <c r="D7427" s="13"/>
      <c r="E7427" s="13"/>
      <c r="F7427" s="13"/>
      <c r="G7427" s="12"/>
      <c r="H7427" s="11"/>
    </row>
    <row r="7428" spans="3:8" x14ac:dyDescent="0.25">
      <c r="C7428" s="12"/>
      <c r="D7428" s="13"/>
      <c r="E7428" s="13"/>
      <c r="F7428" s="13"/>
      <c r="G7428" s="12"/>
      <c r="H7428" s="11"/>
    </row>
    <row r="7429" spans="3:8" x14ac:dyDescent="0.25">
      <c r="C7429" s="12"/>
      <c r="D7429" s="13"/>
      <c r="E7429" s="13"/>
      <c r="F7429" s="13"/>
      <c r="G7429" s="12"/>
      <c r="H7429" s="11"/>
    </row>
    <row r="7430" spans="3:8" x14ac:dyDescent="0.25">
      <c r="C7430" s="12"/>
      <c r="D7430" s="13"/>
      <c r="E7430" s="13"/>
      <c r="F7430" s="13"/>
      <c r="G7430" s="12"/>
      <c r="H7430" s="11"/>
    </row>
    <row r="7431" spans="3:8" x14ac:dyDescent="0.25">
      <c r="C7431" s="12"/>
      <c r="D7431" s="13"/>
      <c r="E7431" s="13"/>
      <c r="F7431" s="13"/>
      <c r="G7431" s="12"/>
      <c r="H7431" s="11"/>
    </row>
    <row r="7432" spans="3:8" x14ac:dyDescent="0.25">
      <c r="C7432" s="12"/>
      <c r="D7432" s="13"/>
      <c r="E7432" s="13"/>
      <c r="F7432" s="13"/>
      <c r="G7432" s="12"/>
      <c r="H7432" s="11"/>
    </row>
    <row r="7433" spans="3:8" x14ac:dyDescent="0.25">
      <c r="C7433" s="12"/>
      <c r="D7433" s="13"/>
      <c r="E7433" s="13"/>
      <c r="F7433" s="13"/>
      <c r="G7433" s="12"/>
      <c r="H7433" s="11"/>
    </row>
    <row r="7434" spans="3:8" x14ac:dyDescent="0.25">
      <c r="C7434" s="12"/>
      <c r="D7434" s="13"/>
      <c r="E7434" s="13"/>
      <c r="F7434" s="13"/>
      <c r="G7434" s="12"/>
      <c r="H7434" s="11"/>
    </row>
    <row r="7435" spans="3:8" x14ac:dyDescent="0.25">
      <c r="C7435" s="12"/>
      <c r="D7435" s="13"/>
      <c r="E7435" s="13"/>
      <c r="F7435" s="13"/>
      <c r="G7435" s="12"/>
      <c r="H7435" s="11"/>
    </row>
    <row r="7436" spans="3:8" x14ac:dyDescent="0.25">
      <c r="C7436" s="12"/>
      <c r="D7436" s="13"/>
      <c r="E7436" s="13"/>
      <c r="F7436" s="13"/>
      <c r="G7436" s="12"/>
      <c r="H7436" s="11"/>
    </row>
    <row r="7437" spans="3:8" x14ac:dyDescent="0.25">
      <c r="C7437" s="12"/>
      <c r="D7437" s="13"/>
      <c r="E7437" s="13"/>
      <c r="F7437" s="13"/>
      <c r="G7437" s="12"/>
      <c r="H7437" s="11"/>
    </row>
    <row r="7438" spans="3:8" x14ac:dyDescent="0.25">
      <c r="C7438" s="12"/>
      <c r="D7438" s="13"/>
      <c r="E7438" s="13"/>
      <c r="F7438" s="13"/>
      <c r="G7438" s="12"/>
      <c r="H7438" s="11"/>
    </row>
    <row r="7439" spans="3:8" x14ac:dyDescent="0.25">
      <c r="C7439" s="12"/>
      <c r="D7439" s="13"/>
      <c r="E7439" s="13"/>
      <c r="F7439" s="13"/>
      <c r="G7439" s="12"/>
      <c r="H7439" s="11"/>
    </row>
    <row r="7440" spans="3:8" x14ac:dyDescent="0.25">
      <c r="C7440" s="12"/>
      <c r="D7440" s="13"/>
      <c r="E7440" s="13"/>
      <c r="F7440" s="13"/>
      <c r="G7440" s="12"/>
      <c r="H7440" s="11"/>
    </row>
    <row r="7441" spans="3:8" x14ac:dyDescent="0.25">
      <c r="C7441" s="12"/>
      <c r="D7441" s="13"/>
      <c r="E7441" s="13"/>
      <c r="F7441" s="13"/>
      <c r="G7441" s="12"/>
      <c r="H7441" s="11"/>
    </row>
    <row r="7442" spans="3:8" x14ac:dyDescent="0.25">
      <c r="C7442" s="12"/>
      <c r="D7442" s="13"/>
      <c r="E7442" s="13"/>
      <c r="F7442" s="13"/>
      <c r="G7442" s="12"/>
      <c r="H7442" s="11"/>
    </row>
    <row r="7443" spans="3:8" x14ac:dyDescent="0.25">
      <c r="C7443" s="12"/>
      <c r="D7443" s="13"/>
      <c r="E7443" s="13"/>
      <c r="F7443" s="13"/>
      <c r="G7443" s="12"/>
      <c r="H7443" s="11"/>
    </row>
    <row r="7444" spans="3:8" x14ac:dyDescent="0.25">
      <c r="C7444" s="12"/>
      <c r="D7444" s="13"/>
      <c r="E7444" s="13"/>
      <c r="F7444" s="13"/>
      <c r="G7444" s="12"/>
      <c r="H7444" s="11"/>
    </row>
    <row r="7445" spans="3:8" x14ac:dyDescent="0.25">
      <c r="C7445" s="12"/>
      <c r="D7445" s="13"/>
      <c r="E7445" s="13"/>
      <c r="F7445" s="13"/>
      <c r="G7445" s="12"/>
      <c r="H7445" s="11"/>
    </row>
    <row r="7446" spans="3:8" x14ac:dyDescent="0.25">
      <c r="C7446" s="12"/>
      <c r="D7446" s="13"/>
      <c r="E7446" s="13"/>
      <c r="F7446" s="13"/>
      <c r="G7446" s="12"/>
      <c r="H7446" s="11"/>
    </row>
    <row r="7447" spans="3:8" x14ac:dyDescent="0.25">
      <c r="C7447" s="12"/>
      <c r="D7447" s="13"/>
      <c r="E7447" s="13"/>
      <c r="F7447" s="13"/>
      <c r="G7447" s="12"/>
      <c r="H7447" s="11"/>
    </row>
    <row r="7448" spans="3:8" x14ac:dyDescent="0.25">
      <c r="C7448" s="12"/>
      <c r="D7448" s="13"/>
      <c r="E7448" s="13"/>
      <c r="F7448" s="13"/>
      <c r="G7448" s="12"/>
      <c r="H7448" s="11"/>
    </row>
    <row r="7449" spans="3:8" x14ac:dyDescent="0.25">
      <c r="C7449" s="12"/>
      <c r="D7449" s="13"/>
      <c r="E7449" s="13"/>
      <c r="F7449" s="13"/>
      <c r="G7449" s="12"/>
      <c r="H7449" s="11"/>
    </row>
    <row r="7450" spans="3:8" x14ac:dyDescent="0.25">
      <c r="C7450" s="12"/>
      <c r="D7450" s="13"/>
      <c r="E7450" s="13"/>
      <c r="F7450" s="13"/>
      <c r="G7450" s="12"/>
      <c r="H7450" s="11"/>
    </row>
    <row r="7451" spans="3:8" x14ac:dyDescent="0.25">
      <c r="C7451" s="12"/>
      <c r="D7451" s="13"/>
      <c r="E7451" s="13"/>
      <c r="F7451" s="13"/>
      <c r="G7451" s="12"/>
      <c r="H7451" s="11"/>
    </row>
    <row r="7452" spans="3:8" x14ac:dyDescent="0.25">
      <c r="C7452" s="12"/>
      <c r="D7452" s="13"/>
      <c r="E7452" s="13"/>
      <c r="F7452" s="13"/>
      <c r="G7452" s="12"/>
      <c r="H7452" s="11"/>
    </row>
    <row r="7453" spans="3:8" x14ac:dyDescent="0.25">
      <c r="C7453" s="12"/>
      <c r="D7453" s="13"/>
      <c r="E7453" s="13"/>
      <c r="F7453" s="13"/>
      <c r="G7453" s="12"/>
      <c r="H7453" s="11"/>
    </row>
    <row r="7454" spans="3:8" x14ac:dyDescent="0.25">
      <c r="C7454" s="12"/>
      <c r="D7454" s="13"/>
      <c r="E7454" s="13"/>
      <c r="F7454" s="13"/>
      <c r="G7454" s="12"/>
      <c r="H7454" s="11"/>
    </row>
    <row r="7455" spans="3:8" x14ac:dyDescent="0.25">
      <c r="C7455" s="12"/>
      <c r="D7455" s="13"/>
      <c r="E7455" s="13"/>
      <c r="F7455" s="13"/>
      <c r="G7455" s="12"/>
      <c r="H7455" s="11"/>
    </row>
    <row r="7456" spans="3:8" x14ac:dyDescent="0.25">
      <c r="C7456" s="12"/>
      <c r="D7456" s="13"/>
      <c r="E7456" s="13"/>
      <c r="F7456" s="13"/>
      <c r="G7456" s="12"/>
      <c r="H7456" s="11"/>
    </row>
    <row r="7457" spans="3:8" x14ac:dyDescent="0.25">
      <c r="C7457" s="12"/>
      <c r="D7457" s="13"/>
      <c r="E7457" s="13"/>
      <c r="F7457" s="13"/>
      <c r="G7457" s="12"/>
      <c r="H7457" s="11"/>
    </row>
    <row r="7458" spans="3:8" x14ac:dyDescent="0.25">
      <c r="C7458" s="12"/>
      <c r="D7458" s="13"/>
      <c r="E7458" s="13"/>
      <c r="F7458" s="13"/>
      <c r="G7458" s="12"/>
      <c r="H7458" s="11"/>
    </row>
    <row r="7459" spans="3:8" x14ac:dyDescent="0.25">
      <c r="C7459" s="12"/>
      <c r="D7459" s="13"/>
      <c r="E7459" s="13"/>
      <c r="F7459" s="13"/>
      <c r="G7459" s="12"/>
      <c r="H7459" s="11"/>
    </row>
    <row r="7460" spans="3:8" x14ac:dyDescent="0.25">
      <c r="C7460" s="12"/>
      <c r="D7460" s="13"/>
      <c r="E7460" s="13"/>
      <c r="F7460" s="13"/>
      <c r="G7460" s="12"/>
      <c r="H7460" s="11"/>
    </row>
    <row r="7461" spans="3:8" x14ac:dyDescent="0.25">
      <c r="C7461" s="12"/>
      <c r="D7461" s="13"/>
      <c r="E7461" s="13"/>
      <c r="F7461" s="13"/>
      <c r="G7461" s="12"/>
      <c r="H7461" s="11"/>
    </row>
    <row r="7462" spans="3:8" x14ac:dyDescent="0.25">
      <c r="C7462" s="12"/>
      <c r="D7462" s="13"/>
      <c r="E7462" s="13"/>
      <c r="F7462" s="13"/>
      <c r="G7462" s="12"/>
      <c r="H7462" s="11"/>
    </row>
    <row r="7463" spans="3:8" x14ac:dyDescent="0.25">
      <c r="C7463" s="12"/>
      <c r="D7463" s="13"/>
      <c r="E7463" s="13"/>
      <c r="F7463" s="13"/>
      <c r="G7463" s="12"/>
      <c r="H7463" s="11"/>
    </row>
    <row r="7464" spans="3:8" x14ac:dyDescent="0.25">
      <c r="C7464" s="12"/>
      <c r="D7464" s="13"/>
      <c r="E7464" s="13"/>
      <c r="F7464" s="13"/>
      <c r="G7464" s="12"/>
      <c r="H7464" s="11"/>
    </row>
    <row r="7465" spans="3:8" x14ac:dyDescent="0.25">
      <c r="C7465" s="12"/>
      <c r="D7465" s="13"/>
      <c r="E7465" s="13"/>
      <c r="F7465" s="13"/>
      <c r="G7465" s="12"/>
      <c r="H7465" s="11"/>
    </row>
    <row r="7466" spans="3:8" x14ac:dyDescent="0.25">
      <c r="C7466" s="12"/>
      <c r="D7466" s="13"/>
      <c r="E7466" s="13"/>
      <c r="F7466" s="13"/>
      <c r="G7466" s="12"/>
      <c r="H7466" s="11"/>
    </row>
    <row r="7467" spans="3:8" x14ac:dyDescent="0.25">
      <c r="C7467" s="12"/>
      <c r="D7467" s="13"/>
      <c r="E7467" s="13"/>
      <c r="F7467" s="13"/>
      <c r="G7467" s="12"/>
      <c r="H7467" s="11"/>
    </row>
    <row r="7468" spans="3:8" x14ac:dyDescent="0.25">
      <c r="C7468" s="12"/>
      <c r="D7468" s="13"/>
      <c r="E7468" s="13"/>
      <c r="F7468" s="13"/>
      <c r="G7468" s="12"/>
      <c r="H7468" s="11"/>
    </row>
    <row r="7469" spans="3:8" x14ac:dyDescent="0.25">
      <c r="C7469" s="12"/>
      <c r="D7469" s="13"/>
      <c r="E7469" s="13"/>
      <c r="F7469" s="13"/>
      <c r="G7469" s="12"/>
      <c r="H7469" s="11"/>
    </row>
    <row r="7470" spans="3:8" x14ac:dyDescent="0.25">
      <c r="C7470" s="12"/>
      <c r="D7470" s="13"/>
      <c r="E7470" s="13"/>
      <c r="F7470" s="13"/>
      <c r="G7470" s="12"/>
      <c r="H7470" s="11"/>
    </row>
    <row r="7471" spans="3:8" x14ac:dyDescent="0.25">
      <c r="C7471" s="12"/>
      <c r="D7471" s="13"/>
      <c r="E7471" s="13"/>
      <c r="F7471" s="13"/>
      <c r="G7471" s="12"/>
      <c r="H7471" s="11"/>
    </row>
    <row r="7472" spans="3:8" x14ac:dyDescent="0.25">
      <c r="C7472" s="12"/>
      <c r="D7472" s="13"/>
      <c r="E7472" s="13"/>
      <c r="F7472" s="13"/>
      <c r="G7472" s="12"/>
      <c r="H7472" s="11"/>
    </row>
    <row r="7473" spans="3:8" x14ac:dyDescent="0.25">
      <c r="C7473" s="12"/>
      <c r="D7473" s="13"/>
      <c r="E7473" s="13"/>
      <c r="F7473" s="13"/>
      <c r="G7473" s="12"/>
      <c r="H7473" s="11"/>
    </row>
    <row r="7474" spans="3:8" x14ac:dyDescent="0.25">
      <c r="C7474" s="12"/>
      <c r="D7474" s="13"/>
      <c r="E7474" s="13"/>
      <c r="F7474" s="13"/>
      <c r="G7474" s="12"/>
      <c r="H7474" s="11"/>
    </row>
    <row r="7475" spans="3:8" x14ac:dyDescent="0.25">
      <c r="C7475" s="12"/>
      <c r="D7475" s="13"/>
      <c r="E7475" s="13"/>
      <c r="F7475" s="13"/>
      <c r="G7475" s="12"/>
      <c r="H7475" s="11"/>
    </row>
    <row r="7476" spans="3:8" x14ac:dyDescent="0.25">
      <c r="C7476" s="12"/>
      <c r="D7476" s="13"/>
      <c r="E7476" s="13"/>
      <c r="F7476" s="13"/>
      <c r="G7476" s="12"/>
      <c r="H7476" s="11"/>
    </row>
    <row r="7477" spans="3:8" x14ac:dyDescent="0.25">
      <c r="C7477" s="12"/>
      <c r="D7477" s="13"/>
      <c r="E7477" s="13"/>
      <c r="F7477" s="13"/>
      <c r="G7477" s="12"/>
      <c r="H7477" s="11"/>
    </row>
    <row r="7478" spans="3:8" x14ac:dyDescent="0.25">
      <c r="C7478" s="12"/>
      <c r="D7478" s="13"/>
      <c r="E7478" s="13"/>
      <c r="F7478" s="13"/>
      <c r="G7478" s="12"/>
      <c r="H7478" s="11"/>
    </row>
    <row r="7479" spans="3:8" x14ac:dyDescent="0.25">
      <c r="C7479" s="12"/>
      <c r="D7479" s="13"/>
      <c r="E7479" s="13"/>
      <c r="F7479" s="13"/>
      <c r="G7479" s="12"/>
      <c r="H7479" s="11"/>
    </row>
    <row r="7480" spans="3:8" x14ac:dyDescent="0.25">
      <c r="C7480" s="12"/>
      <c r="D7480" s="13"/>
      <c r="E7480" s="13"/>
      <c r="F7480" s="13"/>
      <c r="G7480" s="12"/>
      <c r="H7480" s="11"/>
    </row>
    <row r="7481" spans="3:8" x14ac:dyDescent="0.25">
      <c r="C7481" s="12"/>
      <c r="D7481" s="13"/>
      <c r="E7481" s="13"/>
      <c r="F7481" s="13"/>
      <c r="G7481" s="12"/>
      <c r="H7481" s="11"/>
    </row>
    <row r="7482" spans="3:8" x14ac:dyDescent="0.25">
      <c r="C7482" s="12"/>
      <c r="D7482" s="13"/>
      <c r="E7482" s="13"/>
      <c r="F7482" s="13"/>
      <c r="G7482" s="12"/>
      <c r="H7482" s="11"/>
    </row>
    <row r="7483" spans="3:8" x14ac:dyDescent="0.25">
      <c r="C7483" s="12"/>
      <c r="D7483" s="13"/>
      <c r="E7483" s="13"/>
      <c r="F7483" s="13"/>
      <c r="G7483" s="12"/>
      <c r="H7483" s="11"/>
    </row>
    <row r="7484" spans="3:8" x14ac:dyDescent="0.25">
      <c r="C7484" s="12"/>
      <c r="D7484" s="13"/>
      <c r="E7484" s="13"/>
      <c r="F7484" s="13"/>
      <c r="G7484" s="12"/>
      <c r="H7484" s="11"/>
    </row>
    <row r="7485" spans="3:8" x14ac:dyDescent="0.25">
      <c r="C7485" s="12"/>
      <c r="D7485" s="13"/>
      <c r="E7485" s="13"/>
      <c r="F7485" s="13"/>
      <c r="G7485" s="12"/>
      <c r="H7485" s="11"/>
    </row>
    <row r="7486" spans="3:8" x14ac:dyDescent="0.25">
      <c r="C7486" s="12"/>
      <c r="D7486" s="13"/>
      <c r="E7486" s="13"/>
      <c r="F7486" s="13"/>
      <c r="G7486" s="12"/>
      <c r="H7486" s="11"/>
    </row>
    <row r="7487" spans="3:8" x14ac:dyDescent="0.25">
      <c r="C7487" s="12"/>
      <c r="D7487" s="13"/>
      <c r="E7487" s="13"/>
      <c r="F7487" s="13"/>
      <c r="G7487" s="12"/>
      <c r="H7487" s="11"/>
    </row>
    <row r="7488" spans="3:8" x14ac:dyDescent="0.25">
      <c r="C7488" s="12"/>
      <c r="D7488" s="13"/>
      <c r="E7488" s="13"/>
      <c r="F7488" s="13"/>
      <c r="G7488" s="12"/>
      <c r="H7488" s="11"/>
    </row>
    <row r="7489" spans="3:8" x14ac:dyDescent="0.25">
      <c r="C7489" s="12"/>
      <c r="D7489" s="13"/>
      <c r="E7489" s="13"/>
      <c r="F7489" s="13"/>
      <c r="G7489" s="12"/>
      <c r="H7489" s="11"/>
    </row>
    <row r="7490" spans="3:8" x14ac:dyDescent="0.25">
      <c r="C7490" s="12"/>
      <c r="D7490" s="13"/>
      <c r="E7490" s="13"/>
      <c r="F7490" s="13"/>
      <c r="G7490" s="12"/>
      <c r="H7490" s="11"/>
    </row>
    <row r="7491" spans="3:8" x14ac:dyDescent="0.25">
      <c r="C7491" s="12"/>
      <c r="D7491" s="13"/>
      <c r="E7491" s="13"/>
      <c r="F7491" s="13"/>
      <c r="G7491" s="12"/>
      <c r="H7491" s="11"/>
    </row>
    <row r="7492" spans="3:8" x14ac:dyDescent="0.25">
      <c r="C7492" s="12"/>
      <c r="D7492" s="13"/>
      <c r="E7492" s="13"/>
      <c r="F7492" s="13"/>
      <c r="G7492" s="12"/>
      <c r="H7492" s="11"/>
    </row>
    <row r="7493" spans="3:8" x14ac:dyDescent="0.25">
      <c r="C7493" s="12"/>
      <c r="D7493" s="13"/>
      <c r="E7493" s="13"/>
      <c r="F7493" s="13"/>
      <c r="G7493" s="12"/>
      <c r="H7493" s="11"/>
    </row>
    <row r="7494" spans="3:8" x14ac:dyDescent="0.25">
      <c r="C7494" s="12"/>
      <c r="D7494" s="13"/>
      <c r="E7494" s="13"/>
      <c r="F7494" s="13"/>
      <c r="G7494" s="12"/>
      <c r="H7494" s="11"/>
    </row>
    <row r="7495" spans="3:8" x14ac:dyDescent="0.25">
      <c r="C7495" s="12"/>
      <c r="D7495" s="13"/>
      <c r="E7495" s="13"/>
      <c r="F7495" s="13"/>
      <c r="G7495" s="12"/>
      <c r="H7495" s="11"/>
    </row>
    <row r="7496" spans="3:8" x14ac:dyDescent="0.25">
      <c r="C7496" s="12"/>
      <c r="D7496" s="13"/>
      <c r="E7496" s="13"/>
      <c r="F7496" s="13"/>
      <c r="G7496" s="12"/>
      <c r="H7496" s="11"/>
    </row>
    <row r="7497" spans="3:8" x14ac:dyDescent="0.25">
      <c r="C7497" s="12"/>
      <c r="D7497" s="13"/>
      <c r="E7497" s="13"/>
      <c r="F7497" s="13"/>
      <c r="G7497" s="12"/>
      <c r="H7497" s="11"/>
    </row>
    <row r="7498" spans="3:8" x14ac:dyDescent="0.25">
      <c r="C7498" s="12"/>
      <c r="D7498" s="13"/>
      <c r="E7498" s="13"/>
      <c r="F7498" s="13"/>
      <c r="G7498" s="12"/>
      <c r="H7498" s="11"/>
    </row>
    <row r="7499" spans="3:8" x14ac:dyDescent="0.25">
      <c r="C7499" s="12"/>
      <c r="D7499" s="13"/>
      <c r="E7499" s="13"/>
      <c r="F7499" s="13"/>
      <c r="G7499" s="12"/>
      <c r="H7499" s="11"/>
    </row>
    <row r="7500" spans="3:8" x14ac:dyDescent="0.25">
      <c r="C7500" s="12"/>
      <c r="D7500" s="13"/>
      <c r="E7500" s="13"/>
      <c r="F7500" s="13"/>
      <c r="G7500" s="12"/>
      <c r="H7500" s="11"/>
    </row>
    <row r="7501" spans="3:8" x14ac:dyDescent="0.25">
      <c r="C7501" s="12"/>
      <c r="D7501" s="13"/>
      <c r="E7501" s="13"/>
      <c r="F7501" s="13"/>
      <c r="G7501" s="12"/>
      <c r="H7501" s="11"/>
    </row>
    <row r="7502" spans="3:8" x14ac:dyDescent="0.25">
      <c r="C7502" s="12"/>
      <c r="D7502" s="13"/>
      <c r="E7502" s="13"/>
      <c r="F7502" s="13"/>
      <c r="G7502" s="12"/>
      <c r="H7502" s="11"/>
    </row>
    <row r="7503" spans="3:8" x14ac:dyDescent="0.25">
      <c r="C7503" s="12"/>
      <c r="D7503" s="13"/>
      <c r="E7503" s="13"/>
      <c r="F7503" s="13"/>
      <c r="G7503" s="12"/>
      <c r="H7503" s="11"/>
    </row>
    <row r="7504" spans="3:8" x14ac:dyDescent="0.25">
      <c r="C7504" s="12"/>
      <c r="D7504" s="13"/>
      <c r="E7504" s="13"/>
      <c r="F7504" s="13"/>
      <c r="G7504" s="12"/>
      <c r="H7504" s="11"/>
    </row>
    <row r="7505" spans="3:8" x14ac:dyDescent="0.25">
      <c r="C7505" s="12"/>
      <c r="D7505" s="13"/>
      <c r="E7505" s="13"/>
      <c r="F7505" s="13"/>
      <c r="G7505" s="12"/>
      <c r="H7505" s="11"/>
    </row>
    <row r="7506" spans="3:8" x14ac:dyDescent="0.25">
      <c r="C7506" s="12"/>
      <c r="D7506" s="13"/>
      <c r="E7506" s="13"/>
      <c r="F7506" s="13"/>
      <c r="G7506" s="12"/>
      <c r="H7506" s="11"/>
    </row>
    <row r="7507" spans="3:8" x14ac:dyDescent="0.25">
      <c r="C7507" s="12"/>
      <c r="D7507" s="13"/>
      <c r="E7507" s="13"/>
      <c r="F7507" s="13"/>
      <c r="G7507" s="12"/>
      <c r="H7507" s="11"/>
    </row>
    <row r="7508" spans="3:8" x14ac:dyDescent="0.25">
      <c r="C7508" s="12"/>
      <c r="D7508" s="13"/>
      <c r="E7508" s="13"/>
      <c r="F7508" s="13"/>
      <c r="G7508" s="12"/>
      <c r="H7508" s="11"/>
    </row>
    <row r="7509" spans="3:8" x14ac:dyDescent="0.25">
      <c r="C7509" s="12"/>
      <c r="D7509" s="13"/>
      <c r="E7509" s="13"/>
      <c r="F7509" s="13"/>
      <c r="G7509" s="12"/>
      <c r="H7509" s="11"/>
    </row>
    <row r="7510" spans="3:8" x14ac:dyDescent="0.25">
      <c r="C7510" s="12"/>
      <c r="D7510" s="13"/>
      <c r="E7510" s="13"/>
      <c r="F7510" s="13"/>
      <c r="G7510" s="12"/>
      <c r="H7510" s="11"/>
    </row>
    <row r="7511" spans="3:8" x14ac:dyDescent="0.25">
      <c r="C7511" s="12"/>
      <c r="D7511" s="13"/>
      <c r="E7511" s="13"/>
      <c r="F7511" s="13"/>
      <c r="G7511" s="12"/>
      <c r="H7511" s="11"/>
    </row>
    <row r="7512" spans="3:8" x14ac:dyDescent="0.25">
      <c r="C7512" s="12"/>
      <c r="D7512" s="13"/>
      <c r="E7512" s="13"/>
      <c r="F7512" s="13"/>
      <c r="G7512" s="12"/>
      <c r="H7512" s="11"/>
    </row>
    <row r="7513" spans="3:8" x14ac:dyDescent="0.25">
      <c r="C7513" s="12"/>
      <c r="D7513" s="13"/>
      <c r="E7513" s="13"/>
      <c r="F7513" s="13"/>
      <c r="G7513" s="12"/>
      <c r="H7513" s="11"/>
    </row>
    <row r="7514" spans="3:8" x14ac:dyDescent="0.25">
      <c r="C7514" s="12"/>
      <c r="D7514" s="13"/>
      <c r="E7514" s="13"/>
      <c r="F7514" s="13"/>
      <c r="G7514" s="12"/>
      <c r="H7514" s="11"/>
    </row>
    <row r="7515" spans="3:8" x14ac:dyDescent="0.25">
      <c r="C7515" s="12"/>
      <c r="D7515" s="13"/>
      <c r="E7515" s="13"/>
      <c r="F7515" s="13"/>
      <c r="G7515" s="12"/>
      <c r="H7515" s="11"/>
    </row>
    <row r="7516" spans="3:8" x14ac:dyDescent="0.25">
      <c r="C7516" s="12"/>
      <c r="D7516" s="13"/>
      <c r="E7516" s="13"/>
      <c r="F7516" s="13"/>
      <c r="G7516" s="12"/>
      <c r="H7516" s="11"/>
    </row>
    <row r="7517" spans="3:8" x14ac:dyDescent="0.25">
      <c r="C7517" s="12"/>
      <c r="D7517" s="13"/>
      <c r="E7517" s="13"/>
      <c r="F7517" s="13"/>
      <c r="G7517" s="12"/>
      <c r="H7517" s="11"/>
    </row>
    <row r="7518" spans="3:8" x14ac:dyDescent="0.25">
      <c r="C7518" s="12"/>
      <c r="D7518" s="13"/>
      <c r="E7518" s="13"/>
      <c r="F7518" s="13"/>
      <c r="G7518" s="12"/>
      <c r="H7518" s="11"/>
    </row>
    <row r="7519" spans="3:8" x14ac:dyDescent="0.25">
      <c r="C7519" s="12"/>
      <c r="D7519" s="13"/>
      <c r="E7519" s="13"/>
      <c r="F7519" s="13"/>
      <c r="G7519" s="12"/>
      <c r="H7519" s="11"/>
    </row>
    <row r="7520" spans="3:8" x14ac:dyDescent="0.25">
      <c r="C7520" s="12"/>
      <c r="D7520" s="13"/>
      <c r="E7520" s="13"/>
      <c r="F7520" s="13"/>
      <c r="G7520" s="12"/>
      <c r="H7520" s="11"/>
    </row>
    <row r="7521" spans="3:8" x14ac:dyDescent="0.25">
      <c r="C7521" s="12"/>
      <c r="D7521" s="13"/>
      <c r="E7521" s="13"/>
      <c r="F7521" s="13"/>
      <c r="G7521" s="12"/>
      <c r="H7521" s="11"/>
    </row>
    <row r="7522" spans="3:8" x14ac:dyDescent="0.25">
      <c r="C7522" s="12"/>
      <c r="D7522" s="13"/>
      <c r="E7522" s="13"/>
      <c r="F7522" s="13"/>
      <c r="G7522" s="12"/>
      <c r="H7522" s="11"/>
    </row>
    <row r="7523" spans="3:8" x14ac:dyDescent="0.25">
      <c r="C7523" s="12"/>
      <c r="D7523" s="13"/>
      <c r="E7523" s="13"/>
      <c r="F7523" s="13"/>
      <c r="G7523" s="12"/>
      <c r="H7523" s="11"/>
    </row>
    <row r="7524" spans="3:8" x14ac:dyDescent="0.25">
      <c r="C7524" s="12"/>
      <c r="D7524" s="13"/>
      <c r="E7524" s="13"/>
      <c r="F7524" s="13"/>
      <c r="G7524" s="12"/>
      <c r="H7524" s="11"/>
    </row>
    <row r="7525" spans="3:8" x14ac:dyDescent="0.25">
      <c r="C7525" s="12"/>
      <c r="D7525" s="13"/>
      <c r="E7525" s="13"/>
      <c r="F7525" s="13"/>
      <c r="G7525" s="12"/>
      <c r="H7525" s="11"/>
    </row>
    <row r="7526" spans="3:8" x14ac:dyDescent="0.25">
      <c r="C7526" s="12"/>
      <c r="D7526" s="13"/>
      <c r="E7526" s="13"/>
      <c r="F7526" s="13"/>
      <c r="G7526" s="12"/>
      <c r="H7526" s="11"/>
    </row>
    <row r="7527" spans="3:8" x14ac:dyDescent="0.25">
      <c r="C7527" s="12"/>
      <c r="D7527" s="13"/>
      <c r="E7527" s="13"/>
      <c r="F7527" s="13"/>
      <c r="G7527" s="12"/>
      <c r="H7527" s="11"/>
    </row>
    <row r="7528" spans="3:8" x14ac:dyDescent="0.25">
      <c r="C7528" s="12"/>
      <c r="D7528" s="13"/>
      <c r="E7528" s="13"/>
      <c r="F7528" s="13"/>
      <c r="G7528" s="12"/>
      <c r="H7528" s="11"/>
    </row>
    <row r="7529" spans="3:8" x14ac:dyDescent="0.25">
      <c r="C7529" s="12"/>
      <c r="D7529" s="13"/>
      <c r="E7529" s="13"/>
      <c r="F7529" s="13"/>
      <c r="G7529" s="12"/>
      <c r="H7529" s="11"/>
    </row>
    <row r="7530" spans="3:8" x14ac:dyDescent="0.25">
      <c r="C7530" s="12"/>
      <c r="D7530" s="13"/>
      <c r="E7530" s="13"/>
      <c r="F7530" s="13"/>
      <c r="G7530" s="12"/>
      <c r="H7530" s="11"/>
    </row>
    <row r="7531" spans="3:8" x14ac:dyDescent="0.25">
      <c r="C7531" s="12"/>
      <c r="D7531" s="13"/>
      <c r="E7531" s="13"/>
      <c r="F7531" s="13"/>
      <c r="G7531" s="12"/>
      <c r="H7531" s="11"/>
    </row>
    <row r="7532" spans="3:8" x14ac:dyDescent="0.25">
      <c r="C7532" s="12"/>
      <c r="D7532" s="13"/>
      <c r="E7532" s="13"/>
      <c r="F7532" s="13"/>
      <c r="G7532" s="12"/>
      <c r="H7532" s="11"/>
    </row>
    <row r="7533" spans="3:8" x14ac:dyDescent="0.25">
      <c r="C7533" s="12"/>
      <c r="D7533" s="13"/>
      <c r="E7533" s="13"/>
      <c r="F7533" s="13"/>
      <c r="G7533" s="12"/>
      <c r="H7533" s="11"/>
    </row>
    <row r="7534" spans="3:8" x14ac:dyDescent="0.25">
      <c r="C7534" s="12"/>
      <c r="D7534" s="13"/>
      <c r="E7534" s="13"/>
      <c r="F7534" s="13"/>
      <c r="G7534" s="12"/>
      <c r="H7534" s="11"/>
    </row>
    <row r="7535" spans="3:8" x14ac:dyDescent="0.25">
      <c r="C7535" s="12"/>
      <c r="D7535" s="13"/>
      <c r="E7535" s="13"/>
      <c r="F7535" s="13"/>
      <c r="G7535" s="12"/>
      <c r="H7535" s="11"/>
    </row>
    <row r="7536" spans="3:8" x14ac:dyDescent="0.25">
      <c r="C7536" s="12"/>
      <c r="D7536" s="13"/>
      <c r="E7536" s="13"/>
      <c r="F7536" s="13"/>
      <c r="G7536" s="12"/>
      <c r="H7536" s="11"/>
    </row>
    <row r="7537" spans="3:8" x14ac:dyDescent="0.25">
      <c r="C7537" s="12"/>
      <c r="D7537" s="13"/>
      <c r="E7537" s="13"/>
      <c r="F7537" s="13"/>
      <c r="G7537" s="12"/>
      <c r="H7537" s="11"/>
    </row>
    <row r="7538" spans="3:8" x14ac:dyDescent="0.25">
      <c r="C7538" s="12"/>
      <c r="D7538" s="13"/>
      <c r="E7538" s="13"/>
      <c r="F7538" s="13"/>
      <c r="G7538" s="12"/>
      <c r="H7538" s="11"/>
    </row>
    <row r="7539" spans="3:8" x14ac:dyDescent="0.25">
      <c r="C7539" s="12"/>
      <c r="D7539" s="13"/>
      <c r="E7539" s="13"/>
      <c r="F7539" s="13"/>
      <c r="G7539" s="12"/>
      <c r="H7539" s="11"/>
    </row>
    <row r="7540" spans="3:8" x14ac:dyDescent="0.25">
      <c r="C7540" s="12"/>
      <c r="D7540" s="13"/>
      <c r="E7540" s="13"/>
      <c r="F7540" s="13"/>
      <c r="G7540" s="12"/>
      <c r="H7540" s="11"/>
    </row>
    <row r="7541" spans="3:8" x14ac:dyDescent="0.25">
      <c r="C7541" s="12"/>
      <c r="D7541" s="13"/>
      <c r="E7541" s="13"/>
      <c r="F7541" s="13"/>
      <c r="G7541" s="12"/>
      <c r="H7541" s="11"/>
    </row>
    <row r="7542" spans="3:8" x14ac:dyDescent="0.25">
      <c r="C7542" s="12"/>
      <c r="D7542" s="13"/>
      <c r="E7542" s="13"/>
      <c r="F7542" s="13"/>
      <c r="G7542" s="12"/>
      <c r="H7542" s="11"/>
    </row>
    <row r="7543" spans="3:8" x14ac:dyDescent="0.25">
      <c r="C7543" s="12"/>
      <c r="D7543" s="13"/>
      <c r="E7543" s="13"/>
      <c r="F7543" s="13"/>
      <c r="G7543" s="12"/>
      <c r="H7543" s="11"/>
    </row>
    <row r="7544" spans="3:8" x14ac:dyDescent="0.25">
      <c r="C7544" s="12"/>
      <c r="D7544" s="13"/>
      <c r="E7544" s="13"/>
      <c r="F7544" s="13"/>
      <c r="G7544" s="12"/>
      <c r="H7544" s="11"/>
    </row>
    <row r="7545" spans="3:8" x14ac:dyDescent="0.25">
      <c r="C7545" s="12"/>
      <c r="D7545" s="13"/>
      <c r="E7545" s="13"/>
      <c r="F7545" s="13"/>
      <c r="G7545" s="12"/>
      <c r="H7545" s="11"/>
    </row>
    <row r="7546" spans="3:8" x14ac:dyDescent="0.25">
      <c r="C7546" s="12"/>
      <c r="D7546" s="13"/>
      <c r="E7546" s="13"/>
      <c r="F7546" s="13"/>
      <c r="G7546" s="12"/>
      <c r="H7546" s="11"/>
    </row>
    <row r="7547" spans="3:8" x14ac:dyDescent="0.25">
      <c r="C7547" s="12"/>
      <c r="D7547" s="13"/>
      <c r="E7547" s="13"/>
      <c r="F7547" s="13"/>
      <c r="G7547" s="12"/>
      <c r="H7547" s="11"/>
    </row>
    <row r="7548" spans="3:8" x14ac:dyDescent="0.25">
      <c r="C7548" s="12"/>
      <c r="D7548" s="13"/>
      <c r="E7548" s="13"/>
      <c r="F7548" s="13"/>
      <c r="G7548" s="12"/>
      <c r="H7548" s="11"/>
    </row>
    <row r="7549" spans="3:8" x14ac:dyDescent="0.25">
      <c r="C7549" s="12"/>
      <c r="D7549" s="13"/>
      <c r="E7549" s="13"/>
      <c r="F7549" s="13"/>
      <c r="G7549" s="12"/>
      <c r="H7549" s="11"/>
    </row>
    <row r="7550" spans="3:8" x14ac:dyDescent="0.25">
      <c r="C7550" s="12"/>
      <c r="D7550" s="13"/>
      <c r="E7550" s="13"/>
      <c r="F7550" s="13"/>
      <c r="G7550" s="12"/>
      <c r="H7550" s="11"/>
    </row>
    <row r="7551" spans="3:8" x14ac:dyDescent="0.25">
      <c r="C7551" s="12"/>
      <c r="D7551" s="13"/>
      <c r="E7551" s="13"/>
      <c r="F7551" s="13"/>
      <c r="G7551" s="12"/>
      <c r="H7551" s="11"/>
    </row>
    <row r="7552" spans="3:8" x14ac:dyDescent="0.25">
      <c r="C7552" s="12"/>
      <c r="D7552" s="13"/>
      <c r="E7552" s="13"/>
      <c r="F7552" s="13"/>
      <c r="G7552" s="12"/>
      <c r="H7552" s="11"/>
    </row>
    <row r="7553" spans="3:8" x14ac:dyDescent="0.25">
      <c r="C7553" s="12"/>
      <c r="D7553" s="13"/>
      <c r="E7553" s="13"/>
      <c r="F7553" s="13"/>
      <c r="G7553" s="12"/>
      <c r="H7553" s="11"/>
    </row>
    <row r="7554" spans="3:8" x14ac:dyDescent="0.25">
      <c r="C7554" s="12"/>
      <c r="D7554" s="13"/>
      <c r="E7554" s="13"/>
      <c r="F7554" s="13"/>
      <c r="G7554" s="12"/>
      <c r="H7554" s="11"/>
    </row>
    <row r="7555" spans="3:8" x14ac:dyDescent="0.25">
      <c r="C7555" s="12"/>
      <c r="D7555" s="13"/>
      <c r="E7555" s="13"/>
      <c r="F7555" s="13"/>
      <c r="G7555" s="12"/>
      <c r="H7555" s="11"/>
    </row>
    <row r="7556" spans="3:8" x14ac:dyDescent="0.25">
      <c r="C7556" s="12"/>
      <c r="D7556" s="13"/>
      <c r="E7556" s="13"/>
      <c r="F7556" s="13"/>
      <c r="G7556" s="12"/>
      <c r="H7556" s="11"/>
    </row>
    <row r="7557" spans="3:8" x14ac:dyDescent="0.25">
      <c r="C7557" s="12"/>
      <c r="D7557" s="13"/>
      <c r="E7557" s="13"/>
      <c r="F7557" s="13"/>
      <c r="G7557" s="12"/>
      <c r="H7557" s="11"/>
    </row>
    <row r="7558" spans="3:8" x14ac:dyDescent="0.25">
      <c r="C7558" s="12"/>
      <c r="D7558" s="13"/>
      <c r="E7558" s="13"/>
      <c r="F7558" s="13"/>
      <c r="G7558" s="12"/>
      <c r="H7558" s="11"/>
    </row>
    <row r="7559" spans="3:8" x14ac:dyDescent="0.25">
      <c r="C7559" s="12"/>
      <c r="D7559" s="13"/>
      <c r="E7559" s="13"/>
      <c r="F7559" s="13"/>
      <c r="G7559" s="12"/>
      <c r="H7559" s="11"/>
    </row>
    <row r="7560" spans="3:8" x14ac:dyDescent="0.25">
      <c r="C7560" s="12"/>
      <c r="D7560" s="13"/>
      <c r="E7560" s="13"/>
      <c r="F7560" s="13"/>
      <c r="G7560" s="12"/>
      <c r="H7560" s="11"/>
    </row>
    <row r="7561" spans="3:8" x14ac:dyDescent="0.25">
      <c r="C7561" s="12"/>
      <c r="D7561" s="13"/>
      <c r="E7561" s="13"/>
      <c r="F7561" s="13"/>
      <c r="G7561" s="12"/>
      <c r="H7561" s="11"/>
    </row>
    <row r="7562" spans="3:8" x14ac:dyDescent="0.25">
      <c r="C7562" s="12"/>
      <c r="D7562" s="13"/>
      <c r="E7562" s="13"/>
      <c r="F7562" s="13"/>
      <c r="G7562" s="12"/>
      <c r="H7562" s="11"/>
    </row>
    <row r="7563" spans="3:8" x14ac:dyDescent="0.25">
      <c r="C7563" s="12"/>
      <c r="D7563" s="13"/>
      <c r="E7563" s="13"/>
      <c r="F7563" s="13"/>
      <c r="G7563" s="12"/>
      <c r="H7563" s="11"/>
    </row>
    <row r="7564" spans="3:8" x14ac:dyDescent="0.25">
      <c r="C7564" s="12"/>
      <c r="D7564" s="13"/>
      <c r="E7564" s="13"/>
      <c r="F7564" s="13"/>
      <c r="G7564" s="12"/>
      <c r="H7564" s="11"/>
    </row>
    <row r="7565" spans="3:8" x14ac:dyDescent="0.25">
      <c r="C7565" s="12"/>
      <c r="D7565" s="13"/>
      <c r="E7565" s="13"/>
      <c r="F7565" s="13"/>
      <c r="G7565" s="12"/>
      <c r="H7565" s="11"/>
    </row>
    <row r="7566" spans="3:8" x14ac:dyDescent="0.25">
      <c r="C7566" s="12"/>
      <c r="D7566" s="13"/>
      <c r="E7566" s="13"/>
      <c r="F7566" s="13"/>
      <c r="G7566" s="12"/>
      <c r="H7566" s="11"/>
    </row>
    <row r="7567" spans="3:8" x14ac:dyDescent="0.25">
      <c r="C7567" s="12"/>
      <c r="D7567" s="13"/>
      <c r="E7567" s="13"/>
      <c r="F7567" s="13"/>
      <c r="G7567" s="12"/>
      <c r="H7567" s="11"/>
    </row>
    <row r="7568" spans="3:8" x14ac:dyDescent="0.25">
      <c r="C7568" s="12"/>
      <c r="D7568" s="13"/>
      <c r="E7568" s="13"/>
      <c r="F7568" s="13"/>
      <c r="G7568" s="12"/>
      <c r="H7568" s="11"/>
    </row>
    <row r="7569" spans="3:8" x14ac:dyDescent="0.25">
      <c r="C7569" s="12"/>
      <c r="D7569" s="13"/>
      <c r="E7569" s="13"/>
      <c r="F7569" s="13"/>
      <c r="G7569" s="12"/>
      <c r="H7569" s="11"/>
    </row>
    <row r="7570" spans="3:8" x14ac:dyDescent="0.25">
      <c r="C7570" s="12"/>
      <c r="D7570" s="13"/>
      <c r="E7570" s="13"/>
      <c r="F7570" s="13"/>
      <c r="G7570" s="12"/>
      <c r="H7570" s="11"/>
    </row>
    <row r="7571" spans="3:8" x14ac:dyDescent="0.25">
      <c r="C7571" s="12"/>
      <c r="D7571" s="13"/>
      <c r="E7571" s="13"/>
      <c r="F7571" s="13"/>
      <c r="G7571" s="12"/>
      <c r="H7571" s="11"/>
    </row>
    <row r="7572" spans="3:8" x14ac:dyDescent="0.25">
      <c r="C7572" s="12"/>
      <c r="D7572" s="13"/>
      <c r="E7572" s="13"/>
      <c r="F7572" s="13"/>
      <c r="G7572" s="12"/>
      <c r="H7572" s="11"/>
    </row>
    <row r="7573" spans="3:8" x14ac:dyDescent="0.25">
      <c r="C7573" s="12"/>
      <c r="D7573" s="13"/>
      <c r="E7573" s="13"/>
      <c r="F7573" s="13"/>
      <c r="G7573" s="12"/>
      <c r="H7573" s="11"/>
    </row>
    <row r="7574" spans="3:8" x14ac:dyDescent="0.25">
      <c r="C7574" s="12"/>
      <c r="D7574" s="13"/>
      <c r="E7574" s="13"/>
      <c r="F7574" s="13"/>
      <c r="G7574" s="12"/>
      <c r="H7574" s="11"/>
    </row>
    <row r="7575" spans="3:8" x14ac:dyDescent="0.25">
      <c r="C7575" s="12"/>
      <c r="D7575" s="13"/>
      <c r="E7575" s="13"/>
      <c r="F7575" s="13"/>
      <c r="G7575" s="12"/>
      <c r="H7575" s="11"/>
    </row>
    <row r="7576" spans="3:8" x14ac:dyDescent="0.25">
      <c r="C7576" s="12"/>
      <c r="D7576" s="13"/>
      <c r="E7576" s="13"/>
      <c r="F7576" s="13"/>
      <c r="G7576" s="12"/>
      <c r="H7576" s="11"/>
    </row>
    <row r="7577" spans="3:8" x14ac:dyDescent="0.25">
      <c r="C7577" s="12"/>
      <c r="D7577" s="13"/>
      <c r="E7577" s="13"/>
      <c r="F7577" s="13"/>
      <c r="G7577" s="12"/>
      <c r="H7577" s="11"/>
    </row>
    <row r="7578" spans="3:8" x14ac:dyDescent="0.25">
      <c r="C7578" s="12"/>
      <c r="D7578" s="13"/>
      <c r="E7578" s="13"/>
      <c r="F7578" s="13"/>
      <c r="G7578" s="12"/>
      <c r="H7578" s="11"/>
    </row>
    <row r="7579" spans="3:8" x14ac:dyDescent="0.25">
      <c r="C7579" s="12"/>
      <c r="D7579" s="13"/>
      <c r="E7579" s="13"/>
      <c r="F7579" s="13"/>
      <c r="G7579" s="12"/>
      <c r="H7579" s="11"/>
    </row>
    <row r="7580" spans="3:8" x14ac:dyDescent="0.25">
      <c r="C7580" s="12"/>
      <c r="D7580" s="13"/>
      <c r="E7580" s="13"/>
      <c r="F7580" s="13"/>
      <c r="G7580" s="12"/>
      <c r="H7580" s="11"/>
    </row>
    <row r="7581" spans="3:8" x14ac:dyDescent="0.25">
      <c r="C7581" s="12"/>
      <c r="D7581" s="13"/>
      <c r="E7581" s="13"/>
      <c r="F7581" s="13"/>
      <c r="G7581" s="12"/>
      <c r="H7581" s="11"/>
    </row>
    <row r="7582" spans="3:8" x14ac:dyDescent="0.25">
      <c r="C7582" s="12"/>
      <c r="D7582" s="13"/>
      <c r="E7582" s="13"/>
      <c r="F7582" s="13"/>
      <c r="G7582" s="12"/>
      <c r="H7582" s="11"/>
    </row>
    <row r="7583" spans="3:8" x14ac:dyDescent="0.25">
      <c r="C7583" s="12"/>
      <c r="D7583" s="13"/>
      <c r="E7583" s="13"/>
      <c r="F7583" s="13"/>
      <c r="G7583" s="12"/>
      <c r="H7583" s="11"/>
    </row>
    <row r="7584" spans="3:8" x14ac:dyDescent="0.25">
      <c r="C7584" s="12"/>
      <c r="D7584" s="13"/>
      <c r="E7584" s="13"/>
      <c r="F7584" s="13"/>
      <c r="G7584" s="12"/>
      <c r="H7584" s="11"/>
    </row>
    <row r="7585" spans="3:8" x14ac:dyDescent="0.25">
      <c r="C7585" s="12"/>
      <c r="D7585" s="13"/>
      <c r="E7585" s="13"/>
      <c r="F7585" s="13"/>
      <c r="G7585" s="12"/>
      <c r="H7585" s="11"/>
    </row>
    <row r="7586" spans="3:8" x14ac:dyDescent="0.25">
      <c r="C7586" s="12"/>
      <c r="D7586" s="13"/>
      <c r="E7586" s="13"/>
      <c r="F7586" s="13"/>
      <c r="G7586" s="12"/>
      <c r="H7586" s="11"/>
    </row>
    <row r="7587" spans="3:8" x14ac:dyDescent="0.25">
      <c r="C7587" s="12"/>
      <c r="D7587" s="13"/>
      <c r="E7587" s="13"/>
      <c r="F7587" s="13"/>
      <c r="G7587" s="12"/>
      <c r="H7587" s="11"/>
    </row>
    <row r="7588" spans="3:8" x14ac:dyDescent="0.25">
      <c r="C7588" s="12"/>
      <c r="D7588" s="13"/>
      <c r="E7588" s="13"/>
      <c r="F7588" s="13"/>
      <c r="G7588" s="12"/>
      <c r="H7588" s="11"/>
    </row>
    <row r="7589" spans="3:8" x14ac:dyDescent="0.25">
      <c r="C7589" s="12"/>
      <c r="D7589" s="13"/>
      <c r="E7589" s="13"/>
      <c r="F7589" s="13"/>
      <c r="G7589" s="12"/>
      <c r="H7589" s="11"/>
    </row>
    <row r="7590" spans="3:8" x14ac:dyDescent="0.25">
      <c r="C7590" s="12"/>
      <c r="D7590" s="13"/>
      <c r="E7590" s="13"/>
      <c r="F7590" s="13"/>
      <c r="G7590" s="12"/>
      <c r="H7590" s="11"/>
    </row>
    <row r="7591" spans="3:8" x14ac:dyDescent="0.25">
      <c r="C7591" s="12"/>
      <c r="D7591" s="13"/>
      <c r="E7591" s="13"/>
      <c r="F7591" s="13"/>
      <c r="G7591" s="12"/>
      <c r="H7591" s="11"/>
    </row>
    <row r="7592" spans="3:8" x14ac:dyDescent="0.25">
      <c r="C7592" s="12"/>
      <c r="D7592" s="13"/>
      <c r="E7592" s="13"/>
      <c r="F7592" s="13"/>
      <c r="G7592" s="12"/>
      <c r="H7592" s="11"/>
    </row>
    <row r="7593" spans="3:8" x14ac:dyDescent="0.25">
      <c r="C7593" s="12"/>
      <c r="D7593" s="13"/>
      <c r="E7593" s="13"/>
      <c r="F7593" s="13"/>
      <c r="G7593" s="12"/>
      <c r="H7593" s="11"/>
    </row>
    <row r="7594" spans="3:8" x14ac:dyDescent="0.25">
      <c r="C7594" s="12"/>
      <c r="D7594" s="13"/>
      <c r="E7594" s="13"/>
      <c r="F7594" s="13"/>
      <c r="G7594" s="12"/>
      <c r="H7594" s="11"/>
    </row>
    <row r="7595" spans="3:8" x14ac:dyDescent="0.25">
      <c r="C7595" s="12"/>
      <c r="D7595" s="13"/>
      <c r="E7595" s="13"/>
      <c r="F7595" s="13"/>
      <c r="G7595" s="12"/>
      <c r="H7595" s="11"/>
    </row>
    <row r="7596" spans="3:8" x14ac:dyDescent="0.25">
      <c r="C7596" s="12"/>
      <c r="D7596" s="13"/>
      <c r="E7596" s="13"/>
      <c r="F7596" s="13"/>
      <c r="G7596" s="12"/>
      <c r="H7596" s="11"/>
    </row>
    <row r="7597" spans="3:8" x14ac:dyDescent="0.25">
      <c r="C7597" s="12"/>
      <c r="D7597" s="13"/>
      <c r="E7597" s="13"/>
      <c r="F7597" s="13"/>
      <c r="G7597" s="12"/>
      <c r="H7597" s="11"/>
    </row>
    <row r="7598" spans="3:8" x14ac:dyDescent="0.25">
      <c r="C7598" s="12"/>
      <c r="D7598" s="13"/>
      <c r="E7598" s="13"/>
      <c r="F7598" s="13"/>
      <c r="G7598" s="12"/>
      <c r="H7598" s="11"/>
    </row>
    <row r="7599" spans="3:8" x14ac:dyDescent="0.25">
      <c r="C7599" s="12"/>
      <c r="D7599" s="13"/>
      <c r="E7599" s="13"/>
      <c r="F7599" s="13"/>
      <c r="G7599" s="12"/>
      <c r="H7599" s="11"/>
    </row>
    <row r="7600" spans="3:8" x14ac:dyDescent="0.25">
      <c r="C7600" s="12"/>
      <c r="D7600" s="13"/>
      <c r="E7600" s="13"/>
      <c r="F7600" s="13"/>
      <c r="G7600" s="12"/>
      <c r="H7600" s="11"/>
    </row>
    <row r="7601" spans="3:8" x14ac:dyDescent="0.25">
      <c r="C7601" s="12"/>
      <c r="D7601" s="13"/>
      <c r="E7601" s="13"/>
      <c r="F7601" s="13"/>
      <c r="G7601" s="12"/>
      <c r="H7601" s="11"/>
    </row>
    <row r="7602" spans="3:8" x14ac:dyDescent="0.25">
      <c r="C7602" s="12"/>
      <c r="D7602" s="13"/>
      <c r="E7602" s="13"/>
      <c r="F7602" s="13"/>
      <c r="G7602" s="12"/>
      <c r="H7602" s="11"/>
    </row>
    <row r="7603" spans="3:8" x14ac:dyDescent="0.25">
      <c r="C7603" s="12"/>
      <c r="D7603" s="13"/>
      <c r="E7603" s="13"/>
      <c r="F7603" s="13"/>
      <c r="G7603" s="12"/>
      <c r="H7603" s="11"/>
    </row>
    <row r="7604" spans="3:8" x14ac:dyDescent="0.25">
      <c r="C7604" s="12"/>
      <c r="D7604" s="13"/>
      <c r="E7604" s="13"/>
      <c r="F7604" s="13"/>
      <c r="G7604" s="12"/>
      <c r="H7604" s="11"/>
    </row>
    <row r="7605" spans="3:8" x14ac:dyDescent="0.25">
      <c r="C7605" s="12"/>
      <c r="D7605" s="13"/>
      <c r="E7605" s="13"/>
      <c r="F7605" s="13"/>
      <c r="G7605" s="12"/>
      <c r="H7605" s="11"/>
    </row>
    <row r="7606" spans="3:8" x14ac:dyDescent="0.25">
      <c r="C7606" s="12"/>
      <c r="D7606" s="13"/>
      <c r="E7606" s="13"/>
      <c r="F7606" s="13"/>
      <c r="G7606" s="12"/>
      <c r="H7606" s="11"/>
    </row>
    <row r="7607" spans="3:8" x14ac:dyDescent="0.25">
      <c r="C7607" s="12"/>
      <c r="D7607" s="13"/>
      <c r="E7607" s="13"/>
      <c r="F7607" s="13"/>
      <c r="G7607" s="12"/>
      <c r="H7607" s="11"/>
    </row>
    <row r="7608" spans="3:8" x14ac:dyDescent="0.25">
      <c r="C7608" s="12"/>
      <c r="D7608" s="13"/>
      <c r="E7608" s="13"/>
      <c r="F7608" s="13"/>
      <c r="G7608" s="12"/>
      <c r="H7608" s="11"/>
    </row>
    <row r="7609" spans="3:8" x14ac:dyDescent="0.25">
      <c r="C7609" s="12"/>
      <c r="D7609" s="13"/>
      <c r="E7609" s="13"/>
      <c r="F7609" s="13"/>
      <c r="G7609" s="12"/>
      <c r="H7609" s="11"/>
    </row>
    <row r="7610" spans="3:8" x14ac:dyDescent="0.25">
      <c r="C7610" s="12"/>
      <c r="D7610" s="13"/>
      <c r="E7610" s="13"/>
      <c r="F7610" s="13"/>
      <c r="G7610" s="12"/>
      <c r="H7610" s="11"/>
    </row>
    <row r="7611" spans="3:8" x14ac:dyDescent="0.25">
      <c r="C7611" s="12"/>
      <c r="D7611" s="13"/>
      <c r="E7611" s="13"/>
      <c r="F7611" s="13"/>
      <c r="G7611" s="12"/>
      <c r="H7611" s="11"/>
    </row>
    <row r="7612" spans="3:8" x14ac:dyDescent="0.25">
      <c r="C7612" s="12"/>
      <c r="D7612" s="13"/>
      <c r="E7612" s="13"/>
      <c r="F7612" s="13"/>
      <c r="G7612" s="12"/>
      <c r="H7612" s="11"/>
    </row>
    <row r="7613" spans="3:8" x14ac:dyDescent="0.25">
      <c r="C7613" s="12"/>
      <c r="D7613" s="13"/>
      <c r="E7613" s="13"/>
      <c r="F7613" s="13"/>
      <c r="G7613" s="12"/>
      <c r="H7613" s="11"/>
    </row>
    <row r="7614" spans="3:8" x14ac:dyDescent="0.25">
      <c r="C7614" s="12"/>
      <c r="D7614" s="13"/>
      <c r="E7614" s="13"/>
      <c r="F7614" s="13"/>
      <c r="G7614" s="12"/>
      <c r="H7614" s="11"/>
    </row>
    <row r="7615" spans="3:8" x14ac:dyDescent="0.25">
      <c r="C7615" s="12"/>
      <c r="D7615" s="13"/>
      <c r="E7615" s="13"/>
      <c r="F7615" s="13"/>
      <c r="G7615" s="12"/>
      <c r="H7615" s="11"/>
    </row>
    <row r="7616" spans="3:8" x14ac:dyDescent="0.25">
      <c r="C7616" s="12"/>
      <c r="D7616" s="13"/>
      <c r="E7616" s="13"/>
      <c r="F7616" s="13"/>
      <c r="G7616" s="12"/>
      <c r="H7616" s="11"/>
    </row>
    <row r="7617" spans="3:8" x14ac:dyDescent="0.25">
      <c r="C7617" s="12"/>
      <c r="D7617" s="13"/>
      <c r="E7617" s="13"/>
      <c r="F7617" s="13"/>
      <c r="G7617" s="12"/>
      <c r="H7617" s="11"/>
    </row>
    <row r="7618" spans="3:8" x14ac:dyDescent="0.25">
      <c r="C7618" s="12"/>
      <c r="D7618" s="13"/>
      <c r="E7618" s="13"/>
      <c r="F7618" s="13"/>
      <c r="G7618" s="12"/>
      <c r="H7618" s="11"/>
    </row>
    <row r="7619" spans="3:8" x14ac:dyDescent="0.25">
      <c r="C7619" s="12"/>
      <c r="D7619" s="13"/>
      <c r="E7619" s="13"/>
      <c r="F7619" s="13"/>
      <c r="G7619" s="12"/>
      <c r="H7619" s="11"/>
    </row>
    <row r="7620" spans="3:8" x14ac:dyDescent="0.25">
      <c r="C7620" s="12"/>
      <c r="D7620" s="13"/>
      <c r="E7620" s="13"/>
      <c r="F7620" s="13"/>
      <c r="G7620" s="12"/>
      <c r="H7620" s="11"/>
    </row>
    <row r="7621" spans="3:8" x14ac:dyDescent="0.25">
      <c r="C7621" s="12"/>
      <c r="D7621" s="13"/>
      <c r="E7621" s="13"/>
      <c r="F7621" s="13"/>
      <c r="G7621" s="12"/>
      <c r="H7621" s="11"/>
    </row>
    <row r="7622" spans="3:8" x14ac:dyDescent="0.25">
      <c r="C7622" s="12"/>
      <c r="D7622" s="13"/>
      <c r="E7622" s="13"/>
      <c r="F7622" s="13"/>
      <c r="G7622" s="12"/>
      <c r="H7622" s="11"/>
    </row>
    <row r="7623" spans="3:8" x14ac:dyDescent="0.25">
      <c r="C7623" s="12"/>
      <c r="D7623" s="13"/>
      <c r="E7623" s="13"/>
      <c r="F7623" s="13"/>
      <c r="G7623" s="12"/>
      <c r="H7623" s="11"/>
    </row>
    <row r="7624" spans="3:8" x14ac:dyDescent="0.25">
      <c r="C7624" s="12"/>
      <c r="D7624" s="13"/>
      <c r="E7624" s="13"/>
      <c r="F7624" s="13"/>
      <c r="G7624" s="12"/>
      <c r="H7624" s="11"/>
    </row>
    <row r="7625" spans="3:8" x14ac:dyDescent="0.25">
      <c r="C7625" s="12"/>
      <c r="D7625" s="13"/>
      <c r="E7625" s="13"/>
      <c r="F7625" s="13"/>
      <c r="G7625" s="12"/>
      <c r="H7625" s="11"/>
    </row>
    <row r="7626" spans="3:8" x14ac:dyDescent="0.25">
      <c r="C7626" s="12"/>
      <c r="D7626" s="13"/>
      <c r="E7626" s="13"/>
      <c r="F7626" s="13"/>
      <c r="G7626" s="12"/>
      <c r="H7626" s="11"/>
    </row>
    <row r="7627" spans="3:8" x14ac:dyDescent="0.25">
      <c r="C7627" s="12"/>
      <c r="D7627" s="13"/>
      <c r="E7627" s="13"/>
      <c r="F7627" s="13"/>
      <c r="G7627" s="12"/>
      <c r="H7627" s="11"/>
    </row>
    <row r="7628" spans="3:8" x14ac:dyDescent="0.25">
      <c r="C7628" s="12"/>
      <c r="D7628" s="13"/>
      <c r="E7628" s="13"/>
      <c r="F7628" s="13"/>
      <c r="G7628" s="12"/>
      <c r="H7628" s="11"/>
    </row>
    <row r="7629" spans="3:8" x14ac:dyDescent="0.25">
      <c r="C7629" s="12"/>
      <c r="D7629" s="13"/>
      <c r="E7629" s="13"/>
      <c r="F7629" s="13"/>
      <c r="G7629" s="12"/>
      <c r="H7629" s="11"/>
    </row>
    <row r="7630" spans="3:8" x14ac:dyDescent="0.25">
      <c r="C7630" s="12"/>
      <c r="D7630" s="13"/>
      <c r="E7630" s="13"/>
      <c r="F7630" s="13"/>
      <c r="G7630" s="12"/>
      <c r="H7630" s="11"/>
    </row>
    <row r="7631" spans="3:8" x14ac:dyDescent="0.25">
      <c r="C7631" s="12"/>
      <c r="D7631" s="13"/>
      <c r="E7631" s="13"/>
      <c r="F7631" s="13"/>
      <c r="G7631" s="12"/>
      <c r="H7631" s="11"/>
    </row>
    <row r="7632" spans="3:8" x14ac:dyDescent="0.25">
      <c r="C7632" s="12"/>
      <c r="D7632" s="13"/>
      <c r="E7632" s="13"/>
      <c r="F7632" s="13"/>
      <c r="G7632" s="12"/>
      <c r="H7632" s="11"/>
    </row>
    <row r="7633" spans="3:8" x14ac:dyDescent="0.25">
      <c r="C7633" s="12"/>
      <c r="D7633" s="13"/>
      <c r="E7633" s="13"/>
      <c r="F7633" s="13"/>
      <c r="G7633" s="12"/>
      <c r="H7633" s="11"/>
    </row>
    <row r="7634" spans="3:8" x14ac:dyDescent="0.25">
      <c r="C7634" s="12"/>
      <c r="D7634" s="13"/>
      <c r="E7634" s="13"/>
      <c r="F7634" s="13"/>
      <c r="G7634" s="12"/>
      <c r="H7634" s="11"/>
    </row>
    <row r="7635" spans="3:8" x14ac:dyDescent="0.25">
      <c r="C7635" s="12"/>
      <c r="D7635" s="13"/>
      <c r="E7635" s="13"/>
      <c r="F7635" s="13"/>
      <c r="G7635" s="12"/>
      <c r="H7635" s="11"/>
    </row>
    <row r="7636" spans="3:8" x14ac:dyDescent="0.25">
      <c r="C7636" s="12"/>
      <c r="D7636" s="13"/>
      <c r="E7636" s="13"/>
      <c r="F7636" s="13"/>
      <c r="G7636" s="12"/>
      <c r="H7636" s="11"/>
    </row>
    <row r="7637" spans="3:8" x14ac:dyDescent="0.25">
      <c r="C7637" s="12"/>
      <c r="D7637" s="13"/>
      <c r="E7637" s="13"/>
      <c r="F7637" s="13"/>
      <c r="G7637" s="12"/>
      <c r="H7637" s="11"/>
    </row>
    <row r="7638" spans="3:8" x14ac:dyDescent="0.25">
      <c r="C7638" s="12"/>
      <c r="D7638" s="13"/>
      <c r="E7638" s="13"/>
      <c r="F7638" s="13"/>
      <c r="G7638" s="12"/>
      <c r="H7638" s="11"/>
    </row>
    <row r="7639" spans="3:8" x14ac:dyDescent="0.25">
      <c r="C7639" s="12"/>
      <c r="D7639" s="13"/>
      <c r="E7639" s="13"/>
      <c r="F7639" s="13"/>
      <c r="G7639" s="12"/>
      <c r="H7639" s="11"/>
    </row>
    <row r="7640" spans="3:8" x14ac:dyDescent="0.25">
      <c r="C7640" s="12"/>
      <c r="D7640" s="13"/>
      <c r="E7640" s="13"/>
      <c r="F7640" s="13"/>
      <c r="G7640" s="12"/>
      <c r="H7640" s="11"/>
    </row>
    <row r="7641" spans="3:8" x14ac:dyDescent="0.25">
      <c r="C7641" s="12"/>
      <c r="D7641" s="13"/>
      <c r="E7641" s="13"/>
      <c r="F7641" s="13"/>
      <c r="G7641" s="12"/>
      <c r="H7641" s="11"/>
    </row>
    <row r="7642" spans="3:8" x14ac:dyDescent="0.25">
      <c r="C7642" s="12"/>
      <c r="D7642" s="13"/>
      <c r="E7642" s="13"/>
      <c r="F7642" s="13"/>
      <c r="G7642" s="12"/>
      <c r="H7642" s="11"/>
    </row>
    <row r="7643" spans="3:8" x14ac:dyDescent="0.25">
      <c r="C7643" s="12"/>
      <c r="D7643" s="13"/>
      <c r="E7643" s="13"/>
      <c r="F7643" s="13"/>
      <c r="G7643" s="12"/>
      <c r="H7643" s="11"/>
    </row>
    <row r="7644" spans="3:8" x14ac:dyDescent="0.25">
      <c r="C7644" s="12"/>
      <c r="D7644" s="13"/>
      <c r="E7644" s="13"/>
      <c r="F7644" s="13"/>
      <c r="G7644" s="12"/>
      <c r="H7644" s="11"/>
    </row>
    <row r="7645" spans="3:8" x14ac:dyDescent="0.25">
      <c r="C7645" s="12"/>
      <c r="D7645" s="13"/>
      <c r="E7645" s="13"/>
      <c r="F7645" s="13"/>
      <c r="G7645" s="12"/>
      <c r="H7645" s="11"/>
    </row>
    <row r="7646" spans="3:8" x14ac:dyDescent="0.25">
      <c r="C7646" s="12"/>
      <c r="D7646" s="13"/>
      <c r="E7646" s="13"/>
      <c r="F7646" s="13"/>
      <c r="G7646" s="12"/>
      <c r="H7646" s="11"/>
    </row>
    <row r="7647" spans="3:8" x14ac:dyDescent="0.25">
      <c r="C7647" s="12"/>
      <c r="D7647" s="13"/>
      <c r="E7647" s="13"/>
      <c r="F7647" s="13"/>
      <c r="G7647" s="12"/>
      <c r="H7647" s="11"/>
    </row>
    <row r="7648" spans="3:8" x14ac:dyDescent="0.25">
      <c r="C7648" s="12"/>
      <c r="D7648" s="13"/>
      <c r="E7648" s="13"/>
      <c r="F7648" s="13"/>
      <c r="G7648" s="12"/>
      <c r="H7648" s="11"/>
    </row>
    <row r="7649" spans="3:8" x14ac:dyDescent="0.25">
      <c r="C7649" s="12"/>
      <c r="D7649" s="13"/>
      <c r="E7649" s="13"/>
      <c r="F7649" s="13"/>
      <c r="G7649" s="12"/>
      <c r="H7649" s="11"/>
    </row>
    <row r="7650" spans="3:8" x14ac:dyDescent="0.25">
      <c r="C7650" s="12"/>
      <c r="D7650" s="13"/>
      <c r="E7650" s="13"/>
      <c r="F7650" s="13"/>
      <c r="G7650" s="12"/>
      <c r="H7650" s="11"/>
    </row>
    <row r="7651" spans="3:8" x14ac:dyDescent="0.25">
      <c r="C7651" s="12"/>
      <c r="D7651" s="13"/>
      <c r="E7651" s="13"/>
      <c r="F7651" s="13"/>
      <c r="G7651" s="12"/>
      <c r="H7651" s="11"/>
    </row>
    <row r="7652" spans="3:8" x14ac:dyDescent="0.25">
      <c r="C7652" s="12"/>
      <c r="D7652" s="13"/>
      <c r="E7652" s="13"/>
      <c r="F7652" s="13"/>
      <c r="G7652" s="12"/>
      <c r="H7652" s="11"/>
    </row>
    <row r="7653" spans="3:8" x14ac:dyDescent="0.25">
      <c r="C7653" s="12"/>
      <c r="D7653" s="13"/>
      <c r="E7653" s="13"/>
      <c r="F7653" s="13"/>
      <c r="G7653" s="12"/>
      <c r="H7653" s="11"/>
    </row>
    <row r="7654" spans="3:8" x14ac:dyDescent="0.25">
      <c r="C7654" s="12"/>
      <c r="D7654" s="13"/>
      <c r="E7654" s="13"/>
      <c r="F7654" s="13"/>
      <c r="G7654" s="12"/>
      <c r="H7654" s="11"/>
    </row>
    <row r="7655" spans="3:8" x14ac:dyDescent="0.25">
      <c r="C7655" s="12"/>
      <c r="D7655" s="13"/>
      <c r="E7655" s="13"/>
      <c r="F7655" s="13"/>
      <c r="G7655" s="12"/>
      <c r="H7655" s="11"/>
    </row>
    <row r="7656" spans="3:8" x14ac:dyDescent="0.25">
      <c r="C7656" s="12"/>
      <c r="D7656" s="13"/>
      <c r="E7656" s="13"/>
      <c r="F7656" s="13"/>
      <c r="G7656" s="12"/>
      <c r="H7656" s="11"/>
    </row>
    <row r="7657" spans="3:8" x14ac:dyDescent="0.25">
      <c r="C7657" s="12"/>
      <c r="D7657" s="13"/>
      <c r="E7657" s="13"/>
      <c r="F7657" s="13"/>
      <c r="G7657" s="12"/>
      <c r="H7657" s="11"/>
    </row>
    <row r="7658" spans="3:8" x14ac:dyDescent="0.25">
      <c r="C7658" s="12"/>
      <c r="D7658" s="13"/>
      <c r="E7658" s="13"/>
      <c r="F7658" s="13"/>
      <c r="G7658" s="12"/>
      <c r="H7658" s="11"/>
    </row>
    <row r="7659" spans="3:8" x14ac:dyDescent="0.25">
      <c r="C7659" s="12"/>
      <c r="D7659" s="13"/>
      <c r="E7659" s="13"/>
      <c r="F7659" s="13"/>
      <c r="G7659" s="12"/>
      <c r="H7659" s="11"/>
    </row>
    <row r="7660" spans="3:8" x14ac:dyDescent="0.25">
      <c r="C7660" s="12"/>
      <c r="D7660" s="13"/>
      <c r="E7660" s="13"/>
      <c r="F7660" s="13"/>
      <c r="G7660" s="12"/>
      <c r="H7660" s="11"/>
    </row>
    <row r="7661" spans="3:8" x14ac:dyDescent="0.25">
      <c r="C7661" s="12"/>
      <c r="D7661" s="13"/>
      <c r="E7661" s="13"/>
      <c r="F7661" s="13"/>
      <c r="G7661" s="12"/>
      <c r="H7661" s="11"/>
    </row>
    <row r="7662" spans="3:8" x14ac:dyDescent="0.25">
      <c r="C7662" s="12"/>
      <c r="D7662" s="13"/>
      <c r="E7662" s="13"/>
      <c r="F7662" s="13"/>
      <c r="G7662" s="12"/>
      <c r="H7662" s="11"/>
    </row>
    <row r="7663" spans="3:8" x14ac:dyDescent="0.25">
      <c r="C7663" s="12"/>
      <c r="D7663" s="13"/>
      <c r="E7663" s="13"/>
      <c r="F7663" s="13"/>
      <c r="G7663" s="12"/>
      <c r="H7663" s="11"/>
    </row>
    <row r="7664" spans="3:8" x14ac:dyDescent="0.25">
      <c r="C7664" s="12"/>
      <c r="D7664" s="13"/>
      <c r="E7664" s="13"/>
      <c r="F7664" s="13"/>
      <c r="G7664" s="12"/>
      <c r="H7664" s="11"/>
    </row>
    <row r="7665" spans="3:8" x14ac:dyDescent="0.25">
      <c r="C7665" s="12"/>
      <c r="D7665" s="13"/>
      <c r="E7665" s="13"/>
      <c r="F7665" s="13"/>
      <c r="G7665" s="12"/>
      <c r="H7665" s="11"/>
    </row>
    <row r="7666" spans="3:8" x14ac:dyDescent="0.25">
      <c r="C7666" s="12"/>
      <c r="D7666" s="13"/>
      <c r="E7666" s="13"/>
      <c r="F7666" s="13"/>
      <c r="G7666" s="12"/>
      <c r="H7666" s="11"/>
    </row>
    <row r="7667" spans="3:8" x14ac:dyDescent="0.25">
      <c r="C7667" s="12"/>
      <c r="D7667" s="13"/>
      <c r="E7667" s="13"/>
      <c r="F7667" s="13"/>
      <c r="G7667" s="12"/>
      <c r="H7667" s="11"/>
    </row>
    <row r="7668" spans="3:8" x14ac:dyDescent="0.25">
      <c r="C7668" s="12"/>
      <c r="D7668" s="13"/>
      <c r="E7668" s="13"/>
      <c r="F7668" s="13"/>
      <c r="G7668" s="12"/>
      <c r="H7668" s="11"/>
    </row>
    <row r="7669" spans="3:8" x14ac:dyDescent="0.25">
      <c r="C7669" s="12"/>
      <c r="D7669" s="13"/>
      <c r="E7669" s="13"/>
      <c r="F7669" s="13"/>
      <c r="G7669" s="12"/>
      <c r="H7669" s="11"/>
    </row>
    <row r="7670" spans="3:8" x14ac:dyDescent="0.25">
      <c r="C7670" s="12"/>
      <c r="D7670" s="13"/>
      <c r="E7670" s="13"/>
      <c r="F7670" s="13"/>
      <c r="G7670" s="12"/>
      <c r="H7670" s="11"/>
    </row>
    <row r="7671" spans="3:8" x14ac:dyDescent="0.25">
      <c r="C7671" s="12"/>
      <c r="D7671" s="13"/>
      <c r="E7671" s="13"/>
      <c r="F7671" s="13"/>
      <c r="G7671" s="12"/>
      <c r="H7671" s="11"/>
    </row>
    <row r="7672" spans="3:8" x14ac:dyDescent="0.25">
      <c r="C7672" s="12"/>
      <c r="D7672" s="13"/>
      <c r="E7672" s="13"/>
      <c r="F7672" s="13"/>
      <c r="G7672" s="12"/>
      <c r="H7672" s="11"/>
    </row>
    <row r="7673" spans="3:8" x14ac:dyDescent="0.25">
      <c r="C7673" s="12"/>
      <c r="D7673" s="13"/>
      <c r="E7673" s="13"/>
      <c r="F7673" s="13"/>
      <c r="G7673" s="12"/>
      <c r="H7673" s="11"/>
    </row>
    <row r="7674" spans="3:8" x14ac:dyDescent="0.25">
      <c r="C7674" s="12"/>
      <c r="D7674" s="13"/>
      <c r="E7674" s="13"/>
      <c r="F7674" s="13"/>
      <c r="G7674" s="12"/>
      <c r="H7674" s="11"/>
    </row>
    <row r="7675" spans="3:8" x14ac:dyDescent="0.25">
      <c r="C7675" s="12"/>
      <c r="D7675" s="13"/>
      <c r="E7675" s="13"/>
      <c r="F7675" s="13"/>
      <c r="G7675" s="12"/>
      <c r="H7675" s="11"/>
    </row>
    <row r="7676" spans="3:8" x14ac:dyDescent="0.25">
      <c r="C7676" s="12"/>
      <c r="D7676" s="13"/>
      <c r="E7676" s="13"/>
      <c r="F7676" s="13"/>
      <c r="G7676" s="12"/>
      <c r="H7676" s="11"/>
    </row>
    <row r="7677" spans="3:8" x14ac:dyDescent="0.25">
      <c r="C7677" s="12"/>
      <c r="D7677" s="13"/>
      <c r="E7677" s="13"/>
      <c r="F7677" s="13"/>
      <c r="G7677" s="12"/>
      <c r="H7677" s="11"/>
    </row>
    <row r="7678" spans="3:8" x14ac:dyDescent="0.25">
      <c r="C7678" s="12"/>
      <c r="D7678" s="13"/>
      <c r="E7678" s="13"/>
      <c r="F7678" s="13"/>
      <c r="G7678" s="12"/>
      <c r="H7678" s="11"/>
    </row>
    <row r="7679" spans="3:8" x14ac:dyDescent="0.25">
      <c r="C7679" s="12"/>
      <c r="D7679" s="13"/>
      <c r="E7679" s="13"/>
      <c r="F7679" s="13"/>
      <c r="G7679" s="12"/>
      <c r="H7679" s="11"/>
    </row>
    <row r="7680" spans="3:8" x14ac:dyDescent="0.25">
      <c r="C7680" s="12"/>
      <c r="D7680" s="13"/>
      <c r="E7680" s="13"/>
      <c r="F7680" s="13"/>
      <c r="G7680" s="12"/>
      <c r="H7680" s="11"/>
    </row>
    <row r="7681" spans="3:8" x14ac:dyDescent="0.25">
      <c r="C7681" s="12"/>
      <c r="D7681" s="13"/>
      <c r="E7681" s="13"/>
      <c r="F7681" s="13"/>
      <c r="G7681" s="12"/>
      <c r="H7681" s="11"/>
    </row>
    <row r="7682" spans="3:8" x14ac:dyDescent="0.25">
      <c r="C7682" s="12"/>
      <c r="D7682" s="13"/>
      <c r="E7682" s="13"/>
      <c r="F7682" s="13"/>
      <c r="G7682" s="12"/>
      <c r="H7682" s="11"/>
    </row>
    <row r="7683" spans="3:8" x14ac:dyDescent="0.25">
      <c r="C7683" s="12"/>
      <c r="D7683" s="13"/>
      <c r="E7683" s="13"/>
      <c r="F7683" s="13"/>
      <c r="G7683" s="12"/>
      <c r="H7683" s="11"/>
    </row>
    <row r="7684" spans="3:8" x14ac:dyDescent="0.25">
      <c r="C7684" s="12"/>
      <c r="D7684" s="13"/>
      <c r="E7684" s="13"/>
      <c r="F7684" s="13"/>
      <c r="G7684" s="12"/>
      <c r="H7684" s="11"/>
    </row>
    <row r="7685" spans="3:8" x14ac:dyDescent="0.25">
      <c r="C7685" s="12"/>
      <c r="D7685" s="13"/>
      <c r="E7685" s="13"/>
      <c r="F7685" s="13"/>
      <c r="G7685" s="12"/>
      <c r="H7685" s="11"/>
    </row>
    <row r="7686" spans="3:8" x14ac:dyDescent="0.25">
      <c r="C7686" s="12"/>
      <c r="D7686" s="13"/>
      <c r="E7686" s="13"/>
      <c r="F7686" s="13"/>
      <c r="G7686" s="12"/>
      <c r="H7686" s="11"/>
    </row>
    <row r="7687" spans="3:8" x14ac:dyDescent="0.25">
      <c r="C7687" s="12"/>
      <c r="D7687" s="13"/>
      <c r="E7687" s="13"/>
      <c r="F7687" s="13"/>
      <c r="G7687" s="12"/>
      <c r="H7687" s="11"/>
    </row>
    <row r="7688" spans="3:8" x14ac:dyDescent="0.25">
      <c r="C7688" s="12"/>
      <c r="D7688" s="13"/>
      <c r="E7688" s="13"/>
      <c r="F7688" s="13"/>
      <c r="G7688" s="12"/>
      <c r="H7688" s="11"/>
    </row>
    <row r="7689" spans="3:8" x14ac:dyDescent="0.25">
      <c r="C7689" s="12"/>
      <c r="D7689" s="13"/>
      <c r="E7689" s="13"/>
      <c r="F7689" s="13"/>
      <c r="G7689" s="12"/>
      <c r="H7689" s="11"/>
    </row>
    <row r="7690" spans="3:8" x14ac:dyDescent="0.25">
      <c r="C7690" s="12"/>
      <c r="D7690" s="13"/>
      <c r="E7690" s="13"/>
      <c r="F7690" s="13"/>
      <c r="G7690" s="12"/>
      <c r="H7690" s="11"/>
    </row>
    <row r="7691" spans="3:8" x14ac:dyDescent="0.25">
      <c r="C7691" s="12"/>
      <c r="D7691" s="13"/>
      <c r="E7691" s="13"/>
      <c r="F7691" s="13"/>
      <c r="G7691" s="12"/>
      <c r="H7691" s="11"/>
    </row>
    <row r="7692" spans="3:8" x14ac:dyDescent="0.25">
      <c r="C7692" s="12"/>
      <c r="D7692" s="13"/>
      <c r="E7692" s="13"/>
      <c r="F7692" s="13"/>
      <c r="G7692" s="12"/>
      <c r="H7692" s="11"/>
    </row>
    <row r="7693" spans="3:8" x14ac:dyDescent="0.25">
      <c r="C7693" s="12"/>
      <c r="D7693" s="13"/>
      <c r="E7693" s="13"/>
      <c r="F7693" s="13"/>
      <c r="G7693" s="12"/>
      <c r="H7693" s="11"/>
    </row>
    <row r="7694" spans="3:8" x14ac:dyDescent="0.25">
      <c r="C7694" s="12"/>
      <c r="D7694" s="13"/>
      <c r="E7694" s="13"/>
      <c r="F7694" s="13"/>
      <c r="G7694" s="12"/>
      <c r="H7694" s="11"/>
    </row>
    <row r="7695" spans="3:8" x14ac:dyDescent="0.25">
      <c r="C7695" s="12"/>
      <c r="D7695" s="13"/>
      <c r="E7695" s="13"/>
      <c r="F7695" s="13"/>
      <c r="G7695" s="12"/>
      <c r="H7695" s="11"/>
    </row>
    <row r="7696" spans="3:8" x14ac:dyDescent="0.25">
      <c r="C7696" s="12"/>
      <c r="D7696" s="13"/>
      <c r="E7696" s="13"/>
      <c r="F7696" s="13"/>
      <c r="G7696" s="12"/>
      <c r="H7696" s="11"/>
    </row>
    <row r="7697" spans="3:8" x14ac:dyDescent="0.25">
      <c r="C7697" s="12"/>
      <c r="D7697" s="13"/>
      <c r="E7697" s="13"/>
      <c r="F7697" s="13"/>
      <c r="G7697" s="12"/>
      <c r="H7697" s="11"/>
    </row>
    <row r="7698" spans="3:8" x14ac:dyDescent="0.25">
      <c r="C7698" s="12"/>
      <c r="D7698" s="13"/>
      <c r="E7698" s="13"/>
      <c r="F7698" s="13"/>
      <c r="G7698" s="12"/>
      <c r="H7698" s="11"/>
    </row>
    <row r="7699" spans="3:8" x14ac:dyDescent="0.25">
      <c r="C7699" s="12"/>
      <c r="D7699" s="13"/>
      <c r="E7699" s="13"/>
      <c r="F7699" s="13"/>
      <c r="G7699" s="12"/>
      <c r="H7699" s="11"/>
    </row>
    <row r="7700" spans="3:8" x14ac:dyDescent="0.25">
      <c r="C7700" s="12"/>
      <c r="D7700" s="13"/>
      <c r="E7700" s="13"/>
      <c r="F7700" s="13"/>
      <c r="G7700" s="12"/>
      <c r="H7700" s="11"/>
    </row>
    <row r="7701" spans="3:8" x14ac:dyDescent="0.25">
      <c r="C7701" s="12"/>
      <c r="D7701" s="13"/>
      <c r="E7701" s="13"/>
      <c r="F7701" s="13"/>
      <c r="G7701" s="12"/>
      <c r="H7701" s="11"/>
    </row>
    <row r="7702" spans="3:8" x14ac:dyDescent="0.25">
      <c r="C7702" s="12"/>
      <c r="D7702" s="13"/>
      <c r="E7702" s="13"/>
      <c r="F7702" s="13"/>
      <c r="G7702" s="12"/>
      <c r="H7702" s="11"/>
    </row>
    <row r="7703" spans="3:8" x14ac:dyDescent="0.25">
      <c r="C7703" s="12"/>
      <c r="D7703" s="13"/>
      <c r="E7703" s="13"/>
      <c r="F7703" s="13"/>
      <c r="G7703" s="12"/>
      <c r="H7703" s="11"/>
    </row>
    <row r="7704" spans="3:8" x14ac:dyDescent="0.25">
      <c r="C7704" s="12"/>
      <c r="D7704" s="13"/>
      <c r="E7704" s="13"/>
      <c r="F7704" s="13"/>
      <c r="G7704" s="12"/>
      <c r="H7704" s="11"/>
    </row>
    <row r="7705" spans="3:8" x14ac:dyDescent="0.25">
      <c r="C7705" s="12"/>
      <c r="D7705" s="13"/>
      <c r="E7705" s="13"/>
      <c r="F7705" s="13"/>
      <c r="G7705" s="12"/>
      <c r="H7705" s="11"/>
    </row>
    <row r="7706" spans="3:8" x14ac:dyDescent="0.25">
      <c r="C7706" s="12"/>
      <c r="D7706" s="13"/>
      <c r="E7706" s="13"/>
      <c r="F7706" s="13"/>
      <c r="G7706" s="12"/>
      <c r="H7706" s="11"/>
    </row>
    <row r="7707" spans="3:8" x14ac:dyDescent="0.25">
      <c r="C7707" s="12"/>
      <c r="D7707" s="13"/>
      <c r="E7707" s="13"/>
      <c r="F7707" s="13"/>
      <c r="G7707" s="12"/>
      <c r="H7707" s="11"/>
    </row>
    <row r="7708" spans="3:8" x14ac:dyDescent="0.25">
      <c r="C7708" s="12"/>
      <c r="D7708" s="13"/>
      <c r="E7708" s="13"/>
      <c r="F7708" s="13"/>
      <c r="G7708" s="12"/>
      <c r="H7708" s="11"/>
    </row>
    <row r="7709" spans="3:8" x14ac:dyDescent="0.25">
      <c r="C7709" s="12"/>
      <c r="D7709" s="13"/>
      <c r="E7709" s="13"/>
      <c r="F7709" s="13"/>
      <c r="G7709" s="12"/>
      <c r="H7709" s="11"/>
    </row>
    <row r="7710" spans="3:8" x14ac:dyDescent="0.25">
      <c r="C7710" s="12"/>
      <c r="D7710" s="13"/>
      <c r="E7710" s="13"/>
      <c r="F7710" s="13"/>
      <c r="G7710" s="12"/>
      <c r="H7710" s="11"/>
    </row>
    <row r="7711" spans="3:8" x14ac:dyDescent="0.25">
      <c r="C7711" s="12"/>
      <c r="D7711" s="13"/>
      <c r="E7711" s="13"/>
      <c r="F7711" s="13"/>
      <c r="G7711" s="12"/>
      <c r="H7711" s="11"/>
    </row>
    <row r="7712" spans="3:8" x14ac:dyDescent="0.25">
      <c r="C7712" s="12"/>
      <c r="D7712" s="13"/>
      <c r="E7712" s="13"/>
      <c r="F7712" s="13"/>
      <c r="G7712" s="12"/>
      <c r="H7712" s="11"/>
    </row>
    <row r="7713" spans="3:8" x14ac:dyDescent="0.25">
      <c r="C7713" s="12"/>
      <c r="D7713" s="13"/>
      <c r="E7713" s="13"/>
      <c r="F7713" s="13"/>
      <c r="G7713" s="12"/>
      <c r="H7713" s="11"/>
    </row>
    <row r="7714" spans="3:8" x14ac:dyDescent="0.25">
      <c r="C7714" s="12"/>
      <c r="D7714" s="13"/>
      <c r="E7714" s="13"/>
      <c r="F7714" s="13"/>
      <c r="G7714" s="12"/>
      <c r="H7714" s="11"/>
    </row>
    <row r="7715" spans="3:8" x14ac:dyDescent="0.25">
      <c r="C7715" s="12"/>
      <c r="D7715" s="13"/>
      <c r="E7715" s="13"/>
      <c r="F7715" s="13"/>
      <c r="G7715" s="12"/>
      <c r="H7715" s="11"/>
    </row>
    <row r="7716" spans="3:8" x14ac:dyDescent="0.25">
      <c r="C7716" s="12"/>
      <c r="D7716" s="13"/>
      <c r="E7716" s="13"/>
      <c r="F7716" s="13"/>
      <c r="G7716" s="12"/>
      <c r="H7716" s="11"/>
    </row>
    <row r="7717" spans="3:8" x14ac:dyDescent="0.25">
      <c r="C7717" s="12"/>
      <c r="D7717" s="13"/>
      <c r="E7717" s="13"/>
      <c r="F7717" s="13"/>
      <c r="G7717" s="12"/>
      <c r="H7717" s="11"/>
    </row>
    <row r="7718" spans="3:8" x14ac:dyDescent="0.25">
      <c r="C7718" s="12"/>
      <c r="D7718" s="13"/>
      <c r="E7718" s="13"/>
      <c r="F7718" s="13"/>
      <c r="G7718" s="12"/>
      <c r="H7718" s="11"/>
    </row>
    <row r="7719" spans="3:8" x14ac:dyDescent="0.25">
      <c r="C7719" s="12"/>
      <c r="D7719" s="13"/>
      <c r="E7719" s="13"/>
      <c r="F7719" s="13"/>
      <c r="G7719" s="12"/>
      <c r="H7719" s="11"/>
    </row>
    <row r="7720" spans="3:8" x14ac:dyDescent="0.25">
      <c r="C7720" s="12"/>
      <c r="D7720" s="13"/>
      <c r="E7720" s="13"/>
      <c r="F7720" s="13"/>
      <c r="G7720" s="12"/>
      <c r="H7720" s="11"/>
    </row>
    <row r="7721" spans="3:8" x14ac:dyDescent="0.25">
      <c r="C7721" s="12"/>
      <c r="D7721" s="13"/>
      <c r="E7721" s="13"/>
      <c r="F7721" s="13"/>
      <c r="G7721" s="12"/>
      <c r="H7721" s="11"/>
    </row>
    <row r="7722" spans="3:8" x14ac:dyDescent="0.25">
      <c r="C7722" s="12"/>
      <c r="D7722" s="13"/>
      <c r="E7722" s="13"/>
      <c r="F7722" s="13"/>
      <c r="G7722" s="12"/>
      <c r="H7722" s="11"/>
    </row>
    <row r="7723" spans="3:8" x14ac:dyDescent="0.25">
      <c r="C7723" s="12"/>
      <c r="D7723" s="13"/>
      <c r="E7723" s="13"/>
      <c r="F7723" s="13"/>
      <c r="G7723" s="12"/>
      <c r="H7723" s="11"/>
    </row>
    <row r="7724" spans="3:8" x14ac:dyDescent="0.25">
      <c r="C7724" s="12"/>
      <c r="D7724" s="13"/>
      <c r="E7724" s="13"/>
      <c r="F7724" s="13"/>
      <c r="G7724" s="12"/>
      <c r="H7724" s="11"/>
    </row>
    <row r="7725" spans="3:8" x14ac:dyDescent="0.25">
      <c r="C7725" s="12"/>
      <c r="D7725" s="13"/>
      <c r="E7725" s="13"/>
      <c r="F7725" s="13"/>
      <c r="G7725" s="12"/>
      <c r="H7725" s="11"/>
    </row>
    <row r="7726" spans="3:8" x14ac:dyDescent="0.25">
      <c r="C7726" s="12"/>
      <c r="D7726" s="13"/>
      <c r="E7726" s="13"/>
      <c r="F7726" s="13"/>
      <c r="G7726" s="12"/>
      <c r="H7726" s="11"/>
    </row>
    <row r="7727" spans="3:8" x14ac:dyDescent="0.25">
      <c r="C7727" s="12"/>
      <c r="D7727" s="13"/>
      <c r="E7727" s="13"/>
      <c r="F7727" s="13"/>
      <c r="G7727" s="12"/>
      <c r="H7727" s="11"/>
    </row>
    <row r="7728" spans="3:8" x14ac:dyDescent="0.25">
      <c r="C7728" s="12"/>
      <c r="D7728" s="13"/>
      <c r="E7728" s="13"/>
      <c r="F7728" s="13"/>
      <c r="G7728" s="12"/>
      <c r="H7728" s="11"/>
    </row>
    <row r="7729" spans="3:8" x14ac:dyDescent="0.25">
      <c r="C7729" s="12"/>
      <c r="D7729" s="13"/>
      <c r="E7729" s="13"/>
      <c r="F7729" s="13"/>
      <c r="G7729" s="12"/>
      <c r="H7729" s="11"/>
    </row>
    <row r="7730" spans="3:8" x14ac:dyDescent="0.25">
      <c r="C7730" s="12"/>
      <c r="D7730" s="13"/>
      <c r="E7730" s="13"/>
      <c r="F7730" s="13"/>
      <c r="G7730" s="12"/>
      <c r="H7730" s="11"/>
    </row>
    <row r="7731" spans="3:8" x14ac:dyDescent="0.25">
      <c r="C7731" s="12"/>
      <c r="D7731" s="13"/>
      <c r="E7731" s="13"/>
      <c r="F7731" s="13"/>
      <c r="G7731" s="12"/>
      <c r="H7731" s="11"/>
    </row>
    <row r="7732" spans="3:8" x14ac:dyDescent="0.25">
      <c r="C7732" s="12"/>
      <c r="D7732" s="13"/>
      <c r="E7732" s="13"/>
      <c r="F7732" s="13"/>
      <c r="G7732" s="12"/>
      <c r="H7732" s="11"/>
    </row>
    <row r="7733" spans="3:8" x14ac:dyDescent="0.25">
      <c r="C7733" s="12"/>
      <c r="D7733" s="13"/>
      <c r="E7733" s="13"/>
      <c r="F7733" s="13"/>
      <c r="G7733" s="12"/>
      <c r="H7733" s="11"/>
    </row>
    <row r="7734" spans="3:8" x14ac:dyDescent="0.25">
      <c r="C7734" s="12"/>
      <c r="D7734" s="13"/>
      <c r="E7734" s="13"/>
      <c r="F7734" s="13"/>
      <c r="G7734" s="12"/>
      <c r="H7734" s="11"/>
    </row>
    <row r="7735" spans="3:8" x14ac:dyDescent="0.25">
      <c r="C7735" s="12"/>
      <c r="D7735" s="13"/>
      <c r="E7735" s="13"/>
      <c r="F7735" s="13"/>
      <c r="G7735" s="12"/>
      <c r="H7735" s="11"/>
    </row>
    <row r="7736" spans="3:8" x14ac:dyDescent="0.25">
      <c r="C7736" s="12"/>
      <c r="D7736" s="13"/>
      <c r="E7736" s="13"/>
      <c r="F7736" s="13"/>
      <c r="G7736" s="12"/>
      <c r="H7736" s="11"/>
    </row>
    <row r="7737" spans="3:8" x14ac:dyDescent="0.25">
      <c r="C7737" s="12"/>
      <c r="D7737" s="13"/>
      <c r="E7737" s="13"/>
      <c r="F7737" s="13"/>
      <c r="G7737" s="12"/>
      <c r="H7737" s="11"/>
    </row>
    <row r="7738" spans="3:8" x14ac:dyDescent="0.25">
      <c r="C7738" s="12"/>
      <c r="D7738" s="13"/>
      <c r="E7738" s="13"/>
      <c r="F7738" s="13"/>
      <c r="G7738" s="12"/>
      <c r="H7738" s="11"/>
    </row>
    <row r="7739" spans="3:8" x14ac:dyDescent="0.25">
      <c r="C7739" s="12"/>
      <c r="D7739" s="13"/>
      <c r="E7739" s="13"/>
      <c r="F7739" s="13"/>
      <c r="G7739" s="12"/>
      <c r="H7739" s="11"/>
    </row>
    <row r="7740" spans="3:8" x14ac:dyDescent="0.25">
      <c r="C7740" s="12"/>
      <c r="D7740" s="13"/>
      <c r="E7740" s="13"/>
      <c r="F7740" s="13"/>
      <c r="G7740" s="12"/>
      <c r="H7740" s="11"/>
    </row>
    <row r="7741" spans="3:8" x14ac:dyDescent="0.25">
      <c r="C7741" s="12"/>
      <c r="D7741" s="13"/>
      <c r="E7741" s="13"/>
      <c r="F7741" s="13"/>
      <c r="G7741" s="12"/>
      <c r="H7741" s="11"/>
    </row>
    <row r="7742" spans="3:8" x14ac:dyDescent="0.25">
      <c r="C7742" s="12"/>
      <c r="D7742" s="13"/>
      <c r="E7742" s="13"/>
      <c r="F7742" s="13"/>
      <c r="G7742" s="12"/>
      <c r="H7742" s="11"/>
    </row>
    <row r="7743" spans="3:8" x14ac:dyDescent="0.25">
      <c r="C7743" s="12"/>
      <c r="D7743" s="13"/>
      <c r="E7743" s="13"/>
      <c r="F7743" s="13"/>
      <c r="G7743" s="12"/>
      <c r="H7743" s="11"/>
    </row>
    <row r="7744" spans="3:8" x14ac:dyDescent="0.25">
      <c r="C7744" s="12"/>
      <c r="D7744" s="13"/>
      <c r="E7744" s="13"/>
      <c r="F7744" s="13"/>
      <c r="G7744" s="12"/>
      <c r="H7744" s="11"/>
    </row>
    <row r="7745" spans="3:8" x14ac:dyDescent="0.25">
      <c r="C7745" s="12"/>
      <c r="D7745" s="13"/>
      <c r="E7745" s="13"/>
      <c r="F7745" s="13"/>
      <c r="G7745" s="12"/>
      <c r="H7745" s="11"/>
    </row>
    <row r="7746" spans="3:8" x14ac:dyDescent="0.25">
      <c r="C7746" s="12"/>
      <c r="D7746" s="13"/>
      <c r="E7746" s="13"/>
      <c r="F7746" s="13"/>
      <c r="G7746" s="12"/>
      <c r="H7746" s="11"/>
    </row>
    <row r="7747" spans="3:8" x14ac:dyDescent="0.25">
      <c r="C7747" s="12"/>
      <c r="D7747" s="13"/>
      <c r="E7747" s="13"/>
      <c r="F7747" s="13"/>
      <c r="G7747" s="12"/>
      <c r="H7747" s="11"/>
    </row>
    <row r="7748" spans="3:8" x14ac:dyDescent="0.25">
      <c r="C7748" s="12"/>
      <c r="D7748" s="13"/>
      <c r="E7748" s="13"/>
      <c r="F7748" s="13"/>
      <c r="G7748" s="12"/>
      <c r="H7748" s="11"/>
    </row>
    <row r="7749" spans="3:8" x14ac:dyDescent="0.25">
      <c r="C7749" s="12"/>
      <c r="D7749" s="13"/>
      <c r="E7749" s="13"/>
      <c r="F7749" s="13"/>
      <c r="G7749" s="12"/>
      <c r="H7749" s="11"/>
    </row>
    <row r="7750" spans="3:8" x14ac:dyDescent="0.25">
      <c r="C7750" s="12"/>
      <c r="D7750" s="13"/>
      <c r="E7750" s="13"/>
      <c r="F7750" s="13"/>
      <c r="G7750" s="12"/>
      <c r="H7750" s="11"/>
    </row>
    <row r="7751" spans="3:8" x14ac:dyDescent="0.25">
      <c r="C7751" s="12"/>
      <c r="D7751" s="13"/>
      <c r="E7751" s="13"/>
      <c r="F7751" s="13"/>
      <c r="G7751" s="12"/>
      <c r="H7751" s="11"/>
    </row>
    <row r="7752" spans="3:8" x14ac:dyDescent="0.25">
      <c r="C7752" s="12"/>
      <c r="D7752" s="13"/>
      <c r="E7752" s="13"/>
      <c r="F7752" s="13"/>
      <c r="G7752" s="12"/>
      <c r="H7752" s="11"/>
    </row>
    <row r="7753" spans="3:8" x14ac:dyDescent="0.25">
      <c r="C7753" s="12"/>
      <c r="D7753" s="13"/>
      <c r="E7753" s="13"/>
      <c r="F7753" s="13"/>
      <c r="G7753" s="12"/>
      <c r="H7753" s="11"/>
    </row>
    <row r="7754" spans="3:8" x14ac:dyDescent="0.25">
      <c r="C7754" s="12"/>
      <c r="D7754" s="13"/>
      <c r="E7754" s="13"/>
      <c r="F7754" s="13"/>
      <c r="G7754" s="12"/>
      <c r="H7754" s="11"/>
    </row>
    <row r="7755" spans="3:8" x14ac:dyDescent="0.25">
      <c r="C7755" s="12"/>
      <c r="D7755" s="13"/>
      <c r="E7755" s="13"/>
      <c r="F7755" s="13"/>
      <c r="G7755" s="12"/>
      <c r="H7755" s="11"/>
    </row>
    <row r="7756" spans="3:8" x14ac:dyDescent="0.25">
      <c r="C7756" s="12"/>
      <c r="D7756" s="13"/>
      <c r="E7756" s="13"/>
      <c r="F7756" s="13"/>
      <c r="G7756" s="12"/>
      <c r="H7756" s="11"/>
    </row>
    <row r="7757" spans="3:8" x14ac:dyDescent="0.25">
      <c r="C7757" s="12"/>
      <c r="D7757" s="13"/>
      <c r="E7757" s="13"/>
      <c r="F7757" s="13"/>
      <c r="G7757" s="12"/>
      <c r="H7757" s="11"/>
    </row>
    <row r="7758" spans="3:8" x14ac:dyDescent="0.25">
      <c r="C7758" s="12"/>
      <c r="D7758" s="13"/>
      <c r="E7758" s="13"/>
      <c r="F7758" s="13"/>
      <c r="G7758" s="12"/>
      <c r="H7758" s="11"/>
    </row>
    <row r="7759" spans="3:8" x14ac:dyDescent="0.25">
      <c r="C7759" s="12"/>
      <c r="D7759" s="13"/>
      <c r="E7759" s="13"/>
      <c r="F7759" s="13"/>
      <c r="G7759" s="12"/>
      <c r="H7759" s="11"/>
    </row>
    <row r="7760" spans="3:8" x14ac:dyDescent="0.25">
      <c r="C7760" s="12"/>
      <c r="D7760" s="13"/>
      <c r="E7760" s="13"/>
      <c r="F7760" s="13"/>
      <c r="G7760" s="12"/>
      <c r="H7760" s="11"/>
    </row>
    <row r="7761" spans="3:8" x14ac:dyDescent="0.25">
      <c r="C7761" s="12"/>
      <c r="D7761" s="13"/>
      <c r="E7761" s="13"/>
      <c r="F7761" s="13"/>
      <c r="G7761" s="12"/>
      <c r="H7761" s="11"/>
    </row>
    <row r="7762" spans="3:8" x14ac:dyDescent="0.25">
      <c r="C7762" s="12"/>
      <c r="D7762" s="13"/>
      <c r="E7762" s="13"/>
      <c r="F7762" s="13"/>
      <c r="G7762" s="12"/>
      <c r="H7762" s="11"/>
    </row>
    <row r="7763" spans="3:8" x14ac:dyDescent="0.25">
      <c r="C7763" s="12"/>
      <c r="D7763" s="13"/>
      <c r="E7763" s="13"/>
      <c r="F7763" s="13"/>
      <c r="G7763" s="12"/>
      <c r="H7763" s="11"/>
    </row>
    <row r="7764" spans="3:8" x14ac:dyDescent="0.25">
      <c r="C7764" s="12"/>
      <c r="D7764" s="13"/>
      <c r="E7764" s="13"/>
      <c r="F7764" s="13"/>
      <c r="G7764" s="12"/>
      <c r="H7764" s="11"/>
    </row>
    <row r="7765" spans="3:8" x14ac:dyDescent="0.25">
      <c r="C7765" s="12"/>
      <c r="D7765" s="13"/>
      <c r="E7765" s="13"/>
      <c r="F7765" s="13"/>
      <c r="G7765" s="12"/>
      <c r="H7765" s="11"/>
    </row>
    <row r="7766" spans="3:8" x14ac:dyDescent="0.25">
      <c r="C7766" s="12"/>
      <c r="D7766" s="13"/>
      <c r="E7766" s="13"/>
      <c r="F7766" s="13"/>
      <c r="G7766" s="12"/>
      <c r="H7766" s="11"/>
    </row>
    <row r="7767" spans="3:8" x14ac:dyDescent="0.25">
      <c r="C7767" s="12"/>
      <c r="D7767" s="13"/>
      <c r="E7767" s="13"/>
      <c r="F7767" s="13"/>
      <c r="G7767" s="12"/>
      <c r="H7767" s="11"/>
    </row>
    <row r="7768" spans="3:8" x14ac:dyDescent="0.25">
      <c r="C7768" s="12"/>
      <c r="D7768" s="13"/>
      <c r="E7768" s="13"/>
      <c r="F7768" s="13"/>
      <c r="G7768" s="12"/>
      <c r="H7768" s="11"/>
    </row>
    <row r="7769" spans="3:8" x14ac:dyDescent="0.25">
      <c r="C7769" s="12"/>
      <c r="D7769" s="13"/>
      <c r="E7769" s="13"/>
      <c r="F7769" s="13"/>
      <c r="G7769" s="12"/>
      <c r="H7769" s="11"/>
    </row>
    <row r="7770" spans="3:8" x14ac:dyDescent="0.25">
      <c r="C7770" s="12"/>
      <c r="D7770" s="13"/>
      <c r="E7770" s="13"/>
      <c r="F7770" s="13"/>
      <c r="G7770" s="12"/>
      <c r="H7770" s="11"/>
    </row>
    <row r="7771" spans="3:8" x14ac:dyDescent="0.25">
      <c r="C7771" s="12"/>
      <c r="D7771" s="13"/>
      <c r="E7771" s="13"/>
      <c r="F7771" s="13"/>
      <c r="G7771" s="12"/>
      <c r="H7771" s="11"/>
    </row>
    <row r="7772" spans="3:8" x14ac:dyDescent="0.25">
      <c r="C7772" s="12"/>
      <c r="D7772" s="13"/>
      <c r="E7772" s="13"/>
      <c r="F7772" s="13"/>
      <c r="G7772" s="12"/>
      <c r="H7772" s="11"/>
    </row>
    <row r="7773" spans="3:8" x14ac:dyDescent="0.25">
      <c r="C7773" s="12"/>
      <c r="D7773" s="13"/>
      <c r="E7773" s="13"/>
      <c r="F7773" s="13"/>
      <c r="G7773" s="12"/>
      <c r="H7773" s="11"/>
    </row>
    <row r="7774" spans="3:8" x14ac:dyDescent="0.25">
      <c r="C7774" s="12"/>
      <c r="D7774" s="13"/>
      <c r="E7774" s="13"/>
      <c r="F7774" s="13"/>
      <c r="G7774" s="12"/>
      <c r="H7774" s="11"/>
    </row>
    <row r="7775" spans="3:8" x14ac:dyDescent="0.25">
      <c r="C7775" s="12"/>
      <c r="D7775" s="13"/>
      <c r="E7775" s="13"/>
      <c r="F7775" s="13"/>
      <c r="G7775" s="12"/>
      <c r="H7775" s="11"/>
    </row>
    <row r="7776" spans="3:8" x14ac:dyDescent="0.25">
      <c r="C7776" s="12"/>
      <c r="D7776" s="13"/>
      <c r="E7776" s="13"/>
      <c r="F7776" s="13"/>
      <c r="G7776" s="12"/>
      <c r="H7776" s="11"/>
    </row>
    <row r="7777" spans="3:8" x14ac:dyDescent="0.25">
      <c r="C7777" s="12"/>
      <c r="D7777" s="13"/>
      <c r="E7777" s="13"/>
      <c r="F7777" s="13"/>
      <c r="G7777" s="12"/>
      <c r="H7777" s="11"/>
    </row>
    <row r="7778" spans="3:8" x14ac:dyDescent="0.25">
      <c r="C7778" s="12"/>
      <c r="D7778" s="13"/>
      <c r="E7778" s="13"/>
      <c r="F7778" s="13"/>
      <c r="G7778" s="12"/>
      <c r="H7778" s="11"/>
    </row>
    <row r="7779" spans="3:8" x14ac:dyDescent="0.25">
      <c r="C7779" s="12"/>
      <c r="D7779" s="13"/>
      <c r="E7779" s="13"/>
      <c r="F7779" s="13"/>
      <c r="G7779" s="12"/>
      <c r="H7779" s="11"/>
    </row>
    <row r="7780" spans="3:8" x14ac:dyDescent="0.25">
      <c r="C7780" s="12"/>
      <c r="D7780" s="13"/>
      <c r="E7780" s="13"/>
      <c r="F7780" s="13"/>
      <c r="G7780" s="12"/>
      <c r="H7780" s="11"/>
    </row>
    <row r="7781" spans="3:8" x14ac:dyDescent="0.25">
      <c r="C7781" s="12"/>
      <c r="D7781" s="13"/>
      <c r="E7781" s="13"/>
      <c r="F7781" s="13"/>
      <c r="G7781" s="12"/>
      <c r="H7781" s="11"/>
    </row>
    <row r="7782" spans="3:8" x14ac:dyDescent="0.25">
      <c r="C7782" s="12"/>
      <c r="D7782" s="13"/>
      <c r="E7782" s="13"/>
      <c r="F7782" s="13"/>
      <c r="G7782" s="12"/>
      <c r="H7782" s="11"/>
    </row>
    <row r="7783" spans="3:8" x14ac:dyDescent="0.25">
      <c r="C7783" s="12"/>
      <c r="D7783" s="13"/>
      <c r="E7783" s="13"/>
      <c r="F7783" s="13"/>
      <c r="G7783" s="12"/>
      <c r="H7783" s="11"/>
    </row>
    <row r="7784" spans="3:8" x14ac:dyDescent="0.25">
      <c r="C7784" s="12"/>
      <c r="D7784" s="13"/>
      <c r="E7784" s="13"/>
      <c r="F7784" s="13"/>
      <c r="G7784" s="12"/>
      <c r="H7784" s="11"/>
    </row>
    <row r="7785" spans="3:8" x14ac:dyDescent="0.25">
      <c r="C7785" s="12"/>
      <c r="D7785" s="13"/>
      <c r="E7785" s="13"/>
      <c r="F7785" s="13"/>
      <c r="G7785" s="12"/>
      <c r="H7785" s="11"/>
    </row>
    <row r="7786" spans="3:8" x14ac:dyDescent="0.25">
      <c r="C7786" s="12"/>
      <c r="D7786" s="13"/>
      <c r="E7786" s="13"/>
      <c r="F7786" s="13"/>
      <c r="G7786" s="12"/>
      <c r="H7786" s="11"/>
    </row>
    <row r="7787" spans="3:8" x14ac:dyDescent="0.25">
      <c r="C7787" s="12"/>
      <c r="D7787" s="13"/>
      <c r="E7787" s="13"/>
      <c r="F7787" s="13"/>
      <c r="G7787" s="12"/>
      <c r="H7787" s="11"/>
    </row>
    <row r="7788" spans="3:8" x14ac:dyDescent="0.25">
      <c r="C7788" s="12"/>
      <c r="D7788" s="13"/>
      <c r="E7788" s="13"/>
      <c r="F7788" s="13"/>
      <c r="G7788" s="12"/>
      <c r="H7788" s="11"/>
    </row>
    <row r="7789" spans="3:8" x14ac:dyDescent="0.25">
      <c r="C7789" s="12"/>
      <c r="D7789" s="13"/>
      <c r="E7789" s="13"/>
      <c r="F7789" s="13"/>
      <c r="G7789" s="12"/>
      <c r="H7789" s="11"/>
    </row>
    <row r="7790" spans="3:8" x14ac:dyDescent="0.25">
      <c r="C7790" s="12"/>
      <c r="D7790" s="13"/>
      <c r="E7790" s="13"/>
      <c r="F7790" s="13"/>
      <c r="G7790" s="12"/>
      <c r="H7790" s="11"/>
    </row>
    <row r="7791" spans="3:8" x14ac:dyDescent="0.25">
      <c r="C7791" s="12"/>
      <c r="D7791" s="13"/>
      <c r="E7791" s="13"/>
      <c r="F7791" s="13"/>
      <c r="G7791" s="12"/>
      <c r="H7791" s="11"/>
    </row>
    <row r="7792" spans="3:8" x14ac:dyDescent="0.25">
      <c r="C7792" s="12"/>
      <c r="D7792" s="13"/>
      <c r="E7792" s="13"/>
      <c r="F7792" s="13"/>
      <c r="G7792" s="12"/>
      <c r="H7792" s="11"/>
    </row>
    <row r="7793" spans="3:8" x14ac:dyDescent="0.25">
      <c r="C7793" s="12"/>
      <c r="D7793" s="13"/>
      <c r="E7793" s="13"/>
      <c r="F7793" s="13"/>
      <c r="G7793" s="12"/>
      <c r="H7793" s="11"/>
    </row>
    <row r="7794" spans="3:8" x14ac:dyDescent="0.25">
      <c r="C7794" s="12"/>
      <c r="D7794" s="13"/>
      <c r="E7794" s="13"/>
      <c r="F7794" s="13"/>
      <c r="G7794" s="12"/>
      <c r="H7794" s="11"/>
    </row>
    <row r="7795" spans="3:8" x14ac:dyDescent="0.25">
      <c r="C7795" s="12"/>
      <c r="D7795" s="13"/>
      <c r="E7795" s="13"/>
      <c r="F7795" s="13"/>
      <c r="G7795" s="12"/>
      <c r="H7795" s="11"/>
    </row>
    <row r="7796" spans="3:8" x14ac:dyDescent="0.25">
      <c r="C7796" s="12"/>
      <c r="D7796" s="13"/>
      <c r="E7796" s="13"/>
      <c r="F7796" s="13"/>
      <c r="G7796" s="12"/>
      <c r="H7796" s="11"/>
    </row>
    <row r="7797" spans="3:8" x14ac:dyDescent="0.25">
      <c r="C7797" s="12"/>
      <c r="D7797" s="13"/>
      <c r="E7797" s="13"/>
      <c r="F7797" s="13"/>
      <c r="G7797" s="12"/>
      <c r="H7797" s="11"/>
    </row>
    <row r="7798" spans="3:8" x14ac:dyDescent="0.25">
      <c r="C7798" s="12"/>
      <c r="D7798" s="13"/>
      <c r="E7798" s="13"/>
      <c r="F7798" s="13"/>
      <c r="G7798" s="12"/>
      <c r="H7798" s="11"/>
    </row>
    <row r="7799" spans="3:8" x14ac:dyDescent="0.25">
      <c r="C7799" s="12"/>
      <c r="D7799" s="13"/>
      <c r="E7799" s="13"/>
      <c r="F7799" s="13"/>
      <c r="G7799" s="12"/>
      <c r="H7799" s="11"/>
    </row>
    <row r="7800" spans="3:8" x14ac:dyDescent="0.25">
      <c r="C7800" s="12"/>
      <c r="D7800" s="13"/>
      <c r="E7800" s="13"/>
      <c r="F7800" s="13"/>
      <c r="G7800" s="12"/>
      <c r="H7800" s="11"/>
    </row>
    <row r="7801" spans="3:8" x14ac:dyDescent="0.25">
      <c r="C7801" s="12"/>
      <c r="D7801" s="13"/>
      <c r="E7801" s="13"/>
      <c r="F7801" s="13"/>
      <c r="G7801" s="12"/>
      <c r="H7801" s="11"/>
    </row>
    <row r="7802" spans="3:8" x14ac:dyDescent="0.25">
      <c r="C7802" s="12"/>
      <c r="D7802" s="13"/>
      <c r="E7802" s="13"/>
      <c r="F7802" s="13"/>
      <c r="G7802" s="12"/>
      <c r="H7802" s="11"/>
    </row>
    <row r="7803" spans="3:8" x14ac:dyDescent="0.25">
      <c r="C7803" s="12"/>
      <c r="D7803" s="13"/>
      <c r="E7803" s="13"/>
      <c r="F7803" s="13"/>
      <c r="G7803" s="12"/>
      <c r="H7803" s="11"/>
    </row>
    <row r="7804" spans="3:8" x14ac:dyDescent="0.25">
      <c r="C7804" s="12"/>
      <c r="D7804" s="13"/>
      <c r="E7804" s="13"/>
      <c r="F7804" s="13"/>
      <c r="G7804" s="12"/>
      <c r="H7804" s="11"/>
    </row>
    <row r="7805" spans="3:8" x14ac:dyDescent="0.25">
      <c r="C7805" s="12"/>
      <c r="D7805" s="13"/>
      <c r="E7805" s="13"/>
      <c r="F7805" s="13"/>
      <c r="G7805" s="12"/>
      <c r="H7805" s="11"/>
    </row>
    <row r="7806" spans="3:8" x14ac:dyDescent="0.25">
      <c r="C7806" s="12"/>
      <c r="D7806" s="13"/>
      <c r="E7806" s="13"/>
      <c r="F7806" s="13"/>
      <c r="G7806" s="12"/>
      <c r="H7806" s="11"/>
    </row>
    <row r="7807" spans="3:8" x14ac:dyDescent="0.25">
      <c r="C7807" s="12"/>
      <c r="D7807" s="13"/>
      <c r="E7807" s="13"/>
      <c r="F7807" s="13"/>
      <c r="G7807" s="12"/>
      <c r="H7807" s="11"/>
    </row>
    <row r="7808" spans="3:8" x14ac:dyDescent="0.25">
      <c r="C7808" s="12"/>
      <c r="D7808" s="13"/>
      <c r="E7808" s="13"/>
      <c r="F7808" s="13"/>
      <c r="G7808" s="12"/>
      <c r="H7808" s="11"/>
    </row>
    <row r="7809" spans="3:8" x14ac:dyDescent="0.25">
      <c r="C7809" s="12"/>
      <c r="D7809" s="13"/>
      <c r="E7809" s="13"/>
      <c r="F7809" s="13"/>
      <c r="G7809" s="12"/>
      <c r="H7809" s="11"/>
    </row>
    <row r="7810" spans="3:8" x14ac:dyDescent="0.25">
      <c r="C7810" s="12"/>
      <c r="D7810" s="13"/>
      <c r="E7810" s="13"/>
      <c r="F7810" s="13"/>
      <c r="G7810" s="12"/>
      <c r="H7810" s="11"/>
    </row>
    <row r="7811" spans="3:8" x14ac:dyDescent="0.25">
      <c r="C7811" s="12"/>
      <c r="D7811" s="13"/>
      <c r="E7811" s="13"/>
      <c r="F7811" s="13"/>
      <c r="G7811" s="12"/>
      <c r="H7811" s="11"/>
    </row>
    <row r="7812" spans="3:8" x14ac:dyDescent="0.25">
      <c r="C7812" s="12"/>
      <c r="D7812" s="13"/>
      <c r="E7812" s="13"/>
      <c r="F7812" s="13"/>
      <c r="G7812" s="12"/>
      <c r="H7812" s="11"/>
    </row>
    <row r="7813" spans="3:8" x14ac:dyDescent="0.25">
      <c r="C7813" s="12"/>
      <c r="D7813" s="13"/>
      <c r="E7813" s="13"/>
      <c r="F7813" s="13"/>
      <c r="G7813" s="12"/>
      <c r="H7813" s="11"/>
    </row>
    <row r="7814" spans="3:8" x14ac:dyDescent="0.25">
      <c r="C7814" s="12"/>
      <c r="D7814" s="13"/>
      <c r="E7814" s="13"/>
      <c r="F7814" s="13"/>
      <c r="G7814" s="12"/>
      <c r="H7814" s="11"/>
    </row>
    <row r="7815" spans="3:8" x14ac:dyDescent="0.25">
      <c r="C7815" s="12"/>
      <c r="D7815" s="13"/>
      <c r="E7815" s="13"/>
      <c r="F7815" s="13"/>
      <c r="G7815" s="12"/>
      <c r="H7815" s="11"/>
    </row>
    <row r="7816" spans="3:8" x14ac:dyDescent="0.25">
      <c r="C7816" s="12"/>
      <c r="D7816" s="13"/>
      <c r="E7816" s="13"/>
      <c r="F7816" s="13"/>
      <c r="G7816" s="12"/>
      <c r="H7816" s="11"/>
    </row>
    <row r="7817" spans="3:8" x14ac:dyDescent="0.25">
      <c r="C7817" s="12"/>
      <c r="D7817" s="13"/>
      <c r="E7817" s="13"/>
      <c r="F7817" s="13"/>
      <c r="G7817" s="12"/>
      <c r="H7817" s="11"/>
    </row>
    <row r="7818" spans="3:8" x14ac:dyDescent="0.25">
      <c r="C7818" s="12"/>
      <c r="D7818" s="13"/>
      <c r="E7818" s="13"/>
      <c r="F7818" s="13"/>
      <c r="G7818" s="12"/>
      <c r="H7818" s="11"/>
    </row>
    <row r="7819" spans="3:8" x14ac:dyDescent="0.25">
      <c r="C7819" s="12"/>
      <c r="D7819" s="13"/>
      <c r="E7819" s="13"/>
      <c r="F7819" s="13"/>
      <c r="G7819" s="12"/>
      <c r="H7819" s="11"/>
    </row>
    <row r="7820" spans="3:8" x14ac:dyDescent="0.25">
      <c r="C7820" s="12"/>
      <c r="D7820" s="13"/>
      <c r="E7820" s="13"/>
      <c r="F7820" s="13"/>
      <c r="G7820" s="12"/>
      <c r="H7820" s="11"/>
    </row>
    <row r="7821" spans="3:8" x14ac:dyDescent="0.25">
      <c r="C7821" s="12"/>
      <c r="D7821" s="13"/>
      <c r="E7821" s="13"/>
      <c r="F7821" s="13"/>
      <c r="G7821" s="12"/>
      <c r="H7821" s="11"/>
    </row>
    <row r="7822" spans="3:8" x14ac:dyDescent="0.25">
      <c r="C7822" s="12"/>
      <c r="D7822" s="13"/>
      <c r="E7822" s="13"/>
      <c r="F7822" s="13"/>
      <c r="G7822" s="12"/>
      <c r="H7822" s="11"/>
    </row>
    <row r="7823" spans="3:8" x14ac:dyDescent="0.25">
      <c r="C7823" s="12"/>
      <c r="D7823" s="13"/>
      <c r="E7823" s="13"/>
      <c r="F7823" s="13"/>
      <c r="G7823" s="12"/>
      <c r="H7823" s="11"/>
    </row>
    <row r="7824" spans="3:8" x14ac:dyDescent="0.25">
      <c r="C7824" s="12"/>
      <c r="D7824" s="13"/>
      <c r="E7824" s="13"/>
      <c r="F7824" s="13"/>
      <c r="G7824" s="12"/>
      <c r="H7824" s="11"/>
    </row>
    <row r="7825" spans="3:8" x14ac:dyDescent="0.25">
      <c r="C7825" s="12"/>
      <c r="D7825" s="13"/>
      <c r="E7825" s="13"/>
      <c r="F7825" s="13"/>
      <c r="G7825" s="12"/>
      <c r="H7825" s="11"/>
    </row>
    <row r="7826" spans="3:8" x14ac:dyDescent="0.25">
      <c r="C7826" s="12"/>
      <c r="D7826" s="13"/>
      <c r="E7826" s="13"/>
      <c r="F7826" s="13"/>
      <c r="G7826" s="12"/>
      <c r="H7826" s="11"/>
    </row>
    <row r="7827" spans="3:8" x14ac:dyDescent="0.25">
      <c r="C7827" s="12"/>
      <c r="D7827" s="13"/>
      <c r="E7827" s="13"/>
      <c r="F7827" s="13"/>
      <c r="G7827" s="12"/>
      <c r="H7827" s="11"/>
    </row>
    <row r="7828" spans="3:8" x14ac:dyDescent="0.25">
      <c r="C7828" s="12"/>
      <c r="D7828" s="13"/>
      <c r="E7828" s="13"/>
      <c r="F7828" s="13"/>
      <c r="G7828" s="12"/>
      <c r="H7828" s="11"/>
    </row>
    <row r="7829" spans="3:8" x14ac:dyDescent="0.25">
      <c r="C7829" s="12"/>
      <c r="D7829" s="13"/>
      <c r="E7829" s="13"/>
      <c r="F7829" s="13"/>
      <c r="G7829" s="12"/>
      <c r="H7829" s="11"/>
    </row>
    <row r="7830" spans="3:8" x14ac:dyDescent="0.25">
      <c r="C7830" s="12"/>
      <c r="D7830" s="13"/>
      <c r="E7830" s="13"/>
      <c r="F7830" s="13"/>
      <c r="G7830" s="12"/>
      <c r="H7830" s="11"/>
    </row>
    <row r="7831" spans="3:8" x14ac:dyDescent="0.25">
      <c r="C7831" s="12"/>
      <c r="D7831" s="13"/>
      <c r="E7831" s="13"/>
      <c r="F7831" s="13"/>
      <c r="G7831" s="12"/>
      <c r="H7831" s="11"/>
    </row>
    <row r="7832" spans="3:8" x14ac:dyDescent="0.25">
      <c r="C7832" s="12"/>
      <c r="D7832" s="13"/>
      <c r="E7832" s="13"/>
      <c r="F7832" s="13"/>
      <c r="G7832" s="12"/>
      <c r="H7832" s="11"/>
    </row>
    <row r="7833" spans="3:8" x14ac:dyDescent="0.25">
      <c r="C7833" s="12"/>
      <c r="D7833" s="13"/>
      <c r="E7833" s="13"/>
      <c r="F7833" s="13"/>
      <c r="G7833" s="12"/>
      <c r="H7833" s="11"/>
    </row>
    <row r="7834" spans="3:8" x14ac:dyDescent="0.25">
      <c r="C7834" s="12"/>
      <c r="D7834" s="13"/>
      <c r="E7834" s="13"/>
      <c r="F7834" s="13"/>
      <c r="G7834" s="12"/>
      <c r="H7834" s="11"/>
    </row>
    <row r="7835" spans="3:8" x14ac:dyDescent="0.25">
      <c r="C7835" s="12"/>
      <c r="D7835" s="13"/>
      <c r="E7835" s="13"/>
      <c r="F7835" s="13"/>
      <c r="G7835" s="12"/>
      <c r="H7835" s="11"/>
    </row>
    <row r="7836" spans="3:8" x14ac:dyDescent="0.25">
      <c r="C7836" s="12"/>
      <c r="D7836" s="13"/>
      <c r="E7836" s="13"/>
      <c r="F7836" s="13"/>
      <c r="G7836" s="12"/>
      <c r="H7836" s="11"/>
    </row>
    <row r="7837" spans="3:8" x14ac:dyDescent="0.25">
      <c r="C7837" s="12"/>
      <c r="D7837" s="13"/>
      <c r="E7837" s="13"/>
      <c r="F7837" s="13"/>
      <c r="G7837" s="12"/>
      <c r="H7837" s="11"/>
    </row>
    <row r="7838" spans="3:8" x14ac:dyDescent="0.25">
      <c r="C7838" s="12"/>
      <c r="D7838" s="13"/>
      <c r="E7838" s="13"/>
      <c r="F7838" s="13"/>
      <c r="G7838" s="12"/>
      <c r="H7838" s="11"/>
    </row>
    <row r="7839" spans="3:8" x14ac:dyDescent="0.25">
      <c r="C7839" s="12"/>
      <c r="D7839" s="13"/>
      <c r="E7839" s="13"/>
      <c r="F7839" s="13"/>
      <c r="G7839" s="12"/>
      <c r="H7839" s="11"/>
    </row>
    <row r="7840" spans="3:8" x14ac:dyDescent="0.25">
      <c r="C7840" s="12"/>
      <c r="D7840" s="13"/>
      <c r="E7840" s="13"/>
      <c r="F7840" s="13"/>
      <c r="G7840" s="12"/>
      <c r="H7840" s="11"/>
    </row>
    <row r="7841" spans="3:8" x14ac:dyDescent="0.25">
      <c r="C7841" s="12"/>
      <c r="D7841" s="13"/>
      <c r="E7841" s="13"/>
      <c r="F7841" s="13"/>
      <c r="G7841" s="12"/>
      <c r="H7841" s="11"/>
    </row>
    <row r="7842" spans="3:8" x14ac:dyDescent="0.25">
      <c r="C7842" s="12"/>
      <c r="D7842" s="13"/>
      <c r="E7842" s="13"/>
      <c r="F7842" s="13"/>
      <c r="G7842" s="12"/>
      <c r="H7842" s="11"/>
    </row>
    <row r="7843" spans="3:8" x14ac:dyDescent="0.25">
      <c r="C7843" s="12"/>
      <c r="D7843" s="13"/>
      <c r="E7843" s="13"/>
      <c r="F7843" s="13"/>
      <c r="G7843" s="12"/>
      <c r="H7843" s="11"/>
    </row>
    <row r="7844" spans="3:8" x14ac:dyDescent="0.25">
      <c r="C7844" s="12"/>
      <c r="D7844" s="13"/>
      <c r="E7844" s="13"/>
      <c r="F7844" s="13"/>
      <c r="G7844" s="12"/>
      <c r="H7844" s="11"/>
    </row>
    <row r="7845" spans="3:8" x14ac:dyDescent="0.25">
      <c r="C7845" s="12"/>
      <c r="D7845" s="13"/>
      <c r="E7845" s="13"/>
      <c r="F7845" s="13"/>
      <c r="G7845" s="12"/>
      <c r="H7845" s="11"/>
    </row>
    <row r="7846" spans="3:8" x14ac:dyDescent="0.25">
      <c r="C7846" s="12"/>
      <c r="D7846" s="13"/>
      <c r="E7846" s="13"/>
      <c r="F7846" s="13"/>
      <c r="G7846" s="12"/>
      <c r="H7846" s="11"/>
    </row>
    <row r="7847" spans="3:8" x14ac:dyDescent="0.25">
      <c r="C7847" s="12"/>
      <c r="D7847" s="13"/>
      <c r="E7847" s="13"/>
      <c r="F7847" s="13"/>
      <c r="G7847" s="12"/>
      <c r="H7847" s="11"/>
    </row>
    <row r="7848" spans="3:8" x14ac:dyDescent="0.25">
      <c r="C7848" s="12"/>
      <c r="D7848" s="13"/>
      <c r="E7848" s="13"/>
      <c r="F7848" s="13"/>
      <c r="G7848" s="12"/>
      <c r="H7848" s="11"/>
    </row>
    <row r="7849" spans="3:8" x14ac:dyDescent="0.25">
      <c r="C7849" s="12"/>
      <c r="D7849" s="13"/>
      <c r="E7849" s="13"/>
      <c r="F7849" s="13"/>
      <c r="G7849" s="12"/>
      <c r="H7849" s="11"/>
    </row>
    <row r="7850" spans="3:8" x14ac:dyDescent="0.25">
      <c r="C7850" s="12"/>
      <c r="D7850" s="13"/>
      <c r="E7850" s="13"/>
      <c r="F7850" s="13"/>
      <c r="G7850" s="12"/>
      <c r="H7850" s="11"/>
    </row>
    <row r="7851" spans="3:8" x14ac:dyDescent="0.25">
      <c r="C7851" s="12"/>
      <c r="D7851" s="13"/>
      <c r="E7851" s="13"/>
      <c r="F7851" s="13"/>
      <c r="G7851" s="12"/>
      <c r="H7851" s="11"/>
    </row>
    <row r="7852" spans="3:8" x14ac:dyDescent="0.25">
      <c r="C7852" s="12"/>
      <c r="D7852" s="13"/>
      <c r="E7852" s="13"/>
      <c r="F7852" s="13"/>
      <c r="G7852" s="12"/>
      <c r="H7852" s="11"/>
    </row>
    <row r="7853" spans="3:8" x14ac:dyDescent="0.25">
      <c r="C7853" s="12"/>
      <c r="D7853" s="13"/>
      <c r="E7853" s="13"/>
      <c r="F7853" s="13"/>
      <c r="G7853" s="12"/>
      <c r="H7853" s="11"/>
    </row>
    <row r="7854" spans="3:8" x14ac:dyDescent="0.25">
      <c r="C7854" s="12"/>
      <c r="D7854" s="13"/>
      <c r="E7854" s="13"/>
      <c r="F7854" s="13"/>
      <c r="G7854" s="12"/>
      <c r="H7854" s="11"/>
    </row>
    <row r="7855" spans="3:8" x14ac:dyDescent="0.25">
      <c r="C7855" s="12"/>
      <c r="D7855" s="13"/>
      <c r="E7855" s="13"/>
      <c r="F7855" s="13"/>
      <c r="G7855" s="12"/>
      <c r="H7855" s="11"/>
    </row>
    <row r="7856" spans="3:8" x14ac:dyDescent="0.25">
      <c r="C7856" s="12"/>
      <c r="D7856" s="13"/>
      <c r="E7856" s="13"/>
      <c r="F7856" s="13"/>
      <c r="G7856" s="12"/>
      <c r="H7856" s="11"/>
    </row>
    <row r="7857" spans="3:8" x14ac:dyDescent="0.25">
      <c r="C7857" s="12"/>
      <c r="D7857" s="13"/>
      <c r="E7857" s="13"/>
      <c r="F7857" s="13"/>
      <c r="G7857" s="12"/>
      <c r="H7857" s="11"/>
    </row>
    <row r="7858" spans="3:8" x14ac:dyDescent="0.25">
      <c r="C7858" s="12"/>
      <c r="D7858" s="13"/>
      <c r="E7858" s="13"/>
      <c r="F7858" s="13"/>
      <c r="G7858" s="12"/>
      <c r="H7858" s="11"/>
    </row>
    <row r="7859" spans="3:8" x14ac:dyDescent="0.25">
      <c r="C7859" s="12"/>
      <c r="D7859" s="13"/>
      <c r="E7859" s="13"/>
      <c r="F7859" s="13"/>
      <c r="G7859" s="12"/>
      <c r="H7859" s="11"/>
    </row>
    <row r="7860" spans="3:8" x14ac:dyDescent="0.25">
      <c r="C7860" s="12"/>
      <c r="D7860" s="13"/>
      <c r="E7860" s="13"/>
      <c r="F7860" s="13"/>
      <c r="G7860" s="12"/>
      <c r="H7860" s="11"/>
    </row>
    <row r="7861" spans="3:8" x14ac:dyDescent="0.25">
      <c r="C7861" s="12"/>
      <c r="D7861" s="13"/>
      <c r="E7861" s="13"/>
      <c r="F7861" s="13"/>
      <c r="G7861" s="12"/>
      <c r="H7861" s="11"/>
    </row>
    <row r="7862" spans="3:8" x14ac:dyDescent="0.25">
      <c r="C7862" s="12"/>
      <c r="D7862" s="13"/>
      <c r="E7862" s="13"/>
      <c r="F7862" s="13"/>
      <c r="G7862" s="12"/>
      <c r="H7862" s="11"/>
    </row>
    <row r="7863" spans="3:8" x14ac:dyDescent="0.25">
      <c r="C7863" s="12"/>
      <c r="D7863" s="13"/>
      <c r="E7863" s="13"/>
      <c r="F7863" s="13"/>
      <c r="G7863" s="12"/>
      <c r="H7863" s="11"/>
    </row>
    <row r="7864" spans="3:8" x14ac:dyDescent="0.25">
      <c r="C7864" s="12"/>
      <c r="D7864" s="13"/>
      <c r="E7864" s="13"/>
      <c r="F7864" s="13"/>
      <c r="G7864" s="12"/>
      <c r="H7864" s="11"/>
    </row>
    <row r="7865" spans="3:8" x14ac:dyDescent="0.25">
      <c r="C7865" s="12"/>
      <c r="D7865" s="13"/>
      <c r="E7865" s="13"/>
      <c r="F7865" s="13"/>
      <c r="G7865" s="12"/>
      <c r="H7865" s="11"/>
    </row>
    <row r="7866" spans="3:8" x14ac:dyDescent="0.25">
      <c r="C7866" s="12"/>
      <c r="D7866" s="13"/>
      <c r="E7866" s="13"/>
      <c r="F7866" s="13"/>
      <c r="G7866" s="12"/>
      <c r="H7866" s="11"/>
    </row>
    <row r="7867" spans="3:8" x14ac:dyDescent="0.25">
      <c r="C7867" s="12"/>
      <c r="D7867" s="13"/>
      <c r="E7867" s="13"/>
      <c r="F7867" s="13"/>
      <c r="G7867" s="12"/>
      <c r="H7867" s="11"/>
    </row>
    <row r="7868" spans="3:8" x14ac:dyDescent="0.25">
      <c r="C7868" s="12"/>
      <c r="D7868" s="13"/>
      <c r="E7868" s="13"/>
      <c r="F7868" s="13"/>
      <c r="G7868" s="12"/>
      <c r="H7868" s="11"/>
    </row>
    <row r="7869" spans="3:8" x14ac:dyDescent="0.25">
      <c r="C7869" s="12"/>
      <c r="D7869" s="13"/>
      <c r="E7869" s="13"/>
      <c r="F7869" s="13"/>
      <c r="G7869" s="12"/>
      <c r="H7869" s="11"/>
    </row>
    <row r="7870" spans="3:8" x14ac:dyDescent="0.25">
      <c r="C7870" s="12"/>
      <c r="D7870" s="13"/>
      <c r="E7870" s="13"/>
      <c r="F7870" s="13"/>
      <c r="G7870" s="12"/>
      <c r="H7870" s="11"/>
    </row>
    <row r="7871" spans="3:8" x14ac:dyDescent="0.25">
      <c r="C7871" s="12"/>
      <c r="D7871" s="13"/>
      <c r="E7871" s="13"/>
      <c r="F7871" s="13"/>
      <c r="G7871" s="12"/>
      <c r="H7871" s="11"/>
    </row>
    <row r="7872" spans="3:8" x14ac:dyDescent="0.25">
      <c r="C7872" s="12"/>
      <c r="D7872" s="13"/>
      <c r="E7872" s="13"/>
      <c r="F7872" s="13"/>
      <c r="G7872" s="12"/>
      <c r="H7872" s="11"/>
    </row>
    <row r="7873" spans="3:8" x14ac:dyDescent="0.25">
      <c r="C7873" s="12"/>
      <c r="D7873" s="13"/>
      <c r="E7873" s="13"/>
      <c r="F7873" s="13"/>
      <c r="G7873" s="12"/>
      <c r="H7873" s="11"/>
    </row>
    <row r="7874" spans="3:8" x14ac:dyDescent="0.25">
      <c r="C7874" s="12"/>
      <c r="D7874" s="13"/>
      <c r="E7874" s="13"/>
      <c r="F7874" s="13"/>
      <c r="G7874" s="12"/>
      <c r="H7874" s="11"/>
    </row>
    <row r="7875" spans="3:8" x14ac:dyDescent="0.25">
      <c r="C7875" s="12"/>
      <c r="D7875" s="13"/>
      <c r="E7875" s="13"/>
      <c r="F7875" s="13"/>
      <c r="G7875" s="12"/>
      <c r="H7875" s="11"/>
    </row>
    <row r="7876" spans="3:8" x14ac:dyDescent="0.25">
      <c r="C7876" s="12"/>
      <c r="D7876" s="13"/>
      <c r="E7876" s="13"/>
      <c r="F7876" s="13"/>
      <c r="G7876" s="12"/>
      <c r="H7876" s="11"/>
    </row>
    <row r="7877" spans="3:8" x14ac:dyDescent="0.25">
      <c r="C7877" s="12"/>
      <c r="D7877" s="13"/>
      <c r="E7877" s="13"/>
      <c r="F7877" s="13"/>
      <c r="G7877" s="12"/>
      <c r="H7877" s="11"/>
    </row>
    <row r="7878" spans="3:8" x14ac:dyDescent="0.25">
      <c r="C7878" s="12"/>
      <c r="D7878" s="13"/>
      <c r="E7878" s="13"/>
      <c r="F7878" s="13"/>
      <c r="G7878" s="12"/>
      <c r="H7878" s="11"/>
    </row>
    <row r="7879" spans="3:8" x14ac:dyDescent="0.25">
      <c r="C7879" s="12"/>
      <c r="D7879" s="13"/>
      <c r="E7879" s="13"/>
      <c r="F7879" s="13"/>
      <c r="G7879" s="12"/>
      <c r="H7879" s="11"/>
    </row>
    <row r="7880" spans="3:8" x14ac:dyDescent="0.25">
      <c r="C7880" s="12"/>
      <c r="D7880" s="13"/>
      <c r="E7880" s="13"/>
      <c r="F7880" s="13"/>
      <c r="G7880" s="12"/>
      <c r="H7880" s="11"/>
    </row>
    <row r="7881" spans="3:8" x14ac:dyDescent="0.25">
      <c r="C7881" s="12"/>
      <c r="D7881" s="13"/>
      <c r="E7881" s="13"/>
      <c r="F7881" s="13"/>
      <c r="G7881" s="12"/>
      <c r="H7881" s="11"/>
    </row>
    <row r="7882" spans="3:8" x14ac:dyDescent="0.25">
      <c r="C7882" s="12"/>
      <c r="D7882" s="13"/>
      <c r="E7882" s="13"/>
      <c r="F7882" s="13"/>
      <c r="G7882" s="12"/>
      <c r="H7882" s="11"/>
    </row>
    <row r="7883" spans="3:8" x14ac:dyDescent="0.25">
      <c r="C7883" s="12"/>
      <c r="D7883" s="13"/>
      <c r="E7883" s="13"/>
      <c r="F7883" s="13"/>
      <c r="G7883" s="12"/>
      <c r="H7883" s="11"/>
    </row>
    <row r="7884" spans="3:8" x14ac:dyDescent="0.25">
      <c r="C7884" s="12"/>
      <c r="D7884" s="13"/>
      <c r="E7884" s="13"/>
      <c r="F7884" s="13"/>
      <c r="G7884" s="12"/>
      <c r="H7884" s="11"/>
    </row>
    <row r="7885" spans="3:8" x14ac:dyDescent="0.25">
      <c r="C7885" s="12"/>
      <c r="D7885" s="13"/>
      <c r="E7885" s="13"/>
      <c r="F7885" s="13"/>
      <c r="G7885" s="12"/>
      <c r="H7885" s="11"/>
    </row>
    <row r="7886" spans="3:8" x14ac:dyDescent="0.25">
      <c r="C7886" s="12"/>
      <c r="D7886" s="13"/>
      <c r="E7886" s="13"/>
      <c r="F7886" s="13"/>
      <c r="G7886" s="12"/>
      <c r="H7886" s="11"/>
    </row>
    <row r="7887" spans="3:8" x14ac:dyDescent="0.25">
      <c r="C7887" s="12"/>
      <c r="D7887" s="13"/>
      <c r="E7887" s="13"/>
      <c r="F7887" s="13"/>
      <c r="G7887" s="12"/>
      <c r="H7887" s="11"/>
    </row>
    <row r="7888" spans="3:8" x14ac:dyDescent="0.25">
      <c r="C7888" s="12"/>
      <c r="D7888" s="13"/>
      <c r="E7888" s="13"/>
      <c r="F7888" s="13"/>
      <c r="G7888" s="12"/>
      <c r="H7888" s="11"/>
    </row>
    <row r="7889" spans="3:8" x14ac:dyDescent="0.25">
      <c r="C7889" s="12"/>
      <c r="D7889" s="13"/>
      <c r="E7889" s="13"/>
      <c r="F7889" s="13"/>
      <c r="G7889" s="12"/>
      <c r="H7889" s="11"/>
    </row>
    <row r="7890" spans="3:8" x14ac:dyDescent="0.25">
      <c r="C7890" s="12"/>
      <c r="D7890" s="13"/>
      <c r="E7890" s="13"/>
      <c r="F7890" s="13"/>
      <c r="G7890" s="12"/>
      <c r="H7890" s="11"/>
    </row>
    <row r="7891" spans="3:8" x14ac:dyDescent="0.25">
      <c r="C7891" s="12"/>
      <c r="D7891" s="13"/>
      <c r="E7891" s="13"/>
      <c r="F7891" s="13"/>
      <c r="G7891" s="12"/>
      <c r="H7891" s="11"/>
    </row>
    <row r="7892" spans="3:8" x14ac:dyDescent="0.25">
      <c r="C7892" s="12"/>
      <c r="D7892" s="13"/>
      <c r="E7892" s="13"/>
      <c r="F7892" s="13"/>
      <c r="G7892" s="12"/>
      <c r="H7892" s="11"/>
    </row>
    <row r="7893" spans="3:8" x14ac:dyDescent="0.25">
      <c r="C7893" s="12"/>
      <c r="D7893" s="13"/>
      <c r="E7893" s="13"/>
      <c r="F7893" s="13"/>
      <c r="G7893" s="12"/>
      <c r="H7893" s="11"/>
    </row>
    <row r="7894" spans="3:8" x14ac:dyDescent="0.25">
      <c r="C7894" s="12"/>
      <c r="D7894" s="13"/>
      <c r="E7894" s="13"/>
      <c r="F7894" s="13"/>
      <c r="G7894" s="12"/>
      <c r="H7894" s="11"/>
    </row>
    <row r="7895" spans="3:8" x14ac:dyDescent="0.25">
      <c r="C7895" s="12"/>
      <c r="D7895" s="13"/>
      <c r="E7895" s="13"/>
      <c r="F7895" s="13"/>
      <c r="G7895" s="12"/>
      <c r="H7895" s="11"/>
    </row>
    <row r="7896" spans="3:8" x14ac:dyDescent="0.25">
      <c r="C7896" s="12"/>
      <c r="D7896" s="13"/>
      <c r="E7896" s="13"/>
      <c r="F7896" s="13"/>
      <c r="G7896" s="12"/>
      <c r="H7896" s="11"/>
    </row>
    <row r="7897" spans="3:8" x14ac:dyDescent="0.25">
      <c r="C7897" s="12"/>
      <c r="D7897" s="13"/>
      <c r="E7897" s="13"/>
      <c r="F7897" s="13"/>
      <c r="G7897" s="12"/>
      <c r="H7897" s="11"/>
    </row>
    <row r="7898" spans="3:8" x14ac:dyDescent="0.25">
      <c r="C7898" s="12"/>
      <c r="D7898" s="13"/>
      <c r="E7898" s="13"/>
      <c r="F7898" s="13"/>
      <c r="G7898" s="12"/>
      <c r="H7898" s="11"/>
    </row>
    <row r="7899" spans="3:8" x14ac:dyDescent="0.25">
      <c r="C7899" s="12"/>
      <c r="D7899" s="13"/>
      <c r="E7899" s="13"/>
      <c r="F7899" s="13"/>
      <c r="G7899" s="12"/>
      <c r="H7899" s="11"/>
    </row>
    <row r="7900" spans="3:8" x14ac:dyDescent="0.25">
      <c r="C7900" s="12"/>
      <c r="D7900" s="13"/>
      <c r="E7900" s="13"/>
      <c r="F7900" s="13"/>
      <c r="G7900" s="12"/>
      <c r="H7900" s="11"/>
    </row>
    <row r="7901" spans="3:8" x14ac:dyDescent="0.25">
      <c r="C7901" s="12"/>
      <c r="D7901" s="13"/>
      <c r="E7901" s="13"/>
      <c r="F7901" s="13"/>
      <c r="G7901" s="12"/>
      <c r="H7901" s="11"/>
    </row>
    <row r="7902" spans="3:8" x14ac:dyDescent="0.25">
      <c r="C7902" s="12"/>
      <c r="D7902" s="13"/>
      <c r="E7902" s="13"/>
      <c r="F7902" s="13"/>
      <c r="G7902" s="12"/>
      <c r="H7902" s="11"/>
    </row>
    <row r="7903" spans="3:8" x14ac:dyDescent="0.25">
      <c r="C7903" s="12"/>
      <c r="D7903" s="13"/>
      <c r="E7903" s="13"/>
      <c r="F7903" s="13"/>
      <c r="G7903" s="12"/>
      <c r="H7903" s="11"/>
    </row>
    <row r="7904" spans="3:8" x14ac:dyDescent="0.25">
      <c r="C7904" s="12"/>
      <c r="D7904" s="13"/>
      <c r="E7904" s="13"/>
      <c r="F7904" s="13"/>
      <c r="G7904" s="12"/>
      <c r="H7904" s="11"/>
    </row>
    <row r="7905" spans="3:8" x14ac:dyDescent="0.25">
      <c r="C7905" s="12"/>
      <c r="D7905" s="13"/>
      <c r="E7905" s="13"/>
      <c r="F7905" s="13"/>
      <c r="G7905" s="12"/>
      <c r="H7905" s="11"/>
    </row>
    <row r="7906" spans="3:8" x14ac:dyDescent="0.25">
      <c r="C7906" s="12"/>
      <c r="D7906" s="13"/>
      <c r="E7906" s="13"/>
      <c r="F7906" s="13"/>
      <c r="G7906" s="12"/>
      <c r="H7906" s="11"/>
    </row>
    <row r="7907" spans="3:8" x14ac:dyDescent="0.25">
      <c r="C7907" s="12"/>
      <c r="D7907" s="13"/>
      <c r="E7907" s="13"/>
      <c r="F7907" s="13"/>
      <c r="G7907" s="12"/>
      <c r="H7907" s="11"/>
    </row>
    <row r="7908" spans="3:8" x14ac:dyDescent="0.25">
      <c r="C7908" s="12"/>
      <c r="D7908" s="13"/>
      <c r="E7908" s="13"/>
      <c r="F7908" s="13"/>
      <c r="G7908" s="12"/>
      <c r="H7908" s="11"/>
    </row>
    <row r="7909" spans="3:8" x14ac:dyDescent="0.25">
      <c r="C7909" s="12"/>
      <c r="D7909" s="13"/>
      <c r="E7909" s="13"/>
      <c r="F7909" s="13"/>
      <c r="G7909" s="12"/>
      <c r="H7909" s="11"/>
    </row>
    <row r="7910" spans="3:8" x14ac:dyDescent="0.25">
      <c r="C7910" s="12"/>
      <c r="D7910" s="13"/>
      <c r="E7910" s="13"/>
      <c r="F7910" s="13"/>
      <c r="G7910" s="12"/>
      <c r="H7910" s="11"/>
    </row>
    <row r="7911" spans="3:8" x14ac:dyDescent="0.25">
      <c r="C7911" s="12"/>
      <c r="D7911" s="13"/>
      <c r="E7911" s="13"/>
      <c r="F7911" s="13"/>
      <c r="G7911" s="12"/>
      <c r="H7911" s="11"/>
    </row>
    <row r="7912" spans="3:8" x14ac:dyDescent="0.25">
      <c r="C7912" s="12"/>
      <c r="D7912" s="13"/>
      <c r="E7912" s="13"/>
      <c r="F7912" s="13"/>
      <c r="G7912" s="12"/>
      <c r="H7912" s="11"/>
    </row>
    <row r="7913" spans="3:8" x14ac:dyDescent="0.25">
      <c r="C7913" s="12"/>
      <c r="D7913" s="13"/>
      <c r="E7913" s="13"/>
      <c r="F7913" s="13"/>
      <c r="G7913" s="12"/>
      <c r="H7913" s="11"/>
    </row>
    <row r="7914" spans="3:8" x14ac:dyDescent="0.25">
      <c r="C7914" s="12"/>
      <c r="D7914" s="13"/>
      <c r="E7914" s="13"/>
      <c r="F7914" s="13"/>
      <c r="G7914" s="12"/>
      <c r="H7914" s="11"/>
    </row>
    <row r="7915" spans="3:8" x14ac:dyDescent="0.25">
      <c r="C7915" s="12"/>
      <c r="D7915" s="13"/>
      <c r="E7915" s="13"/>
      <c r="F7915" s="13"/>
      <c r="G7915" s="12"/>
      <c r="H7915" s="11"/>
    </row>
    <row r="7916" spans="3:8" x14ac:dyDescent="0.25">
      <c r="C7916" s="12"/>
      <c r="D7916" s="13"/>
      <c r="E7916" s="13"/>
      <c r="F7916" s="13"/>
      <c r="G7916" s="12"/>
      <c r="H7916" s="11"/>
    </row>
    <row r="7917" spans="3:8" x14ac:dyDescent="0.25">
      <c r="C7917" s="12"/>
      <c r="D7917" s="13"/>
      <c r="E7917" s="13"/>
      <c r="F7917" s="13"/>
      <c r="G7917" s="12"/>
      <c r="H7917" s="11"/>
    </row>
    <row r="7918" spans="3:8" x14ac:dyDescent="0.25">
      <c r="C7918" s="12"/>
      <c r="D7918" s="13"/>
      <c r="E7918" s="13"/>
      <c r="F7918" s="13"/>
      <c r="G7918" s="12"/>
      <c r="H7918" s="11"/>
    </row>
    <row r="7919" spans="3:8" x14ac:dyDescent="0.25">
      <c r="C7919" s="12"/>
      <c r="D7919" s="13"/>
      <c r="E7919" s="13"/>
      <c r="F7919" s="13"/>
      <c r="G7919" s="12"/>
      <c r="H7919" s="11"/>
    </row>
    <row r="7920" spans="3:8" x14ac:dyDescent="0.25">
      <c r="C7920" s="12"/>
      <c r="D7920" s="13"/>
      <c r="E7920" s="13"/>
      <c r="F7920" s="13"/>
      <c r="G7920" s="12"/>
      <c r="H7920" s="11"/>
    </row>
    <row r="7921" spans="3:8" x14ac:dyDescent="0.25">
      <c r="C7921" s="12"/>
      <c r="D7921" s="13"/>
      <c r="E7921" s="13"/>
      <c r="F7921" s="13"/>
      <c r="G7921" s="12"/>
      <c r="H7921" s="11"/>
    </row>
    <row r="7922" spans="3:8" x14ac:dyDescent="0.25">
      <c r="C7922" s="12"/>
      <c r="D7922" s="13"/>
      <c r="E7922" s="13"/>
      <c r="F7922" s="13"/>
      <c r="G7922" s="12"/>
      <c r="H7922" s="11"/>
    </row>
    <row r="7923" spans="3:8" x14ac:dyDescent="0.25">
      <c r="C7923" s="12"/>
      <c r="D7923" s="13"/>
      <c r="E7923" s="13"/>
      <c r="F7923" s="13"/>
      <c r="G7923" s="12"/>
      <c r="H7923" s="11"/>
    </row>
    <row r="7924" spans="3:8" x14ac:dyDescent="0.25">
      <c r="C7924" s="12"/>
      <c r="D7924" s="13"/>
      <c r="E7924" s="13"/>
      <c r="F7924" s="13"/>
      <c r="G7924" s="12"/>
      <c r="H7924" s="11"/>
    </row>
    <row r="7925" spans="3:8" x14ac:dyDescent="0.25">
      <c r="C7925" s="12"/>
      <c r="D7925" s="13"/>
      <c r="E7925" s="13"/>
      <c r="F7925" s="13"/>
      <c r="G7925" s="12"/>
      <c r="H7925" s="11"/>
    </row>
    <row r="7926" spans="3:8" x14ac:dyDescent="0.25">
      <c r="C7926" s="12"/>
      <c r="D7926" s="13"/>
      <c r="E7926" s="13"/>
      <c r="F7926" s="13"/>
      <c r="G7926" s="12"/>
      <c r="H7926" s="11"/>
    </row>
    <row r="7927" spans="3:8" x14ac:dyDescent="0.25">
      <c r="C7927" s="12"/>
      <c r="D7927" s="13"/>
      <c r="E7927" s="13"/>
      <c r="F7927" s="13"/>
      <c r="G7927" s="12"/>
      <c r="H7927" s="11"/>
    </row>
    <row r="7928" spans="3:8" x14ac:dyDescent="0.25">
      <c r="C7928" s="12"/>
      <c r="D7928" s="13"/>
      <c r="E7928" s="13"/>
      <c r="F7928" s="13"/>
      <c r="G7928" s="12"/>
      <c r="H7928" s="11"/>
    </row>
    <row r="7929" spans="3:8" x14ac:dyDescent="0.25">
      <c r="C7929" s="12"/>
      <c r="D7929" s="13"/>
      <c r="E7929" s="13"/>
      <c r="F7929" s="13"/>
      <c r="G7929" s="12"/>
      <c r="H7929" s="11"/>
    </row>
    <row r="7930" spans="3:8" x14ac:dyDescent="0.25">
      <c r="C7930" s="12"/>
      <c r="D7930" s="13"/>
      <c r="E7930" s="13"/>
      <c r="F7930" s="13"/>
      <c r="G7930" s="12"/>
      <c r="H7930" s="11"/>
    </row>
    <row r="7931" spans="3:8" x14ac:dyDescent="0.25">
      <c r="C7931" s="12"/>
      <c r="D7931" s="13"/>
      <c r="E7931" s="13"/>
      <c r="F7931" s="13"/>
      <c r="G7931" s="12"/>
      <c r="H7931" s="11"/>
    </row>
    <row r="7932" spans="3:8" x14ac:dyDescent="0.25">
      <c r="C7932" s="12"/>
      <c r="D7932" s="13"/>
      <c r="E7932" s="13"/>
      <c r="F7932" s="13"/>
      <c r="G7932" s="12"/>
      <c r="H7932" s="11"/>
    </row>
    <row r="7933" spans="3:8" x14ac:dyDescent="0.25">
      <c r="C7933" s="12"/>
      <c r="D7933" s="13"/>
      <c r="E7933" s="13"/>
      <c r="F7933" s="13"/>
      <c r="G7933" s="12"/>
      <c r="H7933" s="11"/>
    </row>
    <row r="7934" spans="3:8" x14ac:dyDescent="0.25">
      <c r="C7934" s="12"/>
      <c r="D7934" s="13"/>
      <c r="E7934" s="13"/>
      <c r="F7934" s="13"/>
      <c r="G7934" s="12"/>
      <c r="H7934" s="11"/>
    </row>
    <row r="7935" spans="3:8" x14ac:dyDescent="0.25">
      <c r="C7935" s="12"/>
      <c r="D7935" s="13"/>
      <c r="E7935" s="13"/>
      <c r="F7935" s="13"/>
      <c r="G7935" s="12"/>
      <c r="H7935" s="11"/>
    </row>
    <row r="7936" spans="3:8" x14ac:dyDescent="0.25">
      <c r="C7936" s="12"/>
      <c r="D7936" s="13"/>
      <c r="E7936" s="13"/>
      <c r="F7936" s="13"/>
      <c r="G7936" s="12"/>
      <c r="H7936" s="11"/>
    </row>
    <row r="7937" spans="3:8" x14ac:dyDescent="0.25">
      <c r="C7937" s="12"/>
      <c r="D7937" s="13"/>
      <c r="E7937" s="13"/>
      <c r="F7937" s="13"/>
      <c r="G7937" s="12"/>
      <c r="H7937" s="11"/>
    </row>
    <row r="7938" spans="3:8" x14ac:dyDescent="0.25">
      <c r="C7938" s="12"/>
      <c r="D7938" s="13"/>
      <c r="E7938" s="13"/>
      <c r="F7938" s="13"/>
      <c r="G7938" s="12"/>
      <c r="H7938" s="11"/>
    </row>
    <row r="7939" spans="3:8" x14ac:dyDescent="0.25">
      <c r="C7939" s="12"/>
      <c r="D7939" s="13"/>
      <c r="E7939" s="13"/>
      <c r="F7939" s="13"/>
      <c r="G7939" s="12"/>
      <c r="H7939" s="11"/>
    </row>
    <row r="7940" spans="3:8" x14ac:dyDescent="0.25">
      <c r="C7940" s="12"/>
      <c r="D7940" s="13"/>
      <c r="E7940" s="13"/>
      <c r="F7940" s="13"/>
      <c r="G7940" s="12"/>
      <c r="H7940" s="11"/>
    </row>
    <row r="7941" spans="3:8" x14ac:dyDescent="0.25">
      <c r="C7941" s="12"/>
      <c r="D7941" s="13"/>
      <c r="E7941" s="13"/>
      <c r="F7941" s="13"/>
      <c r="G7941" s="12"/>
      <c r="H7941" s="11"/>
    </row>
    <row r="7942" spans="3:8" x14ac:dyDescent="0.25">
      <c r="C7942" s="12"/>
      <c r="D7942" s="13"/>
      <c r="E7942" s="13"/>
      <c r="F7942" s="13"/>
      <c r="G7942" s="12"/>
      <c r="H7942" s="11"/>
    </row>
    <row r="7943" spans="3:8" x14ac:dyDescent="0.25">
      <c r="C7943" s="12"/>
      <c r="D7943" s="13"/>
      <c r="E7943" s="13"/>
      <c r="F7943" s="13"/>
      <c r="G7943" s="12"/>
      <c r="H7943" s="11"/>
    </row>
    <row r="7944" spans="3:8" x14ac:dyDescent="0.25">
      <c r="C7944" s="12"/>
      <c r="D7944" s="13"/>
      <c r="E7944" s="13"/>
      <c r="F7944" s="13"/>
      <c r="G7944" s="12"/>
      <c r="H7944" s="11"/>
    </row>
    <row r="7945" spans="3:8" x14ac:dyDescent="0.25">
      <c r="C7945" s="12"/>
      <c r="D7945" s="13"/>
      <c r="E7945" s="13"/>
      <c r="F7945" s="13"/>
      <c r="G7945" s="12"/>
      <c r="H7945" s="11"/>
    </row>
    <row r="7946" spans="3:8" x14ac:dyDescent="0.25">
      <c r="C7946" s="12"/>
      <c r="D7946" s="13"/>
      <c r="E7946" s="13"/>
      <c r="F7946" s="13"/>
      <c r="G7946" s="12"/>
      <c r="H7946" s="11"/>
    </row>
    <row r="7947" spans="3:8" x14ac:dyDescent="0.25">
      <c r="C7947" s="12"/>
      <c r="D7947" s="13"/>
      <c r="E7947" s="13"/>
      <c r="F7947" s="13"/>
      <c r="G7947" s="12"/>
      <c r="H7947" s="11"/>
    </row>
    <row r="7948" spans="3:8" x14ac:dyDescent="0.25">
      <c r="C7948" s="12"/>
      <c r="D7948" s="13"/>
      <c r="E7948" s="13"/>
      <c r="F7948" s="13"/>
      <c r="G7948" s="12"/>
      <c r="H7948" s="11"/>
    </row>
    <row r="7949" spans="3:8" x14ac:dyDescent="0.25">
      <c r="C7949" s="12"/>
      <c r="D7949" s="13"/>
      <c r="E7949" s="13"/>
      <c r="F7949" s="13"/>
      <c r="G7949" s="12"/>
      <c r="H7949" s="11"/>
    </row>
    <row r="7950" spans="3:8" x14ac:dyDescent="0.25">
      <c r="C7950" s="12"/>
      <c r="D7950" s="13"/>
      <c r="E7950" s="13"/>
      <c r="F7950" s="13"/>
      <c r="G7950" s="12"/>
      <c r="H7950" s="11"/>
    </row>
    <row r="7951" spans="3:8" x14ac:dyDescent="0.25">
      <c r="C7951" s="12"/>
      <c r="D7951" s="13"/>
      <c r="E7951" s="13"/>
      <c r="F7951" s="13"/>
      <c r="G7951" s="12"/>
      <c r="H7951" s="11"/>
    </row>
    <row r="7952" spans="3:8" x14ac:dyDescent="0.25">
      <c r="C7952" s="12"/>
      <c r="D7952" s="13"/>
      <c r="E7952" s="13"/>
      <c r="F7952" s="13"/>
      <c r="G7952" s="12"/>
      <c r="H7952" s="11"/>
    </row>
    <row r="7953" spans="3:8" x14ac:dyDescent="0.25">
      <c r="C7953" s="12"/>
      <c r="D7953" s="13"/>
      <c r="E7953" s="13"/>
      <c r="F7953" s="13"/>
      <c r="G7953" s="12"/>
      <c r="H7953" s="11"/>
    </row>
    <row r="7954" spans="3:8" x14ac:dyDescent="0.25">
      <c r="C7954" s="12"/>
      <c r="D7954" s="13"/>
      <c r="E7954" s="13"/>
      <c r="F7954" s="13"/>
      <c r="G7954" s="12"/>
      <c r="H7954" s="11"/>
    </row>
    <row r="7955" spans="3:8" x14ac:dyDescent="0.25">
      <c r="C7955" s="12"/>
      <c r="D7955" s="13"/>
      <c r="E7955" s="13"/>
      <c r="F7955" s="13"/>
      <c r="G7955" s="12"/>
      <c r="H7955" s="11"/>
    </row>
    <row r="7956" spans="3:8" x14ac:dyDescent="0.25">
      <c r="C7956" s="12"/>
      <c r="D7956" s="13"/>
      <c r="E7956" s="13"/>
      <c r="F7956" s="13"/>
      <c r="G7956" s="12"/>
      <c r="H7956" s="11"/>
    </row>
    <row r="7957" spans="3:8" x14ac:dyDescent="0.25">
      <c r="C7957" s="12"/>
      <c r="D7957" s="13"/>
      <c r="E7957" s="13"/>
      <c r="F7957" s="13"/>
      <c r="G7957" s="12"/>
      <c r="H7957" s="11"/>
    </row>
    <row r="7958" spans="3:8" x14ac:dyDescent="0.25">
      <c r="C7958" s="12"/>
      <c r="D7958" s="13"/>
      <c r="E7958" s="13"/>
      <c r="F7958" s="13"/>
      <c r="G7958" s="12"/>
      <c r="H7958" s="11"/>
    </row>
    <row r="7959" spans="3:8" x14ac:dyDescent="0.25">
      <c r="C7959" s="12"/>
      <c r="D7959" s="13"/>
      <c r="E7959" s="13"/>
      <c r="F7959" s="13"/>
      <c r="G7959" s="12"/>
      <c r="H7959" s="11"/>
    </row>
    <row r="7960" spans="3:8" x14ac:dyDescent="0.25">
      <c r="C7960" s="12"/>
      <c r="D7960" s="13"/>
      <c r="E7960" s="13"/>
      <c r="F7960" s="13"/>
      <c r="G7960" s="12"/>
      <c r="H7960" s="11"/>
    </row>
    <row r="7961" spans="3:8" x14ac:dyDescent="0.25">
      <c r="C7961" s="12"/>
      <c r="D7961" s="13"/>
      <c r="E7961" s="13"/>
      <c r="F7961" s="13"/>
      <c r="G7961" s="12"/>
      <c r="H7961" s="11"/>
    </row>
    <row r="7962" spans="3:8" x14ac:dyDescent="0.25">
      <c r="C7962" s="12"/>
      <c r="D7962" s="13"/>
      <c r="E7962" s="13"/>
      <c r="F7962" s="13"/>
      <c r="G7962" s="12"/>
      <c r="H7962" s="11"/>
    </row>
    <row r="7963" spans="3:8" x14ac:dyDescent="0.25">
      <c r="C7963" s="12"/>
      <c r="D7963" s="13"/>
      <c r="E7963" s="13"/>
      <c r="F7963" s="13"/>
      <c r="G7963" s="12"/>
      <c r="H7963" s="11"/>
    </row>
    <row r="7964" spans="3:8" x14ac:dyDescent="0.25">
      <c r="C7964" s="12"/>
      <c r="D7964" s="13"/>
      <c r="E7964" s="13"/>
      <c r="F7964" s="13"/>
      <c r="G7964" s="12"/>
      <c r="H7964" s="11"/>
    </row>
    <row r="7965" spans="3:8" x14ac:dyDescent="0.25">
      <c r="C7965" s="12"/>
      <c r="D7965" s="13"/>
      <c r="E7965" s="13"/>
      <c r="F7965" s="13"/>
      <c r="G7965" s="12"/>
      <c r="H7965" s="11"/>
    </row>
    <row r="7966" spans="3:8" x14ac:dyDescent="0.25">
      <c r="C7966" s="12"/>
      <c r="D7966" s="13"/>
      <c r="E7966" s="13"/>
      <c r="F7966" s="13"/>
      <c r="G7966" s="12"/>
      <c r="H7966" s="11"/>
    </row>
    <row r="7967" spans="3:8" x14ac:dyDescent="0.25">
      <c r="C7967" s="12"/>
      <c r="D7967" s="13"/>
      <c r="E7967" s="13"/>
      <c r="F7967" s="13"/>
      <c r="G7967" s="12"/>
      <c r="H7967" s="11"/>
    </row>
    <row r="7968" spans="3:8" x14ac:dyDescent="0.25">
      <c r="C7968" s="12"/>
      <c r="D7968" s="13"/>
      <c r="E7968" s="13"/>
      <c r="F7968" s="13"/>
      <c r="G7968" s="12"/>
      <c r="H7968" s="11"/>
    </row>
    <row r="7969" spans="3:8" x14ac:dyDescent="0.25">
      <c r="C7969" s="12"/>
      <c r="D7969" s="13"/>
      <c r="E7969" s="13"/>
      <c r="F7969" s="13"/>
      <c r="G7969" s="12"/>
      <c r="H7969" s="11"/>
    </row>
    <row r="7970" spans="3:8" x14ac:dyDescent="0.25">
      <c r="C7970" s="12"/>
      <c r="D7970" s="13"/>
      <c r="E7970" s="13"/>
      <c r="F7970" s="13"/>
      <c r="G7970" s="12"/>
      <c r="H7970" s="11"/>
    </row>
    <row r="7971" spans="3:8" x14ac:dyDescent="0.25">
      <c r="C7971" s="12"/>
      <c r="D7971" s="13"/>
      <c r="E7971" s="13"/>
      <c r="F7971" s="13"/>
      <c r="G7971" s="12"/>
      <c r="H7971" s="11"/>
    </row>
    <row r="7972" spans="3:8" x14ac:dyDescent="0.25">
      <c r="C7972" s="12"/>
      <c r="D7972" s="13"/>
      <c r="E7972" s="13"/>
      <c r="F7972" s="13"/>
      <c r="G7972" s="12"/>
      <c r="H7972" s="11"/>
    </row>
    <row r="7973" spans="3:8" x14ac:dyDescent="0.25">
      <c r="C7973" s="12"/>
      <c r="D7973" s="13"/>
      <c r="E7973" s="13"/>
      <c r="F7973" s="13"/>
      <c r="G7973" s="12"/>
      <c r="H7973" s="11"/>
    </row>
    <row r="7974" spans="3:8" x14ac:dyDescent="0.25">
      <c r="C7974" s="12"/>
      <c r="D7974" s="13"/>
      <c r="E7974" s="13"/>
      <c r="F7974" s="13"/>
      <c r="G7974" s="12"/>
      <c r="H7974" s="11"/>
    </row>
    <row r="7975" spans="3:8" x14ac:dyDescent="0.25">
      <c r="C7975" s="12"/>
      <c r="D7975" s="13"/>
      <c r="E7975" s="13"/>
      <c r="F7975" s="13"/>
      <c r="G7975" s="12"/>
      <c r="H7975" s="11"/>
    </row>
    <row r="7976" spans="3:8" x14ac:dyDescent="0.25">
      <c r="C7976" s="12"/>
      <c r="D7976" s="13"/>
      <c r="E7976" s="13"/>
      <c r="F7976" s="13"/>
      <c r="G7976" s="12"/>
      <c r="H7976" s="11"/>
    </row>
    <row r="7977" spans="3:8" x14ac:dyDescent="0.25">
      <c r="C7977" s="12"/>
      <c r="D7977" s="13"/>
      <c r="E7977" s="13"/>
      <c r="F7977" s="13"/>
      <c r="G7977" s="12"/>
      <c r="H7977" s="11"/>
    </row>
    <row r="7978" spans="3:8" x14ac:dyDescent="0.25">
      <c r="C7978" s="12"/>
      <c r="D7978" s="13"/>
      <c r="E7978" s="13"/>
      <c r="F7978" s="13"/>
      <c r="G7978" s="12"/>
      <c r="H7978" s="11"/>
    </row>
    <row r="7979" spans="3:8" x14ac:dyDescent="0.25">
      <c r="C7979" s="12"/>
      <c r="D7979" s="13"/>
      <c r="E7979" s="13"/>
      <c r="F7979" s="13"/>
      <c r="G7979" s="12"/>
      <c r="H7979" s="11"/>
    </row>
    <row r="7980" spans="3:8" x14ac:dyDescent="0.25">
      <c r="C7980" s="12"/>
      <c r="D7980" s="13"/>
      <c r="E7980" s="13"/>
      <c r="F7980" s="13"/>
      <c r="G7980" s="12"/>
      <c r="H7980" s="11"/>
    </row>
    <row r="7981" spans="3:8" x14ac:dyDescent="0.25">
      <c r="C7981" s="12"/>
      <c r="D7981" s="13"/>
      <c r="E7981" s="13"/>
      <c r="F7981" s="13"/>
      <c r="G7981" s="12"/>
      <c r="H7981" s="11"/>
    </row>
    <row r="7982" spans="3:8" x14ac:dyDescent="0.25">
      <c r="C7982" s="12"/>
      <c r="D7982" s="13"/>
      <c r="E7982" s="13"/>
      <c r="F7982" s="13"/>
      <c r="G7982" s="12"/>
      <c r="H7982" s="11"/>
    </row>
    <row r="7983" spans="3:8" x14ac:dyDescent="0.25">
      <c r="C7983" s="12"/>
      <c r="D7983" s="13"/>
      <c r="E7983" s="13"/>
      <c r="F7983" s="13"/>
      <c r="G7983" s="12"/>
      <c r="H7983" s="11"/>
    </row>
    <row r="7984" spans="3:8" x14ac:dyDescent="0.25">
      <c r="C7984" s="12"/>
      <c r="D7984" s="13"/>
      <c r="E7984" s="13"/>
      <c r="F7984" s="13"/>
      <c r="G7984" s="12"/>
      <c r="H7984" s="11"/>
    </row>
    <row r="7985" spans="3:8" x14ac:dyDescent="0.25">
      <c r="C7985" s="12"/>
      <c r="D7985" s="13"/>
      <c r="E7985" s="13"/>
      <c r="F7985" s="13"/>
      <c r="G7985" s="12"/>
      <c r="H7985" s="11"/>
    </row>
    <row r="7986" spans="3:8" x14ac:dyDescent="0.25">
      <c r="C7986" s="12"/>
      <c r="D7986" s="13"/>
      <c r="E7986" s="13"/>
      <c r="F7986" s="13"/>
      <c r="G7986" s="12"/>
      <c r="H7986" s="11"/>
    </row>
    <row r="7987" spans="3:8" x14ac:dyDescent="0.25">
      <c r="C7987" s="12"/>
      <c r="D7987" s="13"/>
      <c r="E7987" s="13"/>
      <c r="F7987" s="13"/>
      <c r="G7987" s="12"/>
      <c r="H7987" s="11"/>
    </row>
    <row r="7988" spans="3:8" x14ac:dyDescent="0.25">
      <c r="C7988" s="12"/>
      <c r="D7988" s="13"/>
      <c r="E7988" s="13"/>
      <c r="F7988" s="13"/>
      <c r="G7988" s="12"/>
      <c r="H7988" s="11"/>
    </row>
    <row r="7989" spans="3:8" x14ac:dyDescent="0.25">
      <c r="C7989" s="12"/>
      <c r="D7989" s="13"/>
      <c r="E7989" s="13"/>
      <c r="F7989" s="13"/>
      <c r="G7989" s="12"/>
      <c r="H7989" s="11"/>
    </row>
    <row r="7990" spans="3:8" x14ac:dyDescent="0.25">
      <c r="C7990" s="12"/>
      <c r="D7990" s="13"/>
      <c r="E7990" s="13"/>
      <c r="F7990" s="13"/>
      <c r="G7990" s="12"/>
      <c r="H7990" s="11"/>
    </row>
    <row r="7991" spans="3:8" x14ac:dyDescent="0.25">
      <c r="C7991" s="12"/>
      <c r="D7991" s="13"/>
      <c r="E7991" s="13"/>
      <c r="F7991" s="13"/>
      <c r="G7991" s="12"/>
      <c r="H7991" s="11"/>
    </row>
    <row r="7992" spans="3:8" x14ac:dyDescent="0.25">
      <c r="C7992" s="12"/>
      <c r="D7992" s="13"/>
      <c r="E7992" s="13"/>
      <c r="F7992" s="13"/>
      <c r="G7992" s="12"/>
      <c r="H7992" s="11"/>
    </row>
    <row r="7993" spans="3:8" x14ac:dyDescent="0.25">
      <c r="C7993" s="12"/>
      <c r="D7993" s="13"/>
      <c r="E7993" s="13"/>
      <c r="F7993" s="13"/>
      <c r="G7993" s="12"/>
      <c r="H7993" s="11"/>
    </row>
    <row r="7994" spans="3:8" x14ac:dyDescent="0.25">
      <c r="C7994" s="12"/>
      <c r="D7994" s="13"/>
      <c r="E7994" s="13"/>
      <c r="F7994" s="13"/>
      <c r="G7994" s="12"/>
      <c r="H7994" s="11"/>
    </row>
    <row r="7995" spans="3:8" x14ac:dyDescent="0.25">
      <c r="C7995" s="12"/>
      <c r="D7995" s="13"/>
      <c r="E7995" s="13"/>
      <c r="F7995" s="13"/>
      <c r="G7995" s="12"/>
      <c r="H7995" s="11"/>
    </row>
    <row r="7996" spans="3:8" x14ac:dyDescent="0.25">
      <c r="C7996" s="12"/>
      <c r="D7996" s="13"/>
      <c r="E7996" s="13"/>
      <c r="F7996" s="13"/>
      <c r="G7996" s="12"/>
      <c r="H7996" s="11"/>
    </row>
    <row r="7997" spans="3:8" x14ac:dyDescent="0.25">
      <c r="C7997" s="12"/>
      <c r="D7997" s="13"/>
      <c r="E7997" s="13"/>
      <c r="F7997" s="13"/>
      <c r="G7997" s="12"/>
      <c r="H7997" s="11"/>
    </row>
    <row r="7998" spans="3:8" x14ac:dyDescent="0.25">
      <c r="C7998" s="12"/>
      <c r="D7998" s="13"/>
      <c r="E7998" s="13"/>
      <c r="F7998" s="13"/>
      <c r="G7998" s="12"/>
      <c r="H7998" s="11"/>
    </row>
    <row r="7999" spans="3:8" x14ac:dyDescent="0.25">
      <c r="C7999" s="12"/>
      <c r="D7999" s="13"/>
      <c r="E7999" s="13"/>
      <c r="F7999" s="13"/>
      <c r="G7999" s="12"/>
      <c r="H7999" s="11"/>
    </row>
    <row r="8000" spans="3:8" x14ac:dyDescent="0.25">
      <c r="C8000" s="12"/>
      <c r="D8000" s="13"/>
      <c r="E8000" s="13"/>
      <c r="F8000" s="13"/>
      <c r="G8000" s="12"/>
      <c r="H8000" s="11"/>
    </row>
    <row r="8001" spans="3:8" x14ac:dyDescent="0.25">
      <c r="C8001" s="12"/>
      <c r="D8001" s="13"/>
      <c r="E8001" s="13"/>
      <c r="F8001" s="13"/>
      <c r="G8001" s="12"/>
      <c r="H8001" s="11"/>
    </row>
    <row r="8002" spans="3:8" x14ac:dyDescent="0.25">
      <c r="C8002" s="12"/>
      <c r="D8002" s="13"/>
      <c r="E8002" s="13"/>
      <c r="F8002" s="13"/>
      <c r="G8002" s="12"/>
      <c r="H8002" s="11"/>
    </row>
    <row r="8003" spans="3:8" x14ac:dyDescent="0.25">
      <c r="C8003" s="12"/>
      <c r="D8003" s="13"/>
      <c r="E8003" s="13"/>
      <c r="F8003" s="13"/>
      <c r="G8003" s="12"/>
      <c r="H8003" s="11"/>
    </row>
    <row r="8004" spans="3:8" x14ac:dyDescent="0.25">
      <c r="C8004" s="12"/>
      <c r="D8004" s="13"/>
      <c r="E8004" s="13"/>
      <c r="F8004" s="13"/>
      <c r="G8004" s="12"/>
      <c r="H8004" s="11"/>
    </row>
    <row r="8005" spans="3:8" x14ac:dyDescent="0.25">
      <c r="C8005" s="12"/>
      <c r="D8005" s="13"/>
      <c r="E8005" s="13"/>
      <c r="F8005" s="13"/>
      <c r="G8005" s="12"/>
      <c r="H8005" s="11"/>
    </row>
    <row r="8006" spans="3:8" x14ac:dyDescent="0.25">
      <c r="C8006" s="12"/>
      <c r="D8006" s="13"/>
      <c r="E8006" s="13"/>
      <c r="F8006" s="13"/>
      <c r="G8006" s="12"/>
      <c r="H8006" s="11"/>
    </row>
    <row r="8007" spans="3:8" x14ac:dyDescent="0.25">
      <c r="C8007" s="12"/>
      <c r="D8007" s="13"/>
      <c r="E8007" s="13"/>
      <c r="F8007" s="13"/>
      <c r="G8007" s="12"/>
      <c r="H8007" s="11"/>
    </row>
    <row r="8008" spans="3:8" x14ac:dyDescent="0.25">
      <c r="C8008" s="12"/>
      <c r="D8008" s="13"/>
      <c r="E8008" s="13"/>
      <c r="F8008" s="13"/>
      <c r="G8008" s="12"/>
      <c r="H8008" s="11"/>
    </row>
    <row r="8009" spans="3:8" x14ac:dyDescent="0.25">
      <c r="C8009" s="12"/>
      <c r="D8009" s="13"/>
      <c r="E8009" s="13"/>
      <c r="F8009" s="13"/>
      <c r="G8009" s="12"/>
      <c r="H8009" s="11"/>
    </row>
    <row r="8010" spans="3:8" x14ac:dyDescent="0.25">
      <c r="C8010" s="12"/>
      <c r="D8010" s="13"/>
      <c r="E8010" s="13"/>
      <c r="F8010" s="13"/>
      <c r="G8010" s="12"/>
      <c r="H8010" s="11"/>
    </row>
    <row r="8011" spans="3:8" x14ac:dyDescent="0.25">
      <c r="C8011" s="12"/>
      <c r="D8011" s="13"/>
      <c r="E8011" s="13"/>
      <c r="F8011" s="13"/>
      <c r="G8011" s="12"/>
      <c r="H8011" s="11"/>
    </row>
    <row r="8012" spans="3:8" x14ac:dyDescent="0.25">
      <c r="C8012" s="12"/>
      <c r="D8012" s="13"/>
      <c r="E8012" s="13"/>
      <c r="F8012" s="13"/>
      <c r="G8012" s="12"/>
      <c r="H8012" s="11"/>
    </row>
    <row r="8013" spans="3:8" x14ac:dyDescent="0.25">
      <c r="C8013" s="12"/>
      <c r="D8013" s="13"/>
      <c r="E8013" s="13"/>
      <c r="F8013" s="13"/>
      <c r="G8013" s="12"/>
      <c r="H8013" s="11"/>
    </row>
    <row r="8014" spans="3:8" x14ac:dyDescent="0.25">
      <c r="C8014" s="12"/>
      <c r="D8014" s="13"/>
      <c r="E8014" s="13"/>
      <c r="F8014" s="13"/>
      <c r="G8014" s="12"/>
      <c r="H8014" s="11"/>
    </row>
    <row r="8015" spans="3:8" x14ac:dyDescent="0.25">
      <c r="C8015" s="12"/>
      <c r="D8015" s="13"/>
      <c r="E8015" s="13"/>
      <c r="F8015" s="13"/>
      <c r="G8015" s="12"/>
      <c r="H8015" s="11"/>
    </row>
    <row r="8016" spans="3:8" x14ac:dyDescent="0.25">
      <c r="C8016" s="12"/>
      <c r="D8016" s="13"/>
      <c r="E8016" s="13"/>
      <c r="F8016" s="13"/>
      <c r="G8016" s="12"/>
      <c r="H8016" s="11"/>
    </row>
    <row r="8017" spans="3:8" x14ac:dyDescent="0.25">
      <c r="C8017" s="12"/>
      <c r="D8017" s="13"/>
      <c r="E8017" s="13"/>
      <c r="F8017" s="13"/>
      <c r="G8017" s="12"/>
      <c r="H8017" s="11"/>
    </row>
    <row r="8018" spans="3:8" x14ac:dyDescent="0.25">
      <c r="C8018" s="12"/>
      <c r="D8018" s="13"/>
      <c r="E8018" s="13"/>
      <c r="F8018" s="13"/>
      <c r="G8018" s="12"/>
      <c r="H8018" s="11"/>
    </row>
    <row r="8019" spans="3:8" x14ac:dyDescent="0.25">
      <c r="C8019" s="12"/>
      <c r="D8019" s="13"/>
      <c r="E8019" s="13"/>
      <c r="F8019" s="13"/>
      <c r="G8019" s="12"/>
      <c r="H8019" s="11"/>
    </row>
    <row r="8020" spans="3:8" x14ac:dyDescent="0.25">
      <c r="C8020" s="12"/>
      <c r="D8020" s="13"/>
      <c r="E8020" s="13"/>
      <c r="F8020" s="13"/>
      <c r="G8020" s="12"/>
      <c r="H8020" s="11"/>
    </row>
    <row r="8021" spans="3:8" x14ac:dyDescent="0.25">
      <c r="C8021" s="12"/>
      <c r="D8021" s="13"/>
      <c r="E8021" s="13"/>
      <c r="F8021" s="13"/>
      <c r="G8021" s="12"/>
      <c r="H8021" s="11"/>
    </row>
    <row r="8022" spans="3:8" x14ac:dyDescent="0.25">
      <c r="C8022" s="12"/>
      <c r="D8022" s="13"/>
      <c r="E8022" s="13"/>
      <c r="F8022" s="13"/>
      <c r="G8022" s="12"/>
      <c r="H8022" s="11"/>
    </row>
    <row r="8023" spans="3:8" x14ac:dyDescent="0.25">
      <c r="C8023" s="12"/>
      <c r="D8023" s="13"/>
      <c r="E8023" s="13"/>
      <c r="F8023" s="13"/>
      <c r="G8023" s="12"/>
      <c r="H8023" s="11"/>
    </row>
    <row r="8024" spans="3:8" x14ac:dyDescent="0.25">
      <c r="C8024" s="12"/>
      <c r="D8024" s="13"/>
      <c r="E8024" s="13"/>
      <c r="F8024" s="13"/>
      <c r="G8024" s="12"/>
      <c r="H8024" s="11"/>
    </row>
    <row r="8025" spans="3:8" x14ac:dyDescent="0.25">
      <c r="C8025" s="12"/>
      <c r="D8025" s="13"/>
      <c r="E8025" s="13"/>
      <c r="F8025" s="13"/>
      <c r="G8025" s="12"/>
      <c r="H8025" s="11"/>
    </row>
    <row r="8026" spans="3:8" x14ac:dyDescent="0.25">
      <c r="C8026" s="12"/>
      <c r="D8026" s="13"/>
      <c r="E8026" s="13"/>
      <c r="F8026" s="13"/>
      <c r="G8026" s="12"/>
      <c r="H8026" s="11"/>
    </row>
    <row r="8027" spans="3:8" x14ac:dyDescent="0.25">
      <c r="C8027" s="12"/>
      <c r="D8027" s="13"/>
      <c r="E8027" s="13"/>
      <c r="F8027" s="13"/>
      <c r="G8027" s="12"/>
      <c r="H8027" s="11"/>
    </row>
    <row r="8028" spans="3:8" x14ac:dyDescent="0.25">
      <c r="C8028" s="12"/>
      <c r="D8028" s="13"/>
      <c r="E8028" s="13"/>
      <c r="F8028" s="13"/>
      <c r="G8028" s="12"/>
      <c r="H8028" s="11"/>
    </row>
    <row r="8029" spans="3:8" x14ac:dyDescent="0.25">
      <c r="C8029" s="12"/>
      <c r="D8029" s="13"/>
      <c r="E8029" s="13"/>
      <c r="F8029" s="13"/>
      <c r="G8029" s="12"/>
      <c r="H8029" s="11"/>
    </row>
    <row r="8030" spans="3:8" x14ac:dyDescent="0.25">
      <c r="C8030" s="12"/>
      <c r="D8030" s="13"/>
      <c r="E8030" s="13"/>
      <c r="F8030" s="13"/>
      <c r="G8030" s="12"/>
      <c r="H8030" s="11"/>
    </row>
    <row r="8031" spans="3:8" x14ac:dyDescent="0.25">
      <c r="C8031" s="12"/>
      <c r="D8031" s="13"/>
      <c r="E8031" s="13"/>
      <c r="F8031" s="13"/>
      <c r="G8031" s="12"/>
      <c r="H8031" s="11"/>
    </row>
    <row r="8032" spans="3:8" x14ac:dyDescent="0.25">
      <c r="C8032" s="12"/>
      <c r="D8032" s="13"/>
      <c r="E8032" s="13"/>
      <c r="F8032" s="13"/>
      <c r="G8032" s="12"/>
      <c r="H8032" s="11"/>
    </row>
    <row r="8033" spans="3:8" x14ac:dyDescent="0.25">
      <c r="C8033" s="12"/>
      <c r="D8033" s="13"/>
      <c r="E8033" s="13"/>
      <c r="F8033" s="13"/>
      <c r="G8033" s="12"/>
      <c r="H8033" s="11"/>
    </row>
    <row r="8034" spans="3:8" x14ac:dyDescent="0.25">
      <c r="C8034" s="12"/>
      <c r="D8034" s="13"/>
      <c r="E8034" s="13"/>
      <c r="F8034" s="13"/>
      <c r="G8034" s="12"/>
      <c r="H8034" s="11"/>
    </row>
    <row r="8035" spans="3:8" x14ac:dyDescent="0.25">
      <c r="C8035" s="12"/>
      <c r="D8035" s="13"/>
      <c r="E8035" s="13"/>
      <c r="F8035" s="13"/>
      <c r="G8035" s="12"/>
      <c r="H8035" s="11"/>
    </row>
    <row r="8036" spans="3:8" x14ac:dyDescent="0.25">
      <c r="C8036" s="12"/>
      <c r="D8036" s="13"/>
      <c r="E8036" s="13"/>
      <c r="F8036" s="13"/>
      <c r="G8036" s="12"/>
      <c r="H8036" s="11"/>
    </row>
    <row r="8037" spans="3:8" x14ac:dyDescent="0.25">
      <c r="C8037" s="12"/>
      <c r="D8037" s="13"/>
      <c r="E8037" s="13"/>
      <c r="F8037" s="13"/>
      <c r="G8037" s="12"/>
      <c r="H8037" s="11"/>
    </row>
    <row r="8038" spans="3:8" x14ac:dyDescent="0.25">
      <c r="C8038" s="12"/>
      <c r="D8038" s="13"/>
      <c r="E8038" s="13"/>
      <c r="F8038" s="13"/>
      <c r="G8038" s="12"/>
      <c r="H8038" s="11"/>
    </row>
    <row r="8039" spans="3:8" x14ac:dyDescent="0.25">
      <c r="C8039" s="12"/>
      <c r="D8039" s="13"/>
      <c r="E8039" s="13"/>
      <c r="F8039" s="13"/>
      <c r="G8039" s="12"/>
      <c r="H8039" s="11"/>
    </row>
    <row r="8040" spans="3:8" x14ac:dyDescent="0.25">
      <c r="C8040" s="12"/>
      <c r="D8040" s="13"/>
      <c r="E8040" s="13"/>
      <c r="F8040" s="13"/>
      <c r="G8040" s="12"/>
      <c r="H8040" s="11"/>
    </row>
    <row r="8041" spans="3:8" x14ac:dyDescent="0.25">
      <c r="C8041" s="12"/>
      <c r="D8041" s="13"/>
      <c r="E8041" s="13"/>
      <c r="F8041" s="13"/>
      <c r="G8041" s="12"/>
      <c r="H8041" s="11"/>
    </row>
    <row r="8042" spans="3:8" x14ac:dyDescent="0.25">
      <c r="C8042" s="12"/>
      <c r="D8042" s="13"/>
      <c r="E8042" s="13"/>
      <c r="F8042" s="13"/>
      <c r="G8042" s="12"/>
      <c r="H8042" s="11"/>
    </row>
    <row r="8043" spans="3:8" x14ac:dyDescent="0.25">
      <c r="C8043" s="12"/>
      <c r="D8043" s="13"/>
      <c r="E8043" s="13"/>
      <c r="F8043" s="13"/>
      <c r="G8043" s="12"/>
      <c r="H8043" s="11"/>
    </row>
    <row r="8044" spans="3:8" x14ac:dyDescent="0.25">
      <c r="C8044" s="12"/>
      <c r="D8044" s="13"/>
      <c r="E8044" s="13"/>
      <c r="F8044" s="13"/>
      <c r="G8044" s="12"/>
      <c r="H8044" s="11"/>
    </row>
    <row r="8045" spans="3:8" x14ac:dyDescent="0.25">
      <c r="C8045" s="12"/>
      <c r="D8045" s="13"/>
      <c r="E8045" s="13"/>
      <c r="F8045" s="13"/>
      <c r="G8045" s="12"/>
      <c r="H8045" s="11"/>
    </row>
    <row r="8046" spans="3:8" x14ac:dyDescent="0.25">
      <c r="C8046" s="12"/>
      <c r="D8046" s="13"/>
      <c r="E8046" s="13"/>
      <c r="F8046" s="13"/>
      <c r="G8046" s="12"/>
      <c r="H8046" s="11"/>
    </row>
    <row r="8047" spans="3:8" x14ac:dyDescent="0.25">
      <c r="C8047" s="12"/>
      <c r="D8047" s="13"/>
      <c r="E8047" s="13"/>
      <c r="F8047" s="13"/>
      <c r="G8047" s="12"/>
      <c r="H8047" s="11"/>
    </row>
    <row r="8048" spans="3:8" x14ac:dyDescent="0.25">
      <c r="C8048" s="12"/>
      <c r="D8048" s="13"/>
      <c r="E8048" s="13"/>
      <c r="F8048" s="13"/>
      <c r="G8048" s="12"/>
      <c r="H8048" s="11"/>
    </row>
    <row r="8049" spans="3:8" x14ac:dyDescent="0.25">
      <c r="C8049" s="12"/>
      <c r="D8049" s="13"/>
      <c r="E8049" s="13"/>
      <c r="F8049" s="13"/>
      <c r="G8049" s="12"/>
      <c r="H8049" s="11"/>
    </row>
    <row r="8050" spans="3:8" x14ac:dyDescent="0.25">
      <c r="C8050" s="12"/>
      <c r="D8050" s="13"/>
      <c r="E8050" s="13"/>
      <c r="F8050" s="13"/>
      <c r="G8050" s="12"/>
      <c r="H8050" s="11"/>
    </row>
    <row r="8051" spans="3:8" x14ac:dyDescent="0.25">
      <c r="C8051" s="12"/>
      <c r="D8051" s="13"/>
      <c r="E8051" s="13"/>
      <c r="F8051" s="13"/>
      <c r="G8051" s="12"/>
      <c r="H8051" s="11"/>
    </row>
    <row r="8052" spans="3:8" x14ac:dyDescent="0.25">
      <c r="C8052" s="12"/>
      <c r="D8052" s="13"/>
      <c r="E8052" s="13"/>
      <c r="F8052" s="13"/>
      <c r="G8052" s="12"/>
      <c r="H8052" s="11"/>
    </row>
    <row r="8053" spans="3:8" x14ac:dyDescent="0.25">
      <c r="C8053" s="12"/>
      <c r="D8053" s="13"/>
      <c r="E8053" s="13"/>
      <c r="F8053" s="13"/>
      <c r="G8053" s="12"/>
      <c r="H8053" s="11"/>
    </row>
    <row r="8054" spans="3:8" x14ac:dyDescent="0.25">
      <c r="C8054" s="12"/>
      <c r="D8054" s="13"/>
      <c r="E8054" s="13"/>
      <c r="F8054" s="13"/>
      <c r="G8054" s="12"/>
      <c r="H8054" s="11"/>
    </row>
    <row r="8055" spans="3:8" x14ac:dyDescent="0.25">
      <c r="C8055" s="12"/>
      <c r="D8055" s="13"/>
      <c r="E8055" s="13"/>
      <c r="F8055" s="13"/>
      <c r="G8055" s="12"/>
      <c r="H8055" s="11"/>
    </row>
    <row r="8056" spans="3:8" x14ac:dyDescent="0.25">
      <c r="C8056" s="12"/>
      <c r="D8056" s="13"/>
      <c r="E8056" s="13"/>
      <c r="F8056" s="13"/>
      <c r="G8056" s="12"/>
      <c r="H8056" s="11"/>
    </row>
    <row r="8057" spans="3:8" x14ac:dyDescent="0.25">
      <c r="C8057" s="12"/>
      <c r="D8057" s="13"/>
      <c r="E8057" s="13"/>
      <c r="F8057" s="13"/>
      <c r="G8057" s="12"/>
      <c r="H8057" s="11"/>
    </row>
    <row r="8058" spans="3:8" x14ac:dyDescent="0.25">
      <c r="C8058" s="12"/>
      <c r="D8058" s="13"/>
      <c r="E8058" s="13"/>
      <c r="F8058" s="13"/>
      <c r="G8058" s="12"/>
      <c r="H8058" s="11"/>
    </row>
    <row r="8059" spans="3:8" x14ac:dyDescent="0.25">
      <c r="C8059" s="12"/>
      <c r="D8059" s="13"/>
      <c r="E8059" s="13"/>
      <c r="F8059" s="13"/>
      <c r="G8059" s="12"/>
      <c r="H8059" s="11"/>
    </row>
    <row r="8060" spans="3:8" x14ac:dyDescent="0.25">
      <c r="C8060" s="12"/>
      <c r="D8060" s="13"/>
      <c r="E8060" s="13"/>
      <c r="F8060" s="13"/>
      <c r="G8060" s="12"/>
      <c r="H8060" s="11"/>
    </row>
    <row r="8061" spans="3:8" x14ac:dyDescent="0.25">
      <c r="C8061" s="12"/>
      <c r="D8061" s="13"/>
      <c r="E8061" s="13"/>
      <c r="F8061" s="13"/>
      <c r="G8061" s="12"/>
      <c r="H8061" s="11"/>
    </row>
    <row r="8062" spans="3:8" x14ac:dyDescent="0.25">
      <c r="C8062" s="12"/>
      <c r="D8062" s="13"/>
      <c r="E8062" s="13"/>
      <c r="F8062" s="13"/>
      <c r="G8062" s="12"/>
      <c r="H8062" s="11"/>
    </row>
    <row r="8063" spans="3:8" x14ac:dyDescent="0.25">
      <c r="C8063" s="12"/>
      <c r="D8063" s="13"/>
      <c r="E8063" s="13"/>
      <c r="F8063" s="13"/>
      <c r="G8063" s="12"/>
      <c r="H8063" s="11"/>
    </row>
    <row r="8064" spans="3:8" x14ac:dyDescent="0.25">
      <c r="C8064" s="12"/>
      <c r="D8064" s="13"/>
      <c r="E8064" s="13"/>
      <c r="F8064" s="13"/>
      <c r="G8064" s="12"/>
      <c r="H8064" s="11"/>
    </row>
    <row r="8065" spans="3:8" x14ac:dyDescent="0.25">
      <c r="C8065" s="12"/>
      <c r="D8065" s="13"/>
      <c r="E8065" s="13"/>
      <c r="F8065" s="13"/>
      <c r="G8065" s="12"/>
      <c r="H8065" s="11"/>
    </row>
    <row r="8066" spans="3:8" x14ac:dyDescent="0.25">
      <c r="C8066" s="12"/>
      <c r="D8066" s="13"/>
      <c r="E8066" s="13"/>
      <c r="F8066" s="13"/>
      <c r="G8066" s="12"/>
      <c r="H8066" s="11"/>
    </row>
    <row r="8067" spans="3:8" x14ac:dyDescent="0.25">
      <c r="C8067" s="12"/>
      <c r="D8067" s="13"/>
      <c r="E8067" s="13"/>
      <c r="F8067" s="13"/>
      <c r="G8067" s="12"/>
      <c r="H8067" s="11"/>
    </row>
    <row r="8068" spans="3:8" x14ac:dyDescent="0.25">
      <c r="C8068" s="12"/>
      <c r="D8068" s="13"/>
      <c r="E8068" s="13"/>
      <c r="F8068" s="13"/>
      <c r="G8068" s="12"/>
      <c r="H8068" s="11"/>
    </row>
    <row r="8069" spans="3:8" x14ac:dyDescent="0.25">
      <c r="C8069" s="12"/>
      <c r="D8069" s="13"/>
      <c r="E8069" s="13"/>
      <c r="F8069" s="13"/>
      <c r="G8069" s="12"/>
      <c r="H8069" s="11"/>
    </row>
    <row r="8070" spans="3:8" x14ac:dyDescent="0.25">
      <c r="C8070" s="12"/>
      <c r="D8070" s="13"/>
      <c r="E8070" s="13"/>
      <c r="F8070" s="13"/>
      <c r="G8070" s="12"/>
      <c r="H8070" s="11"/>
    </row>
    <row r="8071" spans="3:8" x14ac:dyDescent="0.25">
      <c r="C8071" s="12"/>
      <c r="D8071" s="13"/>
      <c r="E8071" s="13"/>
      <c r="F8071" s="13"/>
      <c r="G8071" s="12"/>
      <c r="H8071" s="11"/>
    </row>
    <row r="8072" spans="3:8" x14ac:dyDescent="0.25">
      <c r="C8072" s="12"/>
      <c r="D8072" s="13"/>
      <c r="E8072" s="13"/>
      <c r="F8072" s="13"/>
      <c r="G8072" s="12"/>
      <c r="H8072" s="11"/>
    </row>
    <row r="8073" spans="3:8" x14ac:dyDescent="0.25">
      <c r="C8073" s="12"/>
      <c r="D8073" s="13"/>
      <c r="E8073" s="13"/>
      <c r="F8073" s="13"/>
      <c r="G8073" s="12"/>
      <c r="H8073" s="11"/>
    </row>
    <row r="8074" spans="3:8" x14ac:dyDescent="0.25">
      <c r="C8074" s="12"/>
      <c r="D8074" s="13"/>
      <c r="E8074" s="13"/>
      <c r="F8074" s="13"/>
      <c r="G8074" s="12"/>
      <c r="H8074" s="11"/>
    </row>
    <row r="8075" spans="3:8" x14ac:dyDescent="0.25">
      <c r="C8075" s="12"/>
      <c r="D8075" s="13"/>
      <c r="E8075" s="13"/>
      <c r="F8075" s="13"/>
      <c r="G8075" s="12"/>
      <c r="H8075" s="11"/>
    </row>
    <row r="8076" spans="3:8" x14ac:dyDescent="0.25">
      <c r="C8076" s="12"/>
      <c r="D8076" s="13"/>
      <c r="E8076" s="13"/>
      <c r="F8076" s="13"/>
      <c r="G8076" s="12"/>
      <c r="H8076" s="11"/>
    </row>
    <row r="8077" spans="3:8" x14ac:dyDescent="0.25">
      <c r="C8077" s="12"/>
      <c r="D8077" s="13"/>
      <c r="E8077" s="13"/>
      <c r="F8077" s="13"/>
      <c r="G8077" s="12"/>
      <c r="H8077" s="11"/>
    </row>
    <row r="8078" spans="3:8" x14ac:dyDescent="0.25">
      <c r="C8078" s="12"/>
      <c r="D8078" s="13"/>
      <c r="E8078" s="13"/>
      <c r="F8078" s="13"/>
      <c r="G8078" s="12"/>
      <c r="H8078" s="11"/>
    </row>
    <row r="8079" spans="3:8" x14ac:dyDescent="0.25">
      <c r="C8079" s="12"/>
      <c r="D8079" s="13"/>
      <c r="E8079" s="13"/>
      <c r="F8079" s="13"/>
      <c r="G8079" s="12"/>
      <c r="H8079" s="11"/>
    </row>
    <row r="8080" spans="3:8" x14ac:dyDescent="0.25">
      <c r="C8080" s="12"/>
      <c r="D8080" s="13"/>
      <c r="E8080" s="13"/>
      <c r="F8080" s="13"/>
      <c r="G8080" s="12"/>
      <c r="H8080" s="11"/>
    </row>
    <row r="8081" spans="3:8" x14ac:dyDescent="0.25">
      <c r="C8081" s="12"/>
      <c r="D8081" s="13"/>
      <c r="E8081" s="13"/>
      <c r="F8081" s="13"/>
      <c r="G8081" s="12"/>
      <c r="H8081" s="11"/>
    </row>
    <row r="8082" spans="3:8" x14ac:dyDescent="0.25">
      <c r="C8082" s="12"/>
      <c r="D8082" s="13"/>
      <c r="E8082" s="13"/>
      <c r="F8082" s="13"/>
      <c r="G8082" s="12"/>
      <c r="H8082" s="11"/>
    </row>
    <row r="8083" spans="3:8" x14ac:dyDescent="0.25">
      <c r="C8083" s="12"/>
      <c r="D8083" s="13"/>
      <c r="E8083" s="13"/>
      <c r="F8083" s="13"/>
      <c r="G8083" s="12"/>
      <c r="H8083" s="11"/>
    </row>
    <row r="8084" spans="3:8" x14ac:dyDescent="0.25">
      <c r="C8084" s="12"/>
      <c r="D8084" s="13"/>
      <c r="E8084" s="13"/>
      <c r="F8084" s="13"/>
      <c r="G8084" s="12"/>
      <c r="H8084" s="11"/>
    </row>
    <row r="8085" spans="3:8" x14ac:dyDescent="0.25">
      <c r="C8085" s="12"/>
      <c r="D8085" s="13"/>
      <c r="E8085" s="13"/>
      <c r="F8085" s="13"/>
      <c r="G8085" s="12"/>
      <c r="H8085" s="11"/>
    </row>
    <row r="8086" spans="3:8" x14ac:dyDescent="0.25">
      <c r="C8086" s="12"/>
      <c r="D8086" s="13"/>
      <c r="E8086" s="13"/>
      <c r="F8086" s="13"/>
      <c r="G8086" s="12"/>
      <c r="H8086" s="11"/>
    </row>
    <row r="8087" spans="3:8" x14ac:dyDescent="0.25">
      <c r="C8087" s="12"/>
      <c r="D8087" s="13"/>
      <c r="E8087" s="13"/>
      <c r="F8087" s="13"/>
      <c r="G8087" s="12"/>
      <c r="H8087" s="11"/>
    </row>
    <row r="8088" spans="3:8" x14ac:dyDescent="0.25">
      <c r="C8088" s="12"/>
      <c r="D8088" s="13"/>
      <c r="E8088" s="13"/>
      <c r="F8088" s="13"/>
      <c r="G8088" s="12"/>
      <c r="H8088" s="11"/>
    </row>
    <row r="8089" spans="3:8" x14ac:dyDescent="0.25">
      <c r="C8089" s="12"/>
      <c r="D8089" s="13"/>
      <c r="E8089" s="13"/>
      <c r="F8089" s="13"/>
      <c r="G8089" s="12"/>
      <c r="H8089" s="11"/>
    </row>
    <row r="8090" spans="3:8" x14ac:dyDescent="0.25">
      <c r="C8090" s="12"/>
      <c r="D8090" s="13"/>
      <c r="E8090" s="13"/>
      <c r="F8090" s="13"/>
      <c r="G8090" s="12"/>
      <c r="H8090" s="11"/>
    </row>
    <row r="8091" spans="3:8" x14ac:dyDescent="0.25">
      <c r="C8091" s="12"/>
      <c r="D8091" s="13"/>
      <c r="E8091" s="13"/>
      <c r="F8091" s="13"/>
      <c r="G8091" s="12"/>
      <c r="H8091" s="11"/>
    </row>
    <row r="8092" spans="3:8" x14ac:dyDescent="0.25">
      <c r="C8092" s="12"/>
      <c r="D8092" s="13"/>
      <c r="E8092" s="13"/>
      <c r="F8092" s="13"/>
      <c r="G8092" s="12"/>
      <c r="H8092" s="11"/>
    </row>
    <row r="8093" spans="3:8" x14ac:dyDescent="0.25">
      <c r="C8093" s="12"/>
      <c r="D8093" s="13"/>
      <c r="E8093" s="13"/>
      <c r="F8093" s="13"/>
      <c r="G8093" s="12"/>
      <c r="H8093" s="11"/>
    </row>
    <row r="8094" spans="3:8" x14ac:dyDescent="0.25">
      <c r="C8094" s="12"/>
      <c r="D8094" s="13"/>
      <c r="E8094" s="13"/>
      <c r="F8094" s="13"/>
      <c r="G8094" s="12"/>
      <c r="H8094" s="11"/>
    </row>
    <row r="8095" spans="3:8" x14ac:dyDescent="0.25">
      <c r="C8095" s="12"/>
      <c r="D8095" s="13"/>
      <c r="E8095" s="13"/>
      <c r="F8095" s="13"/>
      <c r="G8095" s="12"/>
      <c r="H8095" s="11"/>
    </row>
    <row r="8096" spans="3:8" x14ac:dyDescent="0.25">
      <c r="C8096" s="12"/>
      <c r="D8096" s="13"/>
      <c r="E8096" s="13"/>
      <c r="F8096" s="13"/>
      <c r="G8096" s="12"/>
      <c r="H8096" s="11"/>
    </row>
    <row r="8097" spans="3:8" x14ac:dyDescent="0.25">
      <c r="C8097" s="12"/>
      <c r="D8097" s="13"/>
      <c r="E8097" s="13"/>
      <c r="F8097" s="13"/>
      <c r="G8097" s="12"/>
      <c r="H8097" s="11"/>
    </row>
    <row r="8098" spans="3:8" x14ac:dyDescent="0.25">
      <c r="C8098" s="12"/>
      <c r="D8098" s="13"/>
      <c r="E8098" s="13"/>
      <c r="F8098" s="13"/>
      <c r="G8098" s="12"/>
      <c r="H8098" s="11"/>
    </row>
    <row r="8099" spans="3:8" x14ac:dyDescent="0.25">
      <c r="C8099" s="12"/>
      <c r="D8099" s="13"/>
      <c r="E8099" s="13"/>
      <c r="F8099" s="13"/>
      <c r="G8099" s="12"/>
      <c r="H8099" s="11"/>
    </row>
    <row r="8100" spans="3:8" x14ac:dyDescent="0.25">
      <c r="C8100" s="12"/>
      <c r="D8100" s="13"/>
      <c r="E8100" s="13"/>
      <c r="F8100" s="13"/>
      <c r="G8100" s="12"/>
      <c r="H8100" s="11"/>
    </row>
    <row r="8101" spans="3:8" x14ac:dyDescent="0.25">
      <c r="C8101" s="12"/>
      <c r="D8101" s="13"/>
      <c r="E8101" s="13"/>
      <c r="F8101" s="13"/>
      <c r="G8101" s="12"/>
      <c r="H8101" s="11"/>
    </row>
    <row r="8102" spans="3:8" x14ac:dyDescent="0.25">
      <c r="C8102" s="12"/>
      <c r="D8102" s="13"/>
      <c r="E8102" s="13"/>
      <c r="F8102" s="13"/>
      <c r="G8102" s="12"/>
      <c r="H8102" s="11"/>
    </row>
    <row r="8103" spans="3:8" x14ac:dyDescent="0.25">
      <c r="C8103" s="12"/>
      <c r="D8103" s="13"/>
      <c r="E8103" s="13"/>
      <c r="F8103" s="13"/>
      <c r="G8103" s="12"/>
      <c r="H8103" s="11"/>
    </row>
    <row r="8104" spans="3:8" x14ac:dyDescent="0.25">
      <c r="C8104" s="12"/>
      <c r="D8104" s="13"/>
      <c r="E8104" s="13"/>
      <c r="F8104" s="13"/>
      <c r="G8104" s="12"/>
      <c r="H8104" s="11"/>
    </row>
    <row r="8105" spans="3:8" x14ac:dyDescent="0.25">
      <c r="C8105" s="12"/>
      <c r="D8105" s="13"/>
      <c r="E8105" s="13"/>
      <c r="F8105" s="13"/>
      <c r="G8105" s="12"/>
      <c r="H8105" s="11"/>
    </row>
    <row r="8106" spans="3:8" x14ac:dyDescent="0.25">
      <c r="C8106" s="12"/>
      <c r="D8106" s="13"/>
      <c r="E8106" s="13"/>
      <c r="F8106" s="13"/>
      <c r="G8106" s="12"/>
      <c r="H8106" s="11"/>
    </row>
    <row r="8107" spans="3:8" x14ac:dyDescent="0.25">
      <c r="C8107" s="12"/>
      <c r="D8107" s="13"/>
      <c r="E8107" s="13"/>
      <c r="F8107" s="13"/>
      <c r="G8107" s="12"/>
      <c r="H8107" s="11"/>
    </row>
    <row r="8108" spans="3:8" x14ac:dyDescent="0.25">
      <c r="C8108" s="12"/>
      <c r="D8108" s="13"/>
      <c r="E8108" s="13"/>
      <c r="F8108" s="13"/>
      <c r="G8108" s="12"/>
      <c r="H8108" s="11"/>
    </row>
    <row r="8109" spans="3:8" x14ac:dyDescent="0.25">
      <c r="C8109" s="12"/>
      <c r="D8109" s="13"/>
      <c r="E8109" s="13"/>
      <c r="F8109" s="13"/>
      <c r="G8109" s="12"/>
      <c r="H8109" s="11"/>
    </row>
    <row r="8110" spans="3:8" x14ac:dyDescent="0.25">
      <c r="C8110" s="12"/>
      <c r="D8110" s="13"/>
      <c r="E8110" s="13"/>
      <c r="F8110" s="13"/>
      <c r="G8110" s="12"/>
      <c r="H8110" s="11"/>
    </row>
    <row r="8111" spans="3:8" x14ac:dyDescent="0.25">
      <c r="C8111" s="12"/>
      <c r="D8111" s="13"/>
      <c r="E8111" s="13"/>
      <c r="F8111" s="13"/>
      <c r="G8111" s="12"/>
      <c r="H8111" s="11"/>
    </row>
    <row r="8112" spans="3:8" x14ac:dyDescent="0.25">
      <c r="C8112" s="12"/>
      <c r="D8112" s="13"/>
      <c r="E8112" s="13"/>
      <c r="F8112" s="13"/>
      <c r="G8112" s="12"/>
      <c r="H8112" s="11"/>
    </row>
    <row r="8113" spans="3:8" x14ac:dyDescent="0.25">
      <c r="C8113" s="12"/>
      <c r="D8113" s="13"/>
      <c r="E8113" s="13"/>
      <c r="F8113" s="13"/>
      <c r="G8113" s="12"/>
      <c r="H8113" s="11"/>
    </row>
    <row r="8114" spans="3:8" x14ac:dyDescent="0.25">
      <c r="C8114" s="12"/>
      <c r="D8114" s="13"/>
      <c r="E8114" s="13"/>
      <c r="F8114" s="13"/>
      <c r="G8114" s="12"/>
      <c r="H8114" s="11"/>
    </row>
    <row r="8115" spans="3:8" x14ac:dyDescent="0.25">
      <c r="C8115" s="12"/>
      <c r="D8115" s="13"/>
      <c r="E8115" s="13"/>
      <c r="F8115" s="13"/>
      <c r="G8115" s="12"/>
      <c r="H8115" s="11"/>
    </row>
    <row r="8116" spans="3:8" x14ac:dyDescent="0.25">
      <c r="C8116" s="12"/>
      <c r="D8116" s="13"/>
      <c r="E8116" s="13"/>
      <c r="F8116" s="13"/>
      <c r="G8116" s="12"/>
      <c r="H8116" s="11"/>
    </row>
    <row r="8117" spans="3:8" x14ac:dyDescent="0.25">
      <c r="C8117" s="12"/>
      <c r="D8117" s="13"/>
      <c r="E8117" s="13"/>
      <c r="F8117" s="13"/>
      <c r="G8117" s="12"/>
      <c r="H8117" s="11"/>
    </row>
    <row r="8118" spans="3:8" x14ac:dyDescent="0.25">
      <c r="C8118" s="12"/>
      <c r="D8118" s="13"/>
      <c r="E8118" s="13"/>
      <c r="F8118" s="13"/>
      <c r="G8118" s="12"/>
      <c r="H8118" s="11"/>
    </row>
    <row r="8119" spans="3:8" x14ac:dyDescent="0.25">
      <c r="C8119" s="12"/>
      <c r="D8119" s="13"/>
      <c r="E8119" s="13"/>
      <c r="F8119" s="13"/>
      <c r="G8119" s="12"/>
      <c r="H8119" s="11"/>
    </row>
    <row r="8120" spans="3:8" x14ac:dyDescent="0.25">
      <c r="C8120" s="12"/>
      <c r="D8120" s="13"/>
      <c r="E8120" s="13"/>
      <c r="F8120" s="13"/>
      <c r="G8120" s="12"/>
      <c r="H8120" s="11"/>
    </row>
    <row r="8121" spans="3:8" x14ac:dyDescent="0.25">
      <c r="C8121" s="12"/>
      <c r="D8121" s="13"/>
      <c r="E8121" s="13"/>
      <c r="F8121" s="13"/>
      <c r="G8121" s="12"/>
      <c r="H8121" s="11"/>
    </row>
    <row r="8122" spans="3:8" x14ac:dyDescent="0.25">
      <c r="C8122" s="12"/>
      <c r="D8122" s="13"/>
      <c r="E8122" s="13"/>
      <c r="F8122" s="13"/>
      <c r="G8122" s="12"/>
      <c r="H8122" s="11"/>
    </row>
    <row r="8123" spans="3:8" x14ac:dyDescent="0.25">
      <c r="C8123" s="12"/>
      <c r="D8123" s="13"/>
      <c r="E8123" s="13"/>
      <c r="F8123" s="13"/>
      <c r="G8123" s="12"/>
      <c r="H8123" s="11"/>
    </row>
    <row r="8124" spans="3:8" x14ac:dyDescent="0.25">
      <c r="C8124" s="12"/>
      <c r="D8124" s="13"/>
      <c r="E8124" s="13"/>
      <c r="F8124" s="13"/>
      <c r="G8124" s="12"/>
      <c r="H8124" s="11"/>
    </row>
    <row r="8125" spans="3:8" x14ac:dyDescent="0.25">
      <c r="C8125" s="12"/>
      <c r="D8125" s="13"/>
      <c r="E8125" s="13"/>
      <c r="F8125" s="13"/>
      <c r="G8125" s="12"/>
      <c r="H8125" s="11"/>
    </row>
    <row r="8126" spans="3:8" x14ac:dyDescent="0.25">
      <c r="C8126" s="12"/>
      <c r="D8126" s="13"/>
      <c r="E8126" s="13"/>
      <c r="F8126" s="13"/>
      <c r="G8126" s="12"/>
      <c r="H8126" s="11"/>
    </row>
    <row r="8127" spans="3:8" x14ac:dyDescent="0.25">
      <c r="C8127" s="12"/>
      <c r="D8127" s="13"/>
      <c r="E8127" s="13"/>
      <c r="F8127" s="13"/>
      <c r="G8127" s="12"/>
      <c r="H8127" s="11"/>
    </row>
    <row r="8128" spans="3:8" x14ac:dyDescent="0.25">
      <c r="C8128" s="12"/>
      <c r="D8128" s="13"/>
      <c r="E8128" s="13"/>
      <c r="F8128" s="13"/>
      <c r="G8128" s="12"/>
      <c r="H8128" s="11"/>
    </row>
    <row r="8129" spans="3:8" x14ac:dyDescent="0.25">
      <c r="C8129" s="12"/>
      <c r="D8129" s="13"/>
      <c r="E8129" s="13"/>
      <c r="F8129" s="13"/>
      <c r="G8129" s="12"/>
      <c r="H8129" s="11"/>
    </row>
    <row r="8130" spans="3:8" x14ac:dyDescent="0.25">
      <c r="C8130" s="12"/>
      <c r="D8130" s="13"/>
      <c r="E8130" s="13"/>
      <c r="F8130" s="13"/>
      <c r="G8130" s="12"/>
      <c r="H8130" s="11"/>
    </row>
    <row r="8131" spans="3:8" x14ac:dyDescent="0.25">
      <c r="C8131" s="12"/>
      <c r="D8131" s="13"/>
      <c r="E8131" s="13"/>
      <c r="F8131" s="13"/>
      <c r="G8131" s="12"/>
      <c r="H8131" s="11"/>
    </row>
    <row r="8132" spans="3:8" x14ac:dyDescent="0.25">
      <c r="C8132" s="12"/>
      <c r="D8132" s="13"/>
      <c r="E8132" s="13"/>
      <c r="F8132" s="13"/>
      <c r="G8132" s="12"/>
      <c r="H8132" s="11"/>
    </row>
    <row r="8133" spans="3:8" x14ac:dyDescent="0.25">
      <c r="C8133" s="12"/>
      <c r="D8133" s="13"/>
      <c r="E8133" s="13"/>
      <c r="F8133" s="13"/>
      <c r="G8133" s="12"/>
      <c r="H8133" s="11"/>
    </row>
    <row r="8134" spans="3:8" x14ac:dyDescent="0.25">
      <c r="C8134" s="12"/>
      <c r="D8134" s="13"/>
      <c r="E8134" s="13"/>
      <c r="F8134" s="13"/>
      <c r="G8134" s="12"/>
      <c r="H8134" s="11"/>
    </row>
    <row r="8135" spans="3:8" x14ac:dyDescent="0.25">
      <c r="C8135" s="12"/>
      <c r="D8135" s="13"/>
      <c r="E8135" s="13"/>
      <c r="F8135" s="13"/>
      <c r="G8135" s="12"/>
      <c r="H8135" s="11"/>
    </row>
    <row r="8136" spans="3:8" x14ac:dyDescent="0.25">
      <c r="C8136" s="12"/>
      <c r="D8136" s="13"/>
      <c r="E8136" s="13"/>
      <c r="F8136" s="13"/>
      <c r="G8136" s="12"/>
      <c r="H8136" s="11"/>
    </row>
    <row r="8137" spans="3:8" x14ac:dyDescent="0.25">
      <c r="C8137" s="12"/>
      <c r="D8137" s="13"/>
      <c r="E8137" s="13"/>
      <c r="F8137" s="13"/>
      <c r="G8137" s="12"/>
      <c r="H8137" s="11"/>
    </row>
    <row r="8138" spans="3:8" x14ac:dyDescent="0.25">
      <c r="C8138" s="12"/>
      <c r="D8138" s="13"/>
      <c r="E8138" s="13"/>
      <c r="F8138" s="13"/>
      <c r="G8138" s="12"/>
      <c r="H8138" s="11"/>
    </row>
    <row r="8139" spans="3:8" x14ac:dyDescent="0.25">
      <c r="C8139" s="12"/>
      <c r="D8139" s="13"/>
      <c r="E8139" s="13"/>
      <c r="F8139" s="13"/>
      <c r="G8139" s="12"/>
      <c r="H8139" s="11"/>
    </row>
    <row r="8140" spans="3:8" x14ac:dyDescent="0.25">
      <c r="C8140" s="12"/>
      <c r="D8140" s="13"/>
      <c r="E8140" s="13"/>
      <c r="F8140" s="13"/>
      <c r="G8140" s="12"/>
      <c r="H8140" s="11"/>
    </row>
    <row r="8141" spans="3:8" x14ac:dyDescent="0.25">
      <c r="C8141" s="12"/>
      <c r="D8141" s="13"/>
      <c r="E8141" s="13"/>
      <c r="F8141" s="13"/>
      <c r="G8141" s="12"/>
      <c r="H8141" s="11"/>
    </row>
    <row r="8142" spans="3:8" x14ac:dyDescent="0.25">
      <c r="C8142" s="12"/>
      <c r="D8142" s="13"/>
      <c r="E8142" s="13"/>
      <c r="F8142" s="13"/>
      <c r="G8142" s="12"/>
      <c r="H8142" s="11"/>
    </row>
    <row r="8143" spans="3:8" x14ac:dyDescent="0.25">
      <c r="C8143" s="12"/>
      <c r="D8143" s="13"/>
      <c r="E8143" s="13"/>
      <c r="F8143" s="13"/>
      <c r="G8143" s="12"/>
      <c r="H8143" s="11"/>
    </row>
    <row r="8144" spans="3:8" x14ac:dyDescent="0.25">
      <c r="C8144" s="12"/>
      <c r="D8144" s="13"/>
      <c r="E8144" s="13"/>
      <c r="F8144" s="13"/>
      <c r="G8144" s="12"/>
      <c r="H8144" s="11"/>
    </row>
    <row r="8145" spans="3:8" x14ac:dyDescent="0.25">
      <c r="C8145" s="12"/>
      <c r="D8145" s="13"/>
      <c r="E8145" s="13"/>
      <c r="F8145" s="13"/>
      <c r="G8145" s="12"/>
      <c r="H8145" s="11"/>
    </row>
    <row r="8146" spans="3:8" x14ac:dyDescent="0.25">
      <c r="C8146" s="12"/>
      <c r="D8146" s="13"/>
      <c r="E8146" s="13"/>
      <c r="F8146" s="13"/>
      <c r="G8146" s="12"/>
      <c r="H8146" s="11"/>
    </row>
    <row r="8147" spans="3:8" x14ac:dyDescent="0.25">
      <c r="C8147" s="12"/>
      <c r="D8147" s="13"/>
      <c r="E8147" s="13"/>
      <c r="F8147" s="13"/>
      <c r="G8147" s="12"/>
      <c r="H8147" s="11"/>
    </row>
    <row r="8148" spans="3:8" x14ac:dyDescent="0.25">
      <c r="C8148" s="12"/>
      <c r="D8148" s="13"/>
      <c r="E8148" s="13"/>
      <c r="F8148" s="13"/>
      <c r="G8148" s="12"/>
      <c r="H8148" s="11"/>
    </row>
    <row r="8149" spans="3:8" x14ac:dyDescent="0.25">
      <c r="C8149" s="12"/>
      <c r="D8149" s="13"/>
      <c r="E8149" s="13"/>
      <c r="F8149" s="13"/>
      <c r="G8149" s="12"/>
      <c r="H8149" s="11"/>
    </row>
    <row r="8150" spans="3:8" x14ac:dyDescent="0.25">
      <c r="C8150" s="12"/>
      <c r="D8150" s="13"/>
      <c r="E8150" s="13"/>
      <c r="F8150" s="13"/>
      <c r="G8150" s="12"/>
      <c r="H8150" s="11"/>
    </row>
    <row r="8151" spans="3:8" x14ac:dyDescent="0.25">
      <c r="C8151" s="12"/>
      <c r="D8151" s="13"/>
      <c r="E8151" s="13"/>
      <c r="F8151" s="13"/>
      <c r="G8151" s="12"/>
      <c r="H8151" s="11"/>
    </row>
    <row r="8152" spans="3:8" x14ac:dyDescent="0.25">
      <c r="C8152" s="12"/>
      <c r="D8152" s="13"/>
      <c r="E8152" s="13"/>
      <c r="F8152" s="13"/>
      <c r="G8152" s="12"/>
      <c r="H8152" s="11"/>
    </row>
    <row r="8153" spans="3:8" x14ac:dyDescent="0.25">
      <c r="C8153" s="12"/>
      <c r="D8153" s="13"/>
      <c r="E8153" s="13"/>
      <c r="F8153" s="13"/>
      <c r="G8153" s="12"/>
      <c r="H8153" s="11"/>
    </row>
    <row r="8154" spans="3:8" x14ac:dyDescent="0.25">
      <c r="C8154" s="12"/>
      <c r="D8154" s="13"/>
      <c r="E8154" s="13"/>
      <c r="F8154" s="13"/>
      <c r="G8154" s="12"/>
      <c r="H8154" s="11"/>
    </row>
    <row r="8155" spans="3:8" x14ac:dyDescent="0.25">
      <c r="C8155" s="12"/>
      <c r="D8155" s="13"/>
      <c r="E8155" s="13"/>
      <c r="F8155" s="13"/>
      <c r="G8155" s="12"/>
      <c r="H8155" s="11"/>
    </row>
    <row r="8156" spans="3:8" x14ac:dyDescent="0.25">
      <c r="C8156" s="12"/>
      <c r="D8156" s="13"/>
      <c r="E8156" s="13"/>
      <c r="F8156" s="13"/>
      <c r="G8156" s="12"/>
      <c r="H8156" s="11"/>
    </row>
    <row r="8157" spans="3:8" x14ac:dyDescent="0.25">
      <c r="C8157" s="12"/>
      <c r="D8157" s="13"/>
      <c r="E8157" s="13"/>
      <c r="F8157" s="13"/>
      <c r="G8157" s="12"/>
      <c r="H8157" s="11"/>
    </row>
    <row r="8158" spans="3:8" x14ac:dyDescent="0.25">
      <c r="C8158" s="12"/>
      <c r="D8158" s="13"/>
      <c r="E8158" s="13"/>
      <c r="F8158" s="13"/>
      <c r="G8158" s="12"/>
      <c r="H8158" s="11"/>
    </row>
    <row r="8159" spans="3:8" x14ac:dyDescent="0.25">
      <c r="C8159" s="12"/>
      <c r="D8159" s="13"/>
      <c r="E8159" s="13"/>
      <c r="F8159" s="13"/>
      <c r="G8159" s="12"/>
      <c r="H8159" s="11"/>
    </row>
    <row r="8160" spans="3:8" x14ac:dyDescent="0.25">
      <c r="C8160" s="12"/>
      <c r="D8160" s="13"/>
      <c r="E8160" s="13"/>
      <c r="F8160" s="13"/>
      <c r="G8160" s="12"/>
      <c r="H8160" s="11"/>
    </row>
    <row r="8161" spans="3:8" x14ac:dyDescent="0.25">
      <c r="C8161" s="12"/>
      <c r="D8161" s="13"/>
      <c r="E8161" s="13"/>
      <c r="F8161" s="13"/>
      <c r="G8161" s="12"/>
      <c r="H8161" s="11"/>
    </row>
    <row r="8162" spans="3:8" x14ac:dyDescent="0.25">
      <c r="C8162" s="12"/>
      <c r="D8162" s="13"/>
      <c r="E8162" s="13"/>
      <c r="F8162" s="13"/>
      <c r="G8162" s="12"/>
      <c r="H8162" s="11"/>
    </row>
    <row r="8163" spans="3:8" x14ac:dyDescent="0.25">
      <c r="C8163" s="12"/>
      <c r="D8163" s="13"/>
      <c r="E8163" s="13"/>
      <c r="F8163" s="13"/>
      <c r="G8163" s="12"/>
      <c r="H8163" s="11"/>
    </row>
    <row r="8164" spans="3:8" x14ac:dyDescent="0.25">
      <c r="C8164" s="12"/>
      <c r="D8164" s="13"/>
      <c r="E8164" s="13"/>
      <c r="F8164" s="13"/>
      <c r="G8164" s="12"/>
      <c r="H8164" s="11"/>
    </row>
    <row r="8165" spans="3:8" x14ac:dyDescent="0.25">
      <c r="C8165" s="12"/>
      <c r="D8165" s="13"/>
      <c r="E8165" s="13"/>
      <c r="F8165" s="13"/>
      <c r="G8165" s="12"/>
      <c r="H8165" s="11"/>
    </row>
    <row r="8166" spans="3:8" x14ac:dyDescent="0.25">
      <c r="C8166" s="12"/>
      <c r="D8166" s="13"/>
      <c r="E8166" s="13"/>
      <c r="F8166" s="13"/>
      <c r="G8166" s="12"/>
      <c r="H8166" s="11"/>
    </row>
    <row r="8167" spans="3:8" x14ac:dyDescent="0.25">
      <c r="C8167" s="12"/>
      <c r="D8167" s="13"/>
      <c r="E8167" s="13"/>
      <c r="F8167" s="13"/>
      <c r="G8167" s="12"/>
      <c r="H8167" s="11"/>
    </row>
    <row r="8168" spans="3:8" x14ac:dyDescent="0.25">
      <c r="C8168" s="12"/>
      <c r="D8168" s="13"/>
      <c r="E8168" s="13"/>
      <c r="F8168" s="13"/>
      <c r="G8168" s="12"/>
      <c r="H8168" s="11"/>
    </row>
    <row r="8169" spans="3:8" x14ac:dyDescent="0.25">
      <c r="C8169" s="12"/>
      <c r="D8169" s="13"/>
      <c r="E8169" s="13"/>
      <c r="F8169" s="13"/>
      <c r="G8169" s="12"/>
      <c r="H8169" s="11"/>
    </row>
    <row r="8170" spans="3:8" x14ac:dyDescent="0.25">
      <c r="C8170" s="12"/>
      <c r="D8170" s="13"/>
      <c r="E8170" s="13"/>
      <c r="F8170" s="13"/>
      <c r="G8170" s="12"/>
      <c r="H8170" s="11"/>
    </row>
    <row r="8171" spans="3:8" x14ac:dyDescent="0.25">
      <c r="C8171" s="12"/>
      <c r="D8171" s="13"/>
      <c r="E8171" s="13"/>
      <c r="F8171" s="13"/>
      <c r="G8171" s="12"/>
      <c r="H8171" s="11"/>
    </row>
    <row r="8172" spans="3:8" x14ac:dyDescent="0.25">
      <c r="C8172" s="12"/>
      <c r="D8172" s="13"/>
      <c r="E8172" s="13"/>
      <c r="F8172" s="13"/>
      <c r="G8172" s="12"/>
      <c r="H8172" s="11"/>
    </row>
    <row r="8173" spans="3:8" x14ac:dyDescent="0.25">
      <c r="C8173" s="12"/>
      <c r="D8173" s="13"/>
      <c r="E8173" s="13"/>
      <c r="F8173" s="13"/>
      <c r="G8173" s="12"/>
      <c r="H8173" s="11"/>
    </row>
    <row r="8174" spans="3:8" x14ac:dyDescent="0.25">
      <c r="C8174" s="12"/>
      <c r="D8174" s="13"/>
      <c r="E8174" s="13"/>
      <c r="F8174" s="13"/>
      <c r="G8174" s="12"/>
      <c r="H8174" s="11"/>
    </row>
    <row r="8175" spans="3:8" x14ac:dyDescent="0.25">
      <c r="C8175" s="12"/>
      <c r="D8175" s="13"/>
      <c r="E8175" s="13"/>
      <c r="F8175" s="13"/>
      <c r="G8175" s="12"/>
      <c r="H8175" s="11"/>
    </row>
    <row r="8176" spans="3:8" x14ac:dyDescent="0.25">
      <c r="C8176" s="12"/>
      <c r="D8176" s="13"/>
      <c r="E8176" s="13"/>
      <c r="F8176" s="13"/>
      <c r="G8176" s="12"/>
      <c r="H8176" s="11"/>
    </row>
    <row r="8177" spans="3:8" x14ac:dyDescent="0.25">
      <c r="C8177" s="12"/>
      <c r="D8177" s="13"/>
      <c r="E8177" s="13"/>
      <c r="F8177" s="13"/>
      <c r="G8177" s="12"/>
      <c r="H8177" s="11"/>
    </row>
    <row r="8178" spans="3:8" x14ac:dyDescent="0.25">
      <c r="C8178" s="12"/>
      <c r="D8178" s="13"/>
      <c r="E8178" s="13"/>
      <c r="F8178" s="13"/>
      <c r="G8178" s="12"/>
      <c r="H8178" s="11"/>
    </row>
    <row r="8179" spans="3:8" x14ac:dyDescent="0.25">
      <c r="C8179" s="12"/>
      <c r="D8179" s="13"/>
      <c r="E8179" s="13"/>
      <c r="F8179" s="13"/>
      <c r="G8179" s="12"/>
      <c r="H8179" s="11"/>
    </row>
    <row r="8180" spans="3:8" x14ac:dyDescent="0.25">
      <c r="C8180" s="12"/>
      <c r="D8180" s="13"/>
      <c r="E8180" s="13"/>
      <c r="F8180" s="13"/>
      <c r="G8180" s="12"/>
      <c r="H8180" s="11"/>
    </row>
    <row r="8181" spans="3:8" x14ac:dyDescent="0.25">
      <c r="C8181" s="12"/>
      <c r="D8181" s="13"/>
      <c r="E8181" s="13"/>
      <c r="F8181" s="13"/>
      <c r="G8181" s="12"/>
      <c r="H8181" s="11"/>
    </row>
    <row r="8182" spans="3:8" x14ac:dyDescent="0.25">
      <c r="C8182" s="12"/>
      <c r="D8182" s="13"/>
      <c r="E8182" s="13"/>
      <c r="F8182" s="13"/>
      <c r="G8182" s="12"/>
      <c r="H8182" s="11"/>
    </row>
    <row r="8183" spans="3:8" x14ac:dyDescent="0.25">
      <c r="C8183" s="12"/>
      <c r="D8183" s="13"/>
      <c r="E8183" s="13"/>
      <c r="F8183" s="13"/>
      <c r="G8183" s="12"/>
      <c r="H8183" s="11"/>
    </row>
    <row r="8184" spans="3:8" x14ac:dyDescent="0.25">
      <c r="C8184" s="12"/>
      <c r="D8184" s="13"/>
      <c r="E8184" s="13"/>
      <c r="F8184" s="13"/>
      <c r="G8184" s="12"/>
      <c r="H8184" s="11"/>
    </row>
    <row r="8185" spans="3:8" x14ac:dyDescent="0.25">
      <c r="C8185" s="12"/>
      <c r="D8185" s="13"/>
      <c r="E8185" s="13"/>
      <c r="F8185" s="13"/>
      <c r="G8185" s="12"/>
      <c r="H8185" s="11"/>
    </row>
    <row r="8186" spans="3:8" x14ac:dyDescent="0.25">
      <c r="C8186" s="12"/>
      <c r="D8186" s="13"/>
      <c r="E8186" s="13"/>
      <c r="F8186" s="13"/>
      <c r="G8186" s="12"/>
      <c r="H8186" s="11"/>
    </row>
    <row r="8187" spans="3:8" x14ac:dyDescent="0.25">
      <c r="C8187" s="12"/>
      <c r="D8187" s="13"/>
      <c r="E8187" s="13"/>
      <c r="F8187" s="13"/>
      <c r="G8187" s="12"/>
      <c r="H8187" s="11"/>
    </row>
    <row r="8188" spans="3:8" x14ac:dyDescent="0.25">
      <c r="C8188" s="12"/>
      <c r="D8188" s="13"/>
      <c r="E8188" s="13"/>
      <c r="F8188" s="13"/>
      <c r="G8188" s="12"/>
      <c r="H8188" s="11"/>
    </row>
    <row r="8189" spans="3:8" x14ac:dyDescent="0.25">
      <c r="C8189" s="12"/>
      <c r="D8189" s="13"/>
      <c r="E8189" s="13"/>
      <c r="F8189" s="13"/>
      <c r="G8189" s="12"/>
      <c r="H8189" s="11"/>
    </row>
    <row r="8190" spans="3:8" x14ac:dyDescent="0.25">
      <c r="C8190" s="12"/>
      <c r="D8190" s="13"/>
      <c r="E8190" s="13"/>
      <c r="F8190" s="13"/>
      <c r="G8190" s="12"/>
      <c r="H8190" s="11"/>
    </row>
    <row r="8191" spans="3:8" x14ac:dyDescent="0.25">
      <c r="C8191" s="12"/>
      <c r="D8191" s="13"/>
      <c r="E8191" s="13"/>
      <c r="F8191" s="13"/>
      <c r="G8191" s="12"/>
      <c r="H8191" s="11"/>
    </row>
    <row r="8192" spans="3:8" x14ac:dyDescent="0.25">
      <c r="C8192" s="12"/>
      <c r="D8192" s="13"/>
      <c r="E8192" s="13"/>
      <c r="F8192" s="13"/>
      <c r="G8192" s="12"/>
      <c r="H8192" s="11"/>
    </row>
    <row r="8193" spans="3:8" x14ac:dyDescent="0.25">
      <c r="C8193" s="12"/>
      <c r="D8193" s="13"/>
      <c r="E8193" s="13"/>
      <c r="F8193" s="13"/>
      <c r="G8193" s="12"/>
      <c r="H8193" s="11"/>
    </row>
    <row r="8194" spans="3:8" x14ac:dyDescent="0.25">
      <c r="C8194" s="12"/>
      <c r="D8194" s="13"/>
      <c r="E8194" s="13"/>
      <c r="F8194" s="13"/>
      <c r="G8194" s="12"/>
      <c r="H8194" s="11"/>
    </row>
    <row r="8195" spans="3:8" x14ac:dyDescent="0.25">
      <c r="C8195" s="12"/>
      <c r="D8195" s="13"/>
      <c r="E8195" s="13"/>
      <c r="F8195" s="13"/>
      <c r="G8195" s="12"/>
      <c r="H8195" s="11"/>
    </row>
    <row r="8196" spans="3:8" x14ac:dyDescent="0.25">
      <c r="C8196" s="12"/>
      <c r="D8196" s="13"/>
      <c r="E8196" s="13"/>
      <c r="F8196" s="13"/>
      <c r="G8196" s="12"/>
      <c r="H8196" s="11"/>
    </row>
    <row r="8197" spans="3:8" x14ac:dyDescent="0.25">
      <c r="C8197" s="12"/>
      <c r="D8197" s="13"/>
      <c r="E8197" s="13"/>
      <c r="F8197" s="13"/>
      <c r="G8197" s="12"/>
      <c r="H8197" s="11"/>
    </row>
    <row r="8198" spans="3:8" x14ac:dyDescent="0.25">
      <c r="C8198" s="12"/>
      <c r="D8198" s="13"/>
      <c r="E8198" s="13"/>
      <c r="F8198" s="13"/>
      <c r="G8198" s="12"/>
      <c r="H8198" s="11"/>
    </row>
    <row r="8199" spans="3:8" x14ac:dyDescent="0.25">
      <c r="C8199" s="12"/>
      <c r="D8199" s="13"/>
      <c r="E8199" s="13"/>
      <c r="F8199" s="13"/>
      <c r="G8199" s="12"/>
      <c r="H8199" s="11"/>
    </row>
    <row r="8200" spans="3:8" x14ac:dyDescent="0.25">
      <c r="C8200" s="12"/>
      <c r="D8200" s="13"/>
      <c r="E8200" s="13"/>
      <c r="F8200" s="13"/>
      <c r="G8200" s="12"/>
      <c r="H8200" s="11"/>
    </row>
    <row r="8201" spans="3:8" x14ac:dyDescent="0.25">
      <c r="C8201" s="12"/>
      <c r="D8201" s="13"/>
      <c r="E8201" s="13"/>
      <c r="F8201" s="13"/>
      <c r="G8201" s="12"/>
      <c r="H8201" s="11"/>
    </row>
    <row r="8202" spans="3:8" x14ac:dyDescent="0.25">
      <c r="C8202" s="12"/>
      <c r="D8202" s="13"/>
      <c r="E8202" s="13"/>
      <c r="F8202" s="13"/>
      <c r="G8202" s="12"/>
      <c r="H8202" s="11"/>
    </row>
    <row r="8203" spans="3:8" x14ac:dyDescent="0.25">
      <c r="C8203" s="12"/>
      <c r="D8203" s="13"/>
      <c r="E8203" s="13"/>
      <c r="F8203" s="13"/>
      <c r="G8203" s="12"/>
      <c r="H8203" s="11"/>
    </row>
    <row r="8204" spans="3:8" x14ac:dyDescent="0.25">
      <c r="C8204" s="12"/>
      <c r="D8204" s="13"/>
      <c r="E8204" s="13"/>
      <c r="F8204" s="13"/>
      <c r="G8204" s="12"/>
      <c r="H8204" s="11"/>
    </row>
    <row r="8205" spans="3:8" x14ac:dyDescent="0.25">
      <c r="C8205" s="12"/>
      <c r="D8205" s="13"/>
      <c r="E8205" s="13"/>
      <c r="F8205" s="13"/>
      <c r="G8205" s="12"/>
      <c r="H8205" s="11"/>
    </row>
    <row r="8206" spans="3:8" x14ac:dyDescent="0.25">
      <c r="C8206" s="12"/>
      <c r="D8206" s="13"/>
      <c r="E8206" s="13"/>
      <c r="F8206" s="13"/>
      <c r="G8206" s="12"/>
      <c r="H8206" s="11"/>
    </row>
    <row r="8207" spans="3:8" x14ac:dyDescent="0.25">
      <c r="C8207" s="12"/>
      <c r="D8207" s="13"/>
      <c r="E8207" s="13"/>
      <c r="F8207" s="13"/>
      <c r="G8207" s="12"/>
      <c r="H8207" s="11"/>
    </row>
    <row r="8208" spans="3:8" x14ac:dyDescent="0.25">
      <c r="C8208" s="12"/>
      <c r="D8208" s="13"/>
      <c r="E8208" s="13"/>
      <c r="F8208" s="13"/>
      <c r="G8208" s="12"/>
      <c r="H8208" s="11"/>
    </row>
    <row r="8209" spans="3:8" x14ac:dyDescent="0.25">
      <c r="C8209" s="12"/>
      <c r="D8209" s="13"/>
      <c r="E8209" s="13"/>
      <c r="F8209" s="13"/>
      <c r="G8209" s="12"/>
      <c r="H8209" s="11"/>
    </row>
    <row r="8210" spans="3:8" x14ac:dyDescent="0.25">
      <c r="C8210" s="12"/>
      <c r="D8210" s="13"/>
      <c r="E8210" s="13"/>
      <c r="F8210" s="13"/>
      <c r="G8210" s="12"/>
      <c r="H8210" s="11"/>
    </row>
    <row r="8211" spans="3:8" x14ac:dyDescent="0.25">
      <c r="C8211" s="12"/>
      <c r="D8211" s="13"/>
      <c r="E8211" s="13"/>
      <c r="F8211" s="13"/>
      <c r="G8211" s="12"/>
      <c r="H8211" s="11"/>
    </row>
    <row r="8212" spans="3:8" x14ac:dyDescent="0.25">
      <c r="C8212" s="12"/>
      <c r="D8212" s="13"/>
      <c r="E8212" s="13"/>
      <c r="F8212" s="13"/>
      <c r="G8212" s="12"/>
      <c r="H8212" s="11"/>
    </row>
    <row r="8213" spans="3:8" x14ac:dyDescent="0.25">
      <c r="C8213" s="12"/>
      <c r="D8213" s="13"/>
      <c r="E8213" s="13"/>
      <c r="F8213" s="13"/>
      <c r="G8213" s="12"/>
      <c r="H8213" s="11"/>
    </row>
    <row r="8214" spans="3:8" x14ac:dyDescent="0.25">
      <c r="C8214" s="12"/>
      <c r="D8214" s="13"/>
      <c r="E8214" s="13"/>
      <c r="F8214" s="13"/>
      <c r="G8214" s="12"/>
      <c r="H8214" s="11"/>
    </row>
    <row r="8215" spans="3:8" x14ac:dyDescent="0.25">
      <c r="C8215" s="12"/>
      <c r="D8215" s="13"/>
      <c r="E8215" s="13"/>
      <c r="F8215" s="13"/>
      <c r="G8215" s="12"/>
      <c r="H8215" s="11"/>
    </row>
    <row r="8216" spans="3:8" x14ac:dyDescent="0.25">
      <c r="C8216" s="12"/>
      <c r="D8216" s="13"/>
      <c r="E8216" s="13"/>
      <c r="F8216" s="13"/>
      <c r="G8216" s="12"/>
      <c r="H8216" s="11"/>
    </row>
    <row r="8217" spans="3:8" x14ac:dyDescent="0.25">
      <c r="C8217" s="12"/>
      <c r="D8217" s="13"/>
      <c r="E8217" s="13"/>
      <c r="F8217" s="13"/>
      <c r="G8217" s="12"/>
      <c r="H8217" s="11"/>
    </row>
    <row r="8218" spans="3:8" x14ac:dyDescent="0.25">
      <c r="C8218" s="12"/>
      <c r="D8218" s="13"/>
      <c r="E8218" s="13"/>
      <c r="F8218" s="13"/>
      <c r="G8218" s="12"/>
      <c r="H8218" s="11"/>
    </row>
    <row r="8219" spans="3:8" x14ac:dyDescent="0.25">
      <c r="C8219" s="12"/>
      <c r="D8219" s="13"/>
      <c r="E8219" s="13"/>
      <c r="F8219" s="13"/>
      <c r="G8219" s="12"/>
      <c r="H8219" s="11"/>
    </row>
    <row r="8220" spans="3:8" x14ac:dyDescent="0.25">
      <c r="C8220" s="12"/>
      <c r="D8220" s="13"/>
      <c r="E8220" s="13"/>
      <c r="F8220" s="13"/>
      <c r="G8220" s="12"/>
      <c r="H8220" s="11"/>
    </row>
    <row r="8221" spans="3:8" x14ac:dyDescent="0.25">
      <c r="C8221" s="12"/>
      <c r="D8221" s="13"/>
      <c r="E8221" s="13"/>
      <c r="F8221" s="13"/>
      <c r="G8221" s="12"/>
      <c r="H8221" s="11"/>
    </row>
    <row r="8222" spans="3:8" x14ac:dyDescent="0.25">
      <c r="C8222" s="12"/>
      <c r="D8222" s="13"/>
      <c r="E8222" s="13"/>
      <c r="F8222" s="13"/>
      <c r="G8222" s="12"/>
      <c r="H8222" s="11"/>
    </row>
    <row r="8223" spans="3:8" x14ac:dyDescent="0.25">
      <c r="C8223" s="12"/>
      <c r="D8223" s="13"/>
      <c r="E8223" s="13"/>
      <c r="F8223" s="13"/>
      <c r="G8223" s="12"/>
      <c r="H8223" s="11"/>
    </row>
    <row r="8224" spans="3:8" x14ac:dyDescent="0.25">
      <c r="C8224" s="12"/>
      <c r="D8224" s="13"/>
      <c r="E8224" s="13"/>
      <c r="F8224" s="13"/>
      <c r="G8224" s="12"/>
      <c r="H8224" s="11"/>
    </row>
    <row r="8225" spans="3:8" x14ac:dyDescent="0.25">
      <c r="C8225" s="12"/>
      <c r="D8225" s="13"/>
      <c r="E8225" s="13"/>
      <c r="F8225" s="13"/>
      <c r="G8225" s="12"/>
      <c r="H8225" s="11"/>
    </row>
    <row r="8226" spans="3:8" x14ac:dyDescent="0.25">
      <c r="C8226" s="12"/>
      <c r="D8226" s="13"/>
      <c r="E8226" s="13"/>
      <c r="F8226" s="13"/>
      <c r="G8226" s="12"/>
      <c r="H8226" s="11"/>
    </row>
    <row r="8227" spans="3:8" x14ac:dyDescent="0.25">
      <c r="C8227" s="12"/>
      <c r="D8227" s="13"/>
      <c r="E8227" s="13"/>
      <c r="F8227" s="13"/>
      <c r="G8227" s="12"/>
      <c r="H8227" s="11"/>
    </row>
    <row r="8228" spans="3:8" x14ac:dyDescent="0.25">
      <c r="C8228" s="12"/>
      <c r="D8228" s="13"/>
      <c r="E8228" s="13"/>
      <c r="F8228" s="13"/>
      <c r="G8228" s="12"/>
      <c r="H8228" s="11"/>
    </row>
    <row r="8229" spans="3:8" x14ac:dyDescent="0.25">
      <c r="C8229" s="12"/>
      <c r="D8229" s="13"/>
      <c r="E8229" s="13"/>
      <c r="F8229" s="13"/>
      <c r="G8229" s="12"/>
      <c r="H8229" s="11"/>
    </row>
    <row r="8230" spans="3:8" x14ac:dyDescent="0.25">
      <c r="C8230" s="12"/>
      <c r="D8230" s="13"/>
      <c r="E8230" s="13"/>
      <c r="F8230" s="13"/>
      <c r="G8230" s="12"/>
      <c r="H8230" s="11"/>
    </row>
    <row r="8231" spans="3:8" x14ac:dyDescent="0.25">
      <c r="C8231" s="12"/>
      <c r="D8231" s="13"/>
      <c r="E8231" s="13"/>
      <c r="F8231" s="13"/>
      <c r="G8231" s="12"/>
      <c r="H8231" s="11"/>
    </row>
    <row r="8232" spans="3:8" x14ac:dyDescent="0.25">
      <c r="C8232" s="12"/>
      <c r="D8232" s="13"/>
      <c r="E8232" s="13"/>
      <c r="F8232" s="13"/>
      <c r="G8232" s="12"/>
      <c r="H8232" s="11"/>
    </row>
    <row r="8233" spans="3:8" x14ac:dyDescent="0.25">
      <c r="C8233" s="12"/>
      <c r="D8233" s="13"/>
      <c r="E8233" s="13"/>
      <c r="F8233" s="13"/>
      <c r="G8233" s="12"/>
      <c r="H8233" s="11"/>
    </row>
    <row r="8234" spans="3:8" x14ac:dyDescent="0.25">
      <c r="C8234" s="12"/>
      <c r="D8234" s="13"/>
      <c r="E8234" s="13"/>
      <c r="F8234" s="13"/>
      <c r="G8234" s="12"/>
      <c r="H8234" s="11"/>
    </row>
    <row r="8235" spans="3:8" x14ac:dyDescent="0.25">
      <c r="C8235" s="12"/>
      <c r="D8235" s="13"/>
      <c r="E8235" s="13"/>
      <c r="F8235" s="13"/>
      <c r="G8235" s="12"/>
      <c r="H8235" s="11"/>
    </row>
    <row r="8236" spans="3:8" x14ac:dyDescent="0.25">
      <c r="C8236" s="12"/>
      <c r="D8236" s="13"/>
      <c r="E8236" s="13"/>
      <c r="F8236" s="13"/>
      <c r="G8236" s="12"/>
      <c r="H8236" s="11"/>
    </row>
    <row r="8237" spans="3:8" x14ac:dyDescent="0.25">
      <c r="C8237" s="12"/>
      <c r="D8237" s="13"/>
      <c r="E8237" s="13"/>
      <c r="F8237" s="13"/>
      <c r="G8237" s="12"/>
      <c r="H8237" s="11"/>
    </row>
    <row r="8238" spans="3:8" x14ac:dyDescent="0.25">
      <c r="C8238" s="12"/>
      <c r="D8238" s="13"/>
      <c r="E8238" s="13"/>
      <c r="F8238" s="13"/>
      <c r="G8238" s="12"/>
      <c r="H8238" s="11"/>
    </row>
    <row r="8239" spans="3:8" x14ac:dyDescent="0.25">
      <c r="C8239" s="12"/>
      <c r="D8239" s="13"/>
      <c r="E8239" s="13"/>
      <c r="F8239" s="13"/>
      <c r="G8239" s="12"/>
      <c r="H8239" s="11"/>
    </row>
    <row r="8240" spans="3:8" x14ac:dyDescent="0.25">
      <c r="C8240" s="12"/>
      <c r="D8240" s="13"/>
      <c r="E8240" s="13"/>
      <c r="F8240" s="13"/>
      <c r="G8240" s="12"/>
      <c r="H8240" s="11"/>
    </row>
    <row r="8241" spans="3:8" x14ac:dyDescent="0.25">
      <c r="C8241" s="12"/>
      <c r="D8241" s="13"/>
      <c r="E8241" s="13"/>
      <c r="F8241" s="13"/>
      <c r="G8241" s="12"/>
      <c r="H8241" s="11"/>
    </row>
    <row r="8242" spans="3:8" x14ac:dyDescent="0.25">
      <c r="C8242" s="12"/>
      <c r="D8242" s="13"/>
      <c r="E8242" s="13"/>
      <c r="F8242" s="13"/>
      <c r="G8242" s="12"/>
      <c r="H8242" s="11"/>
    </row>
    <row r="8243" spans="3:8" x14ac:dyDescent="0.25">
      <c r="C8243" s="12"/>
      <c r="D8243" s="13"/>
      <c r="E8243" s="13"/>
      <c r="F8243" s="13"/>
      <c r="G8243" s="12"/>
      <c r="H8243" s="11"/>
    </row>
    <row r="8244" spans="3:8" x14ac:dyDescent="0.25">
      <c r="C8244" s="12"/>
      <c r="D8244" s="13"/>
      <c r="E8244" s="13"/>
      <c r="F8244" s="13"/>
      <c r="G8244" s="12"/>
      <c r="H8244" s="11"/>
    </row>
    <row r="8245" spans="3:8" x14ac:dyDescent="0.25">
      <c r="C8245" s="12"/>
      <c r="D8245" s="13"/>
      <c r="E8245" s="13"/>
      <c r="F8245" s="13"/>
      <c r="G8245" s="12"/>
      <c r="H8245" s="11"/>
    </row>
    <row r="8246" spans="3:8" x14ac:dyDescent="0.25">
      <c r="C8246" s="12"/>
      <c r="D8246" s="13"/>
      <c r="E8246" s="13"/>
      <c r="F8246" s="13"/>
      <c r="G8246" s="12"/>
      <c r="H8246" s="11"/>
    </row>
    <row r="8247" spans="3:8" x14ac:dyDescent="0.25">
      <c r="C8247" s="12"/>
      <c r="D8247" s="13"/>
      <c r="E8247" s="13"/>
      <c r="F8247" s="13"/>
      <c r="G8247" s="12"/>
      <c r="H8247" s="11"/>
    </row>
    <row r="8248" spans="3:8" x14ac:dyDescent="0.25">
      <c r="C8248" s="12"/>
      <c r="D8248" s="13"/>
      <c r="E8248" s="13"/>
      <c r="F8248" s="13"/>
      <c r="G8248" s="12"/>
      <c r="H8248" s="11"/>
    </row>
    <row r="8249" spans="3:8" x14ac:dyDescent="0.25">
      <c r="C8249" s="12"/>
      <c r="D8249" s="13"/>
      <c r="E8249" s="13"/>
      <c r="F8249" s="13"/>
      <c r="G8249" s="12"/>
      <c r="H8249" s="11"/>
    </row>
    <row r="8250" spans="3:8" x14ac:dyDescent="0.25">
      <c r="C8250" s="12"/>
      <c r="D8250" s="13"/>
      <c r="E8250" s="13"/>
      <c r="F8250" s="13"/>
      <c r="G8250" s="12"/>
      <c r="H8250" s="11"/>
    </row>
    <row r="8251" spans="3:8" x14ac:dyDescent="0.25">
      <c r="C8251" s="12"/>
      <c r="D8251" s="13"/>
      <c r="E8251" s="13"/>
      <c r="F8251" s="13"/>
      <c r="G8251" s="12"/>
      <c r="H8251" s="11"/>
    </row>
    <row r="8252" spans="3:8" x14ac:dyDescent="0.25">
      <c r="C8252" s="12"/>
      <c r="D8252" s="13"/>
      <c r="E8252" s="13"/>
      <c r="F8252" s="13"/>
      <c r="G8252" s="12"/>
      <c r="H8252" s="11"/>
    </row>
    <row r="8253" spans="3:8" x14ac:dyDescent="0.25">
      <c r="C8253" s="12"/>
      <c r="D8253" s="13"/>
      <c r="E8253" s="13"/>
      <c r="F8253" s="13"/>
      <c r="G8253" s="12"/>
      <c r="H8253" s="11"/>
    </row>
    <row r="8254" spans="3:8" x14ac:dyDescent="0.25">
      <c r="C8254" s="12"/>
      <c r="D8254" s="13"/>
      <c r="E8254" s="13"/>
      <c r="F8254" s="13"/>
      <c r="G8254" s="12"/>
      <c r="H8254" s="11"/>
    </row>
    <row r="8255" spans="3:8" x14ac:dyDescent="0.25">
      <c r="C8255" s="12"/>
      <c r="D8255" s="13"/>
      <c r="E8255" s="13"/>
      <c r="F8255" s="13"/>
      <c r="G8255" s="12"/>
      <c r="H8255" s="11"/>
    </row>
    <row r="8256" spans="3:8" x14ac:dyDescent="0.25">
      <c r="C8256" s="12"/>
      <c r="D8256" s="13"/>
      <c r="E8256" s="13"/>
      <c r="F8256" s="13"/>
      <c r="G8256" s="12"/>
      <c r="H8256" s="11"/>
    </row>
    <row r="8257" spans="3:8" x14ac:dyDescent="0.25">
      <c r="C8257" s="12"/>
      <c r="D8257" s="13"/>
      <c r="E8257" s="13"/>
      <c r="F8257" s="13"/>
      <c r="G8257" s="12"/>
      <c r="H8257" s="11"/>
    </row>
    <row r="8258" spans="3:8" x14ac:dyDescent="0.25">
      <c r="C8258" s="12"/>
      <c r="D8258" s="13"/>
      <c r="E8258" s="13"/>
      <c r="F8258" s="13"/>
      <c r="G8258" s="12"/>
      <c r="H8258" s="11"/>
    </row>
    <row r="8259" spans="3:8" x14ac:dyDescent="0.25">
      <c r="C8259" s="12"/>
      <c r="D8259" s="13"/>
      <c r="E8259" s="13"/>
      <c r="F8259" s="13"/>
      <c r="G8259" s="12"/>
      <c r="H8259" s="11"/>
    </row>
    <row r="8260" spans="3:8" x14ac:dyDescent="0.25">
      <c r="C8260" s="12"/>
      <c r="D8260" s="13"/>
      <c r="E8260" s="13"/>
      <c r="F8260" s="13"/>
      <c r="G8260" s="12"/>
      <c r="H8260" s="11"/>
    </row>
    <row r="8261" spans="3:8" x14ac:dyDescent="0.25">
      <c r="C8261" s="12"/>
      <c r="D8261" s="13"/>
      <c r="E8261" s="13"/>
      <c r="F8261" s="13"/>
      <c r="G8261" s="12"/>
      <c r="H8261" s="11"/>
    </row>
    <row r="8262" spans="3:8" x14ac:dyDescent="0.25">
      <c r="C8262" s="12"/>
      <c r="D8262" s="13"/>
      <c r="E8262" s="13"/>
      <c r="F8262" s="13"/>
      <c r="G8262" s="12"/>
      <c r="H8262" s="11"/>
    </row>
    <row r="8263" spans="3:8" x14ac:dyDescent="0.25">
      <c r="C8263" s="12"/>
      <c r="D8263" s="13"/>
      <c r="E8263" s="13"/>
      <c r="F8263" s="13"/>
      <c r="G8263" s="12"/>
      <c r="H8263" s="11"/>
    </row>
    <row r="8264" spans="3:8" x14ac:dyDescent="0.25">
      <c r="C8264" s="12"/>
      <c r="D8264" s="13"/>
      <c r="E8264" s="13"/>
      <c r="F8264" s="13"/>
      <c r="G8264" s="12"/>
      <c r="H8264" s="11"/>
    </row>
    <row r="8265" spans="3:8" x14ac:dyDescent="0.25">
      <c r="C8265" s="12"/>
      <c r="D8265" s="13"/>
      <c r="E8265" s="13"/>
      <c r="F8265" s="13"/>
      <c r="G8265" s="12"/>
      <c r="H8265" s="11"/>
    </row>
    <row r="8266" spans="3:8" x14ac:dyDescent="0.25">
      <c r="C8266" s="12"/>
      <c r="D8266" s="13"/>
      <c r="E8266" s="13"/>
      <c r="F8266" s="13"/>
      <c r="G8266" s="12"/>
      <c r="H8266" s="11"/>
    </row>
    <row r="8267" spans="3:8" x14ac:dyDescent="0.25">
      <c r="C8267" s="12"/>
      <c r="D8267" s="13"/>
      <c r="E8267" s="13"/>
      <c r="F8267" s="13"/>
      <c r="G8267" s="12"/>
      <c r="H8267" s="11"/>
    </row>
    <row r="8268" spans="3:8" x14ac:dyDescent="0.25">
      <c r="C8268" s="12"/>
      <c r="D8268" s="13"/>
      <c r="E8268" s="13"/>
      <c r="F8268" s="13"/>
      <c r="G8268" s="12"/>
      <c r="H8268" s="11"/>
    </row>
    <row r="8269" spans="3:8" x14ac:dyDescent="0.25">
      <c r="C8269" s="12"/>
      <c r="D8269" s="13"/>
      <c r="E8269" s="13"/>
      <c r="F8269" s="13"/>
      <c r="G8269" s="12"/>
      <c r="H8269" s="11"/>
    </row>
    <row r="8270" spans="3:8" x14ac:dyDescent="0.25">
      <c r="C8270" s="12"/>
      <c r="D8270" s="13"/>
      <c r="E8270" s="13"/>
      <c r="F8270" s="13"/>
      <c r="G8270" s="12"/>
      <c r="H8270" s="11"/>
    </row>
    <row r="8271" spans="3:8" x14ac:dyDescent="0.25">
      <c r="C8271" s="12"/>
      <c r="D8271" s="13"/>
      <c r="E8271" s="13"/>
      <c r="F8271" s="13"/>
      <c r="G8271" s="12"/>
      <c r="H8271" s="11"/>
    </row>
    <row r="8272" spans="3:8" x14ac:dyDescent="0.25">
      <c r="C8272" s="12"/>
      <c r="D8272" s="13"/>
      <c r="E8272" s="13"/>
      <c r="F8272" s="13"/>
      <c r="G8272" s="12"/>
      <c r="H8272" s="11"/>
    </row>
    <row r="8273" spans="3:8" x14ac:dyDescent="0.25">
      <c r="C8273" s="12"/>
      <c r="D8273" s="13"/>
      <c r="E8273" s="13"/>
      <c r="F8273" s="13"/>
      <c r="G8273" s="12"/>
      <c r="H8273" s="11"/>
    </row>
    <row r="8274" spans="3:8" x14ac:dyDescent="0.25">
      <c r="C8274" s="12"/>
      <c r="D8274" s="13"/>
      <c r="E8274" s="13"/>
      <c r="F8274" s="13"/>
      <c r="G8274" s="12"/>
      <c r="H8274" s="11"/>
    </row>
    <row r="8275" spans="3:8" x14ac:dyDescent="0.25">
      <c r="C8275" s="12"/>
      <c r="D8275" s="13"/>
      <c r="E8275" s="13"/>
      <c r="F8275" s="13"/>
      <c r="G8275" s="12"/>
      <c r="H8275" s="11"/>
    </row>
    <row r="8276" spans="3:8" x14ac:dyDescent="0.25">
      <c r="C8276" s="12"/>
      <c r="D8276" s="13"/>
      <c r="E8276" s="13"/>
      <c r="F8276" s="13"/>
      <c r="G8276" s="12"/>
      <c r="H8276" s="11"/>
    </row>
    <row r="8277" spans="3:8" x14ac:dyDescent="0.25">
      <c r="C8277" s="12"/>
      <c r="D8277" s="13"/>
      <c r="E8277" s="13"/>
      <c r="F8277" s="13"/>
      <c r="G8277" s="12"/>
      <c r="H8277" s="11"/>
    </row>
    <row r="8278" spans="3:8" x14ac:dyDescent="0.25">
      <c r="C8278" s="12"/>
      <c r="D8278" s="13"/>
      <c r="E8278" s="13"/>
      <c r="F8278" s="13"/>
      <c r="G8278" s="12"/>
      <c r="H8278" s="11"/>
    </row>
    <row r="8279" spans="3:8" x14ac:dyDescent="0.25">
      <c r="C8279" s="12"/>
      <c r="D8279" s="13"/>
      <c r="E8279" s="13"/>
      <c r="F8279" s="13"/>
      <c r="G8279" s="12"/>
      <c r="H8279" s="11"/>
    </row>
    <row r="8280" spans="3:8" x14ac:dyDescent="0.25">
      <c r="C8280" s="12"/>
      <c r="D8280" s="13"/>
      <c r="E8280" s="13"/>
      <c r="F8280" s="13"/>
      <c r="G8280" s="12"/>
      <c r="H8280" s="11"/>
    </row>
    <row r="8281" spans="3:8" x14ac:dyDescent="0.25">
      <c r="C8281" s="12"/>
      <c r="D8281" s="13"/>
      <c r="E8281" s="13"/>
      <c r="F8281" s="13"/>
      <c r="G8281" s="12"/>
      <c r="H8281" s="11"/>
    </row>
    <row r="8282" spans="3:8" x14ac:dyDescent="0.25">
      <c r="C8282" s="12"/>
      <c r="D8282" s="13"/>
      <c r="E8282" s="13"/>
      <c r="F8282" s="13"/>
      <c r="G8282" s="12"/>
      <c r="H8282" s="11"/>
    </row>
    <row r="8283" spans="3:8" x14ac:dyDescent="0.25">
      <c r="C8283" s="12"/>
      <c r="D8283" s="13"/>
      <c r="E8283" s="13"/>
      <c r="F8283" s="13"/>
      <c r="G8283" s="12"/>
      <c r="H8283" s="11"/>
    </row>
    <row r="8284" spans="3:8" x14ac:dyDescent="0.25">
      <c r="C8284" s="12"/>
      <c r="D8284" s="13"/>
      <c r="E8284" s="13"/>
      <c r="F8284" s="13"/>
      <c r="G8284" s="12"/>
      <c r="H8284" s="11"/>
    </row>
    <row r="8285" spans="3:8" x14ac:dyDescent="0.25">
      <c r="C8285" s="12"/>
      <c r="D8285" s="13"/>
      <c r="E8285" s="13"/>
      <c r="F8285" s="13"/>
      <c r="G8285" s="12"/>
      <c r="H8285" s="11"/>
    </row>
    <row r="8286" spans="3:8" x14ac:dyDescent="0.25">
      <c r="C8286" s="12"/>
      <c r="D8286" s="13"/>
      <c r="E8286" s="13"/>
      <c r="F8286" s="13"/>
      <c r="G8286" s="12"/>
      <c r="H8286" s="11"/>
    </row>
    <row r="8287" spans="3:8" x14ac:dyDescent="0.25">
      <c r="C8287" s="12"/>
      <c r="D8287" s="13"/>
      <c r="E8287" s="13"/>
      <c r="F8287" s="13"/>
      <c r="G8287" s="12"/>
      <c r="H8287" s="11"/>
    </row>
    <row r="8288" spans="3:8" x14ac:dyDescent="0.25">
      <c r="C8288" s="12"/>
      <c r="D8288" s="13"/>
      <c r="E8288" s="13"/>
      <c r="F8288" s="13"/>
      <c r="G8288" s="12"/>
      <c r="H8288" s="11"/>
    </row>
    <row r="8289" spans="3:8" x14ac:dyDescent="0.25">
      <c r="C8289" s="12"/>
      <c r="D8289" s="13"/>
      <c r="E8289" s="13"/>
      <c r="F8289" s="13"/>
      <c r="G8289" s="12"/>
      <c r="H8289" s="11"/>
    </row>
    <row r="8290" spans="3:8" x14ac:dyDescent="0.25">
      <c r="C8290" s="12"/>
      <c r="D8290" s="13"/>
      <c r="E8290" s="13"/>
      <c r="F8290" s="13"/>
      <c r="G8290" s="12"/>
      <c r="H8290" s="11"/>
    </row>
    <row r="8291" spans="3:8" x14ac:dyDescent="0.25">
      <c r="C8291" s="12"/>
      <c r="D8291" s="13"/>
      <c r="E8291" s="13"/>
      <c r="F8291" s="13"/>
      <c r="G8291" s="12"/>
      <c r="H8291" s="11"/>
    </row>
    <row r="8292" spans="3:8" x14ac:dyDescent="0.25">
      <c r="C8292" s="12"/>
      <c r="D8292" s="13"/>
      <c r="E8292" s="13"/>
      <c r="F8292" s="13"/>
      <c r="G8292" s="12"/>
      <c r="H8292" s="11"/>
    </row>
    <row r="8293" spans="3:8" x14ac:dyDescent="0.25">
      <c r="C8293" s="12"/>
      <c r="D8293" s="13"/>
      <c r="E8293" s="13"/>
      <c r="F8293" s="13"/>
      <c r="G8293" s="12"/>
      <c r="H8293" s="11"/>
    </row>
    <row r="8294" spans="3:8" x14ac:dyDescent="0.25">
      <c r="C8294" s="12"/>
      <c r="D8294" s="13"/>
      <c r="E8294" s="13"/>
      <c r="F8294" s="13"/>
      <c r="G8294" s="12"/>
      <c r="H8294" s="11"/>
    </row>
    <row r="8295" spans="3:8" x14ac:dyDescent="0.25">
      <c r="C8295" s="12"/>
      <c r="D8295" s="13"/>
      <c r="E8295" s="13"/>
      <c r="F8295" s="13"/>
      <c r="G8295" s="12"/>
      <c r="H8295" s="11"/>
    </row>
    <row r="8296" spans="3:8" x14ac:dyDescent="0.25">
      <c r="C8296" s="12"/>
      <c r="D8296" s="13"/>
      <c r="E8296" s="13"/>
      <c r="F8296" s="13"/>
      <c r="G8296" s="12"/>
      <c r="H8296" s="11"/>
    </row>
    <row r="8297" spans="3:8" x14ac:dyDescent="0.25">
      <c r="C8297" s="12"/>
      <c r="D8297" s="13"/>
      <c r="E8297" s="13"/>
      <c r="F8297" s="13"/>
      <c r="G8297" s="12"/>
      <c r="H8297" s="11"/>
    </row>
    <row r="8298" spans="3:8" x14ac:dyDescent="0.25">
      <c r="C8298" s="12"/>
      <c r="D8298" s="13"/>
      <c r="E8298" s="13"/>
      <c r="F8298" s="13"/>
      <c r="G8298" s="12"/>
      <c r="H8298" s="11"/>
    </row>
    <row r="8299" spans="3:8" x14ac:dyDescent="0.25">
      <c r="C8299" s="12"/>
      <c r="D8299" s="13"/>
      <c r="E8299" s="13"/>
      <c r="F8299" s="13"/>
      <c r="G8299" s="12"/>
      <c r="H8299" s="11"/>
    </row>
    <row r="8300" spans="3:8" x14ac:dyDescent="0.25">
      <c r="C8300" s="12"/>
      <c r="D8300" s="13"/>
      <c r="E8300" s="13"/>
      <c r="F8300" s="13"/>
      <c r="G8300" s="12"/>
      <c r="H8300" s="11"/>
    </row>
    <row r="8301" spans="3:8" x14ac:dyDescent="0.25">
      <c r="C8301" s="12"/>
      <c r="D8301" s="13"/>
      <c r="E8301" s="13"/>
      <c r="F8301" s="13"/>
      <c r="G8301" s="12"/>
      <c r="H8301" s="11"/>
    </row>
    <row r="8302" spans="3:8" x14ac:dyDescent="0.25">
      <c r="C8302" s="12"/>
      <c r="D8302" s="13"/>
      <c r="E8302" s="13"/>
      <c r="F8302" s="13"/>
      <c r="G8302" s="12"/>
      <c r="H8302" s="11"/>
    </row>
    <row r="8303" spans="3:8" x14ac:dyDescent="0.25">
      <c r="C8303" s="12"/>
      <c r="D8303" s="13"/>
      <c r="E8303" s="13"/>
      <c r="F8303" s="13"/>
      <c r="G8303" s="12"/>
      <c r="H8303" s="11"/>
    </row>
    <row r="8304" spans="3:8" x14ac:dyDescent="0.25">
      <c r="C8304" s="12"/>
      <c r="D8304" s="13"/>
      <c r="E8304" s="13"/>
      <c r="F8304" s="13"/>
      <c r="G8304" s="12"/>
      <c r="H8304" s="11"/>
    </row>
    <row r="8305" spans="3:8" x14ac:dyDescent="0.25">
      <c r="C8305" s="12"/>
      <c r="D8305" s="13"/>
      <c r="E8305" s="13"/>
      <c r="F8305" s="13"/>
      <c r="G8305" s="12"/>
      <c r="H8305" s="11"/>
    </row>
    <row r="8306" spans="3:8" x14ac:dyDescent="0.25">
      <c r="C8306" s="12"/>
      <c r="D8306" s="13"/>
      <c r="E8306" s="13"/>
      <c r="F8306" s="13"/>
      <c r="G8306" s="12"/>
      <c r="H8306" s="11"/>
    </row>
    <row r="8307" spans="3:8" x14ac:dyDescent="0.25">
      <c r="C8307" s="12"/>
      <c r="D8307" s="13"/>
      <c r="E8307" s="13"/>
      <c r="F8307" s="13"/>
      <c r="G8307" s="12"/>
      <c r="H8307" s="11"/>
    </row>
    <row r="8308" spans="3:8" x14ac:dyDescent="0.25">
      <c r="C8308" s="12"/>
      <c r="D8308" s="13"/>
      <c r="E8308" s="13"/>
      <c r="F8308" s="13"/>
      <c r="G8308" s="12"/>
      <c r="H8308" s="11"/>
    </row>
    <row r="8309" spans="3:8" x14ac:dyDescent="0.25">
      <c r="C8309" s="12"/>
      <c r="D8309" s="13"/>
      <c r="E8309" s="13"/>
      <c r="F8309" s="13"/>
      <c r="G8309" s="12"/>
      <c r="H8309" s="11"/>
    </row>
    <row r="8310" spans="3:8" x14ac:dyDescent="0.25">
      <c r="C8310" s="12"/>
      <c r="D8310" s="13"/>
      <c r="E8310" s="13"/>
      <c r="F8310" s="13"/>
      <c r="G8310" s="12"/>
      <c r="H8310" s="11"/>
    </row>
    <row r="8311" spans="3:8" x14ac:dyDescent="0.25">
      <c r="C8311" s="12"/>
      <c r="D8311" s="13"/>
      <c r="E8311" s="13"/>
      <c r="F8311" s="13"/>
      <c r="G8311" s="12"/>
      <c r="H8311" s="11"/>
    </row>
    <row r="8312" spans="3:8" x14ac:dyDescent="0.25">
      <c r="C8312" s="12"/>
      <c r="D8312" s="13"/>
      <c r="E8312" s="13"/>
      <c r="F8312" s="13"/>
      <c r="G8312" s="12"/>
      <c r="H8312" s="11"/>
    </row>
    <row r="8313" spans="3:8" x14ac:dyDescent="0.25">
      <c r="C8313" s="12"/>
      <c r="D8313" s="13"/>
      <c r="E8313" s="13"/>
      <c r="F8313" s="13"/>
      <c r="G8313" s="12"/>
      <c r="H8313" s="11"/>
    </row>
    <row r="8314" spans="3:8" x14ac:dyDescent="0.25">
      <c r="C8314" s="12"/>
      <c r="D8314" s="13"/>
      <c r="E8314" s="13"/>
      <c r="F8314" s="13"/>
      <c r="G8314" s="12"/>
      <c r="H8314" s="11"/>
    </row>
    <row r="8315" spans="3:8" x14ac:dyDescent="0.25">
      <c r="C8315" s="12"/>
      <c r="D8315" s="13"/>
      <c r="E8315" s="13"/>
      <c r="F8315" s="13"/>
      <c r="G8315" s="12"/>
      <c r="H8315" s="11"/>
    </row>
    <row r="8316" spans="3:8" x14ac:dyDescent="0.25">
      <c r="C8316" s="12"/>
      <c r="D8316" s="13"/>
      <c r="E8316" s="13"/>
      <c r="F8316" s="13"/>
      <c r="G8316" s="12"/>
      <c r="H8316" s="11"/>
    </row>
    <row r="8317" spans="3:8" x14ac:dyDescent="0.25">
      <c r="C8317" s="12"/>
      <c r="D8317" s="13"/>
      <c r="E8317" s="13"/>
      <c r="F8317" s="13"/>
      <c r="G8317" s="12"/>
      <c r="H8317" s="11"/>
    </row>
    <row r="8318" spans="3:8" x14ac:dyDescent="0.25">
      <c r="C8318" s="12"/>
      <c r="D8318" s="13"/>
      <c r="E8318" s="13"/>
      <c r="F8318" s="13"/>
      <c r="G8318" s="12"/>
      <c r="H8318" s="11"/>
    </row>
    <row r="8319" spans="3:8" x14ac:dyDescent="0.25">
      <c r="C8319" s="12"/>
      <c r="D8319" s="13"/>
      <c r="E8319" s="13"/>
      <c r="F8319" s="13"/>
      <c r="G8319" s="12"/>
      <c r="H8319" s="11"/>
    </row>
    <row r="8320" spans="3:8" x14ac:dyDescent="0.25">
      <c r="C8320" s="12"/>
      <c r="D8320" s="13"/>
      <c r="E8320" s="13"/>
      <c r="F8320" s="13"/>
      <c r="G8320" s="12"/>
      <c r="H8320" s="11"/>
    </row>
    <row r="8321" spans="3:8" x14ac:dyDescent="0.25">
      <c r="C8321" s="12"/>
      <c r="D8321" s="13"/>
      <c r="E8321" s="13"/>
      <c r="F8321" s="13"/>
      <c r="G8321" s="12"/>
      <c r="H8321" s="11"/>
    </row>
    <row r="8322" spans="3:8" x14ac:dyDescent="0.25">
      <c r="C8322" s="12"/>
      <c r="D8322" s="13"/>
      <c r="E8322" s="13"/>
      <c r="F8322" s="13"/>
      <c r="G8322" s="12"/>
      <c r="H8322" s="11"/>
    </row>
    <row r="8323" spans="3:8" x14ac:dyDescent="0.25">
      <c r="C8323" s="12"/>
      <c r="D8323" s="13"/>
      <c r="E8323" s="13"/>
      <c r="F8323" s="13"/>
      <c r="G8323" s="12"/>
      <c r="H8323" s="11"/>
    </row>
    <row r="8324" spans="3:8" x14ac:dyDescent="0.25">
      <c r="C8324" s="12"/>
      <c r="D8324" s="13"/>
      <c r="E8324" s="13"/>
      <c r="F8324" s="13"/>
      <c r="G8324" s="12"/>
      <c r="H8324" s="11"/>
    </row>
    <row r="8325" spans="3:8" x14ac:dyDescent="0.25">
      <c r="C8325" s="12"/>
      <c r="D8325" s="13"/>
      <c r="E8325" s="13"/>
      <c r="F8325" s="13"/>
      <c r="G8325" s="12"/>
      <c r="H8325" s="11"/>
    </row>
    <row r="8326" spans="3:8" x14ac:dyDescent="0.25">
      <c r="C8326" s="12"/>
      <c r="D8326" s="13"/>
      <c r="E8326" s="13"/>
      <c r="F8326" s="13"/>
      <c r="G8326" s="12"/>
      <c r="H8326" s="11"/>
    </row>
    <row r="8327" spans="3:8" x14ac:dyDescent="0.25">
      <c r="C8327" s="12"/>
      <c r="D8327" s="13"/>
      <c r="E8327" s="13"/>
      <c r="F8327" s="13"/>
      <c r="G8327" s="12"/>
      <c r="H8327" s="11"/>
    </row>
    <row r="8328" spans="3:8" x14ac:dyDescent="0.25">
      <c r="C8328" s="12"/>
      <c r="D8328" s="13"/>
      <c r="E8328" s="13"/>
      <c r="F8328" s="13"/>
      <c r="G8328" s="12"/>
      <c r="H8328" s="11"/>
    </row>
    <row r="8329" spans="3:8" x14ac:dyDescent="0.25">
      <c r="C8329" s="12"/>
      <c r="D8329" s="13"/>
      <c r="E8329" s="13"/>
      <c r="F8329" s="13"/>
      <c r="G8329" s="12"/>
      <c r="H8329" s="11"/>
    </row>
    <row r="8330" spans="3:8" x14ac:dyDescent="0.25">
      <c r="C8330" s="12"/>
      <c r="D8330" s="13"/>
      <c r="E8330" s="13"/>
      <c r="F8330" s="13"/>
      <c r="G8330" s="12"/>
      <c r="H8330" s="11"/>
    </row>
    <row r="8331" spans="3:8" x14ac:dyDescent="0.25">
      <c r="C8331" s="12"/>
      <c r="D8331" s="13"/>
      <c r="E8331" s="13"/>
      <c r="F8331" s="13"/>
      <c r="G8331" s="12"/>
      <c r="H8331" s="11"/>
    </row>
    <row r="8332" spans="3:8" x14ac:dyDescent="0.25">
      <c r="C8332" s="12"/>
      <c r="D8332" s="13"/>
      <c r="E8332" s="13"/>
      <c r="F8332" s="13"/>
      <c r="G8332" s="12"/>
      <c r="H8332" s="11"/>
    </row>
    <row r="8333" spans="3:8" x14ac:dyDescent="0.25">
      <c r="C8333" s="12"/>
      <c r="D8333" s="13"/>
      <c r="E8333" s="13"/>
      <c r="F8333" s="13"/>
      <c r="G8333" s="12"/>
      <c r="H8333" s="11"/>
    </row>
    <row r="8334" spans="3:8" x14ac:dyDescent="0.25">
      <c r="C8334" s="12"/>
      <c r="D8334" s="13"/>
      <c r="E8334" s="13"/>
      <c r="F8334" s="13"/>
      <c r="G8334" s="12"/>
      <c r="H8334" s="11"/>
    </row>
    <row r="8335" spans="3:8" x14ac:dyDescent="0.25">
      <c r="C8335" s="12"/>
      <c r="D8335" s="13"/>
      <c r="E8335" s="13"/>
      <c r="F8335" s="13"/>
      <c r="G8335" s="12"/>
      <c r="H8335" s="11"/>
    </row>
    <row r="8336" spans="3:8" x14ac:dyDescent="0.25">
      <c r="C8336" s="12"/>
      <c r="D8336" s="13"/>
      <c r="E8336" s="13"/>
      <c r="F8336" s="13"/>
      <c r="G8336" s="12"/>
      <c r="H8336" s="11"/>
    </row>
    <row r="8337" spans="3:8" x14ac:dyDescent="0.25">
      <c r="C8337" s="12"/>
      <c r="D8337" s="13"/>
      <c r="E8337" s="13"/>
      <c r="F8337" s="13"/>
      <c r="G8337" s="12"/>
      <c r="H8337" s="11"/>
    </row>
    <row r="8338" spans="3:8" x14ac:dyDescent="0.25">
      <c r="C8338" s="12"/>
      <c r="D8338" s="13"/>
      <c r="E8338" s="13"/>
      <c r="F8338" s="13"/>
      <c r="G8338" s="12"/>
      <c r="H8338" s="11"/>
    </row>
    <row r="8339" spans="3:8" x14ac:dyDescent="0.25">
      <c r="C8339" s="12"/>
      <c r="D8339" s="13"/>
      <c r="E8339" s="13"/>
      <c r="F8339" s="13"/>
      <c r="G8339" s="12"/>
      <c r="H8339" s="11"/>
    </row>
    <row r="8340" spans="3:8" x14ac:dyDescent="0.25">
      <c r="C8340" s="12"/>
      <c r="D8340" s="13"/>
      <c r="E8340" s="13"/>
      <c r="F8340" s="13"/>
      <c r="G8340" s="12"/>
      <c r="H8340" s="11"/>
    </row>
    <row r="8341" spans="3:8" x14ac:dyDescent="0.25">
      <c r="C8341" s="12"/>
      <c r="D8341" s="13"/>
      <c r="E8341" s="13"/>
      <c r="F8341" s="13"/>
      <c r="G8341" s="12"/>
      <c r="H8341" s="11"/>
    </row>
    <row r="8342" spans="3:8" x14ac:dyDescent="0.25">
      <c r="C8342" s="12"/>
      <c r="D8342" s="13"/>
      <c r="E8342" s="13"/>
      <c r="F8342" s="13"/>
      <c r="G8342" s="12"/>
      <c r="H8342" s="11"/>
    </row>
    <row r="8343" spans="3:8" x14ac:dyDescent="0.25">
      <c r="C8343" s="12"/>
      <c r="D8343" s="13"/>
      <c r="E8343" s="13"/>
      <c r="F8343" s="13"/>
      <c r="G8343" s="12"/>
      <c r="H8343" s="11"/>
    </row>
    <row r="8344" spans="3:8" x14ac:dyDescent="0.25">
      <c r="C8344" s="12"/>
      <c r="D8344" s="13"/>
      <c r="E8344" s="13"/>
      <c r="F8344" s="13"/>
      <c r="G8344" s="12"/>
      <c r="H8344" s="11"/>
    </row>
    <row r="8345" spans="3:8" x14ac:dyDescent="0.25">
      <c r="C8345" s="12"/>
      <c r="D8345" s="13"/>
      <c r="E8345" s="13"/>
      <c r="F8345" s="13"/>
      <c r="G8345" s="12"/>
      <c r="H8345" s="11"/>
    </row>
    <row r="8346" spans="3:8" x14ac:dyDescent="0.25">
      <c r="C8346" s="12"/>
      <c r="D8346" s="13"/>
      <c r="E8346" s="13"/>
      <c r="F8346" s="13"/>
      <c r="G8346" s="12"/>
      <c r="H8346" s="11"/>
    </row>
    <row r="8347" spans="3:8" x14ac:dyDescent="0.25">
      <c r="C8347" s="12"/>
      <c r="D8347" s="13"/>
      <c r="E8347" s="13"/>
      <c r="F8347" s="13"/>
      <c r="G8347" s="12"/>
      <c r="H8347" s="11"/>
    </row>
    <row r="8348" spans="3:8" x14ac:dyDescent="0.25">
      <c r="C8348" s="12"/>
      <c r="D8348" s="13"/>
      <c r="E8348" s="13"/>
      <c r="F8348" s="13"/>
      <c r="G8348" s="12"/>
      <c r="H8348" s="11"/>
    </row>
    <row r="8349" spans="3:8" x14ac:dyDescent="0.25">
      <c r="C8349" s="12"/>
      <c r="D8349" s="13"/>
      <c r="E8349" s="13"/>
      <c r="F8349" s="13"/>
      <c r="G8349" s="12"/>
      <c r="H8349" s="11"/>
    </row>
    <row r="8350" spans="3:8" x14ac:dyDescent="0.25">
      <c r="C8350" s="12"/>
      <c r="D8350" s="13"/>
      <c r="E8350" s="13"/>
      <c r="F8350" s="13"/>
      <c r="G8350" s="12"/>
      <c r="H8350" s="11"/>
    </row>
    <row r="8351" spans="3:8" x14ac:dyDescent="0.25">
      <c r="C8351" s="12"/>
      <c r="D8351" s="13"/>
      <c r="E8351" s="13"/>
      <c r="F8351" s="13"/>
      <c r="G8351" s="12"/>
      <c r="H8351" s="11"/>
    </row>
    <row r="8352" spans="3:8" x14ac:dyDescent="0.25">
      <c r="C8352" s="12"/>
      <c r="D8352" s="13"/>
      <c r="E8352" s="13"/>
      <c r="F8352" s="13"/>
      <c r="G8352" s="12"/>
      <c r="H8352" s="11"/>
    </row>
    <row r="8353" spans="3:8" x14ac:dyDescent="0.25">
      <c r="C8353" s="12"/>
      <c r="D8353" s="13"/>
      <c r="E8353" s="13"/>
      <c r="F8353" s="13"/>
      <c r="G8353" s="12"/>
      <c r="H8353" s="11"/>
    </row>
    <row r="8354" spans="3:8" x14ac:dyDescent="0.25">
      <c r="C8354" s="12"/>
      <c r="D8354" s="13"/>
      <c r="E8354" s="13"/>
      <c r="F8354" s="13"/>
      <c r="G8354" s="12"/>
      <c r="H8354" s="11"/>
    </row>
    <row r="8355" spans="3:8" x14ac:dyDescent="0.25">
      <c r="C8355" s="12"/>
      <c r="D8355" s="13"/>
      <c r="E8355" s="13"/>
      <c r="F8355" s="13"/>
      <c r="G8355" s="12"/>
      <c r="H8355" s="11"/>
    </row>
    <row r="8356" spans="3:8" x14ac:dyDescent="0.25">
      <c r="C8356" s="12"/>
      <c r="D8356" s="13"/>
      <c r="E8356" s="13"/>
      <c r="F8356" s="13"/>
      <c r="G8356" s="12"/>
      <c r="H8356" s="11"/>
    </row>
    <row r="8357" spans="3:8" x14ac:dyDescent="0.25">
      <c r="C8357" s="12"/>
      <c r="D8357" s="13"/>
      <c r="E8357" s="13"/>
      <c r="F8357" s="13"/>
      <c r="G8357" s="12"/>
      <c r="H8357" s="11"/>
    </row>
    <row r="8358" spans="3:8" x14ac:dyDescent="0.25">
      <c r="C8358" s="12"/>
      <c r="D8358" s="13"/>
      <c r="E8358" s="13"/>
      <c r="F8358" s="13"/>
      <c r="G8358" s="12"/>
      <c r="H8358" s="11"/>
    </row>
    <row r="8359" spans="3:8" x14ac:dyDescent="0.25">
      <c r="C8359" s="12"/>
      <c r="D8359" s="13"/>
      <c r="E8359" s="13"/>
      <c r="F8359" s="13"/>
      <c r="G8359" s="12"/>
      <c r="H8359" s="11"/>
    </row>
    <row r="8360" spans="3:8" x14ac:dyDescent="0.25">
      <c r="C8360" s="12"/>
      <c r="D8360" s="13"/>
      <c r="E8360" s="13"/>
      <c r="F8360" s="13"/>
      <c r="G8360" s="12"/>
      <c r="H8360" s="11"/>
    </row>
    <row r="8361" spans="3:8" x14ac:dyDescent="0.25">
      <c r="C8361" s="12"/>
      <c r="D8361" s="13"/>
      <c r="E8361" s="13"/>
      <c r="F8361" s="13"/>
      <c r="G8361" s="12"/>
      <c r="H8361" s="11"/>
    </row>
    <row r="8362" spans="3:8" x14ac:dyDescent="0.25">
      <c r="C8362" s="12"/>
      <c r="D8362" s="13"/>
      <c r="E8362" s="13"/>
      <c r="F8362" s="13"/>
      <c r="G8362" s="12"/>
      <c r="H8362" s="11"/>
    </row>
    <row r="8363" spans="3:8" x14ac:dyDescent="0.25">
      <c r="C8363" s="12"/>
      <c r="D8363" s="13"/>
      <c r="E8363" s="13"/>
      <c r="F8363" s="13"/>
      <c r="G8363" s="12"/>
      <c r="H8363" s="11"/>
    </row>
    <row r="8364" spans="3:8" x14ac:dyDescent="0.25">
      <c r="C8364" s="12"/>
      <c r="D8364" s="13"/>
      <c r="E8364" s="13"/>
      <c r="F8364" s="13"/>
      <c r="G8364" s="12"/>
      <c r="H8364" s="11"/>
    </row>
    <row r="8365" spans="3:8" x14ac:dyDescent="0.25">
      <c r="C8365" s="12"/>
      <c r="D8365" s="13"/>
      <c r="E8365" s="13"/>
      <c r="F8365" s="13"/>
      <c r="G8365" s="12"/>
      <c r="H8365" s="11"/>
    </row>
    <row r="8366" spans="3:8" x14ac:dyDescent="0.25">
      <c r="C8366" s="12"/>
      <c r="D8366" s="13"/>
      <c r="E8366" s="13"/>
      <c r="F8366" s="13"/>
      <c r="G8366" s="12"/>
      <c r="H8366" s="11"/>
    </row>
    <row r="8367" spans="3:8" x14ac:dyDescent="0.25">
      <c r="C8367" s="12"/>
      <c r="D8367" s="13"/>
      <c r="E8367" s="13"/>
      <c r="F8367" s="13"/>
      <c r="G8367" s="12"/>
      <c r="H8367" s="11"/>
    </row>
    <row r="8368" spans="3:8" x14ac:dyDescent="0.25">
      <c r="C8368" s="12"/>
      <c r="D8368" s="13"/>
      <c r="E8368" s="13"/>
      <c r="F8368" s="13"/>
      <c r="G8368" s="12"/>
      <c r="H8368" s="11"/>
    </row>
    <row r="8369" spans="3:8" x14ac:dyDescent="0.25">
      <c r="C8369" s="12"/>
      <c r="D8369" s="13"/>
      <c r="E8369" s="13"/>
      <c r="F8369" s="13"/>
      <c r="G8369" s="12"/>
      <c r="H8369" s="11"/>
    </row>
    <row r="8370" spans="3:8" x14ac:dyDescent="0.25">
      <c r="C8370" s="12"/>
      <c r="D8370" s="13"/>
      <c r="E8370" s="13"/>
      <c r="F8370" s="13"/>
      <c r="G8370" s="12"/>
      <c r="H8370" s="11"/>
    </row>
    <row r="8371" spans="3:8" x14ac:dyDescent="0.25">
      <c r="C8371" s="12"/>
      <c r="D8371" s="13"/>
      <c r="E8371" s="13"/>
      <c r="F8371" s="13"/>
      <c r="G8371" s="12"/>
      <c r="H8371" s="11"/>
    </row>
    <row r="8372" spans="3:8" x14ac:dyDescent="0.25">
      <c r="C8372" s="12"/>
      <c r="D8372" s="13"/>
      <c r="E8372" s="13"/>
      <c r="F8372" s="13"/>
      <c r="G8372" s="12"/>
      <c r="H8372" s="11"/>
    </row>
    <row r="8373" spans="3:8" x14ac:dyDescent="0.25">
      <c r="C8373" s="12"/>
      <c r="D8373" s="13"/>
      <c r="E8373" s="13"/>
      <c r="F8373" s="13"/>
      <c r="G8373" s="12"/>
      <c r="H8373" s="11"/>
    </row>
    <row r="8374" spans="3:8" x14ac:dyDescent="0.25">
      <c r="C8374" s="12"/>
      <c r="D8374" s="13"/>
      <c r="E8374" s="13"/>
      <c r="F8374" s="13"/>
      <c r="G8374" s="12"/>
      <c r="H8374" s="11"/>
    </row>
    <row r="8375" spans="3:8" x14ac:dyDescent="0.25">
      <c r="C8375" s="12"/>
      <c r="D8375" s="13"/>
      <c r="E8375" s="13"/>
      <c r="F8375" s="13"/>
      <c r="G8375" s="12"/>
      <c r="H8375" s="11"/>
    </row>
    <row r="8376" spans="3:8" x14ac:dyDescent="0.25">
      <c r="C8376" s="12"/>
      <c r="D8376" s="13"/>
      <c r="E8376" s="13"/>
      <c r="F8376" s="13"/>
      <c r="G8376" s="12"/>
      <c r="H8376" s="11"/>
    </row>
    <row r="8377" spans="3:8" x14ac:dyDescent="0.25">
      <c r="C8377" s="12"/>
      <c r="D8377" s="13"/>
      <c r="E8377" s="13"/>
      <c r="F8377" s="13"/>
      <c r="G8377" s="12"/>
      <c r="H8377" s="11"/>
    </row>
    <row r="8378" spans="3:8" x14ac:dyDescent="0.25">
      <c r="C8378" s="12"/>
      <c r="D8378" s="13"/>
      <c r="E8378" s="13"/>
      <c r="F8378" s="13"/>
      <c r="G8378" s="12"/>
      <c r="H8378" s="11"/>
    </row>
    <row r="8379" spans="3:8" x14ac:dyDescent="0.25">
      <c r="C8379" s="12"/>
      <c r="D8379" s="13"/>
      <c r="E8379" s="13"/>
      <c r="F8379" s="13"/>
      <c r="G8379" s="12"/>
      <c r="H8379" s="11"/>
    </row>
    <row r="8380" spans="3:8" x14ac:dyDescent="0.25">
      <c r="C8380" s="12"/>
      <c r="D8380" s="13"/>
      <c r="E8380" s="13"/>
      <c r="F8380" s="13"/>
      <c r="G8380" s="12"/>
      <c r="H8380" s="11"/>
    </row>
    <row r="8381" spans="3:8" x14ac:dyDescent="0.25">
      <c r="C8381" s="12"/>
      <c r="D8381" s="13"/>
      <c r="E8381" s="13"/>
      <c r="F8381" s="13"/>
      <c r="G8381" s="12"/>
      <c r="H8381" s="11"/>
    </row>
    <row r="8382" spans="3:8" x14ac:dyDescent="0.25">
      <c r="C8382" s="12"/>
      <c r="D8382" s="13"/>
      <c r="E8382" s="13"/>
      <c r="F8382" s="13"/>
      <c r="G8382" s="12"/>
      <c r="H8382" s="11"/>
    </row>
    <row r="8383" spans="3:8" x14ac:dyDescent="0.25">
      <c r="C8383" s="12"/>
      <c r="D8383" s="13"/>
      <c r="E8383" s="13"/>
      <c r="F8383" s="13"/>
      <c r="G8383" s="12"/>
      <c r="H8383" s="11"/>
    </row>
    <row r="8384" spans="3:8" x14ac:dyDescent="0.25">
      <c r="C8384" s="12"/>
      <c r="D8384" s="13"/>
      <c r="E8384" s="13"/>
      <c r="F8384" s="13"/>
      <c r="G8384" s="12"/>
      <c r="H8384" s="11"/>
    </row>
    <row r="8385" spans="3:8" x14ac:dyDescent="0.25">
      <c r="C8385" s="12"/>
      <c r="D8385" s="13"/>
      <c r="E8385" s="13"/>
      <c r="F8385" s="13"/>
      <c r="G8385" s="12"/>
      <c r="H8385" s="11"/>
    </row>
    <row r="8386" spans="3:8" x14ac:dyDescent="0.25">
      <c r="C8386" s="12"/>
      <c r="D8386" s="13"/>
      <c r="E8386" s="13"/>
      <c r="F8386" s="13"/>
      <c r="G8386" s="12"/>
      <c r="H8386" s="11"/>
    </row>
    <row r="8387" spans="3:8" x14ac:dyDescent="0.25">
      <c r="C8387" s="12"/>
      <c r="D8387" s="13"/>
      <c r="E8387" s="13"/>
      <c r="F8387" s="13"/>
      <c r="G8387" s="12"/>
      <c r="H8387" s="11"/>
    </row>
    <row r="8388" spans="3:8" x14ac:dyDescent="0.25">
      <c r="C8388" s="12"/>
      <c r="D8388" s="13"/>
      <c r="E8388" s="13"/>
      <c r="F8388" s="13"/>
      <c r="G8388" s="12"/>
      <c r="H8388" s="11"/>
    </row>
    <row r="8389" spans="3:8" x14ac:dyDescent="0.25">
      <c r="C8389" s="12"/>
      <c r="D8389" s="13"/>
      <c r="E8389" s="13"/>
      <c r="F8389" s="13"/>
      <c r="G8389" s="12"/>
      <c r="H8389" s="11"/>
    </row>
    <row r="8390" spans="3:8" x14ac:dyDescent="0.25">
      <c r="C8390" s="12"/>
      <c r="D8390" s="13"/>
      <c r="E8390" s="13"/>
      <c r="F8390" s="13"/>
      <c r="G8390" s="12"/>
      <c r="H8390" s="11"/>
    </row>
    <row r="8391" spans="3:8" x14ac:dyDescent="0.25">
      <c r="C8391" s="12"/>
      <c r="D8391" s="13"/>
      <c r="E8391" s="13"/>
      <c r="F8391" s="13"/>
      <c r="G8391" s="12"/>
      <c r="H8391" s="11"/>
    </row>
    <row r="8392" spans="3:8" x14ac:dyDescent="0.25">
      <c r="C8392" s="12"/>
      <c r="D8392" s="13"/>
      <c r="E8392" s="13"/>
      <c r="F8392" s="13"/>
      <c r="G8392" s="12"/>
      <c r="H8392" s="11"/>
    </row>
    <row r="8393" spans="3:8" x14ac:dyDescent="0.25">
      <c r="C8393" s="12"/>
      <c r="D8393" s="13"/>
      <c r="E8393" s="13"/>
      <c r="F8393" s="13"/>
      <c r="G8393" s="12"/>
      <c r="H8393" s="11"/>
    </row>
    <row r="8394" spans="3:8" x14ac:dyDescent="0.25">
      <c r="C8394" s="12"/>
      <c r="D8394" s="13"/>
      <c r="E8394" s="13"/>
      <c r="F8394" s="13"/>
      <c r="G8394" s="12"/>
      <c r="H8394" s="11"/>
    </row>
    <row r="8395" spans="3:8" x14ac:dyDescent="0.25">
      <c r="C8395" s="12"/>
      <c r="D8395" s="13"/>
      <c r="E8395" s="13"/>
      <c r="F8395" s="13"/>
      <c r="G8395" s="12"/>
      <c r="H8395" s="11"/>
    </row>
    <row r="8396" spans="3:8" x14ac:dyDescent="0.25">
      <c r="C8396" s="12"/>
      <c r="D8396" s="13"/>
      <c r="E8396" s="13"/>
      <c r="F8396" s="13"/>
      <c r="G8396" s="12"/>
      <c r="H8396" s="11"/>
    </row>
    <row r="8397" spans="3:8" x14ac:dyDescent="0.25">
      <c r="C8397" s="12"/>
      <c r="D8397" s="13"/>
      <c r="E8397" s="13"/>
      <c r="F8397" s="13"/>
      <c r="G8397" s="12"/>
      <c r="H8397" s="11"/>
    </row>
    <row r="8398" spans="3:8" x14ac:dyDescent="0.25">
      <c r="C8398" s="12"/>
      <c r="D8398" s="13"/>
      <c r="E8398" s="13"/>
      <c r="F8398" s="13"/>
      <c r="G8398" s="12"/>
      <c r="H8398" s="11"/>
    </row>
    <row r="8399" spans="3:8" x14ac:dyDescent="0.25">
      <c r="C8399" s="12"/>
      <c r="D8399" s="13"/>
      <c r="E8399" s="13"/>
      <c r="F8399" s="13"/>
      <c r="G8399" s="12"/>
      <c r="H8399" s="11"/>
    </row>
    <row r="8400" spans="3:8" x14ac:dyDescent="0.25">
      <c r="C8400" s="12"/>
      <c r="D8400" s="13"/>
      <c r="E8400" s="13"/>
      <c r="F8400" s="13"/>
      <c r="G8400" s="12"/>
      <c r="H8400" s="11"/>
    </row>
    <row r="8401" spans="3:8" x14ac:dyDescent="0.25">
      <c r="C8401" s="12"/>
      <c r="D8401" s="13"/>
      <c r="E8401" s="13"/>
      <c r="F8401" s="13"/>
      <c r="G8401" s="12"/>
      <c r="H8401" s="11"/>
    </row>
    <row r="8402" spans="3:8" x14ac:dyDescent="0.25">
      <c r="C8402" s="12"/>
      <c r="D8402" s="13"/>
      <c r="E8402" s="13"/>
      <c r="F8402" s="13"/>
      <c r="G8402" s="12"/>
      <c r="H8402" s="11"/>
    </row>
    <row r="8403" spans="3:8" x14ac:dyDescent="0.25">
      <c r="C8403" s="12"/>
      <c r="D8403" s="13"/>
      <c r="E8403" s="13"/>
      <c r="F8403" s="13"/>
      <c r="G8403" s="12"/>
      <c r="H8403" s="11"/>
    </row>
    <row r="8404" spans="3:8" x14ac:dyDescent="0.25">
      <c r="C8404" s="12"/>
      <c r="D8404" s="13"/>
      <c r="E8404" s="13"/>
      <c r="F8404" s="13"/>
      <c r="G8404" s="12"/>
      <c r="H8404" s="11"/>
    </row>
    <row r="8405" spans="3:8" x14ac:dyDescent="0.25">
      <c r="C8405" s="12"/>
      <c r="D8405" s="13"/>
      <c r="E8405" s="13"/>
      <c r="F8405" s="13"/>
      <c r="G8405" s="12"/>
      <c r="H8405" s="11"/>
    </row>
    <row r="8406" spans="3:8" x14ac:dyDescent="0.25">
      <c r="C8406" s="12"/>
      <c r="D8406" s="13"/>
      <c r="E8406" s="13"/>
      <c r="F8406" s="13"/>
      <c r="G8406" s="12"/>
      <c r="H8406" s="11"/>
    </row>
    <row r="8407" spans="3:8" x14ac:dyDescent="0.25">
      <c r="C8407" s="12"/>
      <c r="D8407" s="13"/>
      <c r="E8407" s="13"/>
      <c r="F8407" s="13"/>
      <c r="G8407" s="12"/>
      <c r="H8407" s="11"/>
    </row>
    <row r="8408" spans="3:8" x14ac:dyDescent="0.25">
      <c r="C8408" s="12"/>
      <c r="D8408" s="13"/>
      <c r="E8408" s="13"/>
      <c r="F8408" s="13"/>
      <c r="G8408" s="12"/>
      <c r="H8408" s="11"/>
    </row>
    <row r="8409" spans="3:8" x14ac:dyDescent="0.25">
      <c r="C8409" s="12"/>
      <c r="D8409" s="13"/>
      <c r="E8409" s="13"/>
      <c r="F8409" s="13"/>
      <c r="G8409" s="12"/>
      <c r="H8409" s="11"/>
    </row>
    <row r="8410" spans="3:8" x14ac:dyDescent="0.25">
      <c r="C8410" s="12"/>
      <c r="D8410" s="13"/>
      <c r="E8410" s="13"/>
      <c r="F8410" s="13"/>
      <c r="G8410" s="12"/>
      <c r="H8410" s="11"/>
    </row>
    <row r="8411" spans="3:8" x14ac:dyDescent="0.25">
      <c r="C8411" s="12"/>
      <c r="D8411" s="13"/>
      <c r="E8411" s="13"/>
      <c r="F8411" s="13"/>
      <c r="G8411" s="12"/>
      <c r="H8411" s="11"/>
    </row>
    <row r="8412" spans="3:8" x14ac:dyDescent="0.25">
      <c r="C8412" s="12"/>
      <c r="D8412" s="13"/>
      <c r="E8412" s="13"/>
      <c r="F8412" s="13"/>
      <c r="G8412" s="12"/>
      <c r="H8412" s="11"/>
    </row>
    <row r="8413" spans="3:8" x14ac:dyDescent="0.25">
      <c r="C8413" s="12"/>
      <c r="D8413" s="13"/>
      <c r="E8413" s="13"/>
      <c r="F8413" s="13"/>
      <c r="G8413" s="12"/>
      <c r="H8413" s="11"/>
    </row>
    <row r="8414" spans="3:8" x14ac:dyDescent="0.25">
      <c r="C8414" s="12"/>
      <c r="D8414" s="13"/>
      <c r="E8414" s="13"/>
      <c r="F8414" s="13"/>
      <c r="G8414" s="12"/>
      <c r="H8414" s="11"/>
    </row>
    <row r="8415" spans="3:8" x14ac:dyDescent="0.25">
      <c r="C8415" s="12"/>
      <c r="D8415" s="13"/>
      <c r="E8415" s="13"/>
      <c r="F8415" s="13"/>
      <c r="G8415" s="12"/>
      <c r="H8415" s="11"/>
    </row>
    <row r="8416" spans="3:8" x14ac:dyDescent="0.25">
      <c r="C8416" s="12"/>
      <c r="D8416" s="13"/>
      <c r="E8416" s="13"/>
      <c r="F8416" s="13"/>
      <c r="G8416" s="12"/>
      <c r="H8416" s="11"/>
    </row>
    <row r="8417" spans="3:8" x14ac:dyDescent="0.25">
      <c r="C8417" s="12"/>
      <c r="D8417" s="13"/>
      <c r="E8417" s="13"/>
      <c r="F8417" s="13"/>
      <c r="G8417" s="12"/>
      <c r="H8417" s="11"/>
    </row>
    <row r="8418" spans="3:8" x14ac:dyDescent="0.25">
      <c r="C8418" s="12"/>
      <c r="D8418" s="13"/>
      <c r="E8418" s="13"/>
      <c r="F8418" s="13"/>
      <c r="G8418" s="12"/>
      <c r="H8418" s="11"/>
    </row>
    <row r="8419" spans="3:8" x14ac:dyDescent="0.25">
      <c r="C8419" s="12"/>
      <c r="D8419" s="13"/>
      <c r="E8419" s="13"/>
      <c r="F8419" s="13"/>
      <c r="G8419" s="12"/>
      <c r="H8419" s="11"/>
    </row>
    <row r="8420" spans="3:8" x14ac:dyDescent="0.25">
      <c r="C8420" s="12"/>
      <c r="D8420" s="13"/>
      <c r="E8420" s="13"/>
      <c r="F8420" s="13"/>
      <c r="G8420" s="12"/>
      <c r="H8420" s="11"/>
    </row>
    <row r="8421" spans="3:8" x14ac:dyDescent="0.25">
      <c r="C8421" s="12"/>
      <c r="D8421" s="13"/>
      <c r="E8421" s="13"/>
      <c r="F8421" s="13"/>
      <c r="G8421" s="12"/>
      <c r="H8421" s="11"/>
    </row>
    <row r="8422" spans="3:8" x14ac:dyDescent="0.25">
      <c r="C8422" s="12"/>
      <c r="D8422" s="13"/>
      <c r="E8422" s="13"/>
      <c r="F8422" s="13"/>
      <c r="G8422" s="12"/>
      <c r="H8422" s="11"/>
    </row>
    <row r="8423" spans="3:8" x14ac:dyDescent="0.25">
      <c r="C8423" s="12"/>
      <c r="D8423" s="13"/>
      <c r="E8423" s="13"/>
      <c r="F8423" s="13"/>
      <c r="G8423" s="12"/>
      <c r="H8423" s="11"/>
    </row>
    <row r="8424" spans="3:8" x14ac:dyDescent="0.25">
      <c r="C8424" s="12"/>
      <c r="D8424" s="13"/>
      <c r="E8424" s="13"/>
      <c r="F8424" s="13"/>
      <c r="G8424" s="12"/>
      <c r="H8424" s="11"/>
    </row>
    <row r="8425" spans="3:8" x14ac:dyDescent="0.25">
      <c r="C8425" s="12"/>
      <c r="D8425" s="13"/>
      <c r="E8425" s="13"/>
      <c r="F8425" s="13"/>
      <c r="G8425" s="12"/>
      <c r="H8425" s="11"/>
    </row>
    <row r="8426" spans="3:8" x14ac:dyDescent="0.25">
      <c r="C8426" s="12"/>
      <c r="D8426" s="13"/>
      <c r="E8426" s="13"/>
      <c r="F8426" s="13"/>
      <c r="G8426" s="12"/>
      <c r="H8426" s="11"/>
    </row>
    <row r="8427" spans="3:8" x14ac:dyDescent="0.25">
      <c r="C8427" s="12"/>
      <c r="D8427" s="13"/>
      <c r="E8427" s="13"/>
      <c r="F8427" s="13"/>
      <c r="G8427" s="12"/>
      <c r="H8427" s="11"/>
    </row>
    <row r="8428" spans="3:8" x14ac:dyDescent="0.25">
      <c r="C8428" s="12"/>
      <c r="D8428" s="13"/>
      <c r="E8428" s="13"/>
      <c r="F8428" s="13"/>
      <c r="G8428" s="12"/>
      <c r="H8428" s="11"/>
    </row>
    <row r="8429" spans="3:8" x14ac:dyDescent="0.25">
      <c r="C8429" s="12"/>
      <c r="D8429" s="13"/>
      <c r="E8429" s="13"/>
      <c r="F8429" s="13"/>
      <c r="G8429" s="12"/>
      <c r="H8429" s="11"/>
    </row>
    <row r="8430" spans="3:8" x14ac:dyDescent="0.25">
      <c r="C8430" s="12"/>
      <c r="D8430" s="13"/>
      <c r="E8430" s="13"/>
      <c r="F8430" s="13"/>
      <c r="G8430" s="12"/>
      <c r="H8430" s="11"/>
    </row>
    <row r="8431" spans="3:8" x14ac:dyDescent="0.25">
      <c r="C8431" s="12"/>
      <c r="D8431" s="13"/>
      <c r="E8431" s="13"/>
      <c r="F8431" s="13"/>
      <c r="G8431" s="12"/>
      <c r="H8431" s="11"/>
    </row>
    <row r="8432" spans="3:8" x14ac:dyDescent="0.25">
      <c r="C8432" s="12"/>
      <c r="D8432" s="13"/>
      <c r="E8432" s="13"/>
      <c r="F8432" s="13"/>
      <c r="G8432" s="12"/>
      <c r="H8432" s="11"/>
    </row>
    <row r="8433" spans="3:8" x14ac:dyDescent="0.25">
      <c r="C8433" s="12"/>
      <c r="D8433" s="13"/>
      <c r="E8433" s="13"/>
      <c r="F8433" s="13"/>
      <c r="G8433" s="12"/>
      <c r="H8433" s="11"/>
    </row>
    <row r="8434" spans="3:8" x14ac:dyDescent="0.25">
      <c r="C8434" s="12"/>
      <c r="D8434" s="13"/>
      <c r="E8434" s="13"/>
      <c r="F8434" s="13"/>
      <c r="G8434" s="12"/>
      <c r="H8434" s="11"/>
    </row>
    <row r="8435" spans="3:8" x14ac:dyDescent="0.25">
      <c r="C8435" s="12"/>
      <c r="D8435" s="13"/>
      <c r="E8435" s="13"/>
      <c r="F8435" s="13"/>
      <c r="G8435" s="12"/>
      <c r="H8435" s="11"/>
    </row>
    <row r="8436" spans="3:8" x14ac:dyDescent="0.25">
      <c r="C8436" s="12"/>
      <c r="D8436" s="13"/>
      <c r="E8436" s="13"/>
      <c r="F8436" s="13"/>
      <c r="G8436" s="12"/>
      <c r="H8436" s="11"/>
    </row>
    <row r="8437" spans="3:8" x14ac:dyDescent="0.25">
      <c r="C8437" s="12"/>
      <c r="D8437" s="13"/>
      <c r="E8437" s="13"/>
      <c r="F8437" s="13"/>
      <c r="G8437" s="12"/>
      <c r="H8437" s="11"/>
    </row>
    <row r="8438" spans="3:8" x14ac:dyDescent="0.25">
      <c r="C8438" s="12"/>
      <c r="D8438" s="13"/>
      <c r="E8438" s="13"/>
      <c r="F8438" s="13"/>
      <c r="G8438" s="12"/>
      <c r="H8438" s="11"/>
    </row>
    <row r="8439" spans="3:8" x14ac:dyDescent="0.25">
      <c r="C8439" s="12"/>
      <c r="D8439" s="13"/>
      <c r="E8439" s="13"/>
      <c r="F8439" s="13"/>
      <c r="G8439" s="12"/>
      <c r="H8439" s="11"/>
    </row>
    <row r="8440" spans="3:8" x14ac:dyDescent="0.25">
      <c r="C8440" s="12"/>
      <c r="D8440" s="13"/>
      <c r="E8440" s="13"/>
      <c r="F8440" s="13"/>
      <c r="G8440" s="12"/>
      <c r="H8440" s="11"/>
    </row>
    <row r="8441" spans="3:8" x14ac:dyDescent="0.25">
      <c r="C8441" s="12"/>
      <c r="D8441" s="13"/>
      <c r="E8441" s="13"/>
      <c r="F8441" s="13"/>
      <c r="G8441" s="12"/>
      <c r="H8441" s="11"/>
    </row>
    <row r="8442" spans="3:8" x14ac:dyDescent="0.25">
      <c r="C8442" s="12"/>
      <c r="D8442" s="13"/>
      <c r="E8442" s="13"/>
      <c r="F8442" s="13"/>
      <c r="G8442" s="12"/>
      <c r="H8442" s="11"/>
    </row>
    <row r="8443" spans="3:8" x14ac:dyDescent="0.25">
      <c r="C8443" s="12"/>
      <c r="D8443" s="13"/>
      <c r="E8443" s="13"/>
      <c r="F8443" s="13"/>
      <c r="G8443" s="12"/>
      <c r="H8443" s="11"/>
    </row>
    <row r="8444" spans="3:8" x14ac:dyDescent="0.25">
      <c r="C8444" s="12"/>
      <c r="D8444" s="13"/>
      <c r="E8444" s="13"/>
      <c r="F8444" s="13"/>
      <c r="G8444" s="12"/>
      <c r="H8444" s="11"/>
    </row>
    <row r="8445" spans="3:8" x14ac:dyDescent="0.25">
      <c r="C8445" s="12"/>
      <c r="D8445" s="13"/>
      <c r="E8445" s="13"/>
      <c r="F8445" s="13"/>
      <c r="G8445" s="12"/>
      <c r="H8445" s="11"/>
    </row>
    <row r="8446" spans="3:8" x14ac:dyDescent="0.25">
      <c r="C8446" s="12"/>
      <c r="D8446" s="13"/>
      <c r="E8446" s="13"/>
      <c r="F8446" s="13"/>
      <c r="G8446" s="12"/>
      <c r="H8446" s="11"/>
    </row>
    <row r="8447" spans="3:8" x14ac:dyDescent="0.25">
      <c r="C8447" s="12"/>
      <c r="D8447" s="13"/>
      <c r="E8447" s="13"/>
      <c r="F8447" s="13"/>
      <c r="G8447" s="12"/>
      <c r="H8447" s="11"/>
    </row>
    <row r="8448" spans="3:8" x14ac:dyDescent="0.25">
      <c r="C8448" s="12"/>
      <c r="D8448" s="13"/>
      <c r="E8448" s="13"/>
      <c r="F8448" s="13"/>
      <c r="G8448" s="12"/>
      <c r="H8448" s="11"/>
    </row>
    <row r="8449" spans="3:8" x14ac:dyDescent="0.25">
      <c r="C8449" s="12"/>
      <c r="D8449" s="13"/>
      <c r="E8449" s="13"/>
      <c r="F8449" s="13"/>
      <c r="G8449" s="12"/>
      <c r="H8449" s="11"/>
    </row>
    <row r="8450" spans="3:8" x14ac:dyDescent="0.25">
      <c r="C8450" s="12"/>
      <c r="D8450" s="13"/>
      <c r="E8450" s="13"/>
      <c r="F8450" s="13"/>
      <c r="G8450" s="12"/>
      <c r="H8450" s="11"/>
    </row>
    <row r="8451" spans="3:8" x14ac:dyDescent="0.25">
      <c r="C8451" s="12"/>
      <c r="D8451" s="13"/>
      <c r="E8451" s="13"/>
      <c r="F8451" s="13"/>
      <c r="G8451" s="12"/>
      <c r="H8451" s="11"/>
    </row>
    <row r="8452" spans="3:8" x14ac:dyDescent="0.25">
      <c r="C8452" s="12"/>
      <c r="D8452" s="13"/>
      <c r="E8452" s="13"/>
      <c r="F8452" s="13"/>
      <c r="G8452" s="12"/>
      <c r="H8452" s="11"/>
    </row>
    <row r="8453" spans="3:8" x14ac:dyDescent="0.25">
      <c r="C8453" s="12"/>
      <c r="D8453" s="13"/>
      <c r="E8453" s="13"/>
      <c r="F8453" s="13"/>
      <c r="G8453" s="12"/>
      <c r="H8453" s="11"/>
    </row>
    <row r="8454" spans="3:8" x14ac:dyDescent="0.25">
      <c r="C8454" s="12"/>
      <c r="D8454" s="13"/>
      <c r="E8454" s="13"/>
      <c r="F8454" s="13"/>
      <c r="G8454" s="12"/>
      <c r="H8454" s="11"/>
    </row>
    <row r="8455" spans="3:8" x14ac:dyDescent="0.25">
      <c r="C8455" s="12"/>
      <c r="D8455" s="13"/>
      <c r="E8455" s="13"/>
      <c r="F8455" s="13"/>
      <c r="G8455" s="12"/>
      <c r="H8455" s="11"/>
    </row>
    <row r="8456" spans="3:8" x14ac:dyDescent="0.25">
      <c r="C8456" s="12"/>
      <c r="D8456" s="13"/>
      <c r="E8456" s="13"/>
      <c r="F8456" s="13"/>
      <c r="G8456" s="12"/>
      <c r="H8456" s="11"/>
    </row>
    <row r="8457" spans="3:8" x14ac:dyDescent="0.25">
      <c r="C8457" s="12"/>
      <c r="D8457" s="13"/>
      <c r="E8457" s="13"/>
      <c r="F8457" s="13"/>
      <c r="G8457" s="12"/>
      <c r="H8457" s="11"/>
    </row>
    <row r="8458" spans="3:8" x14ac:dyDescent="0.25">
      <c r="C8458" s="12"/>
      <c r="D8458" s="13"/>
      <c r="E8458" s="13"/>
      <c r="F8458" s="13"/>
      <c r="G8458" s="12"/>
      <c r="H8458" s="11"/>
    </row>
    <row r="8459" spans="3:8" x14ac:dyDescent="0.25">
      <c r="C8459" s="12"/>
      <c r="D8459" s="13"/>
      <c r="E8459" s="13"/>
      <c r="F8459" s="13"/>
      <c r="G8459" s="12"/>
      <c r="H8459" s="11"/>
    </row>
    <row r="8460" spans="3:8" x14ac:dyDescent="0.25">
      <c r="C8460" s="12"/>
      <c r="D8460" s="13"/>
      <c r="E8460" s="13"/>
      <c r="F8460" s="13"/>
      <c r="G8460" s="12"/>
      <c r="H8460" s="11"/>
    </row>
    <row r="8461" spans="3:8" x14ac:dyDescent="0.25">
      <c r="C8461" s="12"/>
      <c r="D8461" s="13"/>
      <c r="E8461" s="13"/>
      <c r="F8461" s="13"/>
      <c r="G8461" s="12"/>
      <c r="H8461" s="11"/>
    </row>
    <row r="8462" spans="3:8" x14ac:dyDescent="0.25">
      <c r="C8462" s="12"/>
      <c r="D8462" s="13"/>
      <c r="E8462" s="13"/>
      <c r="F8462" s="13"/>
      <c r="G8462" s="12"/>
      <c r="H8462" s="11"/>
    </row>
    <row r="8463" spans="3:8" x14ac:dyDescent="0.25">
      <c r="C8463" s="12"/>
      <c r="D8463" s="13"/>
      <c r="E8463" s="13"/>
      <c r="F8463" s="13"/>
      <c r="G8463" s="12"/>
      <c r="H8463" s="11"/>
    </row>
    <row r="8464" spans="3:8" x14ac:dyDescent="0.25">
      <c r="C8464" s="12"/>
      <c r="D8464" s="13"/>
      <c r="E8464" s="13"/>
      <c r="F8464" s="13"/>
      <c r="G8464" s="12"/>
      <c r="H8464" s="11"/>
    </row>
    <row r="8465" spans="3:8" x14ac:dyDescent="0.25">
      <c r="C8465" s="12"/>
      <c r="D8465" s="13"/>
      <c r="E8465" s="13"/>
      <c r="F8465" s="13"/>
      <c r="G8465" s="12"/>
      <c r="H8465" s="11"/>
    </row>
    <row r="8466" spans="3:8" x14ac:dyDescent="0.25">
      <c r="C8466" s="12"/>
      <c r="D8466" s="13"/>
      <c r="E8466" s="13"/>
      <c r="F8466" s="13"/>
      <c r="G8466" s="12"/>
      <c r="H8466" s="11"/>
    </row>
    <row r="8467" spans="3:8" x14ac:dyDescent="0.25">
      <c r="C8467" s="12"/>
      <c r="D8467" s="13"/>
      <c r="E8467" s="13"/>
      <c r="F8467" s="13"/>
      <c r="G8467" s="12"/>
      <c r="H8467" s="11"/>
    </row>
    <row r="8468" spans="3:8" x14ac:dyDescent="0.25">
      <c r="C8468" s="12"/>
      <c r="D8468" s="13"/>
      <c r="E8468" s="13"/>
      <c r="F8468" s="13"/>
      <c r="G8468" s="12"/>
      <c r="H8468" s="11"/>
    </row>
    <row r="8469" spans="3:8" x14ac:dyDescent="0.25">
      <c r="C8469" s="12"/>
      <c r="D8469" s="13"/>
      <c r="E8469" s="13"/>
      <c r="F8469" s="13"/>
      <c r="G8469" s="12"/>
      <c r="H8469" s="11"/>
    </row>
    <row r="8470" spans="3:8" x14ac:dyDescent="0.25">
      <c r="C8470" s="12"/>
      <c r="D8470" s="13"/>
      <c r="E8470" s="13"/>
      <c r="F8470" s="13"/>
      <c r="G8470" s="12"/>
      <c r="H8470" s="11"/>
    </row>
    <row r="8471" spans="3:8" x14ac:dyDescent="0.25">
      <c r="C8471" s="12"/>
      <c r="D8471" s="13"/>
      <c r="E8471" s="13"/>
      <c r="F8471" s="13"/>
      <c r="G8471" s="12"/>
      <c r="H8471" s="11"/>
    </row>
    <row r="8472" spans="3:8" x14ac:dyDescent="0.25">
      <c r="C8472" s="12"/>
      <c r="D8472" s="13"/>
      <c r="E8472" s="13"/>
      <c r="F8472" s="13"/>
      <c r="G8472" s="12"/>
      <c r="H8472" s="11"/>
    </row>
    <row r="8473" spans="3:8" x14ac:dyDescent="0.25">
      <c r="C8473" s="12"/>
      <c r="D8473" s="13"/>
      <c r="E8473" s="13"/>
      <c r="F8473" s="13"/>
      <c r="G8473" s="12"/>
      <c r="H8473" s="11"/>
    </row>
    <row r="8474" spans="3:8" x14ac:dyDescent="0.25">
      <c r="C8474" s="12"/>
      <c r="D8474" s="13"/>
      <c r="E8474" s="13"/>
      <c r="F8474" s="13"/>
      <c r="G8474" s="12"/>
      <c r="H8474" s="11"/>
    </row>
    <row r="8475" spans="3:8" x14ac:dyDescent="0.25">
      <c r="C8475" s="12"/>
      <c r="D8475" s="13"/>
      <c r="E8475" s="13"/>
      <c r="F8475" s="13"/>
      <c r="G8475" s="12"/>
      <c r="H8475" s="11"/>
    </row>
    <row r="8476" spans="3:8" x14ac:dyDescent="0.25">
      <c r="C8476" s="12"/>
      <c r="D8476" s="13"/>
      <c r="E8476" s="13"/>
      <c r="F8476" s="13"/>
      <c r="G8476" s="12"/>
      <c r="H8476" s="11"/>
    </row>
    <row r="8477" spans="3:8" x14ac:dyDescent="0.25">
      <c r="C8477" s="12"/>
      <c r="D8477" s="13"/>
      <c r="E8477" s="13"/>
      <c r="F8477" s="13"/>
      <c r="G8477" s="12"/>
      <c r="H8477" s="11"/>
    </row>
    <row r="8478" spans="3:8" x14ac:dyDescent="0.25">
      <c r="C8478" s="12"/>
      <c r="D8478" s="13"/>
      <c r="E8478" s="13"/>
      <c r="F8478" s="13"/>
      <c r="G8478" s="12"/>
      <c r="H8478" s="11"/>
    </row>
    <row r="8479" spans="3:8" x14ac:dyDescent="0.25">
      <c r="C8479" s="12"/>
      <c r="D8479" s="13"/>
      <c r="E8479" s="13"/>
      <c r="F8479" s="13"/>
      <c r="G8479" s="12"/>
      <c r="H8479" s="11"/>
    </row>
    <row r="8480" spans="3:8" x14ac:dyDescent="0.25">
      <c r="C8480" s="12"/>
      <c r="D8480" s="13"/>
      <c r="E8480" s="13"/>
      <c r="F8480" s="13"/>
      <c r="G8480" s="12"/>
      <c r="H8480" s="11"/>
    </row>
    <row r="8481" spans="3:8" x14ac:dyDescent="0.25">
      <c r="C8481" s="12"/>
      <c r="D8481" s="13"/>
      <c r="E8481" s="13"/>
      <c r="F8481" s="13"/>
      <c r="G8481" s="12"/>
      <c r="H8481" s="11"/>
    </row>
    <row r="8482" spans="3:8" x14ac:dyDescent="0.25">
      <c r="C8482" s="12"/>
      <c r="D8482" s="13"/>
      <c r="E8482" s="13"/>
      <c r="F8482" s="13"/>
      <c r="G8482" s="12"/>
      <c r="H8482" s="11"/>
    </row>
    <row r="8483" spans="3:8" x14ac:dyDescent="0.25">
      <c r="C8483" s="12"/>
      <c r="D8483" s="13"/>
      <c r="E8483" s="13"/>
      <c r="F8483" s="13"/>
      <c r="G8483" s="12"/>
      <c r="H8483" s="11"/>
    </row>
    <row r="8484" spans="3:8" x14ac:dyDescent="0.25">
      <c r="C8484" s="12"/>
      <c r="D8484" s="13"/>
      <c r="E8484" s="13"/>
      <c r="F8484" s="13"/>
      <c r="G8484" s="12"/>
      <c r="H8484" s="11"/>
    </row>
    <row r="8485" spans="3:8" x14ac:dyDescent="0.25">
      <c r="C8485" s="12"/>
      <c r="D8485" s="13"/>
      <c r="E8485" s="13"/>
      <c r="F8485" s="13"/>
      <c r="G8485" s="12"/>
      <c r="H8485" s="11"/>
    </row>
    <row r="8486" spans="3:8" x14ac:dyDescent="0.25">
      <c r="C8486" s="12"/>
      <c r="D8486" s="13"/>
      <c r="E8486" s="13"/>
      <c r="F8486" s="13"/>
      <c r="G8486" s="12"/>
      <c r="H8486" s="11"/>
    </row>
    <row r="8487" spans="3:8" x14ac:dyDescent="0.25">
      <c r="C8487" s="12"/>
      <c r="D8487" s="13"/>
      <c r="E8487" s="13"/>
      <c r="F8487" s="13"/>
      <c r="G8487" s="12"/>
      <c r="H8487" s="11"/>
    </row>
    <row r="8488" spans="3:8" x14ac:dyDescent="0.25">
      <c r="C8488" s="12"/>
      <c r="D8488" s="13"/>
      <c r="E8488" s="13"/>
      <c r="F8488" s="13"/>
      <c r="G8488" s="12"/>
      <c r="H8488" s="11"/>
    </row>
    <row r="8489" spans="3:8" x14ac:dyDescent="0.25">
      <c r="C8489" s="12"/>
      <c r="D8489" s="13"/>
      <c r="E8489" s="13"/>
      <c r="F8489" s="13"/>
      <c r="G8489" s="12"/>
      <c r="H8489" s="11"/>
    </row>
    <row r="8490" spans="3:8" x14ac:dyDescent="0.25">
      <c r="C8490" s="12"/>
      <c r="D8490" s="13"/>
      <c r="E8490" s="13"/>
      <c r="F8490" s="13"/>
      <c r="G8490" s="12"/>
      <c r="H8490" s="11"/>
    </row>
    <row r="8491" spans="3:8" x14ac:dyDescent="0.25">
      <c r="C8491" s="12"/>
      <c r="D8491" s="13"/>
      <c r="E8491" s="13"/>
      <c r="F8491" s="13"/>
      <c r="G8491" s="12"/>
      <c r="H8491" s="11"/>
    </row>
    <row r="8492" spans="3:8" x14ac:dyDescent="0.25">
      <c r="C8492" s="12"/>
      <c r="D8492" s="13"/>
      <c r="E8492" s="13"/>
      <c r="F8492" s="13"/>
      <c r="G8492" s="12"/>
      <c r="H8492" s="11"/>
    </row>
    <row r="8493" spans="3:8" x14ac:dyDescent="0.25">
      <c r="C8493" s="12"/>
      <c r="D8493" s="13"/>
      <c r="E8493" s="13"/>
      <c r="F8493" s="13"/>
      <c r="G8493" s="12"/>
      <c r="H8493" s="11"/>
    </row>
    <row r="8494" spans="3:8" x14ac:dyDescent="0.25">
      <c r="C8494" s="12"/>
      <c r="D8494" s="13"/>
      <c r="E8494" s="13"/>
      <c r="F8494" s="13"/>
      <c r="G8494" s="12"/>
      <c r="H8494" s="11"/>
    </row>
    <row r="8495" spans="3:8" x14ac:dyDescent="0.25">
      <c r="C8495" s="12"/>
      <c r="D8495" s="13"/>
      <c r="E8495" s="13"/>
      <c r="F8495" s="13"/>
      <c r="G8495" s="12"/>
      <c r="H8495" s="11"/>
    </row>
    <row r="8496" spans="3:8" x14ac:dyDescent="0.25">
      <c r="C8496" s="12"/>
      <c r="D8496" s="13"/>
      <c r="E8496" s="13"/>
      <c r="F8496" s="13"/>
      <c r="G8496" s="12"/>
      <c r="H8496" s="11"/>
    </row>
    <row r="8497" spans="3:8" x14ac:dyDescent="0.25">
      <c r="C8497" s="12"/>
      <c r="D8497" s="13"/>
      <c r="E8497" s="13"/>
      <c r="F8497" s="13"/>
      <c r="G8497" s="12"/>
      <c r="H8497" s="11"/>
    </row>
    <row r="8498" spans="3:8" x14ac:dyDescent="0.25">
      <c r="C8498" s="12"/>
      <c r="D8498" s="13"/>
      <c r="E8498" s="13"/>
      <c r="F8498" s="13"/>
      <c r="G8498" s="12"/>
      <c r="H8498" s="11"/>
    </row>
    <row r="8499" spans="3:8" x14ac:dyDescent="0.25">
      <c r="C8499" s="12"/>
      <c r="D8499" s="13"/>
      <c r="E8499" s="13"/>
      <c r="F8499" s="13"/>
      <c r="G8499" s="12"/>
      <c r="H8499" s="11"/>
    </row>
    <row r="8500" spans="3:8" x14ac:dyDescent="0.25">
      <c r="C8500" s="12"/>
      <c r="D8500" s="13"/>
      <c r="E8500" s="13"/>
      <c r="F8500" s="13"/>
      <c r="G8500" s="12"/>
      <c r="H8500" s="11"/>
    </row>
    <row r="8501" spans="3:8" x14ac:dyDescent="0.25">
      <c r="C8501" s="12"/>
      <c r="D8501" s="13"/>
      <c r="E8501" s="13"/>
      <c r="F8501" s="13"/>
      <c r="G8501" s="12"/>
      <c r="H8501" s="11"/>
    </row>
    <row r="8502" spans="3:8" x14ac:dyDescent="0.25">
      <c r="C8502" s="12"/>
      <c r="D8502" s="13"/>
      <c r="E8502" s="13"/>
      <c r="F8502" s="13"/>
      <c r="G8502" s="12"/>
      <c r="H8502" s="11"/>
    </row>
    <row r="8503" spans="3:8" x14ac:dyDescent="0.25">
      <c r="C8503" s="12"/>
      <c r="D8503" s="13"/>
      <c r="E8503" s="13"/>
      <c r="F8503" s="13"/>
      <c r="G8503" s="12"/>
      <c r="H8503" s="11"/>
    </row>
    <row r="8504" spans="3:8" x14ac:dyDescent="0.25">
      <c r="C8504" s="12"/>
      <c r="D8504" s="13"/>
      <c r="E8504" s="13"/>
      <c r="F8504" s="13"/>
      <c r="G8504" s="12"/>
      <c r="H8504" s="11"/>
    </row>
    <row r="8505" spans="3:8" x14ac:dyDescent="0.25">
      <c r="C8505" s="12"/>
      <c r="D8505" s="13"/>
      <c r="E8505" s="13"/>
      <c r="F8505" s="13"/>
      <c r="G8505" s="12"/>
      <c r="H8505" s="11"/>
    </row>
    <row r="8506" spans="3:8" x14ac:dyDescent="0.25">
      <c r="C8506" s="12"/>
      <c r="D8506" s="13"/>
      <c r="E8506" s="13"/>
      <c r="F8506" s="13"/>
      <c r="G8506" s="12"/>
      <c r="H8506" s="11"/>
    </row>
    <row r="8507" spans="3:8" x14ac:dyDescent="0.25">
      <c r="C8507" s="12"/>
      <c r="D8507" s="13"/>
      <c r="E8507" s="13"/>
      <c r="F8507" s="13"/>
      <c r="G8507" s="12"/>
      <c r="H8507" s="11"/>
    </row>
    <row r="8508" spans="3:8" x14ac:dyDescent="0.25">
      <c r="C8508" s="12"/>
      <c r="D8508" s="13"/>
      <c r="E8508" s="13"/>
      <c r="F8508" s="13"/>
      <c r="G8508" s="12"/>
      <c r="H8508" s="11"/>
    </row>
    <row r="8509" spans="3:8" x14ac:dyDescent="0.25">
      <c r="C8509" s="12"/>
      <c r="D8509" s="13"/>
      <c r="E8509" s="13"/>
      <c r="F8509" s="13"/>
      <c r="G8509" s="12"/>
      <c r="H8509" s="11"/>
    </row>
    <row r="8510" spans="3:8" x14ac:dyDescent="0.25">
      <c r="C8510" s="12"/>
      <c r="D8510" s="13"/>
      <c r="E8510" s="13"/>
      <c r="F8510" s="13"/>
      <c r="G8510" s="12"/>
      <c r="H8510" s="11"/>
    </row>
    <row r="8511" spans="3:8" x14ac:dyDescent="0.25">
      <c r="C8511" s="12"/>
      <c r="D8511" s="13"/>
      <c r="E8511" s="13"/>
      <c r="F8511" s="13"/>
      <c r="G8511" s="12"/>
      <c r="H8511" s="11"/>
    </row>
    <row r="8512" spans="3:8" x14ac:dyDescent="0.25">
      <c r="C8512" s="12"/>
      <c r="D8512" s="13"/>
      <c r="E8512" s="13"/>
      <c r="F8512" s="13"/>
      <c r="G8512" s="12"/>
      <c r="H8512" s="11"/>
    </row>
    <row r="8513" spans="3:8" x14ac:dyDescent="0.25">
      <c r="C8513" s="12"/>
      <c r="D8513" s="13"/>
      <c r="E8513" s="13"/>
      <c r="F8513" s="13"/>
      <c r="G8513" s="12"/>
      <c r="H8513" s="11"/>
    </row>
    <row r="8514" spans="3:8" x14ac:dyDescent="0.25">
      <c r="C8514" s="12"/>
      <c r="D8514" s="13"/>
      <c r="E8514" s="13"/>
      <c r="F8514" s="13"/>
      <c r="G8514" s="12"/>
      <c r="H8514" s="11"/>
    </row>
    <row r="8515" spans="3:8" x14ac:dyDescent="0.25">
      <c r="C8515" s="12"/>
      <c r="D8515" s="13"/>
      <c r="E8515" s="13"/>
      <c r="F8515" s="13"/>
      <c r="G8515" s="12"/>
      <c r="H8515" s="11"/>
    </row>
    <row r="8516" spans="3:8" x14ac:dyDescent="0.25">
      <c r="C8516" s="12"/>
      <c r="D8516" s="13"/>
      <c r="E8516" s="13"/>
      <c r="F8516" s="13"/>
      <c r="G8516" s="12"/>
      <c r="H8516" s="11"/>
    </row>
    <row r="8517" spans="3:8" x14ac:dyDescent="0.25">
      <c r="C8517" s="12"/>
      <c r="D8517" s="13"/>
      <c r="E8517" s="13"/>
      <c r="F8517" s="13"/>
      <c r="G8517" s="12"/>
      <c r="H8517" s="11"/>
    </row>
    <row r="8518" spans="3:8" x14ac:dyDescent="0.25">
      <c r="C8518" s="12"/>
      <c r="D8518" s="13"/>
      <c r="E8518" s="13"/>
      <c r="F8518" s="13"/>
      <c r="G8518" s="12"/>
      <c r="H8518" s="11"/>
    </row>
    <row r="8519" spans="3:8" x14ac:dyDescent="0.25">
      <c r="C8519" s="12"/>
      <c r="D8519" s="13"/>
      <c r="E8519" s="13"/>
      <c r="F8519" s="13"/>
      <c r="G8519" s="12"/>
      <c r="H8519" s="11"/>
    </row>
    <row r="8520" spans="3:8" x14ac:dyDescent="0.25">
      <c r="C8520" s="12"/>
      <c r="D8520" s="13"/>
      <c r="E8520" s="13"/>
      <c r="F8520" s="13"/>
      <c r="G8520" s="12"/>
      <c r="H8520" s="11"/>
    </row>
    <row r="8521" spans="3:8" x14ac:dyDescent="0.25">
      <c r="C8521" s="12"/>
      <c r="D8521" s="13"/>
      <c r="E8521" s="13"/>
      <c r="F8521" s="13"/>
      <c r="G8521" s="12"/>
      <c r="H8521" s="11"/>
    </row>
    <row r="8522" spans="3:8" x14ac:dyDescent="0.25">
      <c r="C8522" s="12"/>
      <c r="D8522" s="13"/>
      <c r="E8522" s="13"/>
      <c r="F8522" s="13"/>
      <c r="G8522" s="12"/>
      <c r="H8522" s="11"/>
    </row>
    <row r="8523" spans="3:8" x14ac:dyDescent="0.25">
      <c r="C8523" s="12"/>
      <c r="D8523" s="13"/>
      <c r="E8523" s="13"/>
      <c r="F8523" s="13"/>
      <c r="G8523" s="12"/>
      <c r="H8523" s="11"/>
    </row>
    <row r="8524" spans="3:8" x14ac:dyDescent="0.25">
      <c r="C8524" s="12"/>
      <c r="D8524" s="13"/>
      <c r="E8524" s="13"/>
      <c r="F8524" s="13"/>
      <c r="G8524" s="12"/>
      <c r="H8524" s="11"/>
    </row>
    <row r="8525" spans="3:8" x14ac:dyDescent="0.25">
      <c r="C8525" s="12"/>
      <c r="D8525" s="13"/>
      <c r="E8525" s="13"/>
      <c r="F8525" s="13"/>
      <c r="G8525" s="12"/>
      <c r="H8525" s="11"/>
    </row>
    <row r="8526" spans="3:8" x14ac:dyDescent="0.25">
      <c r="C8526" s="12"/>
      <c r="D8526" s="13"/>
      <c r="E8526" s="13"/>
      <c r="F8526" s="13"/>
      <c r="G8526" s="12"/>
      <c r="H8526" s="11"/>
    </row>
    <row r="8527" spans="3:8" x14ac:dyDescent="0.25">
      <c r="C8527" s="12"/>
      <c r="D8527" s="13"/>
      <c r="E8527" s="13"/>
      <c r="F8527" s="13"/>
      <c r="G8527" s="12"/>
      <c r="H8527" s="11"/>
    </row>
    <row r="8528" spans="3:8" x14ac:dyDescent="0.25">
      <c r="C8528" s="12"/>
      <c r="D8528" s="13"/>
      <c r="E8528" s="13"/>
      <c r="F8528" s="13"/>
      <c r="G8528" s="12"/>
      <c r="H8528" s="11"/>
    </row>
    <row r="8529" spans="3:8" x14ac:dyDescent="0.25">
      <c r="C8529" s="12"/>
      <c r="D8529" s="13"/>
      <c r="E8529" s="13"/>
      <c r="F8529" s="13"/>
      <c r="G8529" s="12"/>
      <c r="H8529" s="11"/>
    </row>
    <row r="8530" spans="3:8" x14ac:dyDescent="0.25">
      <c r="C8530" s="12"/>
      <c r="D8530" s="13"/>
      <c r="E8530" s="13"/>
      <c r="F8530" s="13"/>
      <c r="G8530" s="12"/>
      <c r="H8530" s="11"/>
    </row>
    <row r="8531" spans="3:8" x14ac:dyDescent="0.25">
      <c r="C8531" s="12"/>
      <c r="D8531" s="13"/>
      <c r="E8531" s="13"/>
      <c r="F8531" s="13"/>
      <c r="G8531" s="12"/>
      <c r="H8531" s="11"/>
    </row>
    <row r="8532" spans="3:8" x14ac:dyDescent="0.25">
      <c r="C8532" s="12"/>
      <c r="D8532" s="13"/>
      <c r="E8532" s="13"/>
      <c r="F8532" s="13"/>
      <c r="G8532" s="12"/>
      <c r="H8532" s="11"/>
    </row>
    <row r="8533" spans="3:8" x14ac:dyDescent="0.25">
      <c r="C8533" s="12"/>
      <c r="D8533" s="13"/>
      <c r="E8533" s="13"/>
      <c r="F8533" s="13"/>
      <c r="G8533" s="12"/>
      <c r="H8533" s="11"/>
    </row>
    <row r="8534" spans="3:8" x14ac:dyDescent="0.25">
      <c r="C8534" s="12"/>
      <c r="D8534" s="13"/>
      <c r="E8534" s="13"/>
      <c r="F8534" s="13"/>
      <c r="G8534" s="12"/>
      <c r="H8534" s="11"/>
    </row>
    <row r="8535" spans="3:8" x14ac:dyDescent="0.25">
      <c r="C8535" s="12"/>
      <c r="D8535" s="13"/>
      <c r="E8535" s="13"/>
      <c r="F8535" s="13"/>
      <c r="G8535" s="12"/>
      <c r="H8535" s="11"/>
    </row>
    <row r="8536" spans="3:8" x14ac:dyDescent="0.25">
      <c r="C8536" s="12"/>
      <c r="D8536" s="13"/>
      <c r="E8536" s="13"/>
      <c r="F8536" s="13"/>
      <c r="G8536" s="12"/>
      <c r="H8536" s="11"/>
    </row>
    <row r="8537" spans="3:8" x14ac:dyDescent="0.25">
      <c r="C8537" s="12"/>
      <c r="D8537" s="13"/>
      <c r="E8537" s="13"/>
      <c r="F8537" s="13"/>
      <c r="G8537" s="12"/>
      <c r="H8537" s="11"/>
    </row>
    <row r="8538" spans="3:8" x14ac:dyDescent="0.25">
      <c r="C8538" s="12"/>
      <c r="D8538" s="13"/>
      <c r="E8538" s="13"/>
      <c r="F8538" s="13"/>
      <c r="G8538" s="12"/>
      <c r="H8538" s="11"/>
    </row>
    <row r="8539" spans="3:8" x14ac:dyDescent="0.25">
      <c r="C8539" s="12"/>
      <c r="D8539" s="13"/>
      <c r="E8539" s="13"/>
      <c r="F8539" s="13"/>
      <c r="G8539" s="12"/>
      <c r="H8539" s="11"/>
    </row>
    <row r="8540" spans="3:8" x14ac:dyDescent="0.25">
      <c r="C8540" s="12"/>
      <c r="D8540" s="13"/>
      <c r="E8540" s="13"/>
      <c r="F8540" s="13"/>
      <c r="G8540" s="12"/>
      <c r="H8540" s="11"/>
    </row>
    <row r="8541" spans="3:8" x14ac:dyDescent="0.25">
      <c r="C8541" s="12"/>
      <c r="D8541" s="13"/>
      <c r="E8541" s="13"/>
      <c r="F8541" s="13"/>
      <c r="G8541" s="12"/>
      <c r="H8541" s="11"/>
    </row>
    <row r="8542" spans="3:8" x14ac:dyDescent="0.25">
      <c r="C8542" s="12"/>
      <c r="D8542" s="13"/>
      <c r="E8542" s="13"/>
      <c r="F8542" s="13"/>
      <c r="G8542" s="12"/>
      <c r="H8542" s="11"/>
    </row>
    <row r="8543" spans="3:8" x14ac:dyDescent="0.25">
      <c r="C8543" s="12"/>
      <c r="D8543" s="13"/>
      <c r="E8543" s="13"/>
      <c r="F8543" s="13"/>
      <c r="G8543" s="12"/>
      <c r="H8543" s="11"/>
    </row>
    <row r="8544" spans="3:8" x14ac:dyDescent="0.25">
      <c r="C8544" s="12"/>
      <c r="D8544" s="13"/>
      <c r="E8544" s="13"/>
      <c r="F8544" s="13"/>
      <c r="G8544" s="12"/>
      <c r="H8544" s="11"/>
    </row>
    <row r="8545" spans="3:8" x14ac:dyDescent="0.25">
      <c r="C8545" s="12"/>
      <c r="D8545" s="13"/>
      <c r="E8545" s="13"/>
      <c r="F8545" s="13"/>
      <c r="G8545" s="12"/>
      <c r="H8545" s="11"/>
    </row>
    <row r="8546" spans="3:8" x14ac:dyDescent="0.25">
      <c r="C8546" s="12"/>
      <c r="D8546" s="13"/>
      <c r="E8546" s="13"/>
      <c r="F8546" s="13"/>
      <c r="G8546" s="12"/>
      <c r="H8546" s="11"/>
    </row>
    <row r="8547" spans="3:8" x14ac:dyDescent="0.25">
      <c r="C8547" s="12"/>
      <c r="D8547" s="13"/>
      <c r="E8547" s="13"/>
      <c r="F8547" s="13"/>
      <c r="G8547" s="12"/>
      <c r="H8547" s="11"/>
    </row>
    <row r="8548" spans="3:8" x14ac:dyDescent="0.25">
      <c r="C8548" s="12"/>
      <c r="D8548" s="13"/>
      <c r="E8548" s="13"/>
      <c r="F8548" s="13"/>
      <c r="G8548" s="12"/>
      <c r="H8548" s="11"/>
    </row>
    <row r="8549" spans="3:8" x14ac:dyDescent="0.25">
      <c r="C8549" s="12"/>
      <c r="D8549" s="13"/>
      <c r="E8549" s="13"/>
      <c r="F8549" s="13"/>
      <c r="G8549" s="12"/>
      <c r="H8549" s="11"/>
    </row>
    <row r="8550" spans="3:8" x14ac:dyDescent="0.25">
      <c r="C8550" s="12"/>
      <c r="D8550" s="13"/>
      <c r="E8550" s="13"/>
      <c r="F8550" s="13"/>
      <c r="G8550" s="12"/>
      <c r="H8550" s="11"/>
    </row>
    <row r="8551" spans="3:8" x14ac:dyDescent="0.25">
      <c r="C8551" s="12"/>
      <c r="D8551" s="13"/>
      <c r="E8551" s="13"/>
      <c r="F8551" s="13"/>
      <c r="G8551" s="12"/>
      <c r="H8551" s="11"/>
    </row>
    <row r="8552" spans="3:8" x14ac:dyDescent="0.25">
      <c r="C8552" s="12"/>
      <c r="D8552" s="13"/>
      <c r="E8552" s="13"/>
      <c r="F8552" s="13"/>
      <c r="G8552" s="12"/>
      <c r="H8552" s="11"/>
    </row>
    <row r="8553" spans="3:8" x14ac:dyDescent="0.25">
      <c r="C8553" s="12"/>
      <c r="D8553" s="13"/>
      <c r="E8553" s="13"/>
      <c r="F8553" s="13"/>
      <c r="G8553" s="12"/>
      <c r="H8553" s="11"/>
    </row>
    <row r="8554" spans="3:8" x14ac:dyDescent="0.25">
      <c r="C8554" s="12"/>
      <c r="D8554" s="13"/>
      <c r="E8554" s="13"/>
      <c r="F8554" s="13"/>
      <c r="G8554" s="12"/>
      <c r="H8554" s="11"/>
    </row>
    <row r="8555" spans="3:8" x14ac:dyDescent="0.25">
      <c r="C8555" s="12"/>
      <c r="D8555" s="13"/>
      <c r="E8555" s="13"/>
      <c r="F8555" s="13"/>
      <c r="G8555" s="12"/>
      <c r="H8555" s="11"/>
    </row>
    <row r="8556" spans="3:8" x14ac:dyDescent="0.25">
      <c r="C8556" s="12"/>
      <c r="D8556" s="13"/>
      <c r="E8556" s="13"/>
      <c r="F8556" s="13"/>
      <c r="G8556" s="12"/>
      <c r="H8556" s="11"/>
    </row>
    <row r="8557" spans="3:8" x14ac:dyDescent="0.25">
      <c r="C8557" s="12"/>
      <c r="D8557" s="13"/>
      <c r="E8557" s="13"/>
      <c r="F8557" s="13"/>
      <c r="G8557" s="12"/>
      <c r="H8557" s="11"/>
    </row>
    <row r="8558" spans="3:8" x14ac:dyDescent="0.25">
      <c r="C8558" s="12"/>
      <c r="D8558" s="13"/>
      <c r="E8558" s="13"/>
      <c r="F8558" s="13"/>
      <c r="G8558" s="12"/>
      <c r="H8558" s="11"/>
    </row>
    <row r="8559" spans="3:8" x14ac:dyDescent="0.25">
      <c r="C8559" s="12"/>
      <c r="D8559" s="13"/>
      <c r="E8559" s="13"/>
      <c r="F8559" s="13"/>
      <c r="G8559" s="12"/>
      <c r="H8559" s="11"/>
    </row>
    <row r="8560" spans="3:8" x14ac:dyDescent="0.25">
      <c r="C8560" s="12"/>
      <c r="D8560" s="13"/>
      <c r="E8560" s="13"/>
      <c r="F8560" s="13"/>
      <c r="G8560" s="12"/>
      <c r="H8560" s="11"/>
    </row>
    <row r="8561" spans="3:8" x14ac:dyDescent="0.25">
      <c r="C8561" s="12"/>
      <c r="D8561" s="13"/>
      <c r="E8561" s="13"/>
      <c r="F8561" s="13"/>
      <c r="G8561" s="12"/>
      <c r="H8561" s="11"/>
    </row>
    <row r="8562" spans="3:8" x14ac:dyDescent="0.25">
      <c r="C8562" s="12"/>
      <c r="D8562" s="13"/>
      <c r="E8562" s="13"/>
      <c r="F8562" s="13"/>
      <c r="G8562" s="12"/>
      <c r="H8562" s="11"/>
    </row>
    <row r="8563" spans="3:8" x14ac:dyDescent="0.25">
      <c r="C8563" s="12"/>
      <c r="D8563" s="13"/>
      <c r="E8563" s="13"/>
      <c r="F8563" s="13"/>
      <c r="G8563" s="12"/>
      <c r="H8563" s="11"/>
    </row>
    <row r="8564" spans="3:8" x14ac:dyDescent="0.25">
      <c r="C8564" s="12"/>
      <c r="D8564" s="13"/>
      <c r="E8564" s="13"/>
      <c r="F8564" s="13"/>
      <c r="G8564" s="12"/>
      <c r="H8564" s="11"/>
    </row>
    <row r="8565" spans="3:8" x14ac:dyDescent="0.25">
      <c r="C8565" s="12"/>
      <c r="D8565" s="13"/>
      <c r="E8565" s="13"/>
      <c r="F8565" s="13"/>
      <c r="G8565" s="12"/>
      <c r="H8565" s="11"/>
    </row>
    <row r="8566" spans="3:8" x14ac:dyDescent="0.25">
      <c r="C8566" s="12"/>
      <c r="D8566" s="13"/>
      <c r="E8566" s="13"/>
      <c r="F8566" s="13"/>
      <c r="G8566" s="12"/>
      <c r="H8566" s="11"/>
    </row>
    <row r="8567" spans="3:8" x14ac:dyDescent="0.25">
      <c r="C8567" s="12"/>
      <c r="D8567" s="13"/>
      <c r="E8567" s="13"/>
      <c r="F8567" s="13"/>
      <c r="G8567" s="12"/>
      <c r="H8567" s="11"/>
    </row>
    <row r="8568" spans="3:8" x14ac:dyDescent="0.25">
      <c r="C8568" s="12"/>
      <c r="D8568" s="13"/>
      <c r="E8568" s="13"/>
      <c r="F8568" s="13"/>
      <c r="G8568" s="12"/>
      <c r="H8568" s="11"/>
    </row>
    <row r="8569" spans="3:8" x14ac:dyDescent="0.25">
      <c r="C8569" s="12"/>
      <c r="D8569" s="13"/>
      <c r="E8569" s="13"/>
      <c r="F8569" s="13"/>
      <c r="G8569" s="12"/>
      <c r="H8569" s="11"/>
    </row>
    <row r="8570" spans="3:8" x14ac:dyDescent="0.25">
      <c r="C8570" s="12"/>
      <c r="D8570" s="13"/>
      <c r="E8570" s="13"/>
      <c r="F8570" s="13"/>
      <c r="G8570" s="12"/>
      <c r="H8570" s="11"/>
    </row>
    <row r="8571" spans="3:8" x14ac:dyDescent="0.25">
      <c r="C8571" s="12"/>
      <c r="D8571" s="13"/>
      <c r="E8571" s="13"/>
      <c r="F8571" s="13"/>
      <c r="G8571" s="12"/>
      <c r="H8571" s="11"/>
    </row>
    <row r="8572" spans="3:8" x14ac:dyDescent="0.25">
      <c r="C8572" s="12"/>
      <c r="D8572" s="13"/>
      <c r="E8572" s="13"/>
      <c r="F8572" s="13"/>
      <c r="G8572" s="12"/>
      <c r="H8572" s="11"/>
    </row>
    <row r="8573" spans="3:8" x14ac:dyDescent="0.25">
      <c r="C8573" s="12"/>
      <c r="D8573" s="13"/>
      <c r="E8573" s="13"/>
      <c r="F8573" s="13"/>
      <c r="G8573" s="12"/>
      <c r="H8573" s="11"/>
    </row>
    <row r="8574" spans="3:8" x14ac:dyDescent="0.25">
      <c r="C8574" s="12"/>
      <c r="D8574" s="13"/>
      <c r="E8574" s="13"/>
      <c r="F8574" s="13"/>
      <c r="G8574" s="12"/>
      <c r="H8574" s="11"/>
    </row>
    <row r="8575" spans="3:8" x14ac:dyDescent="0.25">
      <c r="C8575" s="12"/>
      <c r="D8575" s="13"/>
      <c r="E8575" s="13"/>
      <c r="F8575" s="13"/>
      <c r="G8575" s="12"/>
      <c r="H8575" s="11"/>
    </row>
    <row r="8576" spans="3:8" x14ac:dyDescent="0.25">
      <c r="C8576" s="12"/>
      <c r="D8576" s="13"/>
      <c r="E8576" s="13"/>
      <c r="F8576" s="13"/>
      <c r="G8576" s="12"/>
      <c r="H8576" s="11"/>
    </row>
    <row r="8577" spans="3:8" x14ac:dyDescent="0.25">
      <c r="C8577" s="12"/>
      <c r="D8577" s="13"/>
      <c r="E8577" s="13"/>
      <c r="F8577" s="13"/>
      <c r="G8577" s="12"/>
      <c r="H8577" s="11"/>
    </row>
    <row r="8578" spans="3:8" x14ac:dyDescent="0.25">
      <c r="C8578" s="12"/>
      <c r="D8578" s="13"/>
      <c r="E8578" s="13"/>
      <c r="F8578" s="13"/>
      <c r="G8578" s="12"/>
      <c r="H8578" s="11"/>
    </row>
    <row r="8579" spans="3:8" x14ac:dyDescent="0.25">
      <c r="C8579" s="12"/>
      <c r="D8579" s="13"/>
      <c r="E8579" s="13"/>
      <c r="F8579" s="13"/>
      <c r="G8579" s="12"/>
      <c r="H8579" s="11"/>
    </row>
    <row r="8580" spans="3:8" x14ac:dyDescent="0.25">
      <c r="C8580" s="12"/>
      <c r="D8580" s="13"/>
      <c r="E8580" s="13"/>
      <c r="F8580" s="13"/>
      <c r="G8580" s="12"/>
      <c r="H8580" s="11"/>
    </row>
    <row r="8581" spans="3:8" x14ac:dyDescent="0.25">
      <c r="C8581" s="12"/>
      <c r="D8581" s="13"/>
      <c r="E8581" s="13"/>
      <c r="F8581" s="13"/>
      <c r="G8581" s="12"/>
      <c r="H8581" s="11"/>
    </row>
    <row r="8582" spans="3:8" x14ac:dyDescent="0.25">
      <c r="C8582" s="12"/>
      <c r="D8582" s="13"/>
      <c r="E8582" s="13"/>
      <c r="F8582" s="13"/>
      <c r="G8582" s="12"/>
      <c r="H8582" s="11"/>
    </row>
    <row r="8583" spans="3:8" x14ac:dyDescent="0.25">
      <c r="C8583" s="12"/>
      <c r="D8583" s="13"/>
      <c r="E8583" s="13"/>
      <c r="F8583" s="13"/>
      <c r="G8583" s="12"/>
      <c r="H8583" s="11"/>
    </row>
    <row r="8584" spans="3:8" x14ac:dyDescent="0.25">
      <c r="C8584" s="12"/>
      <c r="D8584" s="13"/>
      <c r="E8584" s="13"/>
      <c r="F8584" s="13"/>
      <c r="G8584" s="12"/>
      <c r="H8584" s="11"/>
    </row>
    <row r="8585" spans="3:8" x14ac:dyDescent="0.25">
      <c r="C8585" s="12"/>
      <c r="D8585" s="13"/>
      <c r="E8585" s="13"/>
      <c r="F8585" s="13"/>
      <c r="G8585" s="12"/>
      <c r="H8585" s="11"/>
    </row>
    <row r="8586" spans="3:8" x14ac:dyDescent="0.25">
      <c r="C8586" s="12"/>
      <c r="D8586" s="13"/>
      <c r="E8586" s="13"/>
      <c r="F8586" s="13"/>
      <c r="G8586" s="12"/>
      <c r="H8586" s="11"/>
    </row>
    <row r="8587" spans="3:8" x14ac:dyDescent="0.25">
      <c r="C8587" s="12"/>
      <c r="D8587" s="13"/>
      <c r="E8587" s="13"/>
      <c r="F8587" s="13"/>
      <c r="G8587" s="12"/>
      <c r="H8587" s="11"/>
    </row>
    <row r="8588" spans="3:8" x14ac:dyDescent="0.25">
      <c r="C8588" s="12"/>
      <c r="D8588" s="13"/>
      <c r="E8588" s="13"/>
      <c r="F8588" s="13"/>
      <c r="G8588" s="12"/>
      <c r="H8588" s="11"/>
    </row>
    <row r="8589" spans="3:8" x14ac:dyDescent="0.25">
      <c r="C8589" s="12"/>
      <c r="D8589" s="13"/>
      <c r="E8589" s="13"/>
      <c r="F8589" s="13"/>
      <c r="G8589" s="12"/>
      <c r="H8589" s="11"/>
    </row>
    <row r="8590" spans="3:8" x14ac:dyDescent="0.25">
      <c r="C8590" s="12"/>
      <c r="D8590" s="13"/>
      <c r="E8590" s="13"/>
      <c r="F8590" s="13"/>
      <c r="G8590" s="12"/>
      <c r="H8590" s="11"/>
    </row>
    <row r="8591" spans="3:8" x14ac:dyDescent="0.25">
      <c r="C8591" s="12"/>
      <c r="D8591" s="13"/>
      <c r="E8591" s="13"/>
      <c r="F8591" s="13"/>
      <c r="G8591" s="12"/>
      <c r="H8591" s="11"/>
    </row>
    <row r="8592" spans="3:8" x14ac:dyDescent="0.25">
      <c r="C8592" s="12"/>
      <c r="D8592" s="13"/>
      <c r="E8592" s="13"/>
      <c r="F8592" s="13"/>
      <c r="G8592" s="12"/>
      <c r="H8592" s="11"/>
    </row>
    <row r="8593" spans="3:8" x14ac:dyDescent="0.25">
      <c r="C8593" s="12"/>
      <c r="D8593" s="13"/>
      <c r="E8593" s="13"/>
      <c r="F8593" s="13"/>
      <c r="G8593" s="12"/>
      <c r="H8593" s="11"/>
    </row>
    <row r="8594" spans="3:8" x14ac:dyDescent="0.25">
      <c r="C8594" s="12"/>
      <c r="D8594" s="13"/>
      <c r="E8594" s="13"/>
      <c r="F8594" s="13"/>
      <c r="G8594" s="12"/>
      <c r="H8594" s="11"/>
    </row>
    <row r="8595" spans="3:8" x14ac:dyDescent="0.25">
      <c r="C8595" s="12"/>
      <c r="D8595" s="13"/>
      <c r="E8595" s="13"/>
      <c r="F8595" s="13"/>
      <c r="G8595" s="12"/>
      <c r="H8595" s="11"/>
    </row>
    <row r="8596" spans="3:8" x14ac:dyDescent="0.25">
      <c r="C8596" s="12"/>
      <c r="D8596" s="13"/>
      <c r="E8596" s="13"/>
      <c r="F8596" s="13"/>
      <c r="G8596" s="12"/>
      <c r="H8596" s="11"/>
    </row>
    <row r="8597" spans="3:8" x14ac:dyDescent="0.25">
      <c r="C8597" s="12"/>
      <c r="D8597" s="13"/>
      <c r="E8597" s="13"/>
      <c r="F8597" s="13"/>
      <c r="G8597" s="12"/>
      <c r="H8597" s="11"/>
    </row>
    <row r="8598" spans="3:8" x14ac:dyDescent="0.25">
      <c r="C8598" s="12"/>
      <c r="D8598" s="13"/>
      <c r="E8598" s="13"/>
      <c r="F8598" s="13"/>
      <c r="G8598" s="12"/>
      <c r="H8598" s="11"/>
    </row>
    <row r="8599" spans="3:8" x14ac:dyDescent="0.25">
      <c r="C8599" s="12"/>
      <c r="D8599" s="13"/>
      <c r="E8599" s="13"/>
      <c r="F8599" s="13"/>
      <c r="G8599" s="12"/>
      <c r="H8599" s="11"/>
    </row>
    <row r="8600" spans="3:8" x14ac:dyDescent="0.25">
      <c r="C8600" s="12"/>
      <c r="D8600" s="13"/>
      <c r="E8600" s="13"/>
      <c r="F8600" s="13"/>
      <c r="G8600" s="12"/>
      <c r="H8600" s="11"/>
    </row>
    <row r="8601" spans="3:8" x14ac:dyDescent="0.25">
      <c r="C8601" s="12"/>
      <c r="D8601" s="13"/>
      <c r="E8601" s="13"/>
      <c r="F8601" s="13"/>
      <c r="G8601" s="12"/>
      <c r="H8601" s="11"/>
    </row>
    <row r="8602" spans="3:8" x14ac:dyDescent="0.25">
      <c r="C8602" s="12"/>
      <c r="D8602" s="13"/>
      <c r="E8602" s="13"/>
      <c r="F8602" s="13"/>
      <c r="G8602" s="12"/>
      <c r="H8602" s="11"/>
    </row>
    <row r="8603" spans="3:8" x14ac:dyDescent="0.25">
      <c r="C8603" s="12"/>
      <c r="D8603" s="13"/>
      <c r="E8603" s="13"/>
      <c r="F8603" s="13"/>
      <c r="G8603" s="12"/>
      <c r="H8603" s="11"/>
    </row>
    <row r="8604" spans="3:8" x14ac:dyDescent="0.25">
      <c r="C8604" s="12"/>
      <c r="D8604" s="13"/>
      <c r="E8604" s="13"/>
      <c r="F8604" s="13"/>
      <c r="G8604" s="12"/>
      <c r="H8604" s="11"/>
    </row>
    <row r="8605" spans="3:8" x14ac:dyDescent="0.25">
      <c r="C8605" s="12"/>
      <c r="D8605" s="13"/>
      <c r="E8605" s="13"/>
      <c r="F8605" s="13"/>
      <c r="G8605" s="12"/>
      <c r="H8605" s="11"/>
    </row>
    <row r="8606" spans="3:8" x14ac:dyDescent="0.25">
      <c r="C8606" s="12"/>
      <c r="D8606" s="13"/>
      <c r="E8606" s="13"/>
      <c r="F8606" s="13"/>
      <c r="G8606" s="12"/>
      <c r="H8606" s="11"/>
    </row>
    <row r="8607" spans="3:8" x14ac:dyDescent="0.25">
      <c r="C8607" s="12"/>
      <c r="D8607" s="13"/>
      <c r="E8607" s="13"/>
      <c r="F8607" s="13"/>
      <c r="G8607" s="12"/>
      <c r="H8607" s="11"/>
    </row>
    <row r="8608" spans="3:8" x14ac:dyDescent="0.25">
      <c r="C8608" s="12"/>
      <c r="D8608" s="13"/>
      <c r="E8608" s="13"/>
      <c r="F8608" s="13"/>
      <c r="G8608" s="12"/>
      <c r="H8608" s="11"/>
    </row>
    <row r="8609" spans="3:8" x14ac:dyDescent="0.25">
      <c r="C8609" s="12"/>
      <c r="D8609" s="13"/>
      <c r="E8609" s="13"/>
      <c r="F8609" s="13"/>
      <c r="G8609" s="12"/>
      <c r="H8609" s="11"/>
    </row>
    <row r="8610" spans="3:8" x14ac:dyDescent="0.25">
      <c r="C8610" s="12"/>
      <c r="D8610" s="13"/>
      <c r="E8610" s="13"/>
      <c r="F8610" s="13"/>
      <c r="G8610" s="12"/>
      <c r="H8610" s="11"/>
    </row>
    <row r="8611" spans="3:8" x14ac:dyDescent="0.25">
      <c r="C8611" s="12"/>
      <c r="D8611" s="13"/>
      <c r="E8611" s="13"/>
      <c r="F8611" s="13"/>
      <c r="G8611" s="12"/>
      <c r="H8611" s="11"/>
    </row>
    <row r="8612" spans="3:8" x14ac:dyDescent="0.25">
      <c r="C8612" s="12"/>
      <c r="D8612" s="13"/>
      <c r="E8612" s="13"/>
      <c r="F8612" s="13"/>
      <c r="G8612" s="12"/>
      <c r="H8612" s="11"/>
    </row>
    <row r="8613" spans="3:8" x14ac:dyDescent="0.25">
      <c r="C8613" s="12"/>
      <c r="D8613" s="13"/>
      <c r="E8613" s="13"/>
      <c r="F8613" s="13"/>
      <c r="G8613" s="12"/>
      <c r="H8613" s="11"/>
    </row>
    <row r="8614" spans="3:8" x14ac:dyDescent="0.25">
      <c r="C8614" s="12"/>
      <c r="D8614" s="13"/>
      <c r="E8614" s="13"/>
      <c r="F8614" s="13"/>
      <c r="G8614" s="12"/>
      <c r="H8614" s="11"/>
    </row>
    <row r="8615" spans="3:8" x14ac:dyDescent="0.25">
      <c r="C8615" s="12"/>
      <c r="D8615" s="13"/>
      <c r="E8615" s="13"/>
      <c r="F8615" s="13"/>
      <c r="G8615" s="12"/>
      <c r="H8615" s="11"/>
    </row>
    <row r="8616" spans="3:8" x14ac:dyDescent="0.25">
      <c r="C8616" s="12"/>
      <c r="D8616" s="13"/>
      <c r="E8616" s="13"/>
      <c r="F8616" s="13"/>
      <c r="G8616" s="12"/>
      <c r="H8616" s="11"/>
    </row>
    <row r="8617" spans="3:8" x14ac:dyDescent="0.25">
      <c r="C8617" s="12"/>
      <c r="D8617" s="13"/>
      <c r="E8617" s="13"/>
      <c r="F8617" s="13"/>
      <c r="G8617" s="12"/>
      <c r="H8617" s="11"/>
    </row>
    <row r="8618" spans="3:8" x14ac:dyDescent="0.25">
      <c r="C8618" s="12"/>
      <c r="D8618" s="13"/>
      <c r="E8618" s="13"/>
      <c r="F8618" s="13"/>
      <c r="G8618" s="12"/>
      <c r="H8618" s="11"/>
    </row>
    <row r="8619" spans="3:8" x14ac:dyDescent="0.25">
      <c r="C8619" s="12"/>
      <c r="D8619" s="13"/>
      <c r="E8619" s="13"/>
      <c r="F8619" s="13"/>
      <c r="G8619" s="12"/>
      <c r="H8619" s="11"/>
    </row>
    <row r="8620" spans="3:8" x14ac:dyDescent="0.25">
      <c r="C8620" s="12"/>
      <c r="D8620" s="13"/>
      <c r="E8620" s="13"/>
      <c r="F8620" s="13"/>
      <c r="G8620" s="12"/>
      <c r="H8620" s="11"/>
    </row>
    <row r="8621" spans="3:8" x14ac:dyDescent="0.25">
      <c r="C8621" s="12"/>
      <c r="D8621" s="13"/>
      <c r="E8621" s="13"/>
      <c r="F8621" s="13"/>
      <c r="G8621" s="12"/>
      <c r="H8621" s="11"/>
    </row>
    <row r="8622" spans="3:8" x14ac:dyDescent="0.25">
      <c r="C8622" s="12"/>
      <c r="D8622" s="13"/>
      <c r="E8622" s="13"/>
      <c r="F8622" s="13"/>
      <c r="G8622" s="12"/>
      <c r="H8622" s="11"/>
    </row>
    <row r="8623" spans="3:8" x14ac:dyDescent="0.25">
      <c r="C8623" s="12"/>
      <c r="D8623" s="13"/>
      <c r="E8623" s="13"/>
      <c r="F8623" s="13"/>
      <c r="G8623" s="12"/>
      <c r="H8623" s="11"/>
    </row>
    <row r="8624" spans="3:8" x14ac:dyDescent="0.25">
      <c r="C8624" s="12"/>
      <c r="D8624" s="13"/>
      <c r="E8624" s="13"/>
      <c r="F8624" s="13"/>
      <c r="G8624" s="12"/>
      <c r="H8624" s="11"/>
    </row>
    <row r="8625" spans="3:8" x14ac:dyDescent="0.25">
      <c r="C8625" s="12"/>
      <c r="D8625" s="13"/>
      <c r="E8625" s="13"/>
      <c r="F8625" s="13"/>
      <c r="G8625" s="12"/>
      <c r="H8625" s="11"/>
    </row>
    <row r="8626" spans="3:8" x14ac:dyDescent="0.25">
      <c r="C8626" s="12"/>
      <c r="D8626" s="13"/>
      <c r="E8626" s="13"/>
      <c r="F8626" s="13"/>
      <c r="G8626" s="12"/>
      <c r="H8626" s="11"/>
    </row>
    <row r="8627" spans="3:8" x14ac:dyDescent="0.25">
      <c r="C8627" s="12"/>
      <c r="D8627" s="13"/>
      <c r="E8627" s="13"/>
      <c r="F8627" s="13"/>
      <c r="G8627" s="12"/>
      <c r="H8627" s="11"/>
    </row>
    <row r="8628" spans="3:8" x14ac:dyDescent="0.25">
      <c r="C8628" s="12"/>
      <c r="D8628" s="13"/>
      <c r="E8628" s="13"/>
      <c r="F8628" s="13"/>
      <c r="G8628" s="12"/>
      <c r="H8628" s="11"/>
    </row>
    <row r="8629" spans="3:8" x14ac:dyDescent="0.25">
      <c r="C8629" s="12"/>
      <c r="D8629" s="13"/>
      <c r="E8629" s="13"/>
      <c r="F8629" s="13"/>
      <c r="G8629" s="12"/>
      <c r="H8629" s="11"/>
    </row>
    <row r="8630" spans="3:8" x14ac:dyDescent="0.25">
      <c r="C8630" s="12"/>
      <c r="D8630" s="13"/>
      <c r="E8630" s="13"/>
      <c r="F8630" s="13"/>
      <c r="G8630" s="12"/>
      <c r="H8630" s="11"/>
    </row>
    <row r="8631" spans="3:8" x14ac:dyDescent="0.25">
      <c r="C8631" s="12"/>
      <c r="D8631" s="13"/>
      <c r="E8631" s="13"/>
      <c r="F8631" s="13"/>
      <c r="G8631" s="12"/>
      <c r="H8631" s="11"/>
    </row>
    <row r="8632" spans="3:8" x14ac:dyDescent="0.25">
      <c r="C8632" s="12"/>
      <c r="D8632" s="13"/>
      <c r="E8632" s="13"/>
      <c r="F8632" s="13"/>
      <c r="G8632" s="12"/>
      <c r="H8632" s="11"/>
    </row>
    <row r="8633" spans="3:8" x14ac:dyDescent="0.25">
      <c r="C8633" s="12"/>
      <c r="D8633" s="13"/>
      <c r="E8633" s="13"/>
      <c r="F8633" s="13"/>
      <c r="G8633" s="12"/>
      <c r="H8633" s="11"/>
    </row>
    <row r="8634" spans="3:8" x14ac:dyDescent="0.25">
      <c r="C8634" s="12"/>
      <c r="D8634" s="13"/>
      <c r="E8634" s="13"/>
      <c r="F8634" s="13"/>
      <c r="G8634" s="12"/>
      <c r="H8634" s="11"/>
    </row>
    <row r="8635" spans="3:8" x14ac:dyDescent="0.25">
      <c r="C8635" s="12"/>
      <c r="D8635" s="13"/>
      <c r="E8635" s="13"/>
      <c r="F8635" s="13"/>
      <c r="G8635" s="12"/>
      <c r="H8635" s="11"/>
    </row>
    <row r="8636" spans="3:8" x14ac:dyDescent="0.25">
      <c r="C8636" s="12"/>
      <c r="D8636" s="13"/>
      <c r="E8636" s="13"/>
      <c r="F8636" s="13"/>
      <c r="G8636" s="12"/>
      <c r="H8636" s="11"/>
    </row>
    <row r="8637" spans="3:8" x14ac:dyDescent="0.25">
      <c r="C8637" s="12"/>
      <c r="D8637" s="13"/>
      <c r="E8637" s="13"/>
      <c r="F8637" s="13"/>
      <c r="G8637" s="12"/>
      <c r="H8637" s="11"/>
    </row>
    <row r="8638" spans="3:8" x14ac:dyDescent="0.25">
      <c r="C8638" s="12"/>
      <c r="D8638" s="13"/>
      <c r="E8638" s="13"/>
      <c r="F8638" s="13"/>
      <c r="G8638" s="12"/>
      <c r="H8638" s="11"/>
    </row>
    <row r="8639" spans="3:8" x14ac:dyDescent="0.25">
      <c r="C8639" s="12"/>
      <c r="D8639" s="13"/>
      <c r="E8639" s="13"/>
      <c r="F8639" s="13"/>
      <c r="G8639" s="12"/>
      <c r="H8639" s="11"/>
    </row>
    <row r="8640" spans="3:8" x14ac:dyDescent="0.25">
      <c r="C8640" s="12"/>
      <c r="D8640" s="13"/>
      <c r="E8640" s="13"/>
      <c r="F8640" s="13"/>
      <c r="G8640" s="12"/>
      <c r="H8640" s="11"/>
    </row>
    <row r="8641" spans="3:8" x14ac:dyDescent="0.25">
      <c r="C8641" s="12"/>
      <c r="D8641" s="13"/>
      <c r="E8641" s="13"/>
      <c r="F8641" s="13"/>
      <c r="G8641" s="12"/>
      <c r="H8641" s="11"/>
    </row>
    <row r="8642" spans="3:8" x14ac:dyDescent="0.25">
      <c r="C8642" s="12"/>
      <c r="D8642" s="13"/>
      <c r="E8642" s="13"/>
      <c r="F8642" s="13"/>
      <c r="G8642" s="12"/>
      <c r="H8642" s="11"/>
    </row>
    <row r="8643" spans="3:8" x14ac:dyDescent="0.25">
      <c r="C8643" s="12"/>
      <c r="D8643" s="13"/>
      <c r="E8643" s="13"/>
      <c r="F8643" s="13"/>
      <c r="G8643" s="12"/>
      <c r="H8643" s="11"/>
    </row>
    <row r="8644" spans="3:8" x14ac:dyDescent="0.25">
      <c r="C8644" s="12"/>
      <c r="D8644" s="13"/>
      <c r="E8644" s="13"/>
      <c r="F8644" s="13"/>
      <c r="G8644" s="12"/>
      <c r="H8644" s="11"/>
    </row>
    <row r="8645" spans="3:8" x14ac:dyDescent="0.25">
      <c r="C8645" s="12"/>
      <c r="D8645" s="13"/>
      <c r="E8645" s="13"/>
      <c r="F8645" s="13"/>
      <c r="G8645" s="12"/>
      <c r="H8645" s="11"/>
    </row>
    <row r="8646" spans="3:8" x14ac:dyDescent="0.25">
      <c r="C8646" s="12"/>
      <c r="D8646" s="13"/>
      <c r="E8646" s="13"/>
      <c r="F8646" s="13"/>
      <c r="G8646" s="12"/>
      <c r="H8646" s="11"/>
    </row>
    <row r="8647" spans="3:8" x14ac:dyDescent="0.25">
      <c r="C8647" s="12"/>
      <c r="D8647" s="13"/>
      <c r="E8647" s="13"/>
      <c r="F8647" s="13"/>
      <c r="G8647" s="12"/>
      <c r="H8647" s="11"/>
    </row>
    <row r="8648" spans="3:8" x14ac:dyDescent="0.25">
      <c r="C8648" s="12"/>
      <c r="D8648" s="13"/>
      <c r="E8648" s="13"/>
      <c r="F8648" s="13"/>
      <c r="G8648" s="12"/>
      <c r="H8648" s="11"/>
    </row>
    <row r="8649" spans="3:8" x14ac:dyDescent="0.25">
      <c r="C8649" s="12"/>
      <c r="D8649" s="13"/>
      <c r="E8649" s="13"/>
      <c r="F8649" s="13"/>
      <c r="G8649" s="12"/>
      <c r="H8649" s="11"/>
    </row>
    <row r="8650" spans="3:8" x14ac:dyDescent="0.25">
      <c r="C8650" s="12"/>
      <c r="D8650" s="13"/>
      <c r="E8650" s="13"/>
      <c r="F8650" s="13"/>
      <c r="G8650" s="12"/>
      <c r="H8650" s="11"/>
    </row>
    <row r="8651" spans="3:8" x14ac:dyDescent="0.25">
      <c r="C8651" s="12"/>
      <c r="D8651" s="13"/>
      <c r="E8651" s="13"/>
      <c r="F8651" s="13"/>
      <c r="G8651" s="12"/>
      <c r="H8651" s="11"/>
    </row>
    <row r="8652" spans="3:8" x14ac:dyDescent="0.25">
      <c r="C8652" s="12"/>
      <c r="D8652" s="13"/>
      <c r="E8652" s="13"/>
      <c r="F8652" s="13"/>
      <c r="G8652" s="12"/>
      <c r="H8652" s="11"/>
    </row>
    <row r="8653" spans="3:8" x14ac:dyDescent="0.25">
      <c r="C8653" s="12"/>
      <c r="D8653" s="13"/>
      <c r="E8653" s="13"/>
      <c r="F8653" s="13"/>
      <c r="G8653" s="12"/>
      <c r="H8653" s="11"/>
    </row>
    <row r="8654" spans="3:8" x14ac:dyDescent="0.25">
      <c r="C8654" s="12"/>
      <c r="D8654" s="13"/>
      <c r="E8654" s="13"/>
      <c r="F8654" s="13"/>
      <c r="G8654" s="12"/>
      <c r="H8654" s="11"/>
    </row>
    <row r="8655" spans="3:8" x14ac:dyDescent="0.25">
      <c r="C8655" s="12"/>
      <c r="D8655" s="13"/>
      <c r="E8655" s="13"/>
      <c r="F8655" s="13"/>
      <c r="G8655" s="12"/>
      <c r="H8655" s="11"/>
    </row>
    <row r="8656" spans="3:8" x14ac:dyDescent="0.25">
      <c r="C8656" s="12"/>
      <c r="D8656" s="13"/>
      <c r="E8656" s="13"/>
      <c r="F8656" s="13"/>
      <c r="G8656" s="12"/>
      <c r="H8656" s="11"/>
    </row>
    <row r="8657" spans="3:8" x14ac:dyDescent="0.25">
      <c r="C8657" s="12"/>
      <c r="D8657" s="13"/>
      <c r="E8657" s="13"/>
      <c r="F8657" s="13"/>
      <c r="G8657" s="12"/>
      <c r="H8657" s="11"/>
    </row>
    <row r="8658" spans="3:8" x14ac:dyDescent="0.25">
      <c r="C8658" s="12"/>
      <c r="D8658" s="13"/>
      <c r="E8658" s="13"/>
      <c r="F8658" s="13"/>
      <c r="G8658" s="12"/>
      <c r="H8658" s="11"/>
    </row>
    <row r="8659" spans="3:8" x14ac:dyDescent="0.25">
      <c r="C8659" s="12"/>
      <c r="D8659" s="13"/>
      <c r="E8659" s="13"/>
      <c r="F8659" s="13"/>
      <c r="G8659" s="12"/>
      <c r="H8659" s="11"/>
    </row>
    <row r="8660" spans="3:8" x14ac:dyDescent="0.25">
      <c r="C8660" s="12"/>
      <c r="D8660" s="13"/>
      <c r="E8660" s="13"/>
      <c r="F8660" s="13"/>
      <c r="G8660" s="12"/>
      <c r="H8660" s="11"/>
    </row>
    <row r="8661" spans="3:8" x14ac:dyDescent="0.25">
      <c r="C8661" s="12"/>
      <c r="D8661" s="13"/>
      <c r="E8661" s="13"/>
      <c r="F8661" s="13"/>
      <c r="G8661" s="12"/>
      <c r="H8661" s="11"/>
    </row>
    <row r="8662" spans="3:8" x14ac:dyDescent="0.25">
      <c r="C8662" s="12"/>
      <c r="D8662" s="13"/>
      <c r="E8662" s="13"/>
      <c r="F8662" s="13"/>
      <c r="G8662" s="12"/>
      <c r="H8662" s="11"/>
    </row>
    <row r="8663" spans="3:8" x14ac:dyDescent="0.25">
      <c r="C8663" s="12"/>
      <c r="D8663" s="13"/>
      <c r="E8663" s="13"/>
      <c r="F8663" s="13"/>
      <c r="G8663" s="12"/>
      <c r="H8663" s="11"/>
    </row>
    <row r="8664" spans="3:8" x14ac:dyDescent="0.25">
      <c r="C8664" s="12"/>
      <c r="D8664" s="13"/>
      <c r="E8664" s="13"/>
      <c r="F8664" s="13"/>
      <c r="G8664" s="12"/>
      <c r="H8664" s="11"/>
    </row>
    <row r="8665" spans="3:8" x14ac:dyDescent="0.25">
      <c r="C8665" s="12"/>
      <c r="D8665" s="13"/>
      <c r="E8665" s="13"/>
      <c r="F8665" s="13"/>
      <c r="G8665" s="12"/>
      <c r="H8665" s="11"/>
    </row>
    <row r="8666" spans="3:8" x14ac:dyDescent="0.25">
      <c r="C8666" s="12"/>
      <c r="D8666" s="13"/>
      <c r="E8666" s="13"/>
      <c r="F8666" s="13"/>
      <c r="G8666" s="12"/>
      <c r="H8666" s="11"/>
    </row>
    <row r="8667" spans="3:8" x14ac:dyDescent="0.25">
      <c r="C8667" s="12"/>
      <c r="D8667" s="13"/>
      <c r="E8667" s="13"/>
      <c r="F8667" s="13"/>
      <c r="G8667" s="12"/>
      <c r="H8667" s="11"/>
    </row>
    <row r="8668" spans="3:8" x14ac:dyDescent="0.25">
      <c r="C8668" s="12"/>
      <c r="D8668" s="13"/>
      <c r="E8668" s="13"/>
      <c r="F8668" s="13"/>
      <c r="G8668" s="12"/>
      <c r="H8668" s="11"/>
    </row>
    <row r="8669" spans="3:8" x14ac:dyDescent="0.25">
      <c r="C8669" s="12"/>
      <c r="D8669" s="13"/>
      <c r="E8669" s="13"/>
      <c r="F8669" s="13"/>
      <c r="G8669" s="12"/>
      <c r="H8669" s="11"/>
    </row>
    <row r="8670" spans="3:8" x14ac:dyDescent="0.25">
      <c r="C8670" s="12"/>
      <c r="D8670" s="13"/>
      <c r="E8670" s="13"/>
      <c r="F8670" s="13"/>
      <c r="G8670" s="12"/>
      <c r="H8670" s="11"/>
    </row>
    <row r="8671" spans="3:8" x14ac:dyDescent="0.25">
      <c r="C8671" s="12"/>
      <c r="D8671" s="13"/>
      <c r="E8671" s="13"/>
      <c r="F8671" s="13"/>
      <c r="G8671" s="12"/>
      <c r="H8671" s="11"/>
    </row>
    <row r="8672" spans="3:8" x14ac:dyDescent="0.25">
      <c r="C8672" s="12"/>
      <c r="D8672" s="13"/>
      <c r="E8672" s="13"/>
      <c r="F8672" s="13"/>
      <c r="G8672" s="12"/>
      <c r="H8672" s="11"/>
    </row>
    <row r="8673" spans="3:8" x14ac:dyDescent="0.25">
      <c r="C8673" s="12"/>
      <c r="D8673" s="13"/>
      <c r="E8673" s="13"/>
      <c r="F8673" s="13"/>
      <c r="G8673" s="12"/>
      <c r="H8673" s="11"/>
    </row>
    <row r="8674" spans="3:8" x14ac:dyDescent="0.25">
      <c r="C8674" s="12"/>
      <c r="D8674" s="13"/>
      <c r="E8674" s="13"/>
      <c r="F8674" s="13"/>
      <c r="G8674" s="12"/>
      <c r="H8674" s="11"/>
    </row>
    <row r="8675" spans="3:8" x14ac:dyDescent="0.25">
      <c r="C8675" s="12"/>
      <c r="D8675" s="13"/>
      <c r="E8675" s="13"/>
      <c r="F8675" s="13"/>
      <c r="G8675" s="12"/>
      <c r="H8675" s="11"/>
    </row>
    <row r="8676" spans="3:8" x14ac:dyDescent="0.25">
      <c r="C8676" s="12"/>
      <c r="D8676" s="13"/>
      <c r="E8676" s="13"/>
      <c r="F8676" s="13"/>
      <c r="G8676" s="12"/>
      <c r="H8676" s="11"/>
    </row>
    <row r="8677" spans="3:8" x14ac:dyDescent="0.25">
      <c r="C8677" s="12"/>
      <c r="D8677" s="13"/>
      <c r="E8677" s="13"/>
      <c r="F8677" s="13"/>
      <c r="G8677" s="12"/>
      <c r="H8677" s="11"/>
    </row>
    <row r="8678" spans="3:8" x14ac:dyDescent="0.25">
      <c r="C8678" s="12"/>
      <c r="D8678" s="13"/>
      <c r="E8678" s="13"/>
      <c r="F8678" s="13"/>
      <c r="G8678" s="12"/>
      <c r="H8678" s="11"/>
    </row>
    <row r="8679" spans="3:8" x14ac:dyDescent="0.25">
      <c r="C8679" s="12"/>
      <c r="D8679" s="13"/>
      <c r="E8679" s="13"/>
      <c r="F8679" s="13"/>
      <c r="G8679" s="12"/>
      <c r="H8679" s="11"/>
    </row>
    <row r="8680" spans="3:8" x14ac:dyDescent="0.25">
      <c r="C8680" s="12"/>
      <c r="D8680" s="13"/>
      <c r="E8680" s="13"/>
      <c r="F8680" s="13"/>
      <c r="G8680" s="12"/>
      <c r="H8680" s="11"/>
    </row>
    <row r="8681" spans="3:8" x14ac:dyDescent="0.25">
      <c r="C8681" s="12"/>
      <c r="D8681" s="13"/>
      <c r="E8681" s="13"/>
      <c r="F8681" s="13"/>
      <c r="G8681" s="12"/>
      <c r="H8681" s="11"/>
    </row>
    <row r="8682" spans="3:8" x14ac:dyDescent="0.25">
      <c r="C8682" s="12"/>
      <c r="D8682" s="13"/>
      <c r="E8682" s="13"/>
      <c r="F8682" s="13"/>
      <c r="G8682" s="12"/>
      <c r="H8682" s="11"/>
    </row>
    <row r="8683" spans="3:8" x14ac:dyDescent="0.25">
      <c r="C8683" s="12"/>
      <c r="D8683" s="13"/>
      <c r="E8683" s="13"/>
      <c r="F8683" s="13"/>
      <c r="G8683" s="12"/>
      <c r="H8683" s="11"/>
    </row>
    <row r="8684" spans="3:8" x14ac:dyDescent="0.25">
      <c r="C8684" s="12"/>
      <c r="D8684" s="13"/>
      <c r="E8684" s="13"/>
      <c r="F8684" s="13"/>
      <c r="G8684" s="12"/>
      <c r="H8684" s="11"/>
    </row>
    <row r="8685" spans="3:8" x14ac:dyDescent="0.25">
      <c r="C8685" s="12"/>
      <c r="D8685" s="13"/>
      <c r="E8685" s="13"/>
      <c r="F8685" s="13"/>
      <c r="G8685" s="12"/>
      <c r="H8685" s="11"/>
    </row>
    <row r="8686" spans="3:8" x14ac:dyDescent="0.25">
      <c r="C8686" s="12"/>
      <c r="D8686" s="13"/>
      <c r="E8686" s="13"/>
      <c r="F8686" s="13"/>
      <c r="G8686" s="12"/>
      <c r="H8686" s="11"/>
    </row>
    <row r="8687" spans="3:8" x14ac:dyDescent="0.25">
      <c r="C8687" s="12"/>
      <c r="D8687" s="13"/>
      <c r="E8687" s="13"/>
      <c r="F8687" s="13"/>
      <c r="G8687" s="12"/>
      <c r="H8687" s="11"/>
    </row>
    <row r="8688" spans="3:8" x14ac:dyDescent="0.25">
      <c r="C8688" s="12"/>
      <c r="D8688" s="13"/>
      <c r="E8688" s="13"/>
      <c r="F8688" s="13"/>
      <c r="G8688" s="12"/>
      <c r="H8688" s="11"/>
    </row>
    <row r="8689" spans="3:8" x14ac:dyDescent="0.25">
      <c r="C8689" s="12"/>
      <c r="D8689" s="13"/>
      <c r="E8689" s="13"/>
      <c r="F8689" s="13"/>
      <c r="G8689" s="12"/>
      <c r="H8689" s="11"/>
    </row>
    <row r="8690" spans="3:8" x14ac:dyDescent="0.25">
      <c r="C8690" s="12"/>
      <c r="D8690" s="13"/>
      <c r="E8690" s="13"/>
      <c r="F8690" s="13"/>
      <c r="G8690" s="12"/>
      <c r="H8690" s="11"/>
    </row>
    <row r="8691" spans="3:8" x14ac:dyDescent="0.25">
      <c r="C8691" s="12"/>
      <c r="D8691" s="13"/>
      <c r="E8691" s="13"/>
      <c r="F8691" s="13"/>
      <c r="G8691" s="12"/>
      <c r="H8691" s="11"/>
    </row>
    <row r="8692" spans="3:8" x14ac:dyDescent="0.25">
      <c r="C8692" s="12"/>
      <c r="D8692" s="13"/>
      <c r="E8692" s="13"/>
      <c r="F8692" s="13"/>
      <c r="G8692" s="12"/>
      <c r="H8692" s="11"/>
    </row>
    <row r="8693" spans="3:8" x14ac:dyDescent="0.25">
      <c r="C8693" s="12"/>
      <c r="D8693" s="13"/>
      <c r="E8693" s="13"/>
      <c r="F8693" s="13"/>
      <c r="G8693" s="12"/>
      <c r="H8693" s="11"/>
    </row>
    <row r="8694" spans="3:8" x14ac:dyDescent="0.25">
      <c r="C8694" s="12"/>
      <c r="D8694" s="13"/>
      <c r="E8694" s="13"/>
      <c r="F8694" s="13"/>
      <c r="G8694" s="12"/>
      <c r="H8694" s="11"/>
    </row>
    <row r="8695" spans="3:8" x14ac:dyDescent="0.25">
      <c r="C8695" s="12"/>
      <c r="D8695" s="13"/>
      <c r="E8695" s="13"/>
      <c r="F8695" s="13"/>
      <c r="G8695" s="12"/>
      <c r="H8695" s="11"/>
    </row>
    <row r="8696" spans="3:8" x14ac:dyDescent="0.25">
      <c r="C8696" s="12"/>
      <c r="D8696" s="13"/>
      <c r="E8696" s="13"/>
      <c r="F8696" s="13"/>
      <c r="G8696" s="12"/>
      <c r="H8696" s="11"/>
    </row>
    <row r="8697" spans="3:8" x14ac:dyDescent="0.25">
      <c r="C8697" s="12"/>
      <c r="D8697" s="13"/>
      <c r="E8697" s="13"/>
      <c r="F8697" s="13"/>
      <c r="G8697" s="12"/>
      <c r="H8697" s="11"/>
    </row>
    <row r="8698" spans="3:8" x14ac:dyDescent="0.25">
      <c r="C8698" s="12"/>
      <c r="D8698" s="13"/>
      <c r="E8698" s="13"/>
      <c r="F8698" s="13"/>
      <c r="G8698" s="12"/>
      <c r="H8698" s="11"/>
    </row>
    <row r="8699" spans="3:8" x14ac:dyDescent="0.25">
      <c r="C8699" s="12"/>
      <c r="D8699" s="13"/>
      <c r="E8699" s="13"/>
      <c r="F8699" s="13"/>
      <c r="G8699" s="12"/>
      <c r="H8699" s="11"/>
    </row>
    <row r="8700" spans="3:8" x14ac:dyDescent="0.25">
      <c r="C8700" s="12"/>
      <c r="D8700" s="13"/>
      <c r="E8700" s="13"/>
      <c r="F8700" s="13"/>
      <c r="G8700" s="12"/>
      <c r="H8700" s="11"/>
    </row>
    <row r="8701" spans="3:8" x14ac:dyDescent="0.25">
      <c r="C8701" s="12"/>
      <c r="D8701" s="13"/>
      <c r="E8701" s="13"/>
      <c r="F8701" s="13"/>
      <c r="G8701" s="12"/>
      <c r="H8701" s="11"/>
    </row>
    <row r="8702" spans="3:8" x14ac:dyDescent="0.25">
      <c r="C8702" s="12"/>
      <c r="D8702" s="13"/>
      <c r="E8702" s="13"/>
      <c r="F8702" s="13"/>
      <c r="G8702" s="12"/>
      <c r="H8702" s="11"/>
    </row>
    <row r="8703" spans="3:8" x14ac:dyDescent="0.25">
      <c r="C8703" s="12"/>
      <c r="D8703" s="13"/>
      <c r="E8703" s="13"/>
      <c r="F8703" s="13"/>
      <c r="G8703" s="12"/>
      <c r="H8703" s="11"/>
    </row>
    <row r="8704" spans="3:8" x14ac:dyDescent="0.25">
      <c r="C8704" s="12"/>
      <c r="D8704" s="13"/>
      <c r="E8704" s="13"/>
      <c r="F8704" s="13"/>
      <c r="G8704" s="12"/>
      <c r="H8704" s="11"/>
    </row>
    <row r="8705" spans="3:8" x14ac:dyDescent="0.25">
      <c r="C8705" s="12"/>
      <c r="D8705" s="13"/>
      <c r="E8705" s="13"/>
      <c r="F8705" s="13"/>
      <c r="G8705" s="12"/>
      <c r="H8705" s="11"/>
    </row>
    <row r="8706" spans="3:8" x14ac:dyDescent="0.25">
      <c r="C8706" s="12"/>
      <c r="D8706" s="13"/>
      <c r="E8706" s="13"/>
      <c r="F8706" s="13"/>
      <c r="G8706" s="12"/>
      <c r="H8706" s="11"/>
    </row>
    <row r="8707" spans="3:8" x14ac:dyDescent="0.25">
      <c r="C8707" s="12"/>
      <c r="D8707" s="13"/>
      <c r="E8707" s="13"/>
      <c r="F8707" s="13"/>
      <c r="G8707" s="12"/>
      <c r="H8707" s="11"/>
    </row>
    <row r="8708" spans="3:8" x14ac:dyDescent="0.25">
      <c r="C8708" s="12"/>
      <c r="D8708" s="13"/>
      <c r="E8708" s="13"/>
      <c r="F8708" s="13"/>
      <c r="G8708" s="12"/>
      <c r="H8708" s="11"/>
    </row>
    <row r="8709" spans="3:8" x14ac:dyDescent="0.25">
      <c r="C8709" s="12"/>
      <c r="D8709" s="13"/>
      <c r="E8709" s="13"/>
      <c r="F8709" s="13"/>
      <c r="G8709" s="12"/>
      <c r="H8709" s="11"/>
    </row>
    <row r="8710" spans="3:8" x14ac:dyDescent="0.25">
      <c r="C8710" s="12"/>
      <c r="D8710" s="13"/>
      <c r="E8710" s="13"/>
      <c r="F8710" s="13"/>
      <c r="G8710" s="12"/>
      <c r="H8710" s="11"/>
    </row>
    <row r="8711" spans="3:8" x14ac:dyDescent="0.25">
      <c r="C8711" s="12"/>
      <c r="D8711" s="13"/>
      <c r="E8711" s="13"/>
      <c r="F8711" s="13"/>
      <c r="G8711" s="12"/>
      <c r="H8711" s="11"/>
    </row>
    <row r="8712" spans="3:8" x14ac:dyDescent="0.25">
      <c r="C8712" s="12"/>
      <c r="D8712" s="13"/>
      <c r="E8712" s="13"/>
      <c r="F8712" s="13"/>
      <c r="G8712" s="12"/>
      <c r="H8712" s="11"/>
    </row>
    <row r="8713" spans="3:8" x14ac:dyDescent="0.25">
      <c r="C8713" s="12"/>
      <c r="D8713" s="13"/>
      <c r="E8713" s="13"/>
      <c r="F8713" s="13"/>
      <c r="G8713" s="12"/>
      <c r="H8713" s="11"/>
    </row>
    <row r="8714" spans="3:8" x14ac:dyDescent="0.25">
      <c r="C8714" s="12"/>
      <c r="D8714" s="13"/>
      <c r="E8714" s="13"/>
      <c r="F8714" s="13"/>
      <c r="G8714" s="12"/>
      <c r="H8714" s="11"/>
    </row>
    <row r="8715" spans="3:8" x14ac:dyDescent="0.25">
      <c r="C8715" s="12"/>
      <c r="D8715" s="13"/>
      <c r="E8715" s="13"/>
      <c r="F8715" s="13"/>
      <c r="G8715" s="12"/>
      <c r="H8715" s="11"/>
    </row>
    <row r="8716" spans="3:8" x14ac:dyDescent="0.25">
      <c r="C8716" s="12"/>
      <c r="D8716" s="13"/>
      <c r="E8716" s="13"/>
      <c r="F8716" s="13"/>
      <c r="G8716" s="12"/>
      <c r="H8716" s="11"/>
    </row>
    <row r="8717" spans="3:8" x14ac:dyDescent="0.25">
      <c r="C8717" s="12"/>
      <c r="D8717" s="13"/>
      <c r="E8717" s="13"/>
      <c r="F8717" s="13"/>
      <c r="G8717" s="12"/>
      <c r="H8717" s="11"/>
    </row>
    <row r="8718" spans="3:8" x14ac:dyDescent="0.25">
      <c r="C8718" s="12"/>
      <c r="D8718" s="13"/>
      <c r="E8718" s="13"/>
      <c r="F8718" s="13"/>
      <c r="G8718" s="12"/>
      <c r="H8718" s="11"/>
    </row>
    <row r="8719" spans="3:8" x14ac:dyDescent="0.25">
      <c r="C8719" s="12"/>
      <c r="D8719" s="13"/>
      <c r="E8719" s="13"/>
      <c r="F8719" s="13"/>
      <c r="G8719" s="12"/>
      <c r="H8719" s="11"/>
    </row>
    <row r="8720" spans="3:8" x14ac:dyDescent="0.25">
      <c r="C8720" s="12"/>
      <c r="D8720" s="13"/>
      <c r="E8720" s="13"/>
      <c r="F8720" s="13"/>
      <c r="G8720" s="12"/>
      <c r="H8720" s="11"/>
    </row>
    <row r="8721" spans="3:8" x14ac:dyDescent="0.25">
      <c r="C8721" s="12"/>
      <c r="D8721" s="13"/>
      <c r="E8721" s="13"/>
      <c r="F8721" s="13"/>
      <c r="G8721" s="12"/>
      <c r="H8721" s="11"/>
    </row>
    <row r="8722" spans="3:8" x14ac:dyDescent="0.25">
      <c r="C8722" s="12"/>
      <c r="D8722" s="13"/>
      <c r="E8722" s="13"/>
      <c r="F8722" s="13"/>
      <c r="G8722" s="12"/>
      <c r="H8722" s="11"/>
    </row>
    <row r="8723" spans="3:8" x14ac:dyDescent="0.25">
      <c r="C8723" s="12"/>
      <c r="D8723" s="13"/>
      <c r="E8723" s="13"/>
      <c r="F8723" s="13"/>
      <c r="G8723" s="12"/>
      <c r="H8723" s="11"/>
    </row>
    <row r="8724" spans="3:8" x14ac:dyDescent="0.25">
      <c r="C8724" s="12"/>
      <c r="D8724" s="13"/>
      <c r="E8724" s="13"/>
      <c r="F8724" s="13"/>
      <c r="G8724" s="12"/>
      <c r="H8724" s="11"/>
    </row>
    <row r="8725" spans="3:8" x14ac:dyDescent="0.25">
      <c r="C8725" s="12"/>
      <c r="D8725" s="13"/>
      <c r="E8725" s="13"/>
      <c r="F8725" s="13"/>
      <c r="G8725" s="12"/>
      <c r="H8725" s="11"/>
    </row>
    <row r="8726" spans="3:8" x14ac:dyDescent="0.25">
      <c r="C8726" s="12"/>
      <c r="D8726" s="13"/>
      <c r="E8726" s="13"/>
      <c r="F8726" s="13"/>
      <c r="G8726" s="12"/>
      <c r="H8726" s="11"/>
    </row>
    <row r="8727" spans="3:8" x14ac:dyDescent="0.25">
      <c r="C8727" s="12"/>
      <c r="D8727" s="13"/>
      <c r="E8727" s="13"/>
      <c r="F8727" s="13"/>
      <c r="G8727" s="12"/>
      <c r="H8727" s="11"/>
    </row>
    <row r="8728" spans="3:8" x14ac:dyDescent="0.25">
      <c r="C8728" s="12"/>
      <c r="D8728" s="13"/>
      <c r="E8728" s="13"/>
      <c r="F8728" s="13"/>
      <c r="G8728" s="12"/>
      <c r="H8728" s="11"/>
    </row>
    <row r="8729" spans="3:8" x14ac:dyDescent="0.25">
      <c r="C8729" s="12"/>
      <c r="D8729" s="13"/>
      <c r="E8729" s="13"/>
      <c r="F8729" s="13"/>
      <c r="G8729" s="12"/>
      <c r="H8729" s="11"/>
    </row>
    <row r="8730" spans="3:8" x14ac:dyDescent="0.25">
      <c r="C8730" s="12"/>
      <c r="D8730" s="13"/>
      <c r="E8730" s="13"/>
      <c r="F8730" s="13"/>
      <c r="G8730" s="12"/>
      <c r="H8730" s="11"/>
    </row>
    <row r="8731" spans="3:8" x14ac:dyDescent="0.25">
      <c r="C8731" s="12"/>
      <c r="D8731" s="13"/>
      <c r="E8731" s="13"/>
      <c r="F8731" s="13"/>
      <c r="G8731" s="12"/>
      <c r="H8731" s="11"/>
    </row>
    <row r="8732" spans="3:8" x14ac:dyDescent="0.25">
      <c r="C8732" s="12"/>
      <c r="D8732" s="13"/>
      <c r="E8732" s="13"/>
      <c r="F8732" s="13"/>
      <c r="G8732" s="12"/>
      <c r="H8732" s="11"/>
    </row>
    <row r="8733" spans="3:8" x14ac:dyDescent="0.25">
      <c r="C8733" s="12"/>
      <c r="D8733" s="13"/>
      <c r="E8733" s="13"/>
      <c r="F8733" s="13"/>
      <c r="G8733" s="12"/>
      <c r="H8733" s="11"/>
    </row>
    <row r="8734" spans="3:8" x14ac:dyDescent="0.25">
      <c r="C8734" s="12"/>
      <c r="D8734" s="13"/>
      <c r="E8734" s="13"/>
      <c r="F8734" s="13"/>
      <c r="G8734" s="12"/>
      <c r="H8734" s="11"/>
    </row>
    <row r="8735" spans="3:8" x14ac:dyDescent="0.25">
      <c r="C8735" s="12"/>
      <c r="D8735" s="13"/>
      <c r="E8735" s="13"/>
      <c r="F8735" s="13"/>
      <c r="G8735" s="12"/>
      <c r="H8735" s="11"/>
    </row>
    <row r="8736" spans="3:8" x14ac:dyDescent="0.25">
      <c r="C8736" s="12"/>
      <c r="D8736" s="13"/>
      <c r="E8736" s="13"/>
      <c r="F8736" s="13"/>
      <c r="G8736" s="12"/>
      <c r="H8736" s="11"/>
    </row>
    <row r="8737" spans="3:8" x14ac:dyDescent="0.25">
      <c r="C8737" s="12"/>
      <c r="D8737" s="13"/>
      <c r="E8737" s="13"/>
      <c r="F8737" s="13"/>
      <c r="G8737" s="12"/>
      <c r="H8737" s="11"/>
    </row>
    <row r="8738" spans="3:8" x14ac:dyDescent="0.25">
      <c r="C8738" s="12"/>
      <c r="D8738" s="13"/>
      <c r="E8738" s="13"/>
      <c r="F8738" s="13"/>
      <c r="G8738" s="12"/>
      <c r="H8738" s="11"/>
    </row>
    <row r="8739" spans="3:8" x14ac:dyDescent="0.25">
      <c r="C8739" s="12"/>
      <c r="D8739" s="13"/>
      <c r="E8739" s="13"/>
      <c r="F8739" s="13"/>
      <c r="G8739" s="12"/>
      <c r="H8739" s="11"/>
    </row>
    <row r="8740" spans="3:8" x14ac:dyDescent="0.25">
      <c r="C8740" s="12"/>
      <c r="D8740" s="13"/>
      <c r="E8740" s="13"/>
      <c r="F8740" s="13"/>
      <c r="G8740" s="12"/>
      <c r="H8740" s="11"/>
    </row>
    <row r="8741" spans="3:8" x14ac:dyDescent="0.25">
      <c r="C8741" s="12"/>
      <c r="D8741" s="13"/>
      <c r="E8741" s="13"/>
      <c r="F8741" s="13"/>
      <c r="G8741" s="12"/>
      <c r="H8741" s="11"/>
    </row>
    <row r="8742" spans="3:8" x14ac:dyDescent="0.25">
      <c r="C8742" s="12"/>
      <c r="D8742" s="13"/>
      <c r="E8742" s="13"/>
      <c r="F8742" s="13"/>
      <c r="G8742" s="12"/>
      <c r="H8742" s="11"/>
    </row>
    <row r="8743" spans="3:8" x14ac:dyDescent="0.25">
      <c r="C8743" s="12"/>
      <c r="D8743" s="13"/>
      <c r="E8743" s="13"/>
      <c r="F8743" s="13"/>
      <c r="G8743" s="12"/>
      <c r="H8743" s="11"/>
    </row>
    <row r="8744" spans="3:8" x14ac:dyDescent="0.25">
      <c r="C8744" s="12"/>
      <c r="D8744" s="13"/>
      <c r="E8744" s="13"/>
      <c r="F8744" s="13"/>
      <c r="G8744" s="12"/>
      <c r="H8744" s="11"/>
    </row>
    <row r="8745" spans="3:8" x14ac:dyDescent="0.25">
      <c r="C8745" s="12"/>
      <c r="D8745" s="13"/>
      <c r="E8745" s="13"/>
      <c r="F8745" s="13"/>
      <c r="G8745" s="12"/>
      <c r="H8745" s="11"/>
    </row>
    <row r="8746" spans="3:8" x14ac:dyDescent="0.25">
      <c r="C8746" s="12"/>
      <c r="D8746" s="13"/>
      <c r="E8746" s="13"/>
      <c r="F8746" s="13"/>
      <c r="G8746" s="12"/>
      <c r="H8746" s="11"/>
    </row>
    <row r="8747" spans="3:8" x14ac:dyDescent="0.25">
      <c r="C8747" s="12"/>
      <c r="D8747" s="13"/>
      <c r="E8747" s="13"/>
      <c r="F8747" s="13"/>
      <c r="G8747" s="12"/>
      <c r="H8747" s="11"/>
    </row>
    <row r="8748" spans="3:8" x14ac:dyDescent="0.25">
      <c r="C8748" s="12"/>
      <c r="D8748" s="13"/>
      <c r="E8748" s="13"/>
      <c r="F8748" s="13"/>
      <c r="G8748" s="12"/>
      <c r="H8748" s="11"/>
    </row>
    <row r="8749" spans="3:8" x14ac:dyDescent="0.25">
      <c r="C8749" s="12"/>
      <c r="D8749" s="13"/>
      <c r="E8749" s="13"/>
      <c r="F8749" s="13"/>
      <c r="G8749" s="12"/>
      <c r="H8749" s="11"/>
    </row>
    <row r="8750" spans="3:8" x14ac:dyDescent="0.25">
      <c r="C8750" s="12"/>
      <c r="D8750" s="13"/>
      <c r="E8750" s="13"/>
      <c r="F8750" s="13"/>
      <c r="G8750" s="12"/>
      <c r="H8750" s="11"/>
    </row>
    <row r="8751" spans="3:8" x14ac:dyDescent="0.25">
      <c r="C8751" s="12"/>
      <c r="D8751" s="13"/>
      <c r="E8751" s="13"/>
      <c r="F8751" s="13"/>
      <c r="G8751" s="12"/>
      <c r="H8751" s="11"/>
    </row>
    <row r="8752" spans="3:8" x14ac:dyDescent="0.25">
      <c r="C8752" s="12"/>
      <c r="D8752" s="13"/>
      <c r="E8752" s="13"/>
      <c r="F8752" s="13"/>
      <c r="G8752" s="12"/>
      <c r="H8752" s="11"/>
    </row>
    <row r="8753" spans="3:8" x14ac:dyDescent="0.25">
      <c r="C8753" s="12"/>
      <c r="D8753" s="13"/>
      <c r="E8753" s="13"/>
      <c r="F8753" s="13"/>
      <c r="G8753" s="12"/>
      <c r="H8753" s="11"/>
    </row>
    <row r="8754" spans="3:8" x14ac:dyDescent="0.25">
      <c r="C8754" s="12"/>
      <c r="D8754" s="13"/>
      <c r="E8754" s="13"/>
      <c r="F8754" s="13"/>
      <c r="G8754" s="12"/>
      <c r="H8754" s="11"/>
    </row>
    <row r="8755" spans="3:8" x14ac:dyDescent="0.25">
      <c r="C8755" s="12"/>
      <c r="D8755" s="13"/>
      <c r="E8755" s="13"/>
      <c r="F8755" s="13"/>
      <c r="G8755" s="12"/>
      <c r="H8755" s="11"/>
    </row>
    <row r="8756" spans="3:8" x14ac:dyDescent="0.25">
      <c r="C8756" s="12"/>
      <c r="D8756" s="13"/>
      <c r="E8756" s="13"/>
      <c r="F8756" s="13"/>
      <c r="G8756" s="12"/>
      <c r="H8756" s="11"/>
    </row>
    <row r="8757" spans="3:8" x14ac:dyDescent="0.25">
      <c r="C8757" s="12"/>
      <c r="D8757" s="13"/>
      <c r="E8757" s="13"/>
      <c r="F8757" s="13"/>
      <c r="G8757" s="12"/>
      <c r="H8757" s="11"/>
    </row>
    <row r="8758" spans="3:8" x14ac:dyDescent="0.25">
      <c r="C8758" s="12"/>
      <c r="D8758" s="13"/>
      <c r="E8758" s="13"/>
      <c r="F8758" s="13"/>
      <c r="G8758" s="12"/>
      <c r="H8758" s="11"/>
    </row>
    <row r="8759" spans="3:8" x14ac:dyDescent="0.25">
      <c r="C8759" s="12"/>
      <c r="D8759" s="13"/>
      <c r="E8759" s="13"/>
      <c r="F8759" s="13"/>
      <c r="G8759" s="12"/>
      <c r="H8759" s="11"/>
    </row>
    <row r="8760" spans="3:8" x14ac:dyDescent="0.25">
      <c r="C8760" s="12"/>
      <c r="D8760" s="13"/>
      <c r="E8760" s="13"/>
      <c r="F8760" s="13"/>
      <c r="G8760" s="12"/>
      <c r="H8760" s="11"/>
    </row>
    <row r="8761" spans="3:8" x14ac:dyDescent="0.25">
      <c r="C8761" s="12"/>
      <c r="D8761" s="13"/>
      <c r="E8761" s="13"/>
      <c r="F8761" s="13"/>
      <c r="G8761" s="12"/>
      <c r="H8761" s="11"/>
    </row>
    <row r="8762" spans="3:8" x14ac:dyDescent="0.25">
      <c r="C8762" s="12"/>
      <c r="D8762" s="13"/>
      <c r="E8762" s="13"/>
      <c r="F8762" s="13"/>
      <c r="G8762" s="12"/>
      <c r="H8762" s="11"/>
    </row>
    <row r="8763" spans="3:8" x14ac:dyDescent="0.25">
      <c r="C8763" s="12"/>
      <c r="D8763" s="13"/>
      <c r="E8763" s="13"/>
      <c r="F8763" s="13"/>
      <c r="G8763" s="12"/>
      <c r="H8763" s="11"/>
    </row>
    <row r="8764" spans="3:8" x14ac:dyDescent="0.25">
      <c r="C8764" s="12"/>
      <c r="D8764" s="13"/>
      <c r="E8764" s="13"/>
      <c r="F8764" s="13"/>
      <c r="G8764" s="12"/>
      <c r="H8764" s="11"/>
    </row>
    <row r="8765" spans="3:8" x14ac:dyDescent="0.25">
      <c r="C8765" s="12"/>
      <c r="D8765" s="13"/>
      <c r="E8765" s="13"/>
      <c r="F8765" s="13"/>
      <c r="G8765" s="12"/>
      <c r="H8765" s="11"/>
    </row>
    <row r="8766" spans="3:8" x14ac:dyDescent="0.25">
      <c r="C8766" s="12"/>
      <c r="D8766" s="13"/>
      <c r="E8766" s="13"/>
      <c r="F8766" s="13"/>
      <c r="G8766" s="12"/>
      <c r="H8766" s="11"/>
    </row>
    <row r="8767" spans="3:8" x14ac:dyDescent="0.25">
      <c r="C8767" s="12"/>
      <c r="D8767" s="13"/>
      <c r="E8767" s="13"/>
      <c r="F8767" s="13"/>
      <c r="G8767" s="12"/>
      <c r="H8767" s="11"/>
    </row>
    <row r="8768" spans="3:8" x14ac:dyDescent="0.25">
      <c r="C8768" s="12"/>
      <c r="D8768" s="13"/>
      <c r="E8768" s="13"/>
      <c r="F8768" s="13"/>
      <c r="G8768" s="12"/>
      <c r="H8768" s="11"/>
    </row>
    <row r="8769" spans="3:8" x14ac:dyDescent="0.25">
      <c r="C8769" s="12"/>
      <c r="D8769" s="13"/>
      <c r="E8769" s="13"/>
      <c r="F8769" s="13"/>
      <c r="G8769" s="12"/>
      <c r="H8769" s="11"/>
    </row>
    <row r="8770" spans="3:8" x14ac:dyDescent="0.25">
      <c r="C8770" s="12"/>
      <c r="D8770" s="13"/>
      <c r="E8770" s="13"/>
      <c r="F8770" s="13"/>
      <c r="G8770" s="12"/>
      <c r="H8770" s="11"/>
    </row>
    <row r="8771" spans="3:8" x14ac:dyDescent="0.25">
      <c r="C8771" s="12"/>
      <c r="D8771" s="13"/>
      <c r="E8771" s="13"/>
      <c r="F8771" s="13"/>
      <c r="G8771" s="12"/>
      <c r="H8771" s="11"/>
    </row>
    <row r="8772" spans="3:8" x14ac:dyDescent="0.25">
      <c r="C8772" s="12"/>
      <c r="D8772" s="13"/>
      <c r="E8772" s="13"/>
      <c r="F8772" s="13"/>
      <c r="G8772" s="12"/>
      <c r="H8772" s="11"/>
    </row>
    <row r="8773" spans="3:8" x14ac:dyDescent="0.25">
      <c r="C8773" s="12"/>
      <c r="D8773" s="13"/>
      <c r="E8773" s="13"/>
      <c r="F8773" s="13"/>
      <c r="G8773" s="12"/>
      <c r="H8773" s="11"/>
    </row>
    <row r="8774" spans="3:8" x14ac:dyDescent="0.25">
      <c r="C8774" s="12"/>
      <c r="D8774" s="13"/>
      <c r="E8774" s="13"/>
      <c r="F8774" s="13"/>
      <c r="G8774" s="12"/>
      <c r="H8774" s="11"/>
    </row>
    <row r="8775" spans="3:8" x14ac:dyDescent="0.25">
      <c r="C8775" s="12"/>
      <c r="D8775" s="13"/>
      <c r="E8775" s="13"/>
      <c r="F8775" s="13"/>
      <c r="G8775" s="12"/>
      <c r="H8775" s="11"/>
    </row>
    <row r="8776" spans="3:8" x14ac:dyDescent="0.25">
      <c r="C8776" s="12"/>
      <c r="D8776" s="13"/>
      <c r="E8776" s="13"/>
      <c r="F8776" s="13"/>
      <c r="G8776" s="12"/>
      <c r="H8776" s="11"/>
    </row>
    <row r="8777" spans="3:8" x14ac:dyDescent="0.25">
      <c r="C8777" s="12"/>
      <c r="D8777" s="13"/>
      <c r="E8777" s="13"/>
      <c r="F8777" s="13"/>
      <c r="G8777" s="12"/>
      <c r="H8777" s="11"/>
    </row>
    <row r="8778" spans="3:8" x14ac:dyDescent="0.25">
      <c r="C8778" s="12"/>
      <c r="D8778" s="13"/>
      <c r="E8778" s="13"/>
      <c r="F8778" s="13"/>
      <c r="G8778" s="12"/>
      <c r="H8778" s="11"/>
    </row>
    <row r="8779" spans="3:8" x14ac:dyDescent="0.25">
      <c r="C8779" s="12"/>
      <c r="D8779" s="13"/>
      <c r="E8779" s="13"/>
      <c r="F8779" s="13"/>
      <c r="G8779" s="12"/>
      <c r="H8779" s="11"/>
    </row>
    <row r="8780" spans="3:8" x14ac:dyDescent="0.25">
      <c r="C8780" s="12"/>
      <c r="D8780" s="13"/>
      <c r="E8780" s="13"/>
      <c r="F8780" s="13"/>
      <c r="G8780" s="12"/>
      <c r="H8780" s="11"/>
    </row>
    <row r="8781" spans="3:8" x14ac:dyDescent="0.25">
      <c r="C8781" s="12"/>
      <c r="D8781" s="13"/>
      <c r="E8781" s="13"/>
      <c r="F8781" s="13"/>
      <c r="G8781" s="12"/>
      <c r="H8781" s="11"/>
    </row>
    <row r="8782" spans="3:8" x14ac:dyDescent="0.25">
      <c r="C8782" s="12"/>
      <c r="D8782" s="13"/>
      <c r="E8782" s="13"/>
      <c r="F8782" s="13"/>
      <c r="G8782" s="12"/>
      <c r="H8782" s="11"/>
    </row>
    <row r="8783" spans="3:8" x14ac:dyDescent="0.25">
      <c r="C8783" s="12"/>
      <c r="D8783" s="13"/>
      <c r="E8783" s="13"/>
      <c r="F8783" s="13"/>
      <c r="G8783" s="12"/>
      <c r="H8783" s="11"/>
    </row>
    <row r="8784" spans="3:8" x14ac:dyDescent="0.25">
      <c r="C8784" s="12"/>
      <c r="D8784" s="13"/>
      <c r="E8784" s="13"/>
      <c r="F8784" s="13"/>
      <c r="G8784" s="12"/>
      <c r="H8784" s="11"/>
    </row>
    <row r="8785" spans="3:8" x14ac:dyDescent="0.25">
      <c r="C8785" s="12"/>
      <c r="D8785" s="13"/>
      <c r="E8785" s="13"/>
      <c r="F8785" s="13"/>
      <c r="G8785" s="12"/>
      <c r="H8785" s="11"/>
    </row>
    <row r="8786" spans="3:8" x14ac:dyDescent="0.25">
      <c r="C8786" s="12"/>
      <c r="D8786" s="13"/>
      <c r="E8786" s="13"/>
      <c r="F8786" s="13"/>
      <c r="G8786" s="12"/>
      <c r="H8786" s="11"/>
    </row>
    <row r="8787" spans="3:8" x14ac:dyDescent="0.25">
      <c r="C8787" s="12"/>
      <c r="D8787" s="13"/>
      <c r="E8787" s="13"/>
      <c r="F8787" s="13"/>
      <c r="G8787" s="12"/>
      <c r="H8787" s="11"/>
    </row>
    <row r="8788" spans="3:8" x14ac:dyDescent="0.25">
      <c r="C8788" s="12"/>
      <c r="D8788" s="13"/>
      <c r="E8788" s="13"/>
      <c r="F8788" s="13"/>
      <c r="G8788" s="12"/>
      <c r="H8788" s="11"/>
    </row>
    <row r="8789" spans="3:8" x14ac:dyDescent="0.25">
      <c r="C8789" s="12"/>
      <c r="D8789" s="13"/>
      <c r="E8789" s="13"/>
      <c r="F8789" s="13"/>
      <c r="G8789" s="12"/>
      <c r="H8789" s="11"/>
    </row>
    <row r="8790" spans="3:8" x14ac:dyDescent="0.25">
      <c r="C8790" s="12"/>
      <c r="D8790" s="13"/>
      <c r="E8790" s="13"/>
      <c r="F8790" s="13"/>
      <c r="G8790" s="12"/>
      <c r="H8790" s="11"/>
    </row>
    <row r="8791" spans="3:8" x14ac:dyDescent="0.25">
      <c r="C8791" s="12"/>
      <c r="D8791" s="13"/>
      <c r="E8791" s="13"/>
      <c r="F8791" s="13"/>
      <c r="G8791" s="12"/>
      <c r="H8791" s="11"/>
    </row>
    <row r="8792" spans="3:8" x14ac:dyDescent="0.25">
      <c r="C8792" s="12"/>
      <c r="D8792" s="13"/>
      <c r="E8792" s="13"/>
      <c r="F8792" s="13"/>
      <c r="G8792" s="12"/>
      <c r="H8792" s="11"/>
    </row>
    <row r="8793" spans="3:8" x14ac:dyDescent="0.25">
      <c r="C8793" s="12"/>
      <c r="D8793" s="13"/>
      <c r="E8793" s="13"/>
      <c r="F8793" s="13"/>
      <c r="G8793" s="12"/>
      <c r="H8793" s="11"/>
    </row>
    <row r="8794" spans="3:8" x14ac:dyDescent="0.25">
      <c r="C8794" s="12"/>
      <c r="D8794" s="13"/>
      <c r="E8794" s="13"/>
      <c r="F8794" s="13"/>
      <c r="G8794" s="12"/>
      <c r="H8794" s="11"/>
    </row>
    <row r="8795" spans="3:8" x14ac:dyDescent="0.25">
      <c r="C8795" s="12"/>
      <c r="D8795" s="13"/>
      <c r="E8795" s="13"/>
      <c r="F8795" s="13"/>
      <c r="G8795" s="12"/>
      <c r="H8795" s="11"/>
    </row>
    <row r="8796" spans="3:8" x14ac:dyDescent="0.25">
      <c r="C8796" s="12"/>
      <c r="D8796" s="13"/>
      <c r="E8796" s="13"/>
      <c r="F8796" s="13"/>
      <c r="G8796" s="12"/>
      <c r="H8796" s="11"/>
    </row>
    <row r="8797" spans="3:8" x14ac:dyDescent="0.25">
      <c r="C8797" s="12"/>
      <c r="D8797" s="13"/>
      <c r="E8797" s="13"/>
      <c r="F8797" s="13"/>
      <c r="G8797" s="12"/>
      <c r="H8797" s="11"/>
    </row>
    <row r="8798" spans="3:8" x14ac:dyDescent="0.25">
      <c r="C8798" s="12"/>
      <c r="D8798" s="13"/>
      <c r="E8798" s="13"/>
      <c r="F8798" s="13"/>
      <c r="G8798" s="12"/>
      <c r="H8798" s="11"/>
    </row>
    <row r="8799" spans="3:8" x14ac:dyDescent="0.25">
      <c r="C8799" s="12"/>
      <c r="D8799" s="13"/>
      <c r="E8799" s="13"/>
      <c r="F8799" s="13"/>
      <c r="G8799" s="12"/>
      <c r="H8799" s="11"/>
    </row>
    <row r="8800" spans="3:8" x14ac:dyDescent="0.25">
      <c r="C8800" s="12"/>
      <c r="D8800" s="13"/>
      <c r="E8800" s="13"/>
      <c r="F8800" s="13"/>
      <c r="G8800" s="12"/>
      <c r="H8800" s="11"/>
    </row>
    <row r="8801" spans="3:8" x14ac:dyDescent="0.25">
      <c r="C8801" s="12"/>
      <c r="D8801" s="13"/>
      <c r="E8801" s="13"/>
      <c r="F8801" s="13"/>
      <c r="G8801" s="12"/>
      <c r="H8801" s="11"/>
    </row>
    <row r="8802" spans="3:8" x14ac:dyDescent="0.25">
      <c r="C8802" s="12"/>
      <c r="D8802" s="13"/>
      <c r="E8802" s="13"/>
      <c r="F8802" s="13"/>
      <c r="G8802" s="12"/>
      <c r="H8802" s="11"/>
    </row>
    <row r="8803" spans="3:8" x14ac:dyDescent="0.25">
      <c r="C8803" s="12"/>
      <c r="D8803" s="13"/>
      <c r="E8803" s="13"/>
      <c r="F8803" s="13"/>
      <c r="G8803" s="12"/>
      <c r="H8803" s="11"/>
    </row>
    <row r="8804" spans="3:8" x14ac:dyDescent="0.25">
      <c r="C8804" s="12"/>
      <c r="D8804" s="13"/>
      <c r="E8804" s="13"/>
      <c r="F8804" s="13"/>
      <c r="G8804" s="12"/>
      <c r="H8804" s="11"/>
    </row>
    <row r="8805" spans="3:8" x14ac:dyDescent="0.25">
      <c r="C8805" s="12"/>
      <c r="D8805" s="13"/>
      <c r="E8805" s="13"/>
      <c r="F8805" s="13"/>
      <c r="G8805" s="12"/>
      <c r="H8805" s="11"/>
    </row>
    <row r="8806" spans="3:8" x14ac:dyDescent="0.25">
      <c r="C8806" s="12"/>
      <c r="D8806" s="13"/>
      <c r="E8806" s="13"/>
      <c r="F8806" s="13"/>
      <c r="G8806" s="12"/>
      <c r="H8806" s="11"/>
    </row>
    <row r="8807" spans="3:8" x14ac:dyDescent="0.25">
      <c r="C8807" s="12"/>
      <c r="D8807" s="13"/>
      <c r="E8807" s="13"/>
      <c r="F8807" s="13"/>
      <c r="G8807" s="12"/>
      <c r="H8807" s="11"/>
    </row>
    <row r="8808" spans="3:8" x14ac:dyDescent="0.25">
      <c r="C8808" s="12"/>
      <c r="D8808" s="13"/>
      <c r="E8808" s="13"/>
      <c r="F8808" s="13"/>
      <c r="G8808" s="12"/>
      <c r="H8808" s="11"/>
    </row>
    <row r="8809" spans="3:8" x14ac:dyDescent="0.25">
      <c r="C8809" s="12"/>
      <c r="D8809" s="13"/>
      <c r="E8809" s="13"/>
      <c r="F8809" s="13"/>
      <c r="G8809" s="12"/>
      <c r="H8809" s="11"/>
    </row>
    <row r="8810" spans="3:8" x14ac:dyDescent="0.25">
      <c r="C8810" s="12"/>
      <c r="D8810" s="13"/>
      <c r="E8810" s="13"/>
      <c r="F8810" s="13"/>
      <c r="G8810" s="12"/>
      <c r="H8810" s="11"/>
    </row>
    <row r="8811" spans="3:8" x14ac:dyDescent="0.25">
      <c r="C8811" s="12"/>
      <c r="D8811" s="13"/>
      <c r="E8811" s="13"/>
      <c r="F8811" s="13"/>
      <c r="G8811" s="12"/>
      <c r="H8811" s="11"/>
    </row>
    <row r="8812" spans="3:8" x14ac:dyDescent="0.25">
      <c r="C8812" s="12"/>
      <c r="D8812" s="13"/>
      <c r="E8812" s="13"/>
      <c r="F8812" s="13"/>
      <c r="G8812" s="12"/>
      <c r="H8812" s="11"/>
    </row>
    <row r="8813" spans="3:8" x14ac:dyDescent="0.25">
      <c r="C8813" s="12"/>
      <c r="D8813" s="13"/>
      <c r="E8813" s="13"/>
      <c r="F8813" s="13"/>
      <c r="G8813" s="12"/>
      <c r="H8813" s="11"/>
    </row>
    <row r="8814" spans="3:8" x14ac:dyDescent="0.25">
      <c r="C8814" s="12"/>
      <c r="D8814" s="13"/>
      <c r="E8814" s="13"/>
      <c r="F8814" s="13"/>
      <c r="G8814" s="12"/>
      <c r="H8814" s="11"/>
    </row>
    <row r="8815" spans="3:8" x14ac:dyDescent="0.25">
      <c r="C8815" s="12"/>
      <c r="D8815" s="13"/>
      <c r="E8815" s="13"/>
      <c r="F8815" s="13"/>
      <c r="G8815" s="12"/>
      <c r="H8815" s="11"/>
    </row>
    <row r="8816" spans="3:8" x14ac:dyDescent="0.25">
      <c r="C8816" s="12"/>
      <c r="D8816" s="13"/>
      <c r="E8816" s="13"/>
      <c r="F8816" s="13"/>
      <c r="G8816" s="12"/>
      <c r="H8816" s="11"/>
    </row>
    <row r="8817" spans="3:8" x14ac:dyDescent="0.25">
      <c r="C8817" s="12"/>
      <c r="D8817" s="13"/>
      <c r="E8817" s="13"/>
      <c r="F8817" s="13"/>
      <c r="G8817" s="12"/>
      <c r="H8817" s="11"/>
    </row>
    <row r="8818" spans="3:8" x14ac:dyDescent="0.25">
      <c r="C8818" s="12"/>
      <c r="D8818" s="13"/>
      <c r="E8818" s="13"/>
      <c r="F8818" s="13"/>
      <c r="G8818" s="12"/>
      <c r="H8818" s="11"/>
    </row>
    <row r="8819" spans="3:8" x14ac:dyDescent="0.25">
      <c r="C8819" s="12"/>
      <c r="D8819" s="13"/>
      <c r="E8819" s="13"/>
      <c r="F8819" s="13"/>
      <c r="G8819" s="12"/>
      <c r="H8819" s="11"/>
    </row>
    <row r="8820" spans="3:8" x14ac:dyDescent="0.25">
      <c r="C8820" s="12"/>
      <c r="D8820" s="13"/>
      <c r="E8820" s="13"/>
      <c r="F8820" s="13"/>
      <c r="G8820" s="12"/>
      <c r="H8820" s="11"/>
    </row>
    <row r="8821" spans="3:8" x14ac:dyDescent="0.25">
      <c r="C8821" s="12"/>
      <c r="D8821" s="13"/>
      <c r="E8821" s="13"/>
      <c r="F8821" s="13"/>
      <c r="G8821" s="12"/>
      <c r="H8821" s="11"/>
    </row>
    <row r="8822" spans="3:8" x14ac:dyDescent="0.25">
      <c r="C8822" s="12"/>
      <c r="D8822" s="13"/>
      <c r="E8822" s="13"/>
      <c r="F8822" s="13"/>
      <c r="G8822" s="12"/>
      <c r="H8822" s="11"/>
    </row>
    <row r="8823" spans="3:8" x14ac:dyDescent="0.25">
      <c r="C8823" s="12"/>
      <c r="D8823" s="13"/>
      <c r="E8823" s="13"/>
      <c r="F8823" s="13"/>
      <c r="G8823" s="12"/>
      <c r="H8823" s="11"/>
    </row>
    <row r="8824" spans="3:8" x14ac:dyDescent="0.25">
      <c r="C8824" s="12"/>
      <c r="D8824" s="13"/>
      <c r="E8824" s="13"/>
      <c r="F8824" s="13"/>
      <c r="G8824" s="12"/>
      <c r="H8824" s="11"/>
    </row>
    <row r="8825" spans="3:8" x14ac:dyDescent="0.25">
      <c r="C8825" s="12"/>
      <c r="D8825" s="13"/>
      <c r="E8825" s="13"/>
      <c r="F8825" s="13"/>
      <c r="G8825" s="12"/>
      <c r="H8825" s="11"/>
    </row>
    <row r="8826" spans="3:8" x14ac:dyDescent="0.25">
      <c r="C8826" s="12"/>
      <c r="D8826" s="13"/>
      <c r="E8826" s="13"/>
      <c r="F8826" s="13"/>
      <c r="G8826" s="12"/>
      <c r="H8826" s="11"/>
    </row>
    <row r="8827" spans="3:8" x14ac:dyDescent="0.25">
      <c r="C8827" s="12"/>
      <c r="D8827" s="13"/>
      <c r="E8827" s="13"/>
      <c r="F8827" s="13"/>
      <c r="G8827" s="12"/>
      <c r="H8827" s="11"/>
    </row>
    <row r="8828" spans="3:8" x14ac:dyDescent="0.25">
      <c r="C8828" s="12"/>
      <c r="D8828" s="13"/>
      <c r="E8828" s="13"/>
      <c r="F8828" s="13"/>
      <c r="G8828" s="12"/>
      <c r="H8828" s="11"/>
    </row>
    <row r="8829" spans="3:8" x14ac:dyDescent="0.25">
      <c r="C8829" s="12"/>
      <c r="D8829" s="13"/>
      <c r="E8829" s="13"/>
      <c r="F8829" s="13"/>
      <c r="G8829" s="12"/>
      <c r="H8829" s="11"/>
    </row>
    <row r="8830" spans="3:8" x14ac:dyDescent="0.25">
      <c r="C8830" s="12"/>
      <c r="D8830" s="13"/>
      <c r="E8830" s="13"/>
      <c r="F8830" s="13"/>
      <c r="G8830" s="12"/>
      <c r="H8830" s="11"/>
    </row>
    <row r="8831" spans="3:8" x14ac:dyDescent="0.25">
      <c r="C8831" s="12"/>
      <c r="D8831" s="13"/>
      <c r="E8831" s="13"/>
      <c r="F8831" s="13"/>
      <c r="G8831" s="12"/>
      <c r="H8831" s="11"/>
    </row>
    <row r="8832" spans="3:8" x14ac:dyDescent="0.25">
      <c r="C8832" s="12"/>
      <c r="D8832" s="13"/>
      <c r="E8832" s="13"/>
      <c r="F8832" s="13"/>
      <c r="G8832" s="12"/>
      <c r="H8832" s="11"/>
    </row>
    <row r="8833" spans="3:8" x14ac:dyDescent="0.25">
      <c r="C8833" s="12"/>
      <c r="D8833" s="13"/>
      <c r="E8833" s="13"/>
      <c r="F8833" s="13"/>
      <c r="G8833" s="12"/>
      <c r="H8833" s="11"/>
    </row>
    <row r="8834" spans="3:8" x14ac:dyDescent="0.25">
      <c r="C8834" s="12"/>
      <c r="D8834" s="13"/>
      <c r="E8834" s="13"/>
      <c r="F8834" s="13"/>
      <c r="G8834" s="12"/>
      <c r="H8834" s="11"/>
    </row>
    <row r="8835" spans="3:8" x14ac:dyDescent="0.25">
      <c r="C8835" s="12"/>
      <c r="D8835" s="13"/>
      <c r="E8835" s="13"/>
      <c r="F8835" s="13"/>
      <c r="G8835" s="12"/>
      <c r="H8835" s="11"/>
    </row>
    <row r="8836" spans="3:8" x14ac:dyDescent="0.25">
      <c r="C8836" s="12"/>
      <c r="D8836" s="13"/>
      <c r="E8836" s="13"/>
      <c r="F8836" s="13"/>
      <c r="G8836" s="12"/>
      <c r="H8836" s="11"/>
    </row>
    <row r="8837" spans="3:8" x14ac:dyDescent="0.25">
      <c r="C8837" s="12"/>
      <c r="D8837" s="13"/>
      <c r="E8837" s="13"/>
      <c r="F8837" s="13"/>
      <c r="G8837" s="12"/>
      <c r="H8837" s="11"/>
    </row>
    <row r="8838" spans="3:8" x14ac:dyDescent="0.25">
      <c r="C8838" s="12"/>
      <c r="D8838" s="13"/>
      <c r="E8838" s="13"/>
      <c r="F8838" s="13"/>
      <c r="G8838" s="12"/>
      <c r="H8838" s="11"/>
    </row>
    <row r="8839" spans="3:8" x14ac:dyDescent="0.25">
      <c r="C8839" s="12"/>
      <c r="D8839" s="13"/>
      <c r="E8839" s="13"/>
      <c r="F8839" s="13"/>
      <c r="G8839" s="12"/>
      <c r="H8839" s="11"/>
    </row>
    <row r="8840" spans="3:8" x14ac:dyDescent="0.25">
      <c r="C8840" s="12"/>
      <c r="D8840" s="13"/>
      <c r="E8840" s="13"/>
      <c r="F8840" s="13"/>
      <c r="G8840" s="12"/>
      <c r="H8840" s="11"/>
    </row>
    <row r="8841" spans="3:8" x14ac:dyDescent="0.25">
      <c r="C8841" s="12"/>
      <c r="D8841" s="13"/>
      <c r="E8841" s="13"/>
      <c r="F8841" s="13"/>
      <c r="G8841" s="12"/>
      <c r="H8841" s="11"/>
    </row>
    <row r="8842" spans="3:8" x14ac:dyDescent="0.25">
      <c r="C8842" s="12"/>
      <c r="D8842" s="13"/>
      <c r="E8842" s="13"/>
      <c r="F8842" s="13"/>
      <c r="G8842" s="12"/>
      <c r="H8842" s="11"/>
    </row>
    <row r="8843" spans="3:8" x14ac:dyDescent="0.25">
      <c r="C8843" s="12"/>
      <c r="D8843" s="13"/>
      <c r="E8843" s="13"/>
      <c r="F8843" s="13"/>
      <c r="G8843" s="12"/>
      <c r="H8843" s="11"/>
    </row>
    <row r="8844" spans="3:8" x14ac:dyDescent="0.25">
      <c r="C8844" s="12"/>
      <c r="D8844" s="13"/>
      <c r="E8844" s="13"/>
      <c r="F8844" s="13"/>
      <c r="G8844" s="12"/>
      <c r="H8844" s="11"/>
    </row>
    <row r="8845" spans="3:8" x14ac:dyDescent="0.25">
      <c r="C8845" s="12"/>
      <c r="D8845" s="13"/>
      <c r="E8845" s="13"/>
      <c r="F8845" s="13"/>
      <c r="G8845" s="12"/>
      <c r="H8845" s="11"/>
    </row>
    <row r="8846" spans="3:8" x14ac:dyDescent="0.25">
      <c r="C8846" s="12"/>
      <c r="D8846" s="13"/>
      <c r="E8846" s="13"/>
      <c r="F8846" s="13"/>
      <c r="G8846" s="12"/>
      <c r="H8846" s="11"/>
    </row>
    <row r="8847" spans="3:8" x14ac:dyDescent="0.25">
      <c r="C8847" s="12"/>
      <c r="D8847" s="13"/>
      <c r="E8847" s="13"/>
      <c r="F8847" s="13"/>
      <c r="G8847" s="12"/>
      <c r="H8847" s="11"/>
    </row>
    <row r="8848" spans="3:8" x14ac:dyDescent="0.25">
      <c r="C8848" s="12"/>
      <c r="D8848" s="13"/>
      <c r="E8848" s="13"/>
      <c r="F8848" s="13"/>
      <c r="G8848" s="12"/>
      <c r="H8848" s="11"/>
    </row>
    <row r="8849" spans="3:8" x14ac:dyDescent="0.25">
      <c r="C8849" s="12"/>
      <c r="D8849" s="13"/>
      <c r="E8849" s="13"/>
      <c r="F8849" s="13"/>
      <c r="G8849" s="12"/>
      <c r="H8849" s="11"/>
    </row>
    <row r="8850" spans="3:8" x14ac:dyDescent="0.25">
      <c r="C8850" s="12"/>
      <c r="D8850" s="13"/>
      <c r="E8850" s="13"/>
      <c r="F8850" s="13"/>
      <c r="G8850" s="12"/>
      <c r="H8850" s="11"/>
    </row>
    <row r="8851" spans="3:8" x14ac:dyDescent="0.25">
      <c r="C8851" s="12"/>
      <c r="D8851" s="13"/>
      <c r="E8851" s="13"/>
      <c r="F8851" s="13"/>
      <c r="G8851" s="12"/>
      <c r="H8851" s="11"/>
    </row>
    <row r="8852" spans="3:8" x14ac:dyDescent="0.25">
      <c r="C8852" s="12"/>
      <c r="D8852" s="13"/>
      <c r="E8852" s="13"/>
      <c r="F8852" s="13"/>
      <c r="G8852" s="12"/>
      <c r="H8852" s="11"/>
    </row>
    <row r="8853" spans="3:8" x14ac:dyDescent="0.25">
      <c r="C8853" s="12"/>
      <c r="D8853" s="13"/>
      <c r="E8853" s="13"/>
      <c r="F8853" s="13"/>
      <c r="G8853" s="12"/>
      <c r="H8853" s="11"/>
    </row>
    <row r="8854" spans="3:8" x14ac:dyDescent="0.25">
      <c r="C8854" s="12"/>
      <c r="D8854" s="13"/>
      <c r="E8854" s="13"/>
      <c r="F8854" s="13"/>
      <c r="G8854" s="12"/>
      <c r="H8854" s="11"/>
    </row>
    <row r="8855" spans="3:8" x14ac:dyDescent="0.25">
      <c r="C8855" s="12"/>
      <c r="D8855" s="13"/>
      <c r="E8855" s="13"/>
      <c r="F8855" s="13"/>
      <c r="G8855" s="12"/>
      <c r="H8855" s="11"/>
    </row>
    <row r="8856" spans="3:8" x14ac:dyDescent="0.25">
      <c r="C8856" s="12"/>
      <c r="D8856" s="13"/>
      <c r="E8856" s="13"/>
      <c r="F8856" s="13"/>
      <c r="G8856" s="12"/>
      <c r="H8856" s="11"/>
    </row>
    <row r="8857" spans="3:8" x14ac:dyDescent="0.25">
      <c r="C8857" s="12"/>
      <c r="D8857" s="13"/>
      <c r="E8857" s="13"/>
      <c r="F8857" s="13"/>
      <c r="G8857" s="12"/>
      <c r="H8857" s="11"/>
    </row>
    <row r="8858" spans="3:8" x14ac:dyDescent="0.25">
      <c r="C8858" s="12"/>
      <c r="D8858" s="13"/>
      <c r="E8858" s="13"/>
      <c r="F8858" s="13"/>
      <c r="G8858" s="12"/>
      <c r="H8858" s="11"/>
    </row>
    <row r="8859" spans="3:8" x14ac:dyDescent="0.25">
      <c r="C8859" s="12"/>
      <c r="D8859" s="13"/>
      <c r="E8859" s="13"/>
      <c r="F8859" s="13"/>
      <c r="G8859" s="12"/>
      <c r="H8859" s="11"/>
    </row>
    <row r="8860" spans="3:8" x14ac:dyDescent="0.25">
      <c r="C8860" s="12"/>
      <c r="D8860" s="13"/>
      <c r="E8860" s="13"/>
      <c r="F8860" s="13"/>
      <c r="G8860" s="12"/>
      <c r="H8860" s="11"/>
    </row>
    <row r="8861" spans="3:8" x14ac:dyDescent="0.25">
      <c r="C8861" s="12"/>
      <c r="D8861" s="13"/>
      <c r="E8861" s="13"/>
      <c r="F8861" s="13"/>
      <c r="G8861" s="12"/>
      <c r="H8861" s="11"/>
    </row>
    <row r="8862" spans="3:8" x14ac:dyDescent="0.25">
      <c r="C8862" s="12"/>
      <c r="D8862" s="13"/>
      <c r="E8862" s="13"/>
      <c r="F8862" s="13"/>
      <c r="G8862" s="12"/>
      <c r="H8862" s="11"/>
    </row>
    <row r="8863" spans="3:8" x14ac:dyDescent="0.25">
      <c r="C8863" s="12"/>
      <c r="D8863" s="13"/>
      <c r="E8863" s="13"/>
      <c r="F8863" s="13"/>
      <c r="G8863" s="12"/>
      <c r="H8863" s="11"/>
    </row>
    <row r="8864" spans="3:8" x14ac:dyDescent="0.25">
      <c r="C8864" s="12"/>
      <c r="D8864" s="13"/>
      <c r="E8864" s="13"/>
      <c r="F8864" s="13"/>
      <c r="G8864" s="12"/>
      <c r="H8864" s="11"/>
    </row>
    <row r="8865" spans="3:8" x14ac:dyDescent="0.25">
      <c r="C8865" s="12"/>
      <c r="D8865" s="13"/>
      <c r="E8865" s="13"/>
      <c r="F8865" s="13"/>
      <c r="G8865" s="12"/>
      <c r="H8865" s="11"/>
    </row>
    <row r="8866" spans="3:8" x14ac:dyDescent="0.25">
      <c r="C8866" s="12"/>
      <c r="D8866" s="13"/>
      <c r="E8866" s="13"/>
      <c r="F8866" s="13"/>
      <c r="G8866" s="12"/>
      <c r="H8866" s="11"/>
    </row>
    <row r="8867" spans="3:8" x14ac:dyDescent="0.25">
      <c r="C8867" s="12"/>
      <c r="D8867" s="13"/>
      <c r="E8867" s="13"/>
      <c r="F8867" s="13"/>
      <c r="G8867" s="12"/>
      <c r="H8867" s="11"/>
    </row>
    <row r="8868" spans="3:8" x14ac:dyDescent="0.25">
      <c r="C8868" s="12"/>
      <c r="D8868" s="13"/>
      <c r="E8868" s="13"/>
      <c r="F8868" s="13"/>
      <c r="G8868" s="12"/>
      <c r="H8868" s="11"/>
    </row>
    <row r="8869" spans="3:8" x14ac:dyDescent="0.25">
      <c r="C8869" s="12"/>
      <c r="D8869" s="13"/>
      <c r="E8869" s="13"/>
      <c r="F8869" s="13"/>
      <c r="G8869" s="12"/>
      <c r="H8869" s="11"/>
    </row>
    <row r="8870" spans="3:8" x14ac:dyDescent="0.25">
      <c r="C8870" s="12"/>
      <c r="D8870" s="13"/>
      <c r="E8870" s="13"/>
      <c r="F8870" s="13"/>
      <c r="G8870" s="12"/>
      <c r="H8870" s="11"/>
    </row>
    <row r="8871" spans="3:8" x14ac:dyDescent="0.25">
      <c r="C8871" s="12"/>
      <c r="D8871" s="13"/>
      <c r="E8871" s="13"/>
      <c r="F8871" s="13"/>
      <c r="G8871" s="12"/>
      <c r="H8871" s="11"/>
    </row>
    <row r="8872" spans="3:8" x14ac:dyDescent="0.25">
      <c r="C8872" s="12"/>
      <c r="D8872" s="13"/>
      <c r="E8872" s="13"/>
      <c r="F8872" s="13"/>
      <c r="G8872" s="12"/>
      <c r="H8872" s="11"/>
    </row>
    <row r="8873" spans="3:8" x14ac:dyDescent="0.25">
      <c r="C8873" s="12"/>
      <c r="D8873" s="13"/>
      <c r="E8873" s="13"/>
      <c r="F8873" s="13"/>
      <c r="G8873" s="12"/>
      <c r="H8873" s="11"/>
    </row>
    <row r="8874" spans="3:8" x14ac:dyDescent="0.25">
      <c r="C8874" s="12"/>
      <c r="D8874" s="13"/>
      <c r="E8874" s="13"/>
      <c r="F8874" s="13"/>
      <c r="G8874" s="12"/>
      <c r="H8874" s="11"/>
    </row>
    <row r="8875" spans="3:8" x14ac:dyDescent="0.25">
      <c r="C8875" s="12"/>
      <c r="D8875" s="13"/>
      <c r="E8875" s="13"/>
      <c r="F8875" s="13"/>
      <c r="G8875" s="12"/>
      <c r="H8875" s="11"/>
    </row>
    <row r="8876" spans="3:8" x14ac:dyDescent="0.25">
      <c r="C8876" s="12"/>
      <c r="D8876" s="13"/>
      <c r="E8876" s="13"/>
      <c r="F8876" s="13"/>
      <c r="G8876" s="12"/>
      <c r="H8876" s="11"/>
    </row>
    <row r="8877" spans="3:8" x14ac:dyDescent="0.25">
      <c r="C8877" s="12"/>
      <c r="D8877" s="13"/>
      <c r="E8877" s="13"/>
      <c r="F8877" s="13"/>
      <c r="G8877" s="12"/>
      <c r="H8877" s="11"/>
    </row>
    <row r="8878" spans="3:8" x14ac:dyDescent="0.25">
      <c r="C8878" s="12"/>
      <c r="D8878" s="13"/>
      <c r="E8878" s="13"/>
      <c r="F8878" s="13"/>
      <c r="G8878" s="12"/>
      <c r="H8878" s="11"/>
    </row>
    <row r="8879" spans="3:8" x14ac:dyDescent="0.25">
      <c r="C8879" s="12"/>
      <c r="D8879" s="13"/>
      <c r="E8879" s="13"/>
      <c r="F8879" s="13"/>
      <c r="G8879" s="12"/>
      <c r="H8879" s="11"/>
    </row>
    <row r="8880" spans="3:8" x14ac:dyDescent="0.25">
      <c r="C8880" s="12"/>
      <c r="D8880" s="13"/>
      <c r="E8880" s="13"/>
      <c r="F8880" s="13"/>
      <c r="G8880" s="12"/>
      <c r="H8880" s="11"/>
    </row>
    <row r="8881" spans="3:8" x14ac:dyDescent="0.25">
      <c r="C8881" s="12"/>
      <c r="D8881" s="13"/>
      <c r="E8881" s="13"/>
      <c r="F8881" s="13"/>
      <c r="G8881" s="12"/>
      <c r="H8881" s="11"/>
    </row>
    <row r="8882" spans="3:8" x14ac:dyDescent="0.25">
      <c r="C8882" s="12"/>
      <c r="D8882" s="13"/>
      <c r="E8882" s="13"/>
      <c r="F8882" s="13"/>
      <c r="G8882" s="12"/>
      <c r="H8882" s="11"/>
    </row>
    <row r="8883" spans="3:8" x14ac:dyDescent="0.25">
      <c r="C8883" s="12"/>
      <c r="D8883" s="13"/>
      <c r="E8883" s="13"/>
      <c r="F8883" s="13"/>
      <c r="G8883" s="12"/>
      <c r="H8883" s="11"/>
    </row>
    <row r="8884" spans="3:8" x14ac:dyDescent="0.25">
      <c r="C8884" s="12"/>
      <c r="D8884" s="13"/>
      <c r="E8884" s="13"/>
      <c r="F8884" s="13"/>
      <c r="G8884" s="12"/>
      <c r="H8884" s="11"/>
    </row>
    <row r="8885" spans="3:8" x14ac:dyDescent="0.25">
      <c r="C8885" s="12"/>
      <c r="D8885" s="13"/>
      <c r="E8885" s="13"/>
      <c r="F8885" s="13"/>
      <c r="G8885" s="12"/>
      <c r="H8885" s="11"/>
    </row>
    <row r="8886" spans="3:8" x14ac:dyDescent="0.25">
      <c r="C8886" s="12"/>
      <c r="D8886" s="13"/>
      <c r="E8886" s="13"/>
      <c r="F8886" s="13"/>
      <c r="G8886" s="12"/>
      <c r="H8886" s="11"/>
    </row>
    <row r="8887" spans="3:8" x14ac:dyDescent="0.25">
      <c r="C8887" s="12"/>
      <c r="D8887" s="13"/>
      <c r="E8887" s="13"/>
      <c r="F8887" s="13"/>
      <c r="G8887" s="12"/>
      <c r="H8887" s="11"/>
    </row>
    <row r="8888" spans="3:8" x14ac:dyDescent="0.25">
      <c r="C8888" s="12"/>
      <c r="D8888" s="13"/>
      <c r="E8888" s="13"/>
      <c r="F8888" s="13"/>
      <c r="G8888" s="12"/>
      <c r="H8888" s="11"/>
    </row>
    <row r="8889" spans="3:8" x14ac:dyDescent="0.25">
      <c r="C8889" s="12"/>
      <c r="D8889" s="13"/>
      <c r="E8889" s="13"/>
      <c r="F8889" s="13"/>
      <c r="G8889" s="12"/>
      <c r="H8889" s="11"/>
    </row>
    <row r="8890" spans="3:8" x14ac:dyDescent="0.25">
      <c r="C8890" s="12"/>
      <c r="D8890" s="13"/>
      <c r="E8890" s="13"/>
      <c r="F8890" s="13"/>
      <c r="G8890" s="12"/>
      <c r="H8890" s="11"/>
    </row>
    <row r="8891" spans="3:8" x14ac:dyDescent="0.25">
      <c r="C8891" s="12"/>
      <c r="D8891" s="13"/>
      <c r="E8891" s="13"/>
      <c r="F8891" s="13"/>
      <c r="G8891" s="12"/>
      <c r="H8891" s="11"/>
    </row>
    <row r="8892" spans="3:8" x14ac:dyDescent="0.25">
      <c r="C8892" s="12"/>
      <c r="D8892" s="13"/>
      <c r="E8892" s="13"/>
      <c r="F8892" s="13"/>
      <c r="G8892" s="12"/>
      <c r="H8892" s="11"/>
    </row>
    <row r="8893" spans="3:8" x14ac:dyDescent="0.25">
      <c r="C8893" s="12"/>
      <c r="D8893" s="13"/>
      <c r="E8893" s="13"/>
      <c r="F8893" s="13"/>
      <c r="G8893" s="12"/>
      <c r="H8893" s="11"/>
    </row>
    <row r="8894" spans="3:8" x14ac:dyDescent="0.25">
      <c r="C8894" s="12"/>
      <c r="D8894" s="13"/>
      <c r="E8894" s="13"/>
      <c r="F8894" s="13"/>
      <c r="G8894" s="12"/>
      <c r="H8894" s="11"/>
    </row>
    <row r="8895" spans="3:8" x14ac:dyDescent="0.25">
      <c r="C8895" s="12"/>
      <c r="D8895" s="13"/>
      <c r="E8895" s="13"/>
      <c r="F8895" s="13"/>
      <c r="G8895" s="12"/>
      <c r="H8895" s="11"/>
    </row>
    <row r="8896" spans="3:8" x14ac:dyDescent="0.25">
      <c r="C8896" s="12"/>
      <c r="D8896" s="13"/>
      <c r="E8896" s="13"/>
      <c r="F8896" s="13"/>
      <c r="G8896" s="12"/>
      <c r="H8896" s="11"/>
    </row>
    <row r="8897" spans="3:8" x14ac:dyDescent="0.25">
      <c r="C8897" s="12"/>
      <c r="D8897" s="13"/>
      <c r="E8897" s="13"/>
      <c r="F8897" s="13"/>
      <c r="G8897" s="12"/>
      <c r="H8897" s="11"/>
    </row>
    <row r="8898" spans="3:8" x14ac:dyDescent="0.25">
      <c r="C8898" s="12"/>
      <c r="D8898" s="13"/>
      <c r="E8898" s="13"/>
      <c r="F8898" s="13"/>
      <c r="G8898" s="12"/>
      <c r="H8898" s="11"/>
    </row>
    <row r="8899" spans="3:8" x14ac:dyDescent="0.25">
      <c r="C8899" s="12"/>
      <c r="D8899" s="13"/>
      <c r="E8899" s="13"/>
      <c r="F8899" s="13"/>
      <c r="G8899" s="12"/>
      <c r="H8899" s="11"/>
    </row>
    <row r="8900" spans="3:8" x14ac:dyDescent="0.25">
      <c r="C8900" s="12"/>
      <c r="D8900" s="13"/>
      <c r="E8900" s="13"/>
      <c r="F8900" s="13"/>
      <c r="G8900" s="12"/>
      <c r="H8900" s="11"/>
    </row>
    <row r="8901" spans="3:8" x14ac:dyDescent="0.25">
      <c r="C8901" s="12"/>
      <c r="D8901" s="13"/>
      <c r="E8901" s="13"/>
      <c r="F8901" s="13"/>
      <c r="G8901" s="12"/>
      <c r="H8901" s="11"/>
    </row>
    <row r="8902" spans="3:8" x14ac:dyDescent="0.25">
      <c r="C8902" s="12"/>
      <c r="D8902" s="13"/>
      <c r="E8902" s="13"/>
      <c r="F8902" s="13"/>
      <c r="G8902" s="12"/>
      <c r="H8902" s="11"/>
    </row>
    <row r="8903" spans="3:8" x14ac:dyDescent="0.25">
      <c r="C8903" s="12"/>
      <c r="D8903" s="13"/>
      <c r="E8903" s="13"/>
      <c r="F8903" s="13"/>
      <c r="G8903" s="12"/>
      <c r="H8903" s="11"/>
    </row>
    <row r="8904" spans="3:8" x14ac:dyDescent="0.25">
      <c r="C8904" s="12"/>
      <c r="D8904" s="13"/>
      <c r="E8904" s="13"/>
      <c r="F8904" s="13"/>
      <c r="G8904" s="12"/>
      <c r="H8904" s="11"/>
    </row>
    <row r="8905" spans="3:8" x14ac:dyDescent="0.25">
      <c r="C8905" s="12"/>
      <c r="D8905" s="13"/>
      <c r="E8905" s="13"/>
      <c r="F8905" s="13"/>
      <c r="G8905" s="12"/>
      <c r="H8905" s="11"/>
    </row>
    <row r="8906" spans="3:8" x14ac:dyDescent="0.25">
      <c r="C8906" s="12"/>
      <c r="D8906" s="13"/>
      <c r="E8906" s="13"/>
      <c r="F8906" s="13"/>
      <c r="G8906" s="12"/>
      <c r="H8906" s="11"/>
    </row>
    <row r="8907" spans="3:8" x14ac:dyDescent="0.25">
      <c r="C8907" s="12"/>
      <c r="D8907" s="13"/>
      <c r="E8907" s="13"/>
      <c r="F8907" s="13"/>
      <c r="G8907" s="12"/>
      <c r="H8907" s="11"/>
    </row>
    <row r="8908" spans="3:8" x14ac:dyDescent="0.25">
      <c r="C8908" s="12"/>
      <c r="D8908" s="13"/>
      <c r="E8908" s="13"/>
      <c r="F8908" s="13"/>
      <c r="G8908" s="12"/>
      <c r="H8908" s="11"/>
    </row>
    <row r="8909" spans="3:8" x14ac:dyDescent="0.25">
      <c r="C8909" s="12"/>
      <c r="D8909" s="13"/>
      <c r="E8909" s="13"/>
      <c r="F8909" s="13"/>
      <c r="G8909" s="12"/>
      <c r="H8909" s="11"/>
    </row>
    <row r="8910" spans="3:8" x14ac:dyDescent="0.25">
      <c r="C8910" s="12"/>
      <c r="D8910" s="13"/>
      <c r="E8910" s="13"/>
      <c r="F8910" s="13"/>
      <c r="G8910" s="12"/>
      <c r="H8910" s="11"/>
    </row>
    <row r="8911" spans="3:8" x14ac:dyDescent="0.25">
      <c r="C8911" s="12"/>
      <c r="D8911" s="13"/>
      <c r="E8911" s="13"/>
      <c r="F8911" s="13"/>
      <c r="G8911" s="12"/>
      <c r="H8911" s="11"/>
    </row>
    <row r="8912" spans="3:8" x14ac:dyDescent="0.25">
      <c r="C8912" s="12"/>
      <c r="D8912" s="13"/>
      <c r="E8912" s="13"/>
      <c r="F8912" s="13"/>
      <c r="G8912" s="12"/>
      <c r="H8912" s="11"/>
    </row>
    <row r="8913" spans="3:8" x14ac:dyDescent="0.25">
      <c r="C8913" s="12"/>
      <c r="D8913" s="13"/>
      <c r="E8913" s="13"/>
      <c r="F8913" s="13"/>
      <c r="G8913" s="12"/>
      <c r="H8913" s="11"/>
    </row>
    <row r="8914" spans="3:8" x14ac:dyDescent="0.25">
      <c r="C8914" s="12"/>
      <c r="D8914" s="13"/>
      <c r="E8914" s="13"/>
      <c r="F8914" s="13"/>
      <c r="G8914" s="12"/>
      <c r="H8914" s="11"/>
    </row>
    <row r="8915" spans="3:8" x14ac:dyDescent="0.25">
      <c r="C8915" s="12"/>
      <c r="D8915" s="13"/>
      <c r="E8915" s="13"/>
      <c r="F8915" s="13"/>
      <c r="G8915" s="12"/>
      <c r="H8915" s="11"/>
    </row>
    <row r="8916" spans="3:8" x14ac:dyDescent="0.25">
      <c r="C8916" s="12"/>
      <c r="D8916" s="13"/>
      <c r="E8916" s="13"/>
      <c r="F8916" s="13"/>
      <c r="G8916" s="12"/>
      <c r="H8916" s="11"/>
    </row>
    <row r="8917" spans="3:8" x14ac:dyDescent="0.25">
      <c r="C8917" s="12"/>
      <c r="D8917" s="13"/>
      <c r="E8917" s="13"/>
      <c r="F8917" s="13"/>
      <c r="G8917" s="12"/>
      <c r="H8917" s="11"/>
    </row>
    <row r="8918" spans="3:8" x14ac:dyDescent="0.25">
      <c r="C8918" s="12"/>
      <c r="D8918" s="13"/>
      <c r="E8918" s="13"/>
      <c r="F8918" s="13"/>
      <c r="G8918" s="12"/>
      <c r="H8918" s="11"/>
    </row>
    <row r="8919" spans="3:8" x14ac:dyDescent="0.25">
      <c r="C8919" s="12"/>
      <c r="D8919" s="13"/>
      <c r="E8919" s="13"/>
      <c r="F8919" s="13"/>
      <c r="G8919" s="12"/>
      <c r="H8919" s="11"/>
    </row>
    <row r="8920" spans="3:8" x14ac:dyDescent="0.25">
      <c r="C8920" s="12"/>
      <c r="D8920" s="13"/>
      <c r="E8920" s="13"/>
      <c r="F8920" s="13"/>
      <c r="G8920" s="12"/>
      <c r="H8920" s="11"/>
    </row>
    <row r="8921" spans="3:8" x14ac:dyDescent="0.25">
      <c r="C8921" s="12"/>
      <c r="D8921" s="13"/>
      <c r="E8921" s="13"/>
      <c r="F8921" s="13"/>
      <c r="G8921" s="12"/>
      <c r="H8921" s="11"/>
    </row>
    <row r="8922" spans="3:8" x14ac:dyDescent="0.25">
      <c r="C8922" s="12"/>
      <c r="D8922" s="13"/>
      <c r="E8922" s="13"/>
      <c r="F8922" s="13"/>
      <c r="G8922" s="12"/>
      <c r="H8922" s="11"/>
    </row>
    <row r="8923" spans="3:8" x14ac:dyDescent="0.25">
      <c r="C8923" s="12"/>
      <c r="D8923" s="13"/>
      <c r="E8923" s="13"/>
      <c r="F8923" s="13"/>
      <c r="G8923" s="12"/>
      <c r="H8923" s="11"/>
    </row>
    <row r="8924" spans="3:8" x14ac:dyDescent="0.25">
      <c r="C8924" s="12"/>
      <c r="D8924" s="13"/>
      <c r="E8924" s="13"/>
      <c r="F8924" s="13"/>
      <c r="G8924" s="12"/>
      <c r="H8924" s="11"/>
    </row>
    <row r="8925" spans="3:8" x14ac:dyDescent="0.25">
      <c r="C8925" s="12"/>
      <c r="D8925" s="13"/>
      <c r="E8925" s="13"/>
      <c r="F8925" s="13"/>
      <c r="G8925" s="12"/>
      <c r="H8925" s="11"/>
    </row>
    <row r="8926" spans="3:8" x14ac:dyDescent="0.25">
      <c r="C8926" s="12"/>
      <c r="D8926" s="13"/>
      <c r="E8926" s="13"/>
      <c r="F8926" s="13"/>
      <c r="G8926" s="12"/>
      <c r="H8926" s="11"/>
    </row>
    <row r="8927" spans="3:8" x14ac:dyDescent="0.25">
      <c r="C8927" s="12"/>
      <c r="D8927" s="13"/>
      <c r="E8927" s="13"/>
      <c r="F8927" s="13"/>
      <c r="G8927" s="12"/>
      <c r="H8927" s="11"/>
    </row>
    <row r="8928" spans="3:8" x14ac:dyDescent="0.25">
      <c r="C8928" s="12"/>
      <c r="D8928" s="13"/>
      <c r="E8928" s="13"/>
      <c r="F8928" s="13"/>
      <c r="G8928" s="12"/>
      <c r="H8928" s="11"/>
    </row>
    <row r="8929" spans="3:8" x14ac:dyDescent="0.25">
      <c r="C8929" s="12"/>
      <c r="D8929" s="13"/>
      <c r="E8929" s="13"/>
      <c r="F8929" s="13"/>
      <c r="G8929" s="12"/>
      <c r="H8929" s="11"/>
    </row>
    <row r="8930" spans="3:8" x14ac:dyDescent="0.25">
      <c r="C8930" s="12"/>
      <c r="D8930" s="13"/>
      <c r="E8930" s="13"/>
      <c r="F8930" s="13"/>
      <c r="G8930" s="12"/>
      <c r="H8930" s="11"/>
    </row>
    <row r="8931" spans="3:8" x14ac:dyDescent="0.25">
      <c r="C8931" s="12"/>
      <c r="D8931" s="13"/>
      <c r="E8931" s="13"/>
      <c r="F8931" s="13"/>
      <c r="G8931" s="12"/>
      <c r="H8931" s="11"/>
    </row>
    <row r="8932" spans="3:8" x14ac:dyDescent="0.25">
      <c r="C8932" s="12"/>
      <c r="D8932" s="13"/>
      <c r="E8932" s="13"/>
      <c r="F8932" s="13"/>
      <c r="G8932" s="12"/>
      <c r="H8932" s="11"/>
    </row>
    <row r="8933" spans="3:8" x14ac:dyDescent="0.25">
      <c r="C8933" s="12"/>
      <c r="D8933" s="13"/>
      <c r="E8933" s="13"/>
      <c r="F8933" s="13"/>
      <c r="G8933" s="12"/>
      <c r="H8933" s="11"/>
    </row>
    <row r="8934" spans="3:8" x14ac:dyDescent="0.25">
      <c r="C8934" s="12"/>
      <c r="D8934" s="13"/>
      <c r="E8934" s="13"/>
      <c r="F8934" s="13"/>
      <c r="G8934" s="12"/>
      <c r="H8934" s="11"/>
    </row>
    <row r="8935" spans="3:8" x14ac:dyDescent="0.25">
      <c r="C8935" s="12"/>
      <c r="D8935" s="13"/>
      <c r="E8935" s="13"/>
      <c r="F8935" s="13"/>
      <c r="G8935" s="12"/>
      <c r="H8935" s="11"/>
    </row>
    <row r="8936" spans="3:8" x14ac:dyDescent="0.25">
      <c r="C8936" s="12"/>
      <c r="D8936" s="13"/>
      <c r="E8936" s="13"/>
      <c r="F8936" s="13"/>
      <c r="G8936" s="12"/>
      <c r="H8936" s="11"/>
    </row>
    <row r="8937" spans="3:8" x14ac:dyDescent="0.25">
      <c r="C8937" s="12"/>
      <c r="D8937" s="13"/>
      <c r="E8937" s="13"/>
      <c r="F8937" s="13"/>
      <c r="G8937" s="12"/>
      <c r="H8937" s="11"/>
    </row>
    <row r="8938" spans="3:8" x14ac:dyDescent="0.25">
      <c r="C8938" s="12"/>
      <c r="D8938" s="13"/>
      <c r="E8938" s="13"/>
      <c r="F8938" s="13"/>
      <c r="G8938" s="12"/>
      <c r="H8938" s="11"/>
    </row>
    <row r="8939" spans="3:8" x14ac:dyDescent="0.25">
      <c r="C8939" s="12"/>
      <c r="D8939" s="13"/>
      <c r="E8939" s="13"/>
      <c r="F8939" s="13"/>
      <c r="G8939" s="12"/>
      <c r="H8939" s="11"/>
    </row>
    <row r="8940" spans="3:8" x14ac:dyDescent="0.25">
      <c r="C8940" s="12"/>
      <c r="D8940" s="13"/>
      <c r="E8940" s="13"/>
      <c r="F8940" s="13"/>
      <c r="G8940" s="12"/>
      <c r="H8940" s="11"/>
    </row>
    <row r="8941" spans="3:8" x14ac:dyDescent="0.25">
      <c r="C8941" s="12"/>
      <c r="D8941" s="13"/>
      <c r="E8941" s="13"/>
      <c r="F8941" s="13"/>
      <c r="G8941" s="12"/>
      <c r="H8941" s="11"/>
    </row>
    <row r="8942" spans="3:8" x14ac:dyDescent="0.25">
      <c r="C8942" s="12"/>
      <c r="D8942" s="13"/>
      <c r="E8942" s="13"/>
      <c r="F8942" s="13"/>
      <c r="G8942" s="12"/>
      <c r="H8942" s="11"/>
    </row>
    <row r="8943" spans="3:8" x14ac:dyDescent="0.25">
      <c r="C8943" s="12"/>
      <c r="D8943" s="13"/>
      <c r="E8943" s="13"/>
      <c r="F8943" s="13"/>
      <c r="G8943" s="12"/>
      <c r="H8943" s="11"/>
    </row>
    <row r="8944" spans="3:8" x14ac:dyDescent="0.25">
      <c r="C8944" s="12"/>
      <c r="D8944" s="13"/>
      <c r="E8944" s="13"/>
      <c r="F8944" s="13"/>
      <c r="G8944" s="12"/>
      <c r="H8944" s="11"/>
    </row>
    <row r="8945" spans="3:8" x14ac:dyDescent="0.25">
      <c r="C8945" s="12"/>
      <c r="D8945" s="13"/>
      <c r="E8945" s="13"/>
      <c r="F8945" s="13"/>
      <c r="G8945" s="12"/>
      <c r="H8945" s="11"/>
    </row>
    <row r="8946" spans="3:8" x14ac:dyDescent="0.25">
      <c r="C8946" s="12"/>
      <c r="D8946" s="13"/>
      <c r="E8946" s="13"/>
      <c r="F8946" s="13"/>
      <c r="G8946" s="12"/>
      <c r="H8946" s="11"/>
    </row>
    <row r="8947" spans="3:8" x14ac:dyDescent="0.25">
      <c r="C8947" s="12"/>
      <c r="D8947" s="13"/>
      <c r="E8947" s="13"/>
      <c r="F8947" s="13"/>
      <c r="G8947" s="12"/>
      <c r="H8947" s="11"/>
    </row>
    <row r="8948" spans="3:8" x14ac:dyDescent="0.25">
      <c r="C8948" s="12"/>
      <c r="D8948" s="13"/>
      <c r="E8948" s="13"/>
      <c r="F8948" s="13"/>
      <c r="G8948" s="12"/>
      <c r="H8948" s="11"/>
    </row>
    <row r="8949" spans="3:8" x14ac:dyDescent="0.25">
      <c r="C8949" s="12"/>
      <c r="D8949" s="13"/>
      <c r="E8949" s="13"/>
      <c r="F8949" s="13"/>
      <c r="G8949" s="12"/>
      <c r="H8949" s="11"/>
    </row>
    <row r="8950" spans="3:8" x14ac:dyDescent="0.25">
      <c r="C8950" s="12"/>
      <c r="D8950" s="13"/>
      <c r="E8950" s="13"/>
      <c r="F8950" s="13"/>
      <c r="G8950" s="12"/>
      <c r="H8950" s="11"/>
    </row>
    <row r="8951" spans="3:8" x14ac:dyDescent="0.25">
      <c r="C8951" s="12"/>
      <c r="D8951" s="13"/>
      <c r="E8951" s="13"/>
      <c r="F8951" s="13"/>
      <c r="G8951" s="12"/>
      <c r="H8951" s="11"/>
    </row>
    <row r="8952" spans="3:8" x14ac:dyDescent="0.25">
      <c r="C8952" s="12"/>
      <c r="D8952" s="13"/>
      <c r="E8952" s="13"/>
      <c r="F8952" s="13"/>
      <c r="G8952" s="12"/>
      <c r="H8952" s="11"/>
    </row>
    <row r="8953" spans="3:8" x14ac:dyDescent="0.25">
      <c r="C8953" s="12"/>
      <c r="D8953" s="13"/>
      <c r="E8953" s="13"/>
      <c r="F8953" s="13"/>
      <c r="G8953" s="12"/>
      <c r="H8953" s="11"/>
    </row>
    <row r="8954" spans="3:8" x14ac:dyDescent="0.25">
      <c r="C8954" s="12"/>
      <c r="D8954" s="13"/>
      <c r="E8954" s="13"/>
      <c r="F8954" s="13"/>
      <c r="G8954" s="12"/>
      <c r="H8954" s="11"/>
    </row>
    <row r="8955" spans="3:8" x14ac:dyDescent="0.25">
      <c r="C8955" s="12"/>
      <c r="D8955" s="13"/>
      <c r="E8955" s="13"/>
      <c r="F8955" s="13"/>
      <c r="G8955" s="12"/>
      <c r="H8955" s="11"/>
    </row>
    <row r="8956" spans="3:8" x14ac:dyDescent="0.25">
      <c r="C8956" s="12"/>
      <c r="D8956" s="13"/>
      <c r="E8956" s="13"/>
      <c r="F8956" s="13"/>
      <c r="G8956" s="12"/>
      <c r="H8956" s="11"/>
    </row>
    <row r="8957" spans="3:8" x14ac:dyDescent="0.25">
      <c r="C8957" s="12"/>
      <c r="D8957" s="13"/>
      <c r="E8957" s="13"/>
      <c r="F8957" s="13"/>
      <c r="G8957" s="12"/>
      <c r="H8957" s="11"/>
    </row>
    <row r="8958" spans="3:8" x14ac:dyDescent="0.25">
      <c r="C8958" s="12"/>
      <c r="D8958" s="13"/>
      <c r="E8958" s="13"/>
      <c r="F8958" s="13"/>
      <c r="G8958" s="12"/>
      <c r="H8958" s="11"/>
    </row>
    <row r="8959" spans="3:8" x14ac:dyDescent="0.25">
      <c r="C8959" s="12"/>
      <c r="D8959" s="13"/>
      <c r="E8959" s="13"/>
      <c r="F8959" s="13"/>
      <c r="G8959" s="12"/>
      <c r="H8959" s="11"/>
    </row>
    <row r="8960" spans="3:8" x14ac:dyDescent="0.25">
      <c r="C8960" s="12"/>
      <c r="D8960" s="13"/>
      <c r="E8960" s="13"/>
      <c r="F8960" s="13"/>
      <c r="G8960" s="12"/>
      <c r="H8960" s="11"/>
    </row>
    <row r="8961" spans="3:8" x14ac:dyDescent="0.25">
      <c r="C8961" s="12"/>
      <c r="D8961" s="13"/>
      <c r="E8961" s="13"/>
      <c r="F8961" s="13"/>
      <c r="G8961" s="12"/>
      <c r="H8961" s="11"/>
    </row>
    <row r="8962" spans="3:8" x14ac:dyDescent="0.25">
      <c r="C8962" s="12"/>
      <c r="D8962" s="13"/>
      <c r="E8962" s="13"/>
      <c r="F8962" s="13"/>
      <c r="G8962" s="12"/>
      <c r="H8962" s="11"/>
    </row>
    <row r="8963" spans="3:8" x14ac:dyDescent="0.25">
      <c r="C8963" s="12"/>
      <c r="D8963" s="13"/>
      <c r="E8963" s="13"/>
      <c r="F8963" s="13"/>
      <c r="G8963" s="12"/>
      <c r="H8963" s="11"/>
    </row>
    <row r="8964" spans="3:8" x14ac:dyDescent="0.25">
      <c r="C8964" s="12"/>
      <c r="D8964" s="13"/>
      <c r="E8964" s="13"/>
      <c r="F8964" s="13"/>
      <c r="G8964" s="12"/>
      <c r="H8964" s="11"/>
    </row>
    <row r="8965" spans="3:8" x14ac:dyDescent="0.25">
      <c r="C8965" s="12"/>
      <c r="D8965" s="13"/>
      <c r="E8965" s="13"/>
      <c r="F8965" s="13"/>
      <c r="G8965" s="12"/>
      <c r="H8965" s="11"/>
    </row>
    <row r="8966" spans="3:8" x14ac:dyDescent="0.25">
      <c r="C8966" s="12"/>
      <c r="D8966" s="13"/>
      <c r="E8966" s="13"/>
      <c r="F8966" s="13"/>
      <c r="G8966" s="12"/>
      <c r="H8966" s="11"/>
    </row>
    <row r="8967" spans="3:8" x14ac:dyDescent="0.25">
      <c r="C8967" s="12"/>
      <c r="D8967" s="13"/>
      <c r="E8967" s="13"/>
      <c r="F8967" s="13"/>
      <c r="G8967" s="12"/>
      <c r="H8967" s="11"/>
    </row>
    <row r="8968" spans="3:8" x14ac:dyDescent="0.25">
      <c r="C8968" s="12"/>
      <c r="D8968" s="13"/>
      <c r="E8968" s="13"/>
      <c r="F8968" s="13"/>
      <c r="G8968" s="12"/>
      <c r="H8968" s="11"/>
    </row>
    <row r="8969" spans="3:8" x14ac:dyDescent="0.25">
      <c r="C8969" s="12"/>
      <c r="D8969" s="13"/>
      <c r="E8969" s="13"/>
      <c r="F8969" s="13"/>
      <c r="G8969" s="12"/>
      <c r="H8969" s="11"/>
    </row>
    <row r="8970" spans="3:8" x14ac:dyDescent="0.25">
      <c r="C8970" s="12"/>
      <c r="D8970" s="13"/>
      <c r="E8970" s="13"/>
      <c r="F8970" s="13"/>
      <c r="G8970" s="12"/>
      <c r="H8970" s="11"/>
    </row>
    <row r="8971" spans="3:8" x14ac:dyDescent="0.25">
      <c r="C8971" s="12"/>
      <c r="D8971" s="13"/>
      <c r="E8971" s="13"/>
      <c r="F8971" s="13"/>
      <c r="G8971" s="12"/>
      <c r="H8971" s="11"/>
    </row>
    <row r="8972" spans="3:8" x14ac:dyDescent="0.25">
      <c r="C8972" s="12"/>
      <c r="D8972" s="13"/>
      <c r="E8972" s="13"/>
      <c r="F8972" s="13"/>
      <c r="G8972" s="12"/>
      <c r="H8972" s="11"/>
    </row>
    <row r="8973" spans="3:8" x14ac:dyDescent="0.25">
      <c r="C8973" s="12"/>
      <c r="D8973" s="13"/>
      <c r="E8973" s="13"/>
      <c r="F8973" s="13"/>
      <c r="G8973" s="12"/>
      <c r="H8973" s="11"/>
    </row>
    <row r="8974" spans="3:8" x14ac:dyDescent="0.25">
      <c r="C8974" s="12"/>
      <c r="D8974" s="13"/>
      <c r="E8974" s="13"/>
      <c r="F8974" s="13"/>
      <c r="G8974" s="12"/>
      <c r="H8974" s="11"/>
    </row>
    <row r="8975" spans="3:8" x14ac:dyDescent="0.25">
      <c r="C8975" s="12"/>
      <c r="D8975" s="13"/>
      <c r="E8975" s="13"/>
      <c r="F8975" s="13"/>
      <c r="G8975" s="12"/>
      <c r="H8975" s="11"/>
    </row>
    <row r="8976" spans="3:8" x14ac:dyDescent="0.25">
      <c r="C8976" s="12"/>
      <c r="D8976" s="13"/>
      <c r="E8976" s="13"/>
      <c r="F8976" s="13"/>
      <c r="G8976" s="12"/>
      <c r="H8976" s="11"/>
    </row>
    <row r="8977" spans="3:8" x14ac:dyDescent="0.25">
      <c r="C8977" s="12"/>
      <c r="D8977" s="13"/>
      <c r="E8977" s="13"/>
      <c r="F8977" s="13"/>
      <c r="G8977" s="12"/>
      <c r="H8977" s="11"/>
    </row>
    <row r="8978" spans="3:8" x14ac:dyDescent="0.25">
      <c r="C8978" s="12"/>
      <c r="D8978" s="13"/>
      <c r="E8978" s="13"/>
      <c r="F8978" s="13"/>
      <c r="G8978" s="12"/>
      <c r="H8978" s="11"/>
    </row>
    <row r="8979" spans="3:8" x14ac:dyDescent="0.25">
      <c r="C8979" s="12"/>
      <c r="D8979" s="13"/>
      <c r="E8979" s="13"/>
      <c r="F8979" s="13"/>
      <c r="G8979" s="12"/>
      <c r="H8979" s="11"/>
    </row>
    <row r="8980" spans="3:8" x14ac:dyDescent="0.25">
      <c r="C8980" s="12"/>
      <c r="D8980" s="13"/>
      <c r="E8980" s="13"/>
      <c r="F8980" s="13"/>
      <c r="G8980" s="12"/>
      <c r="H8980" s="11"/>
    </row>
    <row r="8981" spans="3:8" x14ac:dyDescent="0.25">
      <c r="C8981" s="12"/>
      <c r="D8981" s="13"/>
      <c r="E8981" s="13"/>
      <c r="F8981" s="13"/>
      <c r="G8981" s="12"/>
      <c r="H8981" s="11"/>
    </row>
    <row r="8982" spans="3:8" x14ac:dyDescent="0.25">
      <c r="C8982" s="12"/>
      <c r="D8982" s="13"/>
      <c r="E8982" s="13"/>
      <c r="F8982" s="13"/>
      <c r="G8982" s="12"/>
      <c r="H8982" s="11"/>
    </row>
    <row r="8983" spans="3:8" x14ac:dyDescent="0.25">
      <c r="C8983" s="12"/>
      <c r="D8983" s="13"/>
      <c r="E8983" s="13"/>
      <c r="F8983" s="13"/>
      <c r="G8983" s="12"/>
      <c r="H8983" s="11"/>
    </row>
    <row r="8984" spans="3:8" x14ac:dyDescent="0.25">
      <c r="C8984" s="12"/>
      <c r="D8984" s="13"/>
      <c r="E8984" s="13"/>
      <c r="F8984" s="13"/>
      <c r="G8984" s="12"/>
      <c r="H8984" s="11"/>
    </row>
    <row r="8985" spans="3:8" x14ac:dyDescent="0.25">
      <c r="C8985" s="12"/>
      <c r="D8985" s="13"/>
      <c r="E8985" s="13"/>
      <c r="F8985" s="13"/>
      <c r="G8985" s="12"/>
      <c r="H8985" s="11"/>
    </row>
    <row r="8986" spans="3:8" x14ac:dyDescent="0.25">
      <c r="C8986" s="12"/>
      <c r="D8986" s="13"/>
      <c r="E8986" s="13"/>
      <c r="F8986" s="13"/>
      <c r="G8986" s="12"/>
      <c r="H8986" s="11"/>
    </row>
    <row r="8987" spans="3:8" x14ac:dyDescent="0.25">
      <c r="C8987" s="12"/>
      <c r="D8987" s="13"/>
      <c r="E8987" s="13"/>
      <c r="F8987" s="13"/>
      <c r="G8987" s="12"/>
      <c r="H8987" s="11"/>
    </row>
    <row r="8988" spans="3:8" x14ac:dyDescent="0.25">
      <c r="C8988" s="12"/>
      <c r="D8988" s="13"/>
      <c r="E8988" s="13"/>
      <c r="F8988" s="13"/>
      <c r="G8988" s="12"/>
      <c r="H8988" s="11"/>
    </row>
    <row r="8989" spans="3:8" x14ac:dyDescent="0.25">
      <c r="C8989" s="12"/>
      <c r="D8989" s="13"/>
      <c r="E8989" s="13"/>
      <c r="F8989" s="13"/>
      <c r="G8989" s="12"/>
      <c r="H8989" s="11"/>
    </row>
    <row r="8990" spans="3:8" x14ac:dyDescent="0.25">
      <c r="C8990" s="12"/>
      <c r="D8990" s="13"/>
      <c r="E8990" s="13"/>
      <c r="F8990" s="13"/>
      <c r="G8990" s="12"/>
      <c r="H8990" s="11"/>
    </row>
    <row r="8991" spans="3:8" x14ac:dyDescent="0.25">
      <c r="C8991" s="12"/>
      <c r="D8991" s="13"/>
      <c r="E8991" s="13"/>
      <c r="F8991" s="13"/>
      <c r="G8991" s="12"/>
      <c r="H8991" s="11"/>
    </row>
    <row r="8992" spans="3:8" x14ac:dyDescent="0.25">
      <c r="C8992" s="12"/>
      <c r="D8992" s="13"/>
      <c r="E8992" s="13"/>
      <c r="F8992" s="13"/>
      <c r="G8992" s="12"/>
      <c r="H8992" s="11"/>
    </row>
    <row r="8993" spans="3:8" x14ac:dyDescent="0.25">
      <c r="C8993" s="12"/>
      <c r="D8993" s="13"/>
      <c r="E8993" s="13"/>
      <c r="F8993" s="13"/>
      <c r="G8993" s="12"/>
      <c r="H8993" s="11"/>
    </row>
    <row r="8994" spans="3:8" x14ac:dyDescent="0.25">
      <c r="C8994" s="12"/>
      <c r="D8994" s="13"/>
      <c r="E8994" s="13"/>
      <c r="F8994" s="13"/>
      <c r="G8994" s="12"/>
      <c r="H8994" s="11"/>
    </row>
    <row r="8995" spans="3:8" x14ac:dyDescent="0.25">
      <c r="C8995" s="12"/>
      <c r="D8995" s="13"/>
      <c r="E8995" s="13"/>
      <c r="F8995" s="13"/>
      <c r="G8995" s="12"/>
      <c r="H8995" s="11"/>
    </row>
    <row r="8996" spans="3:8" x14ac:dyDescent="0.25">
      <c r="C8996" s="12"/>
      <c r="D8996" s="13"/>
      <c r="E8996" s="13"/>
      <c r="F8996" s="13"/>
      <c r="G8996" s="12"/>
      <c r="H8996" s="11"/>
    </row>
    <row r="8997" spans="3:8" x14ac:dyDescent="0.25">
      <c r="C8997" s="12"/>
      <c r="D8997" s="13"/>
      <c r="E8997" s="13"/>
      <c r="F8997" s="13"/>
      <c r="G8997" s="12"/>
      <c r="H8997" s="11"/>
    </row>
    <row r="8998" spans="3:8" x14ac:dyDescent="0.25">
      <c r="C8998" s="12"/>
      <c r="D8998" s="13"/>
      <c r="E8998" s="13"/>
      <c r="F8998" s="13"/>
      <c r="G8998" s="12"/>
      <c r="H8998" s="11"/>
    </row>
    <row r="8999" spans="3:8" x14ac:dyDescent="0.25">
      <c r="C8999" s="12"/>
      <c r="D8999" s="13"/>
      <c r="E8999" s="13"/>
      <c r="F8999" s="13"/>
      <c r="G8999" s="12"/>
      <c r="H8999" s="11"/>
    </row>
    <row r="9000" spans="3:8" x14ac:dyDescent="0.25">
      <c r="C9000" s="12"/>
      <c r="D9000" s="13"/>
      <c r="E9000" s="13"/>
      <c r="F9000" s="13"/>
      <c r="G9000" s="12"/>
      <c r="H9000" s="11"/>
    </row>
    <row r="9001" spans="3:8" x14ac:dyDescent="0.25">
      <c r="C9001" s="12"/>
      <c r="D9001" s="13"/>
      <c r="E9001" s="13"/>
      <c r="F9001" s="13"/>
      <c r="G9001" s="12"/>
      <c r="H9001" s="11"/>
    </row>
    <row r="9002" spans="3:8" x14ac:dyDescent="0.25">
      <c r="C9002" s="12"/>
      <c r="D9002" s="13"/>
      <c r="E9002" s="13"/>
      <c r="F9002" s="13"/>
      <c r="G9002" s="12"/>
      <c r="H9002" s="11"/>
    </row>
    <row r="9003" spans="3:8" x14ac:dyDescent="0.25">
      <c r="C9003" s="12"/>
      <c r="D9003" s="13"/>
      <c r="E9003" s="13"/>
      <c r="F9003" s="13"/>
      <c r="G9003" s="12"/>
      <c r="H9003" s="11"/>
    </row>
    <row r="9004" spans="3:8" x14ac:dyDescent="0.25">
      <c r="C9004" s="12"/>
      <c r="D9004" s="13"/>
      <c r="E9004" s="13"/>
      <c r="F9004" s="13"/>
      <c r="G9004" s="12"/>
      <c r="H9004" s="11"/>
    </row>
    <row r="9005" spans="3:8" x14ac:dyDescent="0.25">
      <c r="C9005" s="12"/>
      <c r="D9005" s="13"/>
      <c r="E9005" s="13"/>
      <c r="F9005" s="13"/>
      <c r="G9005" s="12"/>
      <c r="H9005" s="11"/>
    </row>
    <row r="9006" spans="3:8" x14ac:dyDescent="0.25">
      <c r="C9006" s="12"/>
      <c r="D9006" s="13"/>
      <c r="E9006" s="13"/>
      <c r="F9006" s="13"/>
      <c r="G9006" s="12"/>
      <c r="H9006" s="11"/>
    </row>
    <row r="9007" spans="3:8" x14ac:dyDescent="0.25">
      <c r="C9007" s="12"/>
      <c r="D9007" s="13"/>
      <c r="E9007" s="13"/>
      <c r="F9007" s="13"/>
      <c r="G9007" s="12"/>
      <c r="H9007" s="11"/>
    </row>
    <row r="9008" spans="3:8" x14ac:dyDescent="0.25">
      <c r="C9008" s="12"/>
      <c r="D9008" s="13"/>
      <c r="E9008" s="13"/>
      <c r="F9008" s="13"/>
      <c r="G9008" s="12"/>
      <c r="H9008" s="11"/>
    </row>
    <row r="9009" spans="3:8" x14ac:dyDescent="0.25">
      <c r="C9009" s="12"/>
      <c r="D9009" s="13"/>
      <c r="E9009" s="13"/>
      <c r="F9009" s="13"/>
      <c r="G9009" s="12"/>
      <c r="H9009" s="11"/>
    </row>
    <row r="9010" spans="3:8" x14ac:dyDescent="0.25">
      <c r="C9010" s="12"/>
      <c r="D9010" s="13"/>
      <c r="E9010" s="13"/>
      <c r="F9010" s="13"/>
      <c r="G9010" s="12"/>
      <c r="H9010" s="11"/>
    </row>
    <row r="9011" spans="3:8" x14ac:dyDescent="0.25">
      <c r="C9011" s="12"/>
      <c r="D9011" s="13"/>
      <c r="E9011" s="13"/>
      <c r="F9011" s="13"/>
      <c r="G9011" s="12"/>
      <c r="H9011" s="11"/>
    </row>
    <row r="9012" spans="3:8" x14ac:dyDescent="0.25">
      <c r="C9012" s="12"/>
      <c r="D9012" s="13"/>
      <c r="E9012" s="13"/>
      <c r="F9012" s="13"/>
      <c r="G9012" s="12"/>
      <c r="H9012" s="11"/>
    </row>
    <row r="9013" spans="3:8" x14ac:dyDescent="0.25">
      <c r="C9013" s="12"/>
      <c r="D9013" s="13"/>
      <c r="E9013" s="13"/>
      <c r="F9013" s="13"/>
      <c r="G9013" s="12"/>
      <c r="H9013" s="11"/>
    </row>
    <row r="9014" spans="3:8" x14ac:dyDescent="0.25">
      <c r="C9014" s="12"/>
      <c r="D9014" s="13"/>
      <c r="E9014" s="13"/>
      <c r="F9014" s="13"/>
      <c r="G9014" s="12"/>
      <c r="H9014" s="11"/>
    </row>
    <row r="9015" spans="3:8" x14ac:dyDescent="0.25">
      <c r="C9015" s="12"/>
      <c r="D9015" s="13"/>
      <c r="E9015" s="13"/>
      <c r="F9015" s="13"/>
      <c r="G9015" s="12"/>
      <c r="H9015" s="11"/>
    </row>
    <row r="9016" spans="3:8" x14ac:dyDescent="0.25">
      <c r="C9016" s="12"/>
      <c r="D9016" s="13"/>
      <c r="E9016" s="13"/>
      <c r="F9016" s="13"/>
      <c r="G9016" s="12"/>
      <c r="H9016" s="11"/>
    </row>
    <row r="9017" spans="3:8" x14ac:dyDescent="0.25">
      <c r="C9017" s="12"/>
      <c r="D9017" s="13"/>
      <c r="E9017" s="13"/>
      <c r="F9017" s="13"/>
      <c r="G9017" s="12"/>
      <c r="H9017" s="11"/>
    </row>
    <row r="9018" spans="3:8" x14ac:dyDescent="0.25">
      <c r="C9018" s="12"/>
      <c r="D9018" s="13"/>
      <c r="E9018" s="13"/>
      <c r="F9018" s="13"/>
      <c r="G9018" s="12"/>
      <c r="H9018" s="11"/>
    </row>
    <row r="9019" spans="3:8" x14ac:dyDescent="0.25">
      <c r="C9019" s="12"/>
      <c r="D9019" s="13"/>
      <c r="E9019" s="13"/>
      <c r="F9019" s="13"/>
      <c r="G9019" s="12"/>
      <c r="H9019" s="11"/>
    </row>
    <row r="9020" spans="3:8" x14ac:dyDescent="0.25">
      <c r="C9020" s="12"/>
      <c r="D9020" s="13"/>
      <c r="E9020" s="13"/>
      <c r="F9020" s="13"/>
      <c r="G9020" s="12"/>
      <c r="H9020" s="11"/>
    </row>
    <row r="9021" spans="3:8" x14ac:dyDescent="0.25">
      <c r="C9021" s="12"/>
      <c r="D9021" s="13"/>
      <c r="E9021" s="13"/>
      <c r="F9021" s="13"/>
      <c r="G9021" s="12"/>
      <c r="H9021" s="11"/>
    </row>
    <row r="9022" spans="3:8" x14ac:dyDescent="0.25">
      <c r="C9022" s="12"/>
      <c r="D9022" s="13"/>
      <c r="E9022" s="13"/>
      <c r="F9022" s="13"/>
      <c r="G9022" s="12"/>
      <c r="H9022" s="11"/>
    </row>
    <row r="9023" spans="3:8" x14ac:dyDescent="0.25">
      <c r="C9023" s="12"/>
      <c r="D9023" s="13"/>
      <c r="E9023" s="13"/>
      <c r="F9023" s="13"/>
      <c r="G9023" s="12"/>
      <c r="H9023" s="11"/>
    </row>
    <row r="9024" spans="3:8" x14ac:dyDescent="0.25">
      <c r="C9024" s="12"/>
      <c r="D9024" s="13"/>
      <c r="E9024" s="13"/>
      <c r="F9024" s="13"/>
      <c r="G9024" s="12"/>
      <c r="H9024" s="11"/>
    </row>
    <row r="9025" spans="3:8" x14ac:dyDescent="0.25">
      <c r="C9025" s="12"/>
      <c r="D9025" s="13"/>
      <c r="E9025" s="13"/>
      <c r="F9025" s="13"/>
      <c r="G9025" s="12"/>
      <c r="H9025" s="11"/>
    </row>
    <row r="9026" spans="3:8" x14ac:dyDescent="0.25">
      <c r="C9026" s="12"/>
      <c r="D9026" s="13"/>
      <c r="E9026" s="13"/>
      <c r="F9026" s="13"/>
      <c r="G9026" s="12"/>
      <c r="H9026" s="11"/>
    </row>
    <row r="9027" spans="3:8" x14ac:dyDescent="0.25">
      <c r="C9027" s="12"/>
      <c r="D9027" s="13"/>
      <c r="E9027" s="13"/>
      <c r="F9027" s="13"/>
      <c r="G9027" s="12"/>
      <c r="H9027" s="11"/>
    </row>
    <row r="9028" spans="3:8" x14ac:dyDescent="0.25">
      <c r="C9028" s="12"/>
      <c r="D9028" s="13"/>
      <c r="E9028" s="13"/>
      <c r="F9028" s="13"/>
      <c r="G9028" s="12"/>
      <c r="H9028" s="11"/>
    </row>
    <row r="9029" spans="3:8" x14ac:dyDescent="0.25">
      <c r="C9029" s="12"/>
      <c r="D9029" s="13"/>
      <c r="E9029" s="13"/>
      <c r="F9029" s="13"/>
      <c r="G9029" s="12"/>
      <c r="H9029" s="11"/>
    </row>
    <row r="9030" spans="3:8" x14ac:dyDescent="0.25">
      <c r="C9030" s="12"/>
      <c r="D9030" s="13"/>
      <c r="E9030" s="13"/>
      <c r="F9030" s="13"/>
      <c r="G9030" s="12"/>
      <c r="H9030" s="11"/>
    </row>
    <row r="9031" spans="3:8" x14ac:dyDescent="0.25">
      <c r="C9031" s="12"/>
      <c r="D9031" s="13"/>
      <c r="E9031" s="13"/>
      <c r="F9031" s="13"/>
      <c r="G9031" s="12"/>
      <c r="H9031" s="11"/>
    </row>
    <row r="9032" spans="3:8" x14ac:dyDescent="0.25">
      <c r="C9032" s="12"/>
      <c r="D9032" s="13"/>
      <c r="E9032" s="13"/>
      <c r="F9032" s="13"/>
      <c r="G9032" s="12"/>
      <c r="H9032" s="11"/>
    </row>
    <row r="9033" spans="3:8" x14ac:dyDescent="0.25">
      <c r="C9033" s="12"/>
      <c r="D9033" s="13"/>
      <c r="E9033" s="13"/>
      <c r="F9033" s="13"/>
      <c r="G9033" s="12"/>
      <c r="H9033" s="11"/>
    </row>
    <row r="9034" spans="3:8" x14ac:dyDescent="0.25">
      <c r="C9034" s="12"/>
      <c r="D9034" s="13"/>
      <c r="E9034" s="13"/>
      <c r="F9034" s="13"/>
      <c r="G9034" s="12"/>
      <c r="H9034" s="11"/>
    </row>
    <row r="9035" spans="3:8" x14ac:dyDescent="0.25">
      <c r="C9035" s="12"/>
      <c r="D9035" s="13"/>
      <c r="E9035" s="13"/>
      <c r="F9035" s="13"/>
      <c r="G9035" s="12"/>
      <c r="H9035" s="11"/>
    </row>
    <row r="9036" spans="3:8" x14ac:dyDescent="0.25">
      <c r="C9036" s="12"/>
      <c r="D9036" s="13"/>
      <c r="E9036" s="13"/>
      <c r="F9036" s="13"/>
      <c r="G9036" s="12"/>
      <c r="H9036" s="11"/>
    </row>
    <row r="9037" spans="3:8" x14ac:dyDescent="0.25">
      <c r="C9037" s="12"/>
      <c r="D9037" s="13"/>
      <c r="E9037" s="13"/>
      <c r="F9037" s="13"/>
      <c r="G9037" s="12"/>
      <c r="H9037" s="11"/>
    </row>
    <row r="9038" spans="3:8" x14ac:dyDescent="0.25">
      <c r="C9038" s="12"/>
      <c r="D9038" s="13"/>
      <c r="E9038" s="13"/>
      <c r="F9038" s="13"/>
      <c r="G9038" s="12"/>
      <c r="H9038" s="11"/>
    </row>
    <row r="9039" spans="3:8" x14ac:dyDescent="0.25">
      <c r="C9039" s="12"/>
      <c r="D9039" s="13"/>
      <c r="E9039" s="13"/>
      <c r="F9039" s="13"/>
      <c r="G9039" s="12"/>
      <c r="H9039" s="11"/>
    </row>
    <row r="9040" spans="3:8" x14ac:dyDescent="0.25">
      <c r="C9040" s="12"/>
      <c r="D9040" s="13"/>
      <c r="E9040" s="13"/>
      <c r="F9040" s="13"/>
      <c r="G9040" s="12"/>
      <c r="H9040" s="11"/>
    </row>
    <row r="9041" spans="3:8" x14ac:dyDescent="0.25">
      <c r="C9041" s="12"/>
      <c r="D9041" s="13"/>
      <c r="E9041" s="13"/>
      <c r="F9041" s="13"/>
      <c r="G9041" s="12"/>
      <c r="H9041" s="11"/>
    </row>
    <row r="9042" spans="3:8" x14ac:dyDescent="0.25">
      <c r="C9042" s="12"/>
      <c r="D9042" s="13"/>
      <c r="E9042" s="13"/>
      <c r="F9042" s="13"/>
      <c r="G9042" s="12"/>
      <c r="H9042" s="11"/>
    </row>
    <row r="9043" spans="3:8" x14ac:dyDescent="0.25">
      <c r="C9043" s="12"/>
      <c r="D9043" s="13"/>
      <c r="E9043" s="13"/>
      <c r="F9043" s="13"/>
      <c r="G9043" s="12"/>
      <c r="H9043" s="11"/>
    </row>
    <row r="9044" spans="3:8" x14ac:dyDescent="0.25">
      <c r="C9044" s="12"/>
      <c r="D9044" s="13"/>
      <c r="E9044" s="13"/>
      <c r="F9044" s="13"/>
      <c r="G9044" s="12"/>
      <c r="H9044" s="11"/>
    </row>
    <row r="9045" spans="3:8" x14ac:dyDescent="0.25">
      <c r="C9045" s="12"/>
      <c r="D9045" s="13"/>
      <c r="E9045" s="13"/>
      <c r="F9045" s="13"/>
      <c r="G9045" s="12"/>
      <c r="H9045" s="11"/>
    </row>
    <row r="9046" spans="3:8" x14ac:dyDescent="0.25">
      <c r="C9046" s="12"/>
      <c r="D9046" s="13"/>
      <c r="E9046" s="13"/>
      <c r="F9046" s="13"/>
      <c r="G9046" s="12"/>
      <c r="H9046" s="11"/>
    </row>
    <row r="9047" spans="3:8" x14ac:dyDescent="0.25">
      <c r="C9047" s="12"/>
      <c r="D9047" s="13"/>
      <c r="E9047" s="13"/>
      <c r="F9047" s="13"/>
      <c r="G9047" s="12"/>
      <c r="H9047" s="11"/>
    </row>
    <row r="9048" spans="3:8" x14ac:dyDescent="0.25">
      <c r="C9048" s="12"/>
      <c r="D9048" s="13"/>
      <c r="E9048" s="13"/>
      <c r="F9048" s="13"/>
      <c r="G9048" s="12"/>
      <c r="H9048" s="11"/>
    </row>
    <row r="9049" spans="3:8" x14ac:dyDescent="0.25">
      <c r="C9049" s="12"/>
      <c r="D9049" s="13"/>
      <c r="E9049" s="13"/>
      <c r="F9049" s="13"/>
      <c r="G9049" s="12"/>
      <c r="H9049" s="11"/>
    </row>
    <row r="9050" spans="3:8" x14ac:dyDescent="0.25">
      <c r="C9050" s="12"/>
      <c r="D9050" s="13"/>
      <c r="E9050" s="13"/>
      <c r="F9050" s="13"/>
      <c r="G9050" s="12"/>
      <c r="H9050" s="11"/>
    </row>
    <row r="9051" spans="3:8" x14ac:dyDescent="0.25">
      <c r="C9051" s="12"/>
      <c r="D9051" s="13"/>
      <c r="E9051" s="13"/>
      <c r="F9051" s="13"/>
      <c r="G9051" s="12"/>
      <c r="H9051" s="11"/>
    </row>
    <row r="9052" spans="3:8" x14ac:dyDescent="0.25">
      <c r="C9052" s="12"/>
      <c r="D9052" s="13"/>
      <c r="E9052" s="13"/>
      <c r="F9052" s="13"/>
      <c r="G9052" s="12"/>
      <c r="H9052" s="11"/>
    </row>
    <row r="9053" spans="3:8" x14ac:dyDescent="0.25">
      <c r="C9053" s="12"/>
      <c r="D9053" s="13"/>
      <c r="E9053" s="13"/>
      <c r="F9053" s="13"/>
      <c r="G9053" s="12"/>
      <c r="H9053" s="11"/>
    </row>
    <row r="9054" spans="3:8" x14ac:dyDescent="0.25">
      <c r="C9054" s="12"/>
      <c r="D9054" s="13"/>
      <c r="E9054" s="13"/>
      <c r="F9054" s="13"/>
      <c r="G9054" s="12"/>
      <c r="H9054" s="11"/>
    </row>
    <row r="9055" spans="3:8" x14ac:dyDescent="0.25">
      <c r="C9055" s="12"/>
      <c r="D9055" s="13"/>
      <c r="E9055" s="13"/>
      <c r="F9055" s="13"/>
      <c r="G9055" s="12"/>
      <c r="H9055" s="11"/>
    </row>
    <row r="9056" spans="3:8" x14ac:dyDescent="0.25">
      <c r="C9056" s="12"/>
      <c r="D9056" s="13"/>
      <c r="E9056" s="13"/>
      <c r="F9056" s="13"/>
      <c r="G9056" s="12"/>
      <c r="H9056" s="11"/>
    </row>
    <row r="9057" spans="3:8" x14ac:dyDescent="0.25">
      <c r="C9057" s="12"/>
      <c r="D9057" s="13"/>
      <c r="E9057" s="13"/>
      <c r="F9057" s="13"/>
      <c r="G9057" s="12"/>
      <c r="H9057" s="11"/>
    </row>
    <row r="9058" spans="3:8" x14ac:dyDescent="0.25">
      <c r="C9058" s="12"/>
      <c r="D9058" s="13"/>
      <c r="E9058" s="13"/>
      <c r="F9058" s="13"/>
      <c r="G9058" s="12"/>
      <c r="H9058" s="11"/>
    </row>
    <row r="9059" spans="3:8" x14ac:dyDescent="0.25">
      <c r="C9059" s="12"/>
      <c r="D9059" s="13"/>
      <c r="E9059" s="13"/>
      <c r="F9059" s="13"/>
      <c r="G9059" s="12"/>
      <c r="H9059" s="11"/>
    </row>
    <row r="9060" spans="3:8" x14ac:dyDescent="0.25">
      <c r="C9060" s="12"/>
      <c r="D9060" s="13"/>
      <c r="E9060" s="13"/>
      <c r="F9060" s="13"/>
      <c r="G9060" s="12"/>
      <c r="H9060" s="11"/>
    </row>
    <row r="9061" spans="3:8" x14ac:dyDescent="0.25">
      <c r="C9061" s="12"/>
      <c r="D9061" s="13"/>
      <c r="E9061" s="13"/>
      <c r="F9061" s="13"/>
      <c r="G9061" s="12"/>
      <c r="H9061" s="11"/>
    </row>
    <row r="9062" spans="3:8" x14ac:dyDescent="0.25">
      <c r="C9062" s="12"/>
      <c r="D9062" s="13"/>
      <c r="E9062" s="13"/>
      <c r="F9062" s="13"/>
      <c r="G9062" s="12"/>
      <c r="H9062" s="11"/>
    </row>
    <row r="9063" spans="3:8" x14ac:dyDescent="0.25">
      <c r="C9063" s="12"/>
      <c r="D9063" s="13"/>
      <c r="E9063" s="13"/>
      <c r="F9063" s="13"/>
      <c r="G9063" s="12"/>
      <c r="H9063" s="11"/>
    </row>
    <row r="9064" spans="3:8" x14ac:dyDescent="0.25">
      <c r="C9064" s="12"/>
      <c r="D9064" s="13"/>
      <c r="E9064" s="13"/>
      <c r="F9064" s="13"/>
      <c r="G9064" s="12"/>
      <c r="H9064" s="11"/>
    </row>
    <row r="9065" spans="3:8" x14ac:dyDescent="0.25">
      <c r="C9065" s="12"/>
      <c r="D9065" s="13"/>
      <c r="E9065" s="13"/>
      <c r="F9065" s="13"/>
      <c r="G9065" s="12"/>
      <c r="H9065" s="11"/>
    </row>
    <row r="9066" spans="3:8" x14ac:dyDescent="0.25">
      <c r="C9066" s="12"/>
      <c r="D9066" s="13"/>
      <c r="E9066" s="13"/>
      <c r="F9066" s="13"/>
      <c r="G9066" s="12"/>
      <c r="H9066" s="11"/>
    </row>
    <row r="9067" spans="3:8" x14ac:dyDescent="0.25">
      <c r="C9067" s="12"/>
      <c r="D9067" s="13"/>
      <c r="E9067" s="13"/>
      <c r="F9067" s="13"/>
      <c r="G9067" s="12"/>
      <c r="H9067" s="11"/>
    </row>
    <row r="9068" spans="3:8" x14ac:dyDescent="0.25">
      <c r="C9068" s="12"/>
      <c r="D9068" s="13"/>
      <c r="E9068" s="13"/>
      <c r="F9068" s="13"/>
      <c r="G9068" s="12"/>
      <c r="H9068" s="11"/>
    </row>
    <row r="9069" spans="3:8" x14ac:dyDescent="0.25">
      <c r="C9069" s="12"/>
      <c r="D9069" s="13"/>
      <c r="E9069" s="13"/>
      <c r="F9069" s="13"/>
      <c r="G9069" s="12"/>
      <c r="H9069" s="11"/>
    </row>
    <row r="9070" spans="3:8" x14ac:dyDescent="0.25">
      <c r="C9070" s="12"/>
      <c r="D9070" s="13"/>
      <c r="E9070" s="13"/>
      <c r="F9070" s="13"/>
      <c r="G9070" s="12"/>
      <c r="H9070" s="11"/>
    </row>
    <row r="9071" spans="3:8" x14ac:dyDescent="0.25">
      <c r="C9071" s="12"/>
      <c r="D9071" s="13"/>
      <c r="E9071" s="13"/>
      <c r="F9071" s="13"/>
      <c r="G9071" s="12"/>
      <c r="H9071" s="11"/>
    </row>
    <row r="9072" spans="3:8" x14ac:dyDescent="0.25">
      <c r="C9072" s="12"/>
      <c r="D9072" s="13"/>
      <c r="E9072" s="13"/>
      <c r="F9072" s="13"/>
      <c r="G9072" s="12"/>
      <c r="H9072" s="11"/>
    </row>
    <row r="9073" spans="3:8" x14ac:dyDescent="0.25">
      <c r="C9073" s="12"/>
      <c r="D9073" s="13"/>
      <c r="E9073" s="13"/>
      <c r="F9073" s="13"/>
      <c r="G9073" s="12"/>
      <c r="H9073" s="11"/>
    </row>
    <row r="9074" spans="3:8" x14ac:dyDescent="0.25">
      <c r="C9074" s="12"/>
      <c r="D9074" s="13"/>
      <c r="E9074" s="13"/>
      <c r="F9074" s="13"/>
      <c r="G9074" s="12"/>
      <c r="H9074" s="11"/>
    </row>
    <row r="9075" spans="3:8" x14ac:dyDescent="0.25">
      <c r="C9075" s="12"/>
      <c r="D9075" s="13"/>
      <c r="E9075" s="13"/>
      <c r="F9075" s="13"/>
      <c r="G9075" s="12"/>
      <c r="H9075" s="11"/>
    </row>
    <row r="9076" spans="3:8" x14ac:dyDescent="0.25">
      <c r="C9076" s="12"/>
      <c r="D9076" s="13"/>
      <c r="E9076" s="13"/>
      <c r="F9076" s="13"/>
      <c r="G9076" s="12"/>
      <c r="H9076" s="11"/>
    </row>
    <row r="9077" spans="3:8" x14ac:dyDescent="0.25">
      <c r="C9077" s="12"/>
      <c r="D9077" s="13"/>
      <c r="E9077" s="13"/>
      <c r="F9077" s="13"/>
      <c r="G9077" s="12"/>
      <c r="H9077" s="11"/>
    </row>
    <row r="9078" spans="3:8" x14ac:dyDescent="0.25">
      <c r="C9078" s="12"/>
      <c r="D9078" s="13"/>
      <c r="E9078" s="13"/>
      <c r="F9078" s="13"/>
      <c r="G9078" s="12"/>
      <c r="H9078" s="11"/>
    </row>
    <row r="9079" spans="3:8" x14ac:dyDescent="0.25">
      <c r="C9079" s="12"/>
      <c r="D9079" s="13"/>
      <c r="E9079" s="13"/>
      <c r="F9079" s="13"/>
      <c r="G9079" s="12"/>
      <c r="H9079" s="11"/>
    </row>
    <row r="9080" spans="3:8" x14ac:dyDescent="0.25">
      <c r="C9080" s="12"/>
      <c r="D9080" s="13"/>
      <c r="E9080" s="13"/>
      <c r="F9080" s="13"/>
      <c r="G9080" s="12"/>
      <c r="H9080" s="11"/>
    </row>
    <row r="9081" spans="3:8" x14ac:dyDescent="0.25">
      <c r="C9081" s="12"/>
      <c r="D9081" s="13"/>
      <c r="E9081" s="13"/>
      <c r="F9081" s="13"/>
      <c r="G9081" s="12"/>
      <c r="H9081" s="11"/>
    </row>
    <row r="9082" spans="3:8" x14ac:dyDescent="0.25">
      <c r="C9082" s="12"/>
      <c r="D9082" s="13"/>
      <c r="E9082" s="13"/>
      <c r="F9082" s="13"/>
      <c r="G9082" s="12"/>
      <c r="H9082" s="11"/>
    </row>
    <row r="9083" spans="3:8" x14ac:dyDescent="0.25">
      <c r="C9083" s="12"/>
      <c r="D9083" s="13"/>
      <c r="E9083" s="13"/>
      <c r="F9083" s="13"/>
      <c r="G9083" s="12"/>
      <c r="H9083" s="11"/>
    </row>
    <row r="9084" spans="3:8" x14ac:dyDescent="0.25">
      <c r="C9084" s="12"/>
      <c r="D9084" s="13"/>
      <c r="E9084" s="13"/>
      <c r="F9084" s="13"/>
      <c r="G9084" s="12"/>
      <c r="H9084" s="11"/>
    </row>
    <row r="9085" spans="3:8" x14ac:dyDescent="0.25">
      <c r="C9085" s="12"/>
      <c r="D9085" s="13"/>
      <c r="E9085" s="13"/>
      <c r="F9085" s="13"/>
      <c r="G9085" s="12"/>
      <c r="H9085" s="11"/>
    </row>
    <row r="9086" spans="3:8" x14ac:dyDescent="0.25">
      <c r="C9086" s="12"/>
      <c r="D9086" s="13"/>
      <c r="E9086" s="13"/>
      <c r="F9086" s="13"/>
      <c r="G9086" s="12"/>
      <c r="H9086" s="11"/>
    </row>
    <row r="9087" spans="3:8" x14ac:dyDescent="0.25">
      <c r="C9087" s="12"/>
      <c r="D9087" s="13"/>
      <c r="E9087" s="13"/>
      <c r="F9087" s="13"/>
      <c r="G9087" s="12"/>
      <c r="H9087" s="11"/>
    </row>
    <row r="9088" spans="3:8" x14ac:dyDescent="0.25">
      <c r="C9088" s="12"/>
      <c r="D9088" s="13"/>
      <c r="E9088" s="13"/>
      <c r="F9088" s="13"/>
      <c r="G9088" s="12"/>
      <c r="H9088" s="11"/>
    </row>
    <row r="9089" spans="3:8" x14ac:dyDescent="0.25">
      <c r="C9089" s="12"/>
      <c r="D9089" s="13"/>
      <c r="E9089" s="13"/>
      <c r="F9089" s="13"/>
      <c r="G9089" s="12"/>
      <c r="H9089" s="11"/>
    </row>
    <row r="9090" spans="3:8" x14ac:dyDescent="0.25">
      <c r="C9090" s="12"/>
      <c r="D9090" s="13"/>
      <c r="E9090" s="13"/>
      <c r="F9090" s="13"/>
      <c r="G9090" s="12"/>
      <c r="H9090" s="11"/>
    </row>
    <row r="9091" spans="3:8" x14ac:dyDescent="0.25">
      <c r="C9091" s="12"/>
      <c r="D9091" s="13"/>
      <c r="E9091" s="13"/>
      <c r="F9091" s="13"/>
      <c r="G9091" s="12"/>
      <c r="H9091" s="11"/>
    </row>
    <row r="9092" spans="3:8" x14ac:dyDescent="0.25">
      <c r="C9092" s="12"/>
      <c r="D9092" s="13"/>
      <c r="E9092" s="13"/>
      <c r="F9092" s="13"/>
      <c r="G9092" s="12"/>
      <c r="H9092" s="11"/>
    </row>
    <row r="9093" spans="3:8" x14ac:dyDescent="0.25">
      <c r="C9093" s="12"/>
      <c r="D9093" s="13"/>
      <c r="E9093" s="13"/>
      <c r="F9093" s="13"/>
      <c r="G9093" s="12"/>
      <c r="H9093" s="11"/>
    </row>
    <row r="9094" spans="3:8" x14ac:dyDescent="0.25">
      <c r="C9094" s="12"/>
      <c r="D9094" s="13"/>
      <c r="E9094" s="13"/>
      <c r="F9094" s="13"/>
      <c r="G9094" s="12"/>
      <c r="H9094" s="11"/>
    </row>
    <row r="9095" spans="3:8" x14ac:dyDescent="0.25">
      <c r="C9095" s="12"/>
      <c r="D9095" s="13"/>
      <c r="E9095" s="13"/>
      <c r="F9095" s="13"/>
      <c r="G9095" s="12"/>
      <c r="H9095" s="11"/>
    </row>
    <row r="9096" spans="3:8" x14ac:dyDescent="0.25">
      <c r="C9096" s="12"/>
      <c r="D9096" s="13"/>
      <c r="E9096" s="13"/>
      <c r="F9096" s="13"/>
      <c r="G9096" s="12"/>
      <c r="H9096" s="11"/>
    </row>
    <row r="9097" spans="3:8" x14ac:dyDescent="0.25">
      <c r="C9097" s="12"/>
      <c r="D9097" s="13"/>
      <c r="E9097" s="13"/>
      <c r="F9097" s="13"/>
      <c r="G9097" s="12"/>
      <c r="H9097" s="11"/>
    </row>
    <row r="9098" spans="3:8" x14ac:dyDescent="0.25">
      <c r="C9098" s="12"/>
      <c r="D9098" s="13"/>
      <c r="E9098" s="13"/>
      <c r="F9098" s="13"/>
      <c r="G9098" s="12"/>
      <c r="H9098" s="11"/>
    </row>
    <row r="9099" spans="3:8" x14ac:dyDescent="0.25">
      <c r="C9099" s="12"/>
      <c r="D9099" s="13"/>
      <c r="E9099" s="13"/>
      <c r="F9099" s="13"/>
      <c r="G9099" s="12"/>
      <c r="H9099" s="11"/>
    </row>
    <row r="9100" spans="3:8" x14ac:dyDescent="0.25">
      <c r="C9100" s="12"/>
      <c r="D9100" s="13"/>
      <c r="E9100" s="13"/>
      <c r="F9100" s="13"/>
      <c r="G9100" s="12"/>
      <c r="H9100" s="11"/>
    </row>
    <row r="9101" spans="3:8" x14ac:dyDescent="0.25">
      <c r="C9101" s="12"/>
      <c r="D9101" s="13"/>
      <c r="E9101" s="13"/>
      <c r="F9101" s="13"/>
      <c r="G9101" s="12"/>
      <c r="H9101" s="11"/>
    </row>
    <row r="9102" spans="3:8" x14ac:dyDescent="0.25">
      <c r="C9102" s="12"/>
      <c r="D9102" s="13"/>
      <c r="E9102" s="13"/>
      <c r="F9102" s="13"/>
      <c r="G9102" s="12"/>
      <c r="H9102" s="11"/>
    </row>
    <row r="9103" spans="3:8" x14ac:dyDescent="0.25">
      <c r="C9103" s="12"/>
      <c r="D9103" s="13"/>
      <c r="E9103" s="13"/>
      <c r="F9103" s="13"/>
      <c r="G9103" s="12"/>
      <c r="H9103" s="11"/>
    </row>
    <row r="9104" spans="3:8" x14ac:dyDescent="0.25">
      <c r="C9104" s="12"/>
      <c r="D9104" s="13"/>
      <c r="E9104" s="13"/>
      <c r="F9104" s="13"/>
      <c r="G9104" s="12"/>
      <c r="H9104" s="11"/>
    </row>
    <row r="9105" spans="3:8" x14ac:dyDescent="0.25">
      <c r="C9105" s="12"/>
      <c r="D9105" s="13"/>
      <c r="E9105" s="13"/>
      <c r="F9105" s="13"/>
      <c r="G9105" s="12"/>
      <c r="H9105" s="11"/>
    </row>
    <row r="9106" spans="3:8" x14ac:dyDescent="0.25">
      <c r="C9106" s="12"/>
      <c r="D9106" s="13"/>
      <c r="E9106" s="13"/>
      <c r="F9106" s="13"/>
      <c r="G9106" s="12"/>
      <c r="H9106" s="11"/>
    </row>
    <row r="9107" spans="3:8" x14ac:dyDescent="0.25">
      <c r="C9107" s="12"/>
      <c r="D9107" s="13"/>
      <c r="E9107" s="13"/>
      <c r="F9107" s="13"/>
      <c r="G9107" s="12"/>
      <c r="H9107" s="11"/>
    </row>
    <row r="9108" spans="3:8" x14ac:dyDescent="0.25">
      <c r="C9108" s="12"/>
      <c r="D9108" s="13"/>
      <c r="E9108" s="13"/>
      <c r="F9108" s="13"/>
      <c r="G9108" s="12"/>
      <c r="H9108" s="11"/>
    </row>
    <row r="9109" spans="3:8" x14ac:dyDescent="0.25">
      <c r="C9109" s="12"/>
      <c r="D9109" s="13"/>
      <c r="E9109" s="13"/>
      <c r="F9109" s="13"/>
      <c r="G9109" s="12"/>
      <c r="H9109" s="11"/>
    </row>
    <row r="9110" spans="3:8" x14ac:dyDescent="0.25">
      <c r="C9110" s="12"/>
      <c r="D9110" s="13"/>
      <c r="E9110" s="13"/>
      <c r="F9110" s="13"/>
      <c r="G9110" s="12"/>
      <c r="H9110" s="11"/>
    </row>
    <row r="9111" spans="3:8" x14ac:dyDescent="0.25">
      <c r="C9111" s="12"/>
      <c r="D9111" s="13"/>
      <c r="E9111" s="13"/>
      <c r="F9111" s="13"/>
      <c r="G9111" s="12"/>
      <c r="H9111" s="11"/>
    </row>
    <row r="9112" spans="3:8" x14ac:dyDescent="0.25">
      <c r="C9112" s="12"/>
      <c r="D9112" s="13"/>
      <c r="E9112" s="13"/>
      <c r="F9112" s="13"/>
      <c r="G9112" s="12"/>
      <c r="H9112" s="11"/>
    </row>
    <row r="9113" spans="3:8" x14ac:dyDescent="0.25">
      <c r="C9113" s="12"/>
      <c r="D9113" s="13"/>
      <c r="E9113" s="13"/>
      <c r="F9113" s="13"/>
      <c r="G9113" s="12"/>
      <c r="H9113" s="11"/>
    </row>
    <row r="9114" spans="3:8" x14ac:dyDescent="0.25">
      <c r="C9114" s="12"/>
      <c r="D9114" s="13"/>
      <c r="E9114" s="13"/>
      <c r="F9114" s="13"/>
      <c r="G9114" s="12"/>
      <c r="H9114" s="11"/>
    </row>
    <row r="9115" spans="3:8" x14ac:dyDescent="0.25">
      <c r="C9115" s="12"/>
      <c r="D9115" s="13"/>
      <c r="E9115" s="13"/>
      <c r="F9115" s="13"/>
      <c r="G9115" s="12"/>
      <c r="H9115" s="11"/>
    </row>
    <row r="9116" spans="3:8" x14ac:dyDescent="0.25">
      <c r="C9116" s="12"/>
      <c r="D9116" s="13"/>
      <c r="E9116" s="13"/>
      <c r="F9116" s="13"/>
      <c r="G9116" s="12"/>
      <c r="H9116" s="11"/>
    </row>
    <row r="9117" spans="3:8" x14ac:dyDescent="0.25">
      <c r="C9117" s="12"/>
      <c r="D9117" s="13"/>
      <c r="E9117" s="13"/>
      <c r="F9117" s="13"/>
      <c r="G9117" s="12"/>
      <c r="H9117" s="11"/>
    </row>
    <row r="9118" spans="3:8" x14ac:dyDescent="0.25">
      <c r="C9118" s="12"/>
      <c r="D9118" s="13"/>
      <c r="E9118" s="13"/>
      <c r="F9118" s="13"/>
      <c r="G9118" s="12"/>
      <c r="H9118" s="11"/>
    </row>
    <row r="9119" spans="3:8" x14ac:dyDescent="0.25">
      <c r="C9119" s="12"/>
      <c r="D9119" s="13"/>
      <c r="E9119" s="13"/>
      <c r="F9119" s="13"/>
      <c r="G9119" s="12"/>
      <c r="H9119" s="11"/>
    </row>
    <row r="9120" spans="3:8" x14ac:dyDescent="0.25">
      <c r="C9120" s="12"/>
      <c r="D9120" s="13"/>
      <c r="E9120" s="13"/>
      <c r="F9120" s="13"/>
      <c r="G9120" s="12"/>
      <c r="H9120" s="11"/>
    </row>
    <row r="9121" spans="3:8" x14ac:dyDescent="0.25">
      <c r="C9121" s="12"/>
      <c r="D9121" s="13"/>
      <c r="E9121" s="13"/>
      <c r="F9121" s="13"/>
      <c r="G9121" s="12"/>
      <c r="H9121" s="11"/>
    </row>
    <row r="9122" spans="3:8" x14ac:dyDescent="0.25">
      <c r="C9122" s="12"/>
      <c r="D9122" s="13"/>
      <c r="E9122" s="13"/>
      <c r="F9122" s="13"/>
      <c r="G9122" s="12"/>
      <c r="H9122" s="11"/>
    </row>
    <row r="9123" spans="3:8" x14ac:dyDescent="0.25">
      <c r="C9123" s="12"/>
      <c r="D9123" s="13"/>
      <c r="E9123" s="13"/>
      <c r="F9123" s="13"/>
      <c r="G9123" s="12"/>
      <c r="H9123" s="11"/>
    </row>
    <row r="9124" spans="3:8" x14ac:dyDescent="0.25">
      <c r="C9124" s="12"/>
      <c r="D9124" s="13"/>
      <c r="E9124" s="13"/>
      <c r="F9124" s="13"/>
      <c r="G9124" s="12"/>
      <c r="H9124" s="11"/>
    </row>
    <row r="9125" spans="3:8" x14ac:dyDescent="0.25">
      <c r="C9125" s="12"/>
      <c r="D9125" s="13"/>
      <c r="E9125" s="13"/>
      <c r="F9125" s="13"/>
      <c r="G9125" s="12"/>
      <c r="H9125" s="11"/>
    </row>
    <row r="9126" spans="3:8" x14ac:dyDescent="0.25">
      <c r="C9126" s="12"/>
      <c r="D9126" s="13"/>
      <c r="E9126" s="13"/>
      <c r="F9126" s="13"/>
      <c r="G9126" s="12"/>
      <c r="H9126" s="11"/>
    </row>
    <row r="9127" spans="3:8" x14ac:dyDescent="0.25">
      <c r="C9127" s="12"/>
      <c r="D9127" s="13"/>
      <c r="E9127" s="13"/>
      <c r="F9127" s="13"/>
      <c r="G9127" s="12"/>
      <c r="H9127" s="11"/>
    </row>
    <row r="9128" spans="3:8" x14ac:dyDescent="0.25">
      <c r="C9128" s="12"/>
      <c r="D9128" s="13"/>
      <c r="E9128" s="13"/>
      <c r="F9128" s="13"/>
      <c r="G9128" s="12"/>
      <c r="H9128" s="11"/>
    </row>
    <row r="9129" spans="3:8" x14ac:dyDescent="0.25">
      <c r="C9129" s="12"/>
      <c r="D9129" s="13"/>
      <c r="E9129" s="13"/>
      <c r="F9129" s="13"/>
      <c r="G9129" s="12"/>
      <c r="H9129" s="11"/>
    </row>
    <row r="9130" spans="3:8" x14ac:dyDescent="0.25">
      <c r="C9130" s="12"/>
      <c r="D9130" s="13"/>
      <c r="E9130" s="13"/>
      <c r="F9130" s="13"/>
      <c r="G9130" s="12"/>
      <c r="H9130" s="11"/>
    </row>
    <row r="9131" spans="3:8" x14ac:dyDescent="0.25">
      <c r="C9131" s="12"/>
      <c r="D9131" s="13"/>
      <c r="E9131" s="13"/>
      <c r="F9131" s="13"/>
      <c r="G9131" s="12"/>
      <c r="H9131" s="11"/>
    </row>
    <row r="9132" spans="3:8" x14ac:dyDescent="0.25">
      <c r="C9132" s="12"/>
      <c r="D9132" s="13"/>
      <c r="E9132" s="13"/>
      <c r="F9132" s="13"/>
      <c r="G9132" s="12"/>
      <c r="H9132" s="11"/>
    </row>
    <row r="9133" spans="3:8" x14ac:dyDescent="0.25">
      <c r="C9133" s="12"/>
      <c r="D9133" s="13"/>
      <c r="E9133" s="13"/>
      <c r="F9133" s="13"/>
      <c r="G9133" s="12"/>
      <c r="H9133" s="11"/>
    </row>
    <row r="9134" spans="3:8" x14ac:dyDescent="0.25">
      <c r="C9134" s="12"/>
      <c r="D9134" s="13"/>
      <c r="E9134" s="13"/>
      <c r="F9134" s="13"/>
      <c r="G9134" s="12"/>
      <c r="H9134" s="11"/>
    </row>
    <row r="9135" spans="3:8" x14ac:dyDescent="0.25">
      <c r="C9135" s="12"/>
      <c r="D9135" s="13"/>
      <c r="E9135" s="13"/>
      <c r="F9135" s="13"/>
      <c r="G9135" s="12"/>
      <c r="H9135" s="11"/>
    </row>
    <row r="9136" spans="3:8" x14ac:dyDescent="0.25">
      <c r="C9136" s="12"/>
      <c r="D9136" s="13"/>
      <c r="E9136" s="13"/>
      <c r="F9136" s="13"/>
      <c r="G9136" s="12"/>
      <c r="H9136" s="11"/>
    </row>
    <row r="9137" spans="3:8" x14ac:dyDescent="0.25">
      <c r="C9137" s="12"/>
      <c r="D9137" s="13"/>
      <c r="E9137" s="13"/>
      <c r="F9137" s="13"/>
      <c r="G9137" s="12"/>
      <c r="H9137" s="11"/>
    </row>
    <row r="9138" spans="3:8" x14ac:dyDescent="0.25">
      <c r="C9138" s="12"/>
      <c r="D9138" s="13"/>
      <c r="E9138" s="13"/>
      <c r="F9138" s="13"/>
      <c r="G9138" s="12"/>
      <c r="H9138" s="11"/>
    </row>
    <row r="9139" spans="3:8" x14ac:dyDescent="0.25">
      <c r="C9139" s="12"/>
      <c r="D9139" s="13"/>
      <c r="E9139" s="13"/>
      <c r="F9139" s="13"/>
      <c r="G9139" s="12"/>
      <c r="H9139" s="11"/>
    </row>
    <row r="9140" spans="3:8" x14ac:dyDescent="0.25">
      <c r="C9140" s="12"/>
      <c r="D9140" s="13"/>
      <c r="E9140" s="13"/>
      <c r="F9140" s="13"/>
      <c r="G9140" s="12"/>
      <c r="H9140" s="11"/>
    </row>
    <row r="9141" spans="3:8" x14ac:dyDescent="0.25">
      <c r="C9141" s="12"/>
      <c r="D9141" s="13"/>
      <c r="E9141" s="13"/>
      <c r="F9141" s="13"/>
      <c r="G9141" s="12"/>
      <c r="H9141" s="11"/>
    </row>
    <row r="9142" spans="3:8" x14ac:dyDescent="0.25">
      <c r="C9142" s="12"/>
      <c r="D9142" s="13"/>
      <c r="E9142" s="13"/>
      <c r="F9142" s="13"/>
      <c r="G9142" s="12"/>
      <c r="H9142" s="11"/>
    </row>
    <row r="9143" spans="3:8" x14ac:dyDescent="0.25">
      <c r="C9143" s="12"/>
      <c r="D9143" s="13"/>
      <c r="E9143" s="13"/>
      <c r="F9143" s="13"/>
      <c r="G9143" s="12"/>
      <c r="H9143" s="11"/>
    </row>
    <row r="9144" spans="3:8" x14ac:dyDescent="0.25">
      <c r="C9144" s="12"/>
      <c r="D9144" s="13"/>
      <c r="E9144" s="13"/>
      <c r="F9144" s="13"/>
      <c r="G9144" s="12"/>
      <c r="H9144" s="11"/>
    </row>
    <row r="9145" spans="3:8" x14ac:dyDescent="0.25">
      <c r="C9145" s="12"/>
      <c r="D9145" s="13"/>
      <c r="E9145" s="13"/>
      <c r="F9145" s="13"/>
      <c r="G9145" s="12"/>
      <c r="H9145" s="11"/>
    </row>
    <row r="9146" spans="3:8" x14ac:dyDescent="0.25">
      <c r="C9146" s="12"/>
      <c r="D9146" s="13"/>
      <c r="E9146" s="13"/>
      <c r="F9146" s="13"/>
      <c r="G9146" s="12"/>
      <c r="H9146" s="11"/>
    </row>
    <row r="9147" spans="3:8" x14ac:dyDescent="0.25">
      <c r="C9147" s="12"/>
      <c r="D9147" s="13"/>
      <c r="E9147" s="13"/>
      <c r="F9147" s="13"/>
      <c r="G9147" s="12"/>
      <c r="H9147" s="11"/>
    </row>
    <row r="9148" spans="3:8" x14ac:dyDescent="0.25">
      <c r="C9148" s="12"/>
      <c r="D9148" s="13"/>
      <c r="E9148" s="13"/>
      <c r="F9148" s="13"/>
      <c r="G9148" s="12"/>
      <c r="H9148" s="11"/>
    </row>
    <row r="9149" spans="3:8" x14ac:dyDescent="0.25">
      <c r="C9149" s="12"/>
      <c r="D9149" s="13"/>
      <c r="E9149" s="13"/>
      <c r="F9149" s="13"/>
      <c r="G9149" s="12"/>
      <c r="H9149" s="11"/>
    </row>
    <row r="9150" spans="3:8" x14ac:dyDescent="0.25">
      <c r="C9150" s="12"/>
      <c r="D9150" s="13"/>
      <c r="E9150" s="13"/>
      <c r="F9150" s="13"/>
      <c r="G9150" s="12"/>
      <c r="H9150" s="11"/>
    </row>
    <row r="9151" spans="3:8" x14ac:dyDescent="0.25">
      <c r="C9151" s="12"/>
      <c r="D9151" s="13"/>
      <c r="E9151" s="13"/>
      <c r="F9151" s="13"/>
      <c r="G9151" s="12"/>
      <c r="H9151" s="11"/>
    </row>
    <row r="9152" spans="3:8" x14ac:dyDescent="0.25">
      <c r="C9152" s="12"/>
      <c r="D9152" s="13"/>
      <c r="E9152" s="13"/>
      <c r="F9152" s="13"/>
      <c r="G9152" s="12"/>
      <c r="H9152" s="11"/>
    </row>
    <row r="9153" spans="3:8" x14ac:dyDescent="0.25">
      <c r="C9153" s="12"/>
      <c r="D9153" s="13"/>
      <c r="E9153" s="13"/>
      <c r="F9153" s="13"/>
      <c r="G9153" s="12"/>
      <c r="H9153" s="11"/>
    </row>
    <row r="9154" spans="3:8" x14ac:dyDescent="0.25">
      <c r="C9154" s="12"/>
      <c r="D9154" s="13"/>
      <c r="E9154" s="13"/>
      <c r="F9154" s="13"/>
      <c r="G9154" s="12"/>
      <c r="H9154" s="11"/>
    </row>
    <row r="9155" spans="3:8" x14ac:dyDescent="0.25">
      <c r="C9155" s="12"/>
      <c r="D9155" s="13"/>
      <c r="E9155" s="13"/>
      <c r="F9155" s="13"/>
      <c r="G9155" s="12"/>
      <c r="H9155" s="11"/>
    </row>
    <row r="9156" spans="3:8" x14ac:dyDescent="0.25">
      <c r="C9156" s="12"/>
      <c r="D9156" s="13"/>
      <c r="E9156" s="13"/>
      <c r="F9156" s="13"/>
      <c r="G9156" s="12"/>
      <c r="H9156" s="11"/>
    </row>
    <row r="9157" spans="3:8" x14ac:dyDescent="0.25">
      <c r="C9157" s="12"/>
      <c r="D9157" s="13"/>
      <c r="E9157" s="13"/>
      <c r="F9157" s="13"/>
      <c r="G9157" s="12"/>
      <c r="H9157" s="11"/>
    </row>
    <row r="9158" spans="3:8" x14ac:dyDescent="0.25">
      <c r="C9158" s="12"/>
      <c r="D9158" s="13"/>
      <c r="E9158" s="13"/>
      <c r="F9158" s="13"/>
      <c r="G9158" s="12"/>
      <c r="H9158" s="11"/>
    </row>
    <row r="9159" spans="3:8" x14ac:dyDescent="0.25">
      <c r="C9159" s="12"/>
      <c r="D9159" s="13"/>
      <c r="E9159" s="13"/>
      <c r="F9159" s="13"/>
      <c r="G9159" s="12"/>
      <c r="H9159" s="11"/>
    </row>
    <row r="9160" spans="3:8" x14ac:dyDescent="0.25">
      <c r="C9160" s="12"/>
      <c r="D9160" s="13"/>
      <c r="E9160" s="13"/>
      <c r="F9160" s="13"/>
      <c r="G9160" s="12"/>
      <c r="H9160" s="11"/>
    </row>
    <row r="9161" spans="3:8" x14ac:dyDescent="0.25">
      <c r="C9161" s="12"/>
      <c r="D9161" s="13"/>
      <c r="E9161" s="13"/>
      <c r="F9161" s="13"/>
      <c r="G9161" s="12"/>
      <c r="H9161" s="11"/>
    </row>
    <row r="9162" spans="3:8" x14ac:dyDescent="0.25">
      <c r="C9162" s="12"/>
      <c r="D9162" s="13"/>
      <c r="E9162" s="13"/>
      <c r="F9162" s="13"/>
      <c r="G9162" s="12"/>
      <c r="H9162" s="11"/>
    </row>
    <row r="9163" spans="3:8" x14ac:dyDescent="0.25">
      <c r="C9163" s="12"/>
      <c r="D9163" s="13"/>
      <c r="E9163" s="13"/>
      <c r="F9163" s="13"/>
      <c r="G9163" s="12"/>
      <c r="H9163" s="11"/>
    </row>
    <row r="9164" spans="3:8" x14ac:dyDescent="0.25">
      <c r="C9164" s="12"/>
      <c r="D9164" s="13"/>
      <c r="E9164" s="13"/>
      <c r="F9164" s="13"/>
      <c r="G9164" s="12"/>
      <c r="H9164" s="11"/>
    </row>
    <row r="9165" spans="3:8" x14ac:dyDescent="0.25">
      <c r="C9165" s="12"/>
      <c r="D9165" s="13"/>
      <c r="E9165" s="13"/>
      <c r="F9165" s="13"/>
      <c r="G9165" s="12"/>
      <c r="H9165" s="11"/>
    </row>
    <row r="9166" spans="3:8" x14ac:dyDescent="0.25">
      <c r="C9166" s="12"/>
      <c r="D9166" s="13"/>
      <c r="E9166" s="13"/>
      <c r="F9166" s="13"/>
      <c r="G9166" s="12"/>
      <c r="H9166" s="11"/>
    </row>
    <row r="9167" spans="3:8" x14ac:dyDescent="0.25">
      <c r="C9167" s="12"/>
      <c r="D9167" s="13"/>
      <c r="E9167" s="13"/>
      <c r="F9167" s="13"/>
      <c r="G9167" s="12"/>
      <c r="H9167" s="11"/>
    </row>
    <row r="9168" spans="3:8" x14ac:dyDescent="0.25">
      <c r="C9168" s="12"/>
      <c r="D9168" s="13"/>
      <c r="E9168" s="13"/>
      <c r="F9168" s="13"/>
      <c r="G9168" s="12"/>
      <c r="H9168" s="11"/>
    </row>
    <row r="9169" spans="3:8" x14ac:dyDescent="0.25">
      <c r="C9169" s="12"/>
      <c r="D9169" s="13"/>
      <c r="E9169" s="13"/>
      <c r="F9169" s="13"/>
      <c r="G9169" s="12"/>
      <c r="H9169" s="11"/>
    </row>
    <row r="9170" spans="3:8" x14ac:dyDescent="0.25">
      <c r="C9170" s="12"/>
      <c r="D9170" s="13"/>
      <c r="E9170" s="13"/>
      <c r="F9170" s="13"/>
      <c r="G9170" s="12"/>
      <c r="H9170" s="11"/>
    </row>
    <row r="9171" spans="3:8" x14ac:dyDescent="0.25">
      <c r="C9171" s="12"/>
      <c r="D9171" s="13"/>
      <c r="E9171" s="13"/>
      <c r="F9171" s="13"/>
      <c r="G9171" s="12"/>
      <c r="H9171" s="11"/>
    </row>
    <row r="9172" spans="3:8" x14ac:dyDescent="0.25">
      <c r="C9172" s="12"/>
      <c r="D9172" s="13"/>
      <c r="E9172" s="13"/>
      <c r="F9172" s="13"/>
      <c r="G9172" s="12"/>
      <c r="H9172" s="11"/>
    </row>
    <row r="9173" spans="3:8" x14ac:dyDescent="0.25">
      <c r="C9173" s="12"/>
      <c r="D9173" s="13"/>
      <c r="E9173" s="13"/>
      <c r="F9173" s="13"/>
      <c r="G9173" s="12"/>
      <c r="H9173" s="11"/>
    </row>
    <row r="9174" spans="3:8" x14ac:dyDescent="0.25">
      <c r="C9174" s="12"/>
      <c r="D9174" s="13"/>
      <c r="E9174" s="13"/>
      <c r="F9174" s="13"/>
      <c r="G9174" s="12"/>
      <c r="H9174" s="11"/>
    </row>
    <row r="9175" spans="3:8" x14ac:dyDescent="0.25">
      <c r="C9175" s="12"/>
      <c r="D9175" s="13"/>
      <c r="E9175" s="13"/>
      <c r="F9175" s="13"/>
      <c r="G9175" s="12"/>
      <c r="H9175" s="11"/>
    </row>
    <row r="9176" spans="3:8" x14ac:dyDescent="0.25">
      <c r="C9176" s="12"/>
      <c r="D9176" s="13"/>
      <c r="E9176" s="13"/>
      <c r="F9176" s="13"/>
      <c r="G9176" s="12"/>
      <c r="H9176" s="11"/>
    </row>
    <row r="9177" spans="3:8" x14ac:dyDescent="0.25">
      <c r="C9177" s="12"/>
      <c r="D9177" s="13"/>
      <c r="E9177" s="13"/>
      <c r="F9177" s="13"/>
      <c r="G9177" s="12"/>
      <c r="H9177" s="11"/>
    </row>
    <row r="9178" spans="3:8" x14ac:dyDescent="0.25">
      <c r="C9178" s="12"/>
      <c r="D9178" s="13"/>
      <c r="E9178" s="13"/>
      <c r="F9178" s="13"/>
      <c r="G9178" s="12"/>
      <c r="H9178" s="11"/>
    </row>
    <row r="9179" spans="3:8" x14ac:dyDescent="0.25">
      <c r="C9179" s="12"/>
      <c r="D9179" s="13"/>
      <c r="E9179" s="13"/>
      <c r="F9179" s="13"/>
      <c r="G9179" s="12"/>
      <c r="H9179" s="11"/>
    </row>
    <row r="9180" spans="3:8" x14ac:dyDescent="0.25">
      <c r="C9180" s="12"/>
      <c r="D9180" s="13"/>
      <c r="E9180" s="13"/>
      <c r="F9180" s="13"/>
      <c r="G9180" s="12"/>
      <c r="H9180" s="11"/>
    </row>
    <row r="9181" spans="3:8" x14ac:dyDescent="0.25">
      <c r="C9181" s="12"/>
      <c r="D9181" s="13"/>
      <c r="E9181" s="13"/>
      <c r="F9181" s="13"/>
      <c r="G9181" s="12"/>
      <c r="H9181" s="11"/>
    </row>
    <row r="9182" spans="3:8" x14ac:dyDescent="0.25">
      <c r="C9182" s="12"/>
      <c r="D9182" s="13"/>
      <c r="E9182" s="13"/>
      <c r="F9182" s="13"/>
      <c r="G9182" s="12"/>
      <c r="H9182" s="11"/>
    </row>
    <row r="9183" spans="3:8" x14ac:dyDescent="0.25">
      <c r="C9183" s="12"/>
      <c r="D9183" s="13"/>
      <c r="E9183" s="13"/>
      <c r="F9183" s="13"/>
      <c r="G9183" s="12"/>
      <c r="H9183" s="11"/>
    </row>
    <row r="9184" spans="3:8" x14ac:dyDescent="0.25">
      <c r="C9184" s="12"/>
      <c r="D9184" s="13"/>
      <c r="E9184" s="13"/>
      <c r="F9184" s="13"/>
      <c r="G9184" s="12"/>
      <c r="H9184" s="11"/>
    </row>
    <row r="9185" spans="3:8" x14ac:dyDescent="0.25">
      <c r="C9185" s="12"/>
      <c r="D9185" s="13"/>
      <c r="E9185" s="13"/>
      <c r="F9185" s="13"/>
      <c r="G9185" s="12"/>
      <c r="H9185" s="11"/>
    </row>
    <row r="9186" spans="3:8" x14ac:dyDescent="0.25">
      <c r="C9186" s="12"/>
      <c r="D9186" s="13"/>
      <c r="E9186" s="13"/>
      <c r="F9186" s="13"/>
      <c r="G9186" s="12"/>
      <c r="H9186" s="11"/>
    </row>
    <row r="9187" spans="3:8" x14ac:dyDescent="0.25">
      <c r="C9187" s="12"/>
      <c r="D9187" s="13"/>
      <c r="E9187" s="13"/>
      <c r="F9187" s="13"/>
      <c r="G9187" s="12"/>
      <c r="H9187" s="11"/>
    </row>
    <row r="9188" spans="3:8" x14ac:dyDescent="0.25">
      <c r="C9188" s="12"/>
      <c r="D9188" s="13"/>
      <c r="E9188" s="13"/>
      <c r="F9188" s="13"/>
      <c r="G9188" s="12"/>
      <c r="H9188" s="11"/>
    </row>
    <row r="9189" spans="3:8" x14ac:dyDescent="0.25">
      <c r="C9189" s="12"/>
      <c r="D9189" s="13"/>
      <c r="E9189" s="13"/>
      <c r="F9189" s="13"/>
      <c r="G9189" s="12"/>
      <c r="H9189" s="11"/>
    </row>
    <row r="9190" spans="3:8" x14ac:dyDescent="0.25">
      <c r="C9190" s="12"/>
      <c r="D9190" s="13"/>
      <c r="E9190" s="13"/>
      <c r="F9190" s="13"/>
      <c r="G9190" s="12"/>
      <c r="H9190" s="11"/>
    </row>
    <row r="9191" spans="3:8" x14ac:dyDescent="0.25">
      <c r="C9191" s="12"/>
      <c r="D9191" s="13"/>
      <c r="E9191" s="13"/>
      <c r="F9191" s="13"/>
      <c r="G9191" s="12"/>
      <c r="H9191" s="11"/>
    </row>
    <row r="9192" spans="3:8" x14ac:dyDescent="0.25">
      <c r="C9192" s="12"/>
      <c r="D9192" s="13"/>
      <c r="E9192" s="13"/>
      <c r="F9192" s="13"/>
      <c r="G9192" s="12"/>
      <c r="H9192" s="11"/>
    </row>
    <row r="9193" spans="3:8" x14ac:dyDescent="0.25">
      <c r="C9193" s="12"/>
      <c r="D9193" s="13"/>
      <c r="E9193" s="13"/>
      <c r="F9193" s="13"/>
      <c r="G9193" s="12"/>
      <c r="H9193" s="11"/>
    </row>
    <row r="9194" spans="3:8" x14ac:dyDescent="0.25">
      <c r="C9194" s="12"/>
      <c r="D9194" s="13"/>
      <c r="E9194" s="13"/>
      <c r="F9194" s="13"/>
      <c r="G9194" s="12"/>
      <c r="H9194" s="11"/>
    </row>
    <row r="9195" spans="3:8" x14ac:dyDescent="0.25">
      <c r="C9195" s="12"/>
      <c r="D9195" s="13"/>
      <c r="E9195" s="13"/>
      <c r="F9195" s="13"/>
      <c r="G9195" s="12"/>
      <c r="H9195" s="11"/>
    </row>
    <row r="9196" spans="3:8" x14ac:dyDescent="0.25">
      <c r="C9196" s="12"/>
      <c r="D9196" s="13"/>
      <c r="E9196" s="13"/>
      <c r="F9196" s="13"/>
      <c r="G9196" s="12"/>
      <c r="H9196" s="11"/>
    </row>
    <row r="9197" spans="3:8" x14ac:dyDescent="0.25">
      <c r="C9197" s="12"/>
      <c r="D9197" s="13"/>
      <c r="E9197" s="13"/>
      <c r="F9197" s="13"/>
      <c r="G9197" s="12"/>
      <c r="H9197" s="11"/>
    </row>
    <row r="9198" spans="3:8" x14ac:dyDescent="0.25">
      <c r="C9198" s="12"/>
      <c r="D9198" s="13"/>
      <c r="E9198" s="13"/>
      <c r="F9198" s="13"/>
      <c r="G9198" s="12"/>
      <c r="H9198" s="11"/>
    </row>
    <row r="9199" spans="3:8" x14ac:dyDescent="0.25">
      <c r="C9199" s="12"/>
      <c r="D9199" s="13"/>
      <c r="E9199" s="13"/>
      <c r="F9199" s="13"/>
      <c r="G9199" s="12"/>
      <c r="H9199" s="11"/>
    </row>
    <row r="9200" spans="3:8" x14ac:dyDescent="0.25">
      <c r="C9200" s="12"/>
      <c r="D9200" s="13"/>
      <c r="E9200" s="13"/>
      <c r="F9200" s="13"/>
      <c r="G9200" s="12"/>
      <c r="H9200" s="11"/>
    </row>
    <row r="9201" spans="3:8" x14ac:dyDescent="0.25">
      <c r="C9201" s="12"/>
      <c r="D9201" s="13"/>
      <c r="E9201" s="13"/>
      <c r="F9201" s="13"/>
      <c r="G9201" s="12"/>
      <c r="H9201" s="11"/>
    </row>
    <row r="9202" spans="3:8" x14ac:dyDescent="0.25">
      <c r="C9202" s="12"/>
      <c r="D9202" s="13"/>
      <c r="E9202" s="13"/>
      <c r="F9202" s="13"/>
      <c r="G9202" s="12"/>
      <c r="H9202" s="11"/>
    </row>
    <row r="9203" spans="3:8" x14ac:dyDescent="0.25">
      <c r="C9203" s="12"/>
      <c r="D9203" s="13"/>
      <c r="E9203" s="13"/>
      <c r="F9203" s="13"/>
      <c r="G9203" s="12"/>
      <c r="H9203" s="11"/>
    </row>
    <row r="9204" spans="3:8" x14ac:dyDescent="0.25">
      <c r="C9204" s="12"/>
      <c r="D9204" s="13"/>
      <c r="E9204" s="13"/>
      <c r="F9204" s="13"/>
      <c r="G9204" s="12"/>
      <c r="H9204" s="11"/>
    </row>
    <row r="9205" spans="3:8" x14ac:dyDescent="0.25">
      <c r="C9205" s="12"/>
      <c r="D9205" s="13"/>
      <c r="E9205" s="13"/>
      <c r="F9205" s="13"/>
      <c r="G9205" s="12"/>
      <c r="H9205" s="11"/>
    </row>
    <row r="9206" spans="3:8" x14ac:dyDescent="0.25">
      <c r="C9206" s="12"/>
      <c r="D9206" s="13"/>
      <c r="E9206" s="13"/>
      <c r="F9206" s="13"/>
      <c r="G9206" s="12"/>
      <c r="H9206" s="11"/>
    </row>
    <row r="9207" spans="3:8" x14ac:dyDescent="0.25">
      <c r="C9207" s="12"/>
      <c r="D9207" s="13"/>
      <c r="E9207" s="13"/>
      <c r="F9207" s="13"/>
      <c r="G9207" s="12"/>
      <c r="H9207" s="11"/>
    </row>
    <row r="9208" spans="3:8" x14ac:dyDescent="0.25">
      <c r="C9208" s="12"/>
      <c r="D9208" s="13"/>
      <c r="E9208" s="13"/>
      <c r="F9208" s="13"/>
      <c r="G9208" s="12"/>
      <c r="H9208" s="11"/>
    </row>
    <row r="9209" spans="3:8" x14ac:dyDescent="0.25">
      <c r="C9209" s="12"/>
      <c r="D9209" s="13"/>
      <c r="E9209" s="13"/>
      <c r="F9209" s="13"/>
      <c r="G9209" s="12"/>
      <c r="H9209" s="11"/>
    </row>
    <row r="9210" spans="3:8" x14ac:dyDescent="0.25">
      <c r="C9210" s="12"/>
      <c r="D9210" s="13"/>
      <c r="E9210" s="13"/>
      <c r="F9210" s="13"/>
      <c r="G9210" s="12"/>
      <c r="H9210" s="11"/>
    </row>
    <row r="9211" spans="3:8" x14ac:dyDescent="0.25">
      <c r="C9211" s="12"/>
      <c r="D9211" s="13"/>
      <c r="E9211" s="13"/>
      <c r="F9211" s="13"/>
      <c r="G9211" s="12"/>
      <c r="H9211" s="11"/>
    </row>
    <row r="9212" spans="3:8" x14ac:dyDescent="0.25">
      <c r="C9212" s="12"/>
      <c r="D9212" s="13"/>
      <c r="E9212" s="13"/>
      <c r="F9212" s="13"/>
      <c r="G9212" s="12"/>
      <c r="H9212" s="11"/>
    </row>
    <row r="9213" spans="3:8" x14ac:dyDescent="0.25">
      <c r="C9213" s="12"/>
      <c r="D9213" s="13"/>
      <c r="E9213" s="13"/>
      <c r="F9213" s="13"/>
      <c r="G9213" s="12"/>
      <c r="H9213" s="11"/>
    </row>
    <row r="9214" spans="3:8" x14ac:dyDescent="0.25">
      <c r="C9214" s="12"/>
      <c r="D9214" s="13"/>
      <c r="E9214" s="13"/>
      <c r="F9214" s="13"/>
      <c r="G9214" s="12"/>
      <c r="H9214" s="11"/>
    </row>
    <row r="9215" spans="3:8" x14ac:dyDescent="0.25">
      <c r="C9215" s="12"/>
      <c r="D9215" s="13"/>
      <c r="E9215" s="13"/>
      <c r="F9215" s="13"/>
      <c r="G9215" s="12"/>
      <c r="H9215" s="11"/>
    </row>
    <row r="9216" spans="3:8" x14ac:dyDescent="0.25">
      <c r="C9216" s="12"/>
      <c r="D9216" s="13"/>
      <c r="E9216" s="13"/>
      <c r="F9216" s="13"/>
      <c r="G9216" s="12"/>
      <c r="H9216" s="11"/>
    </row>
    <row r="9217" spans="3:8" x14ac:dyDescent="0.25">
      <c r="C9217" s="12"/>
      <c r="D9217" s="13"/>
      <c r="E9217" s="13"/>
      <c r="F9217" s="13"/>
      <c r="G9217" s="12"/>
      <c r="H9217" s="11"/>
    </row>
    <row r="9218" spans="3:8" x14ac:dyDescent="0.25">
      <c r="C9218" s="12"/>
      <c r="D9218" s="13"/>
      <c r="E9218" s="13"/>
      <c r="F9218" s="13"/>
      <c r="G9218" s="12"/>
      <c r="H9218" s="11"/>
    </row>
    <row r="9219" spans="3:8" x14ac:dyDescent="0.25">
      <c r="C9219" s="12"/>
      <c r="D9219" s="13"/>
      <c r="E9219" s="13"/>
      <c r="F9219" s="13"/>
      <c r="G9219" s="12"/>
      <c r="H9219" s="11"/>
    </row>
    <row r="9220" spans="3:8" x14ac:dyDescent="0.25">
      <c r="C9220" s="12"/>
      <c r="D9220" s="13"/>
      <c r="E9220" s="13"/>
      <c r="F9220" s="13"/>
      <c r="G9220" s="12"/>
      <c r="H9220" s="11"/>
    </row>
    <row r="9221" spans="3:8" x14ac:dyDescent="0.25">
      <c r="C9221" s="12"/>
      <c r="D9221" s="13"/>
      <c r="E9221" s="13"/>
      <c r="F9221" s="13"/>
      <c r="G9221" s="12"/>
      <c r="H9221" s="11"/>
    </row>
    <row r="9222" spans="3:8" x14ac:dyDescent="0.25">
      <c r="C9222" s="12"/>
      <c r="D9222" s="13"/>
      <c r="E9222" s="13"/>
      <c r="F9222" s="13"/>
      <c r="G9222" s="12"/>
      <c r="H9222" s="11"/>
    </row>
    <row r="9223" spans="3:8" x14ac:dyDescent="0.25">
      <c r="C9223" s="12"/>
      <c r="D9223" s="13"/>
      <c r="E9223" s="13"/>
      <c r="F9223" s="13"/>
      <c r="G9223" s="12"/>
      <c r="H9223" s="11"/>
    </row>
    <row r="9224" spans="3:8" x14ac:dyDescent="0.25">
      <c r="C9224" s="12"/>
      <c r="D9224" s="13"/>
      <c r="E9224" s="13"/>
      <c r="F9224" s="13"/>
      <c r="G9224" s="12"/>
      <c r="H9224" s="11"/>
    </row>
    <row r="9225" spans="3:8" x14ac:dyDescent="0.25">
      <c r="C9225" s="12"/>
      <c r="D9225" s="13"/>
      <c r="E9225" s="13"/>
      <c r="F9225" s="13"/>
      <c r="G9225" s="12"/>
      <c r="H9225" s="11"/>
    </row>
    <row r="9226" spans="3:8" x14ac:dyDescent="0.25">
      <c r="C9226" s="12"/>
      <c r="D9226" s="13"/>
      <c r="E9226" s="13"/>
      <c r="F9226" s="13"/>
      <c r="G9226" s="12"/>
      <c r="H9226" s="11"/>
    </row>
    <row r="9227" spans="3:8" x14ac:dyDescent="0.25">
      <c r="C9227" s="12"/>
      <c r="D9227" s="13"/>
      <c r="E9227" s="13"/>
      <c r="F9227" s="13"/>
      <c r="G9227" s="12"/>
      <c r="H9227" s="11"/>
    </row>
    <row r="9228" spans="3:8" x14ac:dyDescent="0.25">
      <c r="C9228" s="12"/>
      <c r="D9228" s="13"/>
      <c r="E9228" s="13"/>
      <c r="F9228" s="13"/>
      <c r="G9228" s="12"/>
      <c r="H9228" s="11"/>
    </row>
    <row r="9229" spans="3:8" x14ac:dyDescent="0.25">
      <c r="C9229" s="12"/>
      <c r="D9229" s="13"/>
      <c r="E9229" s="13"/>
      <c r="F9229" s="13"/>
      <c r="G9229" s="12"/>
      <c r="H9229" s="11"/>
    </row>
    <row r="9230" spans="3:8" x14ac:dyDescent="0.25">
      <c r="C9230" s="12"/>
      <c r="D9230" s="13"/>
      <c r="E9230" s="13"/>
      <c r="F9230" s="13"/>
      <c r="G9230" s="12"/>
      <c r="H9230" s="11"/>
    </row>
    <row r="9231" spans="3:8" x14ac:dyDescent="0.25">
      <c r="C9231" s="12"/>
      <c r="D9231" s="13"/>
      <c r="E9231" s="13"/>
      <c r="F9231" s="13"/>
      <c r="G9231" s="12"/>
      <c r="H9231" s="11"/>
    </row>
    <row r="9232" spans="3:8" x14ac:dyDescent="0.25">
      <c r="C9232" s="12"/>
      <c r="D9232" s="13"/>
      <c r="E9232" s="13"/>
      <c r="F9232" s="13"/>
      <c r="G9232" s="12"/>
      <c r="H9232" s="11"/>
    </row>
    <row r="9233" spans="3:8" x14ac:dyDescent="0.25">
      <c r="C9233" s="12"/>
      <c r="D9233" s="13"/>
      <c r="E9233" s="13"/>
      <c r="F9233" s="13"/>
      <c r="G9233" s="12"/>
      <c r="H9233" s="11"/>
    </row>
    <row r="9234" spans="3:8" x14ac:dyDescent="0.25">
      <c r="C9234" s="12"/>
      <c r="D9234" s="13"/>
      <c r="E9234" s="13"/>
      <c r="F9234" s="13"/>
      <c r="G9234" s="12"/>
      <c r="H9234" s="11"/>
    </row>
    <row r="9235" spans="3:8" x14ac:dyDescent="0.25">
      <c r="C9235" s="12"/>
      <c r="D9235" s="13"/>
      <c r="E9235" s="13"/>
      <c r="F9235" s="13"/>
      <c r="G9235" s="12"/>
      <c r="H9235" s="11"/>
    </row>
    <row r="9236" spans="3:8" x14ac:dyDescent="0.25">
      <c r="C9236" s="12"/>
      <c r="D9236" s="13"/>
      <c r="E9236" s="13"/>
      <c r="F9236" s="13"/>
      <c r="G9236" s="12"/>
      <c r="H9236" s="11"/>
    </row>
    <row r="9237" spans="3:8" x14ac:dyDescent="0.25">
      <c r="C9237" s="12"/>
      <c r="D9237" s="13"/>
      <c r="E9237" s="13"/>
      <c r="F9237" s="13"/>
      <c r="G9237" s="12"/>
      <c r="H9237" s="11"/>
    </row>
    <row r="9238" spans="3:8" x14ac:dyDescent="0.25">
      <c r="C9238" s="12"/>
      <c r="D9238" s="13"/>
      <c r="E9238" s="13"/>
      <c r="F9238" s="13"/>
      <c r="G9238" s="12"/>
      <c r="H9238" s="11"/>
    </row>
    <row r="9239" spans="3:8" x14ac:dyDescent="0.25">
      <c r="C9239" s="12"/>
      <c r="D9239" s="13"/>
      <c r="E9239" s="13"/>
      <c r="F9239" s="13"/>
      <c r="G9239" s="12"/>
      <c r="H9239" s="11"/>
    </row>
    <row r="9240" spans="3:8" x14ac:dyDescent="0.25">
      <c r="C9240" s="12"/>
      <c r="D9240" s="13"/>
      <c r="E9240" s="13"/>
      <c r="F9240" s="13"/>
      <c r="G9240" s="12"/>
      <c r="H9240" s="11"/>
    </row>
    <row r="9241" spans="3:8" x14ac:dyDescent="0.25">
      <c r="C9241" s="12"/>
      <c r="D9241" s="13"/>
      <c r="E9241" s="13"/>
      <c r="F9241" s="13"/>
      <c r="G9241" s="12"/>
      <c r="H9241" s="11"/>
    </row>
    <row r="9242" spans="3:8" x14ac:dyDescent="0.25">
      <c r="C9242" s="12"/>
      <c r="D9242" s="13"/>
      <c r="E9242" s="13"/>
      <c r="F9242" s="13"/>
      <c r="G9242" s="12"/>
      <c r="H9242" s="11"/>
    </row>
    <row r="9243" spans="3:8" x14ac:dyDescent="0.25">
      <c r="C9243" s="12"/>
      <c r="D9243" s="13"/>
      <c r="E9243" s="13"/>
      <c r="F9243" s="13"/>
      <c r="G9243" s="12"/>
      <c r="H9243" s="11"/>
    </row>
    <row r="9244" spans="3:8" x14ac:dyDescent="0.25">
      <c r="C9244" s="12"/>
      <c r="D9244" s="13"/>
      <c r="E9244" s="13"/>
      <c r="F9244" s="13"/>
      <c r="G9244" s="12"/>
      <c r="H9244" s="11"/>
    </row>
    <row r="9245" spans="3:8" x14ac:dyDescent="0.25">
      <c r="C9245" s="12"/>
      <c r="D9245" s="13"/>
      <c r="E9245" s="13"/>
      <c r="F9245" s="13"/>
      <c r="G9245" s="12"/>
      <c r="H9245" s="11"/>
    </row>
    <row r="9246" spans="3:8" x14ac:dyDescent="0.25">
      <c r="C9246" s="12"/>
      <c r="D9246" s="13"/>
      <c r="E9246" s="13"/>
      <c r="F9246" s="13"/>
      <c r="G9246" s="12"/>
      <c r="H9246" s="11"/>
    </row>
    <row r="9247" spans="3:8" x14ac:dyDescent="0.25">
      <c r="C9247" s="12"/>
      <c r="D9247" s="13"/>
      <c r="E9247" s="13"/>
      <c r="F9247" s="13"/>
      <c r="G9247" s="12"/>
      <c r="H9247" s="11"/>
    </row>
    <row r="9248" spans="3:8" x14ac:dyDescent="0.25">
      <c r="C9248" s="12"/>
      <c r="D9248" s="13"/>
      <c r="E9248" s="13"/>
      <c r="F9248" s="13"/>
      <c r="G9248" s="12"/>
      <c r="H9248" s="11"/>
    </row>
    <row r="9249" spans="3:8" x14ac:dyDescent="0.25">
      <c r="C9249" s="12"/>
      <c r="D9249" s="13"/>
      <c r="E9249" s="13"/>
      <c r="F9249" s="13"/>
      <c r="G9249" s="12"/>
      <c r="H9249" s="11"/>
    </row>
    <row r="9250" spans="3:8" x14ac:dyDescent="0.25">
      <c r="C9250" s="12"/>
      <c r="D9250" s="13"/>
      <c r="E9250" s="13"/>
      <c r="F9250" s="13"/>
      <c r="G9250" s="12"/>
      <c r="H9250" s="11"/>
    </row>
    <row r="9251" spans="3:8" x14ac:dyDescent="0.25">
      <c r="C9251" s="12"/>
      <c r="D9251" s="13"/>
      <c r="E9251" s="13"/>
      <c r="F9251" s="13"/>
      <c r="G9251" s="12"/>
      <c r="H9251" s="11"/>
    </row>
    <row r="9252" spans="3:8" x14ac:dyDescent="0.25">
      <c r="C9252" s="12"/>
      <c r="D9252" s="13"/>
      <c r="E9252" s="13"/>
      <c r="F9252" s="13"/>
      <c r="G9252" s="12"/>
      <c r="H9252" s="11"/>
    </row>
    <row r="9253" spans="3:8" x14ac:dyDescent="0.25">
      <c r="C9253" s="12"/>
      <c r="D9253" s="13"/>
      <c r="E9253" s="13"/>
      <c r="F9253" s="13"/>
      <c r="G9253" s="12"/>
      <c r="H9253" s="11"/>
    </row>
    <row r="9254" spans="3:8" x14ac:dyDescent="0.25">
      <c r="C9254" s="12"/>
      <c r="D9254" s="13"/>
      <c r="E9254" s="13"/>
      <c r="F9254" s="13"/>
      <c r="G9254" s="12"/>
      <c r="H9254" s="11"/>
    </row>
    <row r="9255" spans="3:8" x14ac:dyDescent="0.25">
      <c r="C9255" s="12"/>
      <c r="D9255" s="13"/>
      <c r="E9255" s="13"/>
      <c r="F9255" s="13"/>
      <c r="G9255" s="12"/>
      <c r="H9255" s="11"/>
    </row>
    <row r="9256" spans="3:8" x14ac:dyDescent="0.25">
      <c r="C9256" s="12"/>
      <c r="D9256" s="13"/>
      <c r="E9256" s="13"/>
      <c r="F9256" s="13"/>
      <c r="G9256" s="12"/>
      <c r="H9256" s="11"/>
    </row>
    <row r="9257" spans="3:8" x14ac:dyDescent="0.25">
      <c r="C9257" s="12"/>
      <c r="D9257" s="13"/>
      <c r="E9257" s="13"/>
      <c r="F9257" s="13"/>
      <c r="G9257" s="12"/>
      <c r="H9257" s="11"/>
    </row>
    <row r="9258" spans="3:8" x14ac:dyDescent="0.25">
      <c r="C9258" s="12"/>
      <c r="D9258" s="13"/>
      <c r="E9258" s="13"/>
      <c r="F9258" s="13"/>
      <c r="G9258" s="12"/>
      <c r="H9258" s="11"/>
    </row>
    <row r="9259" spans="3:8" x14ac:dyDescent="0.25">
      <c r="C9259" s="12"/>
      <c r="D9259" s="13"/>
      <c r="E9259" s="13"/>
      <c r="F9259" s="13"/>
      <c r="G9259" s="12"/>
      <c r="H9259" s="11"/>
    </row>
    <row r="9260" spans="3:8" x14ac:dyDescent="0.25">
      <c r="C9260" s="12"/>
      <c r="D9260" s="13"/>
      <c r="E9260" s="13"/>
      <c r="F9260" s="13"/>
      <c r="G9260" s="12"/>
      <c r="H9260" s="11"/>
    </row>
    <row r="9261" spans="3:8" x14ac:dyDescent="0.25">
      <c r="C9261" s="12"/>
      <c r="D9261" s="13"/>
      <c r="E9261" s="13"/>
      <c r="F9261" s="13"/>
      <c r="G9261" s="12"/>
      <c r="H9261" s="11"/>
    </row>
    <row r="9262" spans="3:8" x14ac:dyDescent="0.25">
      <c r="C9262" s="12"/>
      <c r="D9262" s="13"/>
      <c r="E9262" s="13"/>
      <c r="F9262" s="13"/>
      <c r="G9262" s="12"/>
      <c r="H9262" s="11"/>
    </row>
    <row r="9263" spans="3:8" x14ac:dyDescent="0.25">
      <c r="C9263" s="12"/>
      <c r="D9263" s="13"/>
      <c r="E9263" s="13"/>
      <c r="F9263" s="13"/>
      <c r="G9263" s="12"/>
      <c r="H9263" s="11"/>
    </row>
    <row r="9264" spans="3:8" x14ac:dyDescent="0.25">
      <c r="C9264" s="12"/>
      <c r="D9264" s="13"/>
      <c r="E9264" s="13"/>
      <c r="F9264" s="13"/>
      <c r="G9264" s="12"/>
      <c r="H9264" s="11"/>
    </row>
    <row r="9265" spans="3:8" x14ac:dyDescent="0.25">
      <c r="C9265" s="12"/>
      <c r="D9265" s="13"/>
      <c r="E9265" s="13"/>
      <c r="F9265" s="13"/>
      <c r="G9265" s="12"/>
      <c r="H9265" s="11"/>
    </row>
    <row r="9266" spans="3:8" x14ac:dyDescent="0.25">
      <c r="C9266" s="12"/>
      <c r="D9266" s="13"/>
      <c r="E9266" s="13"/>
      <c r="F9266" s="13"/>
      <c r="G9266" s="12"/>
      <c r="H9266" s="11"/>
    </row>
    <row r="9267" spans="3:8" x14ac:dyDescent="0.25">
      <c r="C9267" s="12"/>
      <c r="D9267" s="13"/>
      <c r="E9267" s="13"/>
      <c r="F9267" s="13"/>
      <c r="G9267" s="12"/>
      <c r="H9267" s="11"/>
    </row>
    <row r="9268" spans="3:8" x14ac:dyDescent="0.25">
      <c r="C9268" s="12"/>
      <c r="D9268" s="13"/>
      <c r="E9268" s="13"/>
      <c r="F9268" s="13"/>
      <c r="G9268" s="12"/>
      <c r="H9268" s="11"/>
    </row>
    <row r="9269" spans="3:8" x14ac:dyDescent="0.25">
      <c r="C9269" s="12"/>
      <c r="D9269" s="13"/>
      <c r="E9269" s="13"/>
      <c r="F9269" s="13"/>
      <c r="G9269" s="12"/>
      <c r="H9269" s="11"/>
    </row>
    <row r="9270" spans="3:8" x14ac:dyDescent="0.25">
      <c r="C9270" s="12"/>
      <c r="D9270" s="13"/>
      <c r="E9270" s="13"/>
      <c r="F9270" s="13"/>
      <c r="G9270" s="12"/>
      <c r="H9270" s="11"/>
    </row>
    <row r="9271" spans="3:8" x14ac:dyDescent="0.25">
      <c r="C9271" s="12"/>
      <c r="D9271" s="13"/>
      <c r="E9271" s="13"/>
      <c r="F9271" s="13"/>
      <c r="G9271" s="12"/>
      <c r="H9271" s="11"/>
    </row>
    <row r="9272" spans="3:8" x14ac:dyDescent="0.25">
      <c r="C9272" s="12"/>
      <c r="D9272" s="13"/>
      <c r="E9272" s="13"/>
      <c r="F9272" s="13"/>
      <c r="G9272" s="12"/>
      <c r="H9272" s="11"/>
    </row>
    <row r="9273" spans="3:8" x14ac:dyDescent="0.25">
      <c r="C9273" s="12"/>
      <c r="D9273" s="13"/>
      <c r="E9273" s="13"/>
      <c r="F9273" s="13"/>
      <c r="G9273" s="12"/>
      <c r="H9273" s="11"/>
    </row>
    <row r="9274" spans="3:8" x14ac:dyDescent="0.25">
      <c r="C9274" s="12"/>
      <c r="D9274" s="13"/>
      <c r="E9274" s="13"/>
      <c r="F9274" s="13"/>
      <c r="G9274" s="12"/>
      <c r="H9274" s="11"/>
    </row>
    <row r="9275" spans="3:8" x14ac:dyDescent="0.25">
      <c r="C9275" s="12"/>
      <c r="D9275" s="13"/>
      <c r="E9275" s="13"/>
      <c r="F9275" s="13"/>
      <c r="G9275" s="12"/>
      <c r="H9275" s="11"/>
    </row>
    <row r="9276" spans="3:8" x14ac:dyDescent="0.25">
      <c r="C9276" s="12"/>
      <c r="D9276" s="13"/>
      <c r="E9276" s="13"/>
      <c r="F9276" s="13"/>
      <c r="G9276" s="12"/>
      <c r="H9276" s="11"/>
    </row>
    <row r="9277" spans="3:8" x14ac:dyDescent="0.25">
      <c r="C9277" s="12"/>
      <c r="D9277" s="13"/>
      <c r="E9277" s="13"/>
      <c r="F9277" s="13"/>
      <c r="G9277" s="12"/>
      <c r="H9277" s="11"/>
    </row>
    <row r="9278" spans="3:8" x14ac:dyDescent="0.25">
      <c r="C9278" s="12"/>
      <c r="D9278" s="13"/>
      <c r="E9278" s="13"/>
      <c r="F9278" s="13"/>
      <c r="G9278" s="12"/>
      <c r="H9278" s="11"/>
    </row>
    <row r="9279" spans="3:8" x14ac:dyDescent="0.25">
      <c r="C9279" s="12"/>
      <c r="D9279" s="13"/>
      <c r="E9279" s="13"/>
      <c r="F9279" s="13"/>
      <c r="G9279" s="12"/>
      <c r="H9279" s="11"/>
    </row>
    <row r="9280" spans="3:8" x14ac:dyDescent="0.25">
      <c r="C9280" s="12"/>
      <c r="D9280" s="13"/>
      <c r="E9280" s="13"/>
      <c r="F9280" s="13"/>
      <c r="G9280" s="12"/>
      <c r="H9280" s="11"/>
    </row>
    <row r="9281" spans="3:8" x14ac:dyDescent="0.25">
      <c r="C9281" s="12"/>
      <c r="D9281" s="13"/>
      <c r="E9281" s="13"/>
      <c r="F9281" s="13"/>
      <c r="G9281" s="12"/>
      <c r="H9281" s="11"/>
    </row>
    <row r="9282" spans="3:8" x14ac:dyDescent="0.25">
      <c r="C9282" s="12"/>
      <c r="D9282" s="13"/>
      <c r="E9282" s="13"/>
      <c r="F9282" s="13"/>
      <c r="G9282" s="12"/>
      <c r="H9282" s="11"/>
    </row>
    <row r="9283" spans="3:8" x14ac:dyDescent="0.25">
      <c r="C9283" s="12"/>
      <c r="D9283" s="13"/>
      <c r="E9283" s="13"/>
      <c r="F9283" s="13"/>
      <c r="G9283" s="12"/>
      <c r="H9283" s="11"/>
    </row>
    <row r="9284" spans="3:8" x14ac:dyDescent="0.25">
      <c r="C9284" s="12"/>
      <c r="D9284" s="13"/>
      <c r="E9284" s="13"/>
      <c r="F9284" s="13"/>
      <c r="G9284" s="12"/>
      <c r="H9284" s="11"/>
    </row>
    <row r="9285" spans="3:8" x14ac:dyDescent="0.25">
      <c r="C9285" s="12"/>
      <c r="D9285" s="13"/>
      <c r="E9285" s="13"/>
      <c r="F9285" s="13"/>
      <c r="G9285" s="12"/>
      <c r="H9285" s="11"/>
    </row>
    <row r="9286" spans="3:8" x14ac:dyDescent="0.25">
      <c r="C9286" s="12"/>
      <c r="D9286" s="13"/>
      <c r="E9286" s="13"/>
      <c r="F9286" s="13"/>
      <c r="G9286" s="12"/>
      <c r="H9286" s="11"/>
    </row>
    <row r="9287" spans="3:8" x14ac:dyDescent="0.25">
      <c r="C9287" s="12"/>
      <c r="D9287" s="13"/>
      <c r="E9287" s="13"/>
      <c r="F9287" s="13"/>
      <c r="G9287" s="12"/>
      <c r="H9287" s="11"/>
    </row>
    <row r="9288" spans="3:8" x14ac:dyDescent="0.25">
      <c r="C9288" s="12"/>
      <c r="D9288" s="13"/>
      <c r="E9288" s="13"/>
      <c r="F9288" s="13"/>
      <c r="G9288" s="12"/>
      <c r="H9288" s="11"/>
    </row>
    <row r="9289" spans="3:8" x14ac:dyDescent="0.25">
      <c r="C9289" s="12"/>
      <c r="D9289" s="13"/>
      <c r="E9289" s="13"/>
      <c r="F9289" s="13"/>
      <c r="G9289" s="12"/>
      <c r="H9289" s="11"/>
    </row>
    <row r="9290" spans="3:8" x14ac:dyDescent="0.25">
      <c r="C9290" s="12"/>
      <c r="D9290" s="13"/>
      <c r="E9290" s="13"/>
      <c r="F9290" s="13"/>
      <c r="G9290" s="12"/>
      <c r="H9290" s="11"/>
    </row>
    <row r="9291" spans="3:8" x14ac:dyDescent="0.25">
      <c r="C9291" s="12"/>
      <c r="D9291" s="13"/>
      <c r="E9291" s="13"/>
      <c r="F9291" s="13"/>
      <c r="G9291" s="12"/>
      <c r="H9291" s="11"/>
    </row>
    <row r="9292" spans="3:8" x14ac:dyDescent="0.25">
      <c r="C9292" s="12"/>
      <c r="D9292" s="13"/>
      <c r="E9292" s="13"/>
      <c r="F9292" s="13"/>
      <c r="G9292" s="12"/>
      <c r="H9292" s="11"/>
    </row>
    <row r="9293" spans="3:8" x14ac:dyDescent="0.25">
      <c r="C9293" s="12"/>
      <c r="D9293" s="13"/>
      <c r="E9293" s="13"/>
      <c r="F9293" s="13"/>
      <c r="G9293" s="12"/>
      <c r="H9293" s="11"/>
    </row>
    <row r="9294" spans="3:8" x14ac:dyDescent="0.25">
      <c r="C9294" s="12"/>
      <c r="D9294" s="13"/>
      <c r="E9294" s="13"/>
      <c r="F9294" s="13"/>
      <c r="G9294" s="12"/>
      <c r="H9294" s="11"/>
    </row>
    <row r="9295" spans="3:8" x14ac:dyDescent="0.25">
      <c r="C9295" s="12"/>
      <c r="D9295" s="13"/>
      <c r="E9295" s="13"/>
      <c r="F9295" s="13"/>
      <c r="G9295" s="12"/>
      <c r="H9295" s="11"/>
    </row>
    <row r="9296" spans="3:8" x14ac:dyDescent="0.25">
      <c r="C9296" s="12"/>
      <c r="D9296" s="13"/>
      <c r="E9296" s="13"/>
      <c r="F9296" s="13"/>
      <c r="G9296" s="12"/>
      <c r="H9296" s="11"/>
    </row>
    <row r="9297" spans="3:8" x14ac:dyDescent="0.25">
      <c r="C9297" s="12"/>
      <c r="D9297" s="13"/>
      <c r="E9297" s="13"/>
      <c r="F9297" s="13"/>
      <c r="G9297" s="12"/>
      <c r="H9297" s="11"/>
    </row>
    <row r="9298" spans="3:8" x14ac:dyDescent="0.25">
      <c r="C9298" s="12"/>
      <c r="D9298" s="13"/>
      <c r="E9298" s="13"/>
      <c r="F9298" s="13"/>
      <c r="G9298" s="12"/>
      <c r="H9298" s="11"/>
    </row>
    <row r="9299" spans="3:8" x14ac:dyDescent="0.25">
      <c r="C9299" s="12"/>
      <c r="D9299" s="13"/>
      <c r="E9299" s="13"/>
      <c r="F9299" s="13"/>
      <c r="G9299" s="12"/>
      <c r="H9299" s="11"/>
    </row>
    <row r="9300" spans="3:8" x14ac:dyDescent="0.25">
      <c r="C9300" s="12"/>
      <c r="D9300" s="13"/>
      <c r="E9300" s="13"/>
      <c r="F9300" s="13"/>
      <c r="G9300" s="12"/>
      <c r="H9300" s="11"/>
    </row>
    <row r="9301" spans="3:8" x14ac:dyDescent="0.25">
      <c r="C9301" s="12"/>
      <c r="D9301" s="13"/>
      <c r="E9301" s="13"/>
      <c r="F9301" s="13"/>
      <c r="G9301" s="12"/>
      <c r="H9301" s="11"/>
    </row>
    <row r="9302" spans="3:8" x14ac:dyDescent="0.25">
      <c r="C9302" s="12"/>
      <c r="D9302" s="13"/>
      <c r="E9302" s="13"/>
      <c r="F9302" s="13"/>
      <c r="G9302" s="12"/>
      <c r="H9302" s="11"/>
    </row>
    <row r="9303" spans="3:8" x14ac:dyDescent="0.25">
      <c r="C9303" s="12"/>
      <c r="D9303" s="13"/>
      <c r="E9303" s="13"/>
      <c r="F9303" s="13"/>
      <c r="G9303" s="12"/>
      <c r="H9303" s="11"/>
    </row>
    <row r="9304" spans="3:8" x14ac:dyDescent="0.25">
      <c r="C9304" s="12"/>
      <c r="D9304" s="13"/>
      <c r="E9304" s="13"/>
      <c r="F9304" s="13"/>
      <c r="G9304" s="12"/>
      <c r="H9304" s="11"/>
    </row>
    <row r="9305" spans="3:8" x14ac:dyDescent="0.25">
      <c r="C9305" s="12"/>
      <c r="D9305" s="13"/>
      <c r="E9305" s="13"/>
      <c r="F9305" s="13"/>
      <c r="G9305" s="12"/>
      <c r="H9305" s="11"/>
    </row>
    <row r="9306" spans="3:8" x14ac:dyDescent="0.25">
      <c r="C9306" s="12"/>
      <c r="D9306" s="13"/>
      <c r="E9306" s="13"/>
      <c r="F9306" s="13"/>
      <c r="G9306" s="12"/>
      <c r="H9306" s="11"/>
    </row>
    <row r="9307" spans="3:8" x14ac:dyDescent="0.25">
      <c r="C9307" s="12"/>
      <c r="D9307" s="13"/>
      <c r="E9307" s="13"/>
      <c r="F9307" s="13"/>
      <c r="G9307" s="12"/>
      <c r="H9307" s="11"/>
    </row>
    <row r="9308" spans="3:8" x14ac:dyDescent="0.25">
      <c r="C9308" s="12"/>
      <c r="D9308" s="13"/>
      <c r="E9308" s="13"/>
      <c r="F9308" s="13"/>
      <c r="G9308" s="12"/>
      <c r="H9308" s="11"/>
    </row>
    <row r="9309" spans="3:8" x14ac:dyDescent="0.25">
      <c r="C9309" s="12"/>
      <c r="D9309" s="13"/>
      <c r="E9309" s="13"/>
      <c r="F9309" s="13"/>
      <c r="G9309" s="12"/>
      <c r="H9309" s="11"/>
    </row>
    <row r="9310" spans="3:8" x14ac:dyDescent="0.25">
      <c r="C9310" s="12"/>
      <c r="D9310" s="13"/>
      <c r="E9310" s="13"/>
      <c r="F9310" s="13"/>
      <c r="G9310" s="12"/>
      <c r="H9310" s="11"/>
    </row>
    <row r="9311" spans="3:8" x14ac:dyDescent="0.25">
      <c r="C9311" s="12"/>
      <c r="D9311" s="13"/>
      <c r="E9311" s="13"/>
      <c r="F9311" s="13"/>
      <c r="G9311" s="12"/>
      <c r="H9311" s="11"/>
    </row>
    <row r="9312" spans="3:8" x14ac:dyDescent="0.25">
      <c r="C9312" s="12"/>
      <c r="D9312" s="13"/>
      <c r="E9312" s="13"/>
      <c r="F9312" s="13"/>
      <c r="G9312" s="12"/>
      <c r="H9312" s="11"/>
    </row>
    <row r="9313" spans="3:8" x14ac:dyDescent="0.25">
      <c r="C9313" s="12"/>
      <c r="D9313" s="13"/>
      <c r="E9313" s="13"/>
      <c r="F9313" s="13"/>
      <c r="G9313" s="12"/>
      <c r="H9313" s="11"/>
    </row>
    <row r="9314" spans="3:8" x14ac:dyDescent="0.25">
      <c r="C9314" s="12"/>
      <c r="D9314" s="13"/>
      <c r="E9314" s="13"/>
      <c r="F9314" s="13"/>
      <c r="G9314" s="12"/>
      <c r="H9314" s="11"/>
    </row>
    <row r="9315" spans="3:8" x14ac:dyDescent="0.25">
      <c r="C9315" s="12"/>
      <c r="D9315" s="13"/>
      <c r="E9315" s="13"/>
      <c r="F9315" s="13"/>
      <c r="G9315" s="12"/>
      <c r="H9315" s="11"/>
    </row>
    <row r="9316" spans="3:8" x14ac:dyDescent="0.25">
      <c r="C9316" s="12"/>
      <c r="D9316" s="13"/>
      <c r="E9316" s="13"/>
      <c r="F9316" s="13"/>
      <c r="G9316" s="12"/>
      <c r="H9316" s="11"/>
    </row>
    <row r="9317" spans="3:8" x14ac:dyDescent="0.25">
      <c r="C9317" s="12"/>
      <c r="D9317" s="13"/>
      <c r="E9317" s="13"/>
      <c r="F9317" s="13"/>
      <c r="G9317" s="12"/>
      <c r="H9317" s="11"/>
    </row>
    <row r="9318" spans="3:8" x14ac:dyDescent="0.25">
      <c r="C9318" s="12"/>
      <c r="D9318" s="13"/>
      <c r="E9318" s="13"/>
      <c r="F9318" s="13"/>
      <c r="G9318" s="12"/>
      <c r="H9318" s="11"/>
    </row>
    <row r="9319" spans="3:8" x14ac:dyDescent="0.25">
      <c r="C9319" s="12"/>
      <c r="D9319" s="13"/>
      <c r="E9319" s="13"/>
      <c r="F9319" s="13"/>
      <c r="G9319" s="12"/>
      <c r="H9319" s="11"/>
    </row>
    <row r="9320" spans="3:8" x14ac:dyDescent="0.25">
      <c r="C9320" s="12"/>
      <c r="D9320" s="13"/>
      <c r="E9320" s="13"/>
      <c r="F9320" s="13"/>
      <c r="G9320" s="12"/>
      <c r="H9320" s="11"/>
    </row>
    <row r="9321" spans="3:8" x14ac:dyDescent="0.25">
      <c r="C9321" s="12"/>
      <c r="D9321" s="13"/>
      <c r="E9321" s="13"/>
      <c r="F9321" s="13"/>
      <c r="G9321" s="12"/>
      <c r="H9321" s="11"/>
    </row>
    <row r="9322" spans="3:8" x14ac:dyDescent="0.25">
      <c r="C9322" s="12"/>
      <c r="D9322" s="13"/>
      <c r="E9322" s="13"/>
      <c r="F9322" s="13"/>
      <c r="G9322" s="12"/>
      <c r="H9322" s="11"/>
    </row>
    <row r="9323" spans="3:8" x14ac:dyDescent="0.25">
      <c r="C9323" s="12"/>
      <c r="D9323" s="13"/>
      <c r="E9323" s="13"/>
      <c r="F9323" s="13"/>
      <c r="G9323" s="12"/>
      <c r="H9323" s="11"/>
    </row>
    <row r="9324" spans="3:8" x14ac:dyDescent="0.25">
      <c r="C9324" s="12"/>
      <c r="D9324" s="13"/>
      <c r="E9324" s="13"/>
      <c r="F9324" s="13"/>
      <c r="G9324" s="12"/>
      <c r="H9324" s="11"/>
    </row>
    <row r="9325" spans="3:8" x14ac:dyDescent="0.25">
      <c r="C9325" s="12"/>
      <c r="D9325" s="13"/>
      <c r="E9325" s="13"/>
      <c r="F9325" s="13"/>
      <c r="G9325" s="12"/>
      <c r="H9325" s="11"/>
    </row>
    <row r="9326" spans="3:8" x14ac:dyDescent="0.25">
      <c r="C9326" s="12"/>
      <c r="D9326" s="13"/>
      <c r="E9326" s="13"/>
      <c r="F9326" s="13"/>
      <c r="G9326" s="12"/>
      <c r="H9326" s="11"/>
    </row>
    <row r="9327" spans="3:8" x14ac:dyDescent="0.25">
      <c r="C9327" s="12"/>
      <c r="D9327" s="13"/>
      <c r="E9327" s="13"/>
      <c r="F9327" s="13"/>
      <c r="G9327" s="12"/>
      <c r="H9327" s="11"/>
    </row>
    <row r="9328" spans="3:8" x14ac:dyDescent="0.25">
      <c r="C9328" s="12"/>
      <c r="D9328" s="13"/>
      <c r="E9328" s="13"/>
      <c r="F9328" s="13"/>
      <c r="G9328" s="12"/>
      <c r="H9328" s="11"/>
    </row>
    <row r="9329" spans="3:8" x14ac:dyDescent="0.25">
      <c r="C9329" s="12"/>
      <c r="D9329" s="13"/>
      <c r="E9329" s="13"/>
      <c r="F9329" s="13"/>
      <c r="G9329" s="12"/>
      <c r="H9329" s="11"/>
    </row>
    <row r="9330" spans="3:8" x14ac:dyDescent="0.25">
      <c r="C9330" s="12"/>
      <c r="D9330" s="13"/>
      <c r="E9330" s="13"/>
      <c r="F9330" s="13"/>
      <c r="G9330" s="12"/>
      <c r="H9330" s="11"/>
    </row>
    <row r="9331" spans="3:8" x14ac:dyDescent="0.25">
      <c r="C9331" s="12"/>
      <c r="D9331" s="13"/>
      <c r="E9331" s="13"/>
      <c r="F9331" s="13"/>
      <c r="G9331" s="12"/>
      <c r="H9331" s="11"/>
    </row>
    <row r="9332" spans="3:8" x14ac:dyDescent="0.25">
      <c r="C9332" s="12"/>
      <c r="D9332" s="13"/>
      <c r="E9332" s="13"/>
      <c r="F9332" s="13"/>
      <c r="G9332" s="12"/>
      <c r="H9332" s="11"/>
    </row>
    <row r="9333" spans="3:8" x14ac:dyDescent="0.25">
      <c r="C9333" s="12"/>
      <c r="D9333" s="13"/>
      <c r="E9333" s="13"/>
      <c r="F9333" s="13"/>
      <c r="G9333" s="12"/>
      <c r="H9333" s="11"/>
    </row>
    <row r="9334" spans="3:8" x14ac:dyDescent="0.25">
      <c r="C9334" s="12"/>
      <c r="D9334" s="13"/>
      <c r="E9334" s="13"/>
      <c r="F9334" s="13"/>
      <c r="G9334" s="12"/>
      <c r="H9334" s="11"/>
    </row>
    <row r="9335" spans="3:8" x14ac:dyDescent="0.25">
      <c r="C9335" s="12"/>
      <c r="D9335" s="13"/>
      <c r="E9335" s="13"/>
      <c r="F9335" s="13"/>
      <c r="G9335" s="12"/>
      <c r="H9335" s="11"/>
    </row>
    <row r="9336" spans="3:8" x14ac:dyDescent="0.25">
      <c r="C9336" s="12"/>
      <c r="D9336" s="13"/>
      <c r="E9336" s="13"/>
      <c r="F9336" s="13"/>
      <c r="G9336" s="12"/>
      <c r="H9336" s="11"/>
    </row>
    <row r="9337" spans="3:8" x14ac:dyDescent="0.25">
      <c r="C9337" s="12"/>
      <c r="D9337" s="13"/>
      <c r="E9337" s="13"/>
      <c r="F9337" s="13"/>
      <c r="G9337" s="12"/>
      <c r="H9337" s="11"/>
    </row>
    <row r="9338" spans="3:8" x14ac:dyDescent="0.25">
      <c r="C9338" s="12"/>
      <c r="D9338" s="13"/>
      <c r="E9338" s="13"/>
      <c r="F9338" s="13"/>
      <c r="G9338" s="12"/>
      <c r="H9338" s="11"/>
    </row>
    <row r="9339" spans="3:8" x14ac:dyDescent="0.25">
      <c r="C9339" s="12"/>
      <c r="D9339" s="13"/>
      <c r="E9339" s="13"/>
      <c r="F9339" s="13"/>
      <c r="G9339" s="12"/>
      <c r="H9339" s="11"/>
    </row>
    <row r="9340" spans="3:8" x14ac:dyDescent="0.25">
      <c r="C9340" s="12"/>
      <c r="D9340" s="13"/>
      <c r="E9340" s="13"/>
      <c r="F9340" s="13"/>
      <c r="G9340" s="12"/>
      <c r="H9340" s="11"/>
    </row>
    <row r="9341" spans="3:8" x14ac:dyDescent="0.25">
      <c r="C9341" s="12"/>
      <c r="D9341" s="13"/>
      <c r="E9341" s="13"/>
      <c r="F9341" s="13"/>
      <c r="G9341" s="12"/>
      <c r="H9341" s="11"/>
    </row>
    <row r="9342" spans="3:8" x14ac:dyDescent="0.25">
      <c r="C9342" s="12"/>
      <c r="D9342" s="13"/>
      <c r="E9342" s="13"/>
      <c r="F9342" s="13"/>
      <c r="G9342" s="12"/>
      <c r="H9342" s="11"/>
    </row>
    <row r="9343" spans="3:8" x14ac:dyDescent="0.25">
      <c r="C9343" s="12"/>
      <c r="D9343" s="13"/>
      <c r="E9343" s="13"/>
      <c r="F9343" s="13"/>
      <c r="G9343" s="12"/>
      <c r="H9343" s="11"/>
    </row>
    <row r="9344" spans="3:8" x14ac:dyDescent="0.25">
      <c r="C9344" s="12"/>
      <c r="D9344" s="13"/>
      <c r="E9344" s="13"/>
      <c r="F9344" s="13"/>
      <c r="G9344" s="12"/>
      <c r="H9344" s="11"/>
    </row>
    <row r="9345" spans="3:8" x14ac:dyDescent="0.25">
      <c r="C9345" s="12"/>
      <c r="D9345" s="13"/>
      <c r="E9345" s="13"/>
      <c r="F9345" s="13"/>
      <c r="G9345" s="12"/>
      <c r="H9345" s="11"/>
    </row>
    <row r="9346" spans="3:8" x14ac:dyDescent="0.25">
      <c r="C9346" s="12"/>
      <c r="D9346" s="13"/>
      <c r="E9346" s="13"/>
      <c r="F9346" s="13"/>
      <c r="G9346" s="12"/>
      <c r="H9346" s="11"/>
    </row>
    <row r="9347" spans="3:8" x14ac:dyDescent="0.25">
      <c r="C9347" s="12"/>
      <c r="D9347" s="13"/>
      <c r="E9347" s="13"/>
      <c r="F9347" s="13"/>
      <c r="G9347" s="12"/>
      <c r="H9347" s="11"/>
    </row>
    <row r="9348" spans="3:8" x14ac:dyDescent="0.25">
      <c r="C9348" s="12"/>
      <c r="D9348" s="13"/>
      <c r="E9348" s="13"/>
      <c r="F9348" s="13"/>
      <c r="G9348" s="12"/>
      <c r="H9348" s="11"/>
    </row>
    <row r="9349" spans="3:8" x14ac:dyDescent="0.25">
      <c r="C9349" s="12"/>
      <c r="D9349" s="13"/>
      <c r="E9349" s="13"/>
      <c r="F9349" s="13"/>
      <c r="G9349" s="12"/>
      <c r="H9349" s="11"/>
    </row>
    <row r="9350" spans="3:8" x14ac:dyDescent="0.25">
      <c r="C9350" s="12"/>
      <c r="D9350" s="13"/>
      <c r="E9350" s="13"/>
      <c r="F9350" s="13"/>
      <c r="G9350" s="12"/>
      <c r="H9350" s="11"/>
    </row>
    <row r="9351" spans="3:8" x14ac:dyDescent="0.25">
      <c r="C9351" s="12"/>
      <c r="D9351" s="13"/>
      <c r="E9351" s="13"/>
      <c r="F9351" s="13"/>
      <c r="G9351" s="12"/>
      <c r="H9351" s="11"/>
    </row>
    <row r="9352" spans="3:8" x14ac:dyDescent="0.25">
      <c r="C9352" s="12"/>
      <c r="D9352" s="13"/>
      <c r="E9352" s="13"/>
      <c r="F9352" s="13"/>
      <c r="G9352" s="12"/>
      <c r="H9352" s="11"/>
    </row>
    <row r="9353" spans="3:8" x14ac:dyDescent="0.25">
      <c r="C9353" s="12"/>
      <c r="D9353" s="13"/>
      <c r="E9353" s="13"/>
      <c r="F9353" s="13"/>
      <c r="G9353" s="12"/>
      <c r="H9353" s="11"/>
    </row>
    <row r="9354" spans="3:8" x14ac:dyDescent="0.25">
      <c r="C9354" s="12"/>
      <c r="D9354" s="13"/>
      <c r="E9354" s="13"/>
      <c r="F9354" s="13"/>
      <c r="G9354" s="12"/>
      <c r="H9354" s="11"/>
    </row>
    <row r="9355" spans="3:8" x14ac:dyDescent="0.25">
      <c r="C9355" s="12"/>
      <c r="D9355" s="13"/>
      <c r="E9355" s="13"/>
      <c r="F9355" s="13"/>
      <c r="G9355" s="12"/>
      <c r="H9355" s="11"/>
    </row>
    <row r="9356" spans="3:8" x14ac:dyDescent="0.25">
      <c r="C9356" s="12"/>
      <c r="D9356" s="13"/>
      <c r="E9356" s="13"/>
      <c r="F9356" s="13"/>
      <c r="G9356" s="12"/>
      <c r="H9356" s="11"/>
    </row>
    <row r="9357" spans="3:8" x14ac:dyDescent="0.25">
      <c r="C9357" s="12"/>
      <c r="D9357" s="13"/>
      <c r="E9357" s="13"/>
      <c r="F9357" s="13"/>
      <c r="G9357" s="12"/>
      <c r="H9357" s="11"/>
    </row>
    <row r="9358" spans="3:8" x14ac:dyDescent="0.25">
      <c r="C9358" s="12"/>
      <c r="D9358" s="13"/>
      <c r="E9358" s="13"/>
      <c r="F9358" s="13"/>
      <c r="G9358" s="12"/>
      <c r="H9358" s="11"/>
    </row>
    <row r="9359" spans="3:8" x14ac:dyDescent="0.25">
      <c r="C9359" s="12"/>
      <c r="D9359" s="13"/>
      <c r="E9359" s="13"/>
      <c r="F9359" s="13"/>
      <c r="G9359" s="12"/>
      <c r="H9359" s="11"/>
    </row>
    <row r="9360" spans="3:8" x14ac:dyDescent="0.25">
      <c r="C9360" s="12"/>
      <c r="D9360" s="13"/>
      <c r="E9360" s="13"/>
      <c r="F9360" s="13"/>
      <c r="G9360" s="12"/>
      <c r="H9360" s="11"/>
    </row>
    <row r="9361" spans="3:8" x14ac:dyDescent="0.25">
      <c r="C9361" s="12"/>
      <c r="D9361" s="13"/>
      <c r="E9361" s="13"/>
      <c r="F9361" s="13"/>
      <c r="G9361" s="12"/>
      <c r="H9361" s="11"/>
    </row>
    <row r="9362" spans="3:8" x14ac:dyDescent="0.25">
      <c r="C9362" s="12"/>
      <c r="D9362" s="13"/>
      <c r="E9362" s="13"/>
      <c r="F9362" s="13"/>
      <c r="G9362" s="12"/>
      <c r="H9362" s="11"/>
    </row>
    <row r="9363" spans="3:8" x14ac:dyDescent="0.25">
      <c r="C9363" s="12"/>
      <c r="D9363" s="13"/>
      <c r="E9363" s="13"/>
      <c r="F9363" s="13"/>
      <c r="G9363" s="12"/>
      <c r="H9363" s="11"/>
    </row>
    <row r="9364" spans="3:8" x14ac:dyDescent="0.25">
      <c r="C9364" s="12"/>
      <c r="D9364" s="13"/>
      <c r="E9364" s="13"/>
      <c r="F9364" s="13"/>
      <c r="G9364" s="12"/>
      <c r="H9364" s="11"/>
    </row>
    <row r="9365" spans="3:8" x14ac:dyDescent="0.25">
      <c r="C9365" s="12"/>
      <c r="D9365" s="13"/>
      <c r="E9365" s="13"/>
      <c r="F9365" s="13"/>
      <c r="G9365" s="12"/>
      <c r="H9365" s="11"/>
    </row>
    <row r="9366" spans="3:8" x14ac:dyDescent="0.25">
      <c r="C9366" s="12"/>
      <c r="D9366" s="13"/>
      <c r="E9366" s="13"/>
      <c r="F9366" s="13"/>
      <c r="G9366" s="12"/>
      <c r="H9366" s="11"/>
    </row>
    <row r="9367" spans="3:8" x14ac:dyDescent="0.25">
      <c r="C9367" s="12"/>
      <c r="D9367" s="13"/>
      <c r="E9367" s="13"/>
      <c r="F9367" s="13"/>
      <c r="G9367" s="12"/>
      <c r="H9367" s="11"/>
    </row>
    <row r="9368" spans="3:8" x14ac:dyDescent="0.25">
      <c r="C9368" s="12"/>
      <c r="D9368" s="13"/>
      <c r="E9368" s="13"/>
      <c r="F9368" s="13"/>
      <c r="G9368" s="12"/>
      <c r="H9368" s="11"/>
    </row>
    <row r="9369" spans="3:8" x14ac:dyDescent="0.25">
      <c r="C9369" s="12"/>
      <c r="D9369" s="13"/>
      <c r="E9369" s="13"/>
      <c r="F9369" s="13"/>
      <c r="G9369" s="12"/>
      <c r="H9369" s="11"/>
    </row>
    <row r="9370" spans="3:8" x14ac:dyDescent="0.25">
      <c r="C9370" s="12"/>
      <c r="D9370" s="13"/>
      <c r="E9370" s="13"/>
      <c r="F9370" s="13"/>
      <c r="G9370" s="12"/>
      <c r="H9370" s="11"/>
    </row>
    <row r="9371" spans="3:8" x14ac:dyDescent="0.25">
      <c r="C9371" s="12"/>
      <c r="D9371" s="13"/>
      <c r="E9371" s="13"/>
      <c r="F9371" s="13"/>
      <c r="G9371" s="12"/>
      <c r="H9371" s="11"/>
    </row>
    <row r="9372" spans="3:8" x14ac:dyDescent="0.25">
      <c r="C9372" s="12"/>
      <c r="D9372" s="13"/>
      <c r="E9372" s="13"/>
      <c r="F9372" s="13"/>
      <c r="G9372" s="12"/>
      <c r="H9372" s="11"/>
    </row>
    <row r="9373" spans="3:8" x14ac:dyDescent="0.25">
      <c r="C9373" s="12"/>
      <c r="D9373" s="13"/>
      <c r="E9373" s="13"/>
      <c r="F9373" s="13"/>
      <c r="G9373" s="12"/>
      <c r="H9373" s="11"/>
    </row>
    <row r="9374" spans="3:8" x14ac:dyDescent="0.25">
      <c r="C9374" s="12"/>
      <c r="D9374" s="13"/>
      <c r="E9374" s="13"/>
      <c r="F9374" s="13"/>
      <c r="G9374" s="12"/>
      <c r="H9374" s="11"/>
    </row>
    <row r="9375" spans="3:8" x14ac:dyDescent="0.25">
      <c r="C9375" s="12"/>
      <c r="D9375" s="13"/>
      <c r="E9375" s="13"/>
      <c r="F9375" s="13"/>
      <c r="G9375" s="12"/>
      <c r="H9375" s="11"/>
    </row>
    <row r="9376" spans="3:8" x14ac:dyDescent="0.25">
      <c r="C9376" s="12"/>
      <c r="D9376" s="13"/>
      <c r="E9376" s="13"/>
      <c r="F9376" s="13"/>
      <c r="G9376" s="12"/>
      <c r="H9376" s="11"/>
    </row>
    <row r="9377" spans="3:8" x14ac:dyDescent="0.25">
      <c r="C9377" s="12"/>
      <c r="D9377" s="13"/>
      <c r="E9377" s="13"/>
      <c r="F9377" s="13"/>
      <c r="G9377" s="12"/>
      <c r="H9377" s="11"/>
    </row>
    <row r="9378" spans="3:8" x14ac:dyDescent="0.25">
      <c r="C9378" s="12"/>
      <c r="D9378" s="13"/>
      <c r="E9378" s="13"/>
      <c r="F9378" s="13"/>
      <c r="G9378" s="12"/>
      <c r="H9378" s="11"/>
    </row>
    <row r="9379" spans="3:8" x14ac:dyDescent="0.25">
      <c r="C9379" s="12"/>
      <c r="D9379" s="13"/>
      <c r="E9379" s="13"/>
      <c r="F9379" s="13"/>
      <c r="G9379" s="12"/>
      <c r="H9379" s="11"/>
    </row>
    <row r="9380" spans="3:8" x14ac:dyDescent="0.25">
      <c r="C9380" s="12"/>
      <c r="D9380" s="13"/>
      <c r="E9380" s="13"/>
      <c r="F9380" s="13"/>
      <c r="G9380" s="12"/>
      <c r="H9380" s="11"/>
    </row>
    <row r="9381" spans="3:8" x14ac:dyDescent="0.25">
      <c r="C9381" s="12"/>
      <c r="D9381" s="13"/>
      <c r="E9381" s="13"/>
      <c r="F9381" s="13"/>
      <c r="G9381" s="12"/>
      <c r="H9381" s="11"/>
    </row>
    <row r="9382" spans="3:8" x14ac:dyDescent="0.25">
      <c r="C9382" s="12"/>
      <c r="D9382" s="13"/>
      <c r="E9382" s="13"/>
      <c r="F9382" s="13"/>
      <c r="G9382" s="12"/>
      <c r="H9382" s="11"/>
    </row>
    <row r="9383" spans="3:8" x14ac:dyDescent="0.25">
      <c r="C9383" s="12"/>
      <c r="D9383" s="13"/>
      <c r="E9383" s="13"/>
      <c r="F9383" s="13"/>
      <c r="G9383" s="12"/>
      <c r="H9383" s="11"/>
    </row>
    <row r="9384" spans="3:8" x14ac:dyDescent="0.25">
      <c r="C9384" s="12"/>
      <c r="D9384" s="13"/>
      <c r="E9384" s="13"/>
      <c r="F9384" s="13"/>
      <c r="G9384" s="12"/>
      <c r="H9384" s="11"/>
    </row>
    <row r="9385" spans="3:8" x14ac:dyDescent="0.25">
      <c r="C9385" s="12"/>
      <c r="D9385" s="13"/>
      <c r="E9385" s="13"/>
      <c r="F9385" s="13"/>
      <c r="G9385" s="12"/>
      <c r="H9385" s="11"/>
    </row>
    <row r="9386" spans="3:8" x14ac:dyDescent="0.25">
      <c r="C9386" s="12"/>
      <c r="D9386" s="13"/>
      <c r="E9386" s="13"/>
      <c r="F9386" s="13"/>
      <c r="G9386" s="12"/>
      <c r="H9386" s="11"/>
    </row>
    <row r="9387" spans="3:8" x14ac:dyDescent="0.25">
      <c r="C9387" s="12"/>
      <c r="D9387" s="13"/>
      <c r="E9387" s="13"/>
      <c r="F9387" s="13"/>
      <c r="G9387" s="12"/>
      <c r="H9387" s="11"/>
    </row>
    <row r="9388" spans="3:8" x14ac:dyDescent="0.25">
      <c r="C9388" s="12"/>
      <c r="D9388" s="13"/>
      <c r="E9388" s="13"/>
      <c r="F9388" s="13"/>
      <c r="G9388" s="12"/>
      <c r="H9388" s="11"/>
    </row>
    <row r="9389" spans="3:8" x14ac:dyDescent="0.25">
      <c r="C9389" s="12"/>
      <c r="D9389" s="13"/>
      <c r="E9389" s="13"/>
      <c r="F9389" s="13"/>
      <c r="G9389" s="12"/>
      <c r="H9389" s="11"/>
    </row>
    <row r="9390" spans="3:8" x14ac:dyDescent="0.25">
      <c r="C9390" s="12"/>
      <c r="D9390" s="13"/>
      <c r="E9390" s="13"/>
      <c r="F9390" s="13"/>
      <c r="G9390" s="12"/>
      <c r="H9390" s="11"/>
    </row>
    <row r="9391" spans="3:8" x14ac:dyDescent="0.25">
      <c r="C9391" s="12"/>
      <c r="D9391" s="13"/>
      <c r="E9391" s="13"/>
      <c r="F9391" s="13"/>
      <c r="G9391" s="12"/>
      <c r="H9391" s="11"/>
    </row>
    <row r="9392" spans="3:8" x14ac:dyDescent="0.25">
      <c r="C9392" s="12"/>
      <c r="D9392" s="13"/>
      <c r="E9392" s="13"/>
      <c r="F9392" s="13"/>
      <c r="G9392" s="12"/>
      <c r="H9392" s="11"/>
    </row>
    <row r="9393" spans="3:8" x14ac:dyDescent="0.25">
      <c r="C9393" s="12"/>
      <c r="D9393" s="13"/>
      <c r="E9393" s="13"/>
      <c r="F9393" s="13"/>
      <c r="G9393" s="12"/>
      <c r="H9393" s="11"/>
    </row>
    <row r="9394" spans="3:8" x14ac:dyDescent="0.25">
      <c r="C9394" s="12"/>
      <c r="D9394" s="13"/>
      <c r="E9394" s="13"/>
      <c r="F9394" s="13"/>
      <c r="G9394" s="12"/>
      <c r="H9394" s="11"/>
    </row>
    <row r="9395" spans="3:8" x14ac:dyDescent="0.25">
      <c r="C9395" s="12"/>
      <c r="D9395" s="13"/>
      <c r="E9395" s="13"/>
      <c r="F9395" s="13"/>
      <c r="G9395" s="12"/>
      <c r="H9395" s="11"/>
    </row>
    <row r="9396" spans="3:8" x14ac:dyDescent="0.25">
      <c r="C9396" s="12"/>
      <c r="D9396" s="13"/>
      <c r="E9396" s="13"/>
      <c r="F9396" s="13"/>
      <c r="G9396" s="12"/>
      <c r="H9396" s="11"/>
    </row>
    <row r="9397" spans="3:8" x14ac:dyDescent="0.25">
      <c r="C9397" s="12"/>
      <c r="D9397" s="13"/>
      <c r="E9397" s="13"/>
      <c r="F9397" s="13"/>
      <c r="G9397" s="12"/>
      <c r="H9397" s="11"/>
    </row>
    <row r="9398" spans="3:8" x14ac:dyDescent="0.25">
      <c r="C9398" s="12"/>
      <c r="D9398" s="13"/>
      <c r="E9398" s="13"/>
      <c r="F9398" s="13"/>
      <c r="G9398" s="12"/>
      <c r="H9398" s="11"/>
    </row>
    <row r="9399" spans="3:8" x14ac:dyDescent="0.25">
      <c r="C9399" s="12"/>
      <c r="D9399" s="13"/>
      <c r="E9399" s="13"/>
      <c r="F9399" s="13"/>
      <c r="G9399" s="12"/>
      <c r="H9399" s="11"/>
    </row>
    <row r="9400" spans="3:8" x14ac:dyDescent="0.25">
      <c r="C9400" s="12"/>
      <c r="D9400" s="13"/>
      <c r="E9400" s="13"/>
      <c r="F9400" s="13"/>
      <c r="G9400" s="12"/>
      <c r="H9400" s="11"/>
    </row>
    <row r="9401" spans="3:8" x14ac:dyDescent="0.25">
      <c r="C9401" s="12"/>
      <c r="D9401" s="13"/>
      <c r="E9401" s="13"/>
      <c r="F9401" s="13"/>
      <c r="G9401" s="12"/>
      <c r="H9401" s="11"/>
    </row>
    <row r="9402" spans="3:8" x14ac:dyDescent="0.25">
      <c r="C9402" s="12"/>
      <c r="D9402" s="13"/>
      <c r="E9402" s="13"/>
      <c r="F9402" s="13"/>
      <c r="G9402" s="12"/>
      <c r="H9402" s="11"/>
    </row>
    <row r="9403" spans="3:8" x14ac:dyDescent="0.25">
      <c r="C9403" s="12"/>
      <c r="D9403" s="13"/>
      <c r="E9403" s="13"/>
      <c r="F9403" s="13"/>
      <c r="G9403" s="12"/>
      <c r="H9403" s="11"/>
    </row>
    <row r="9404" spans="3:8" x14ac:dyDescent="0.25">
      <c r="C9404" s="12"/>
      <c r="D9404" s="13"/>
      <c r="E9404" s="13"/>
      <c r="F9404" s="13"/>
      <c r="G9404" s="12"/>
      <c r="H9404" s="11"/>
    </row>
    <row r="9405" spans="3:8" x14ac:dyDescent="0.25">
      <c r="C9405" s="12"/>
      <c r="D9405" s="13"/>
      <c r="E9405" s="13"/>
      <c r="F9405" s="13"/>
      <c r="G9405" s="12"/>
      <c r="H9405" s="11"/>
    </row>
    <row r="9406" spans="3:8" x14ac:dyDescent="0.25">
      <c r="C9406" s="12"/>
      <c r="D9406" s="13"/>
      <c r="E9406" s="13"/>
      <c r="F9406" s="13"/>
      <c r="G9406" s="12"/>
      <c r="H9406" s="11"/>
    </row>
    <row r="9407" spans="3:8" x14ac:dyDescent="0.25">
      <c r="C9407" s="12"/>
      <c r="D9407" s="13"/>
      <c r="E9407" s="13"/>
      <c r="F9407" s="13"/>
      <c r="G9407" s="12"/>
      <c r="H9407" s="11"/>
    </row>
    <row r="9408" spans="3:8" x14ac:dyDescent="0.25">
      <c r="C9408" s="12"/>
      <c r="D9408" s="13"/>
      <c r="E9408" s="13"/>
      <c r="F9408" s="13"/>
      <c r="G9408" s="12"/>
      <c r="H9408" s="11"/>
    </row>
    <row r="9409" spans="3:8" x14ac:dyDescent="0.25">
      <c r="C9409" s="12"/>
      <c r="D9409" s="13"/>
      <c r="E9409" s="13"/>
      <c r="F9409" s="13"/>
      <c r="G9409" s="12"/>
      <c r="H9409" s="11"/>
    </row>
    <row r="9410" spans="3:8" x14ac:dyDescent="0.25">
      <c r="C9410" s="12"/>
      <c r="D9410" s="13"/>
      <c r="E9410" s="13"/>
      <c r="F9410" s="13"/>
      <c r="G9410" s="12"/>
      <c r="H9410" s="11"/>
    </row>
    <row r="9411" spans="3:8" x14ac:dyDescent="0.25">
      <c r="C9411" s="12"/>
      <c r="D9411" s="13"/>
      <c r="E9411" s="13"/>
      <c r="F9411" s="13"/>
      <c r="G9411" s="12"/>
      <c r="H9411" s="11"/>
    </row>
    <row r="9412" spans="3:8" x14ac:dyDescent="0.25">
      <c r="C9412" s="12"/>
      <c r="D9412" s="13"/>
      <c r="E9412" s="13"/>
      <c r="F9412" s="13"/>
      <c r="G9412" s="12"/>
      <c r="H9412" s="11"/>
    </row>
    <row r="9413" spans="3:8" x14ac:dyDescent="0.25">
      <c r="C9413" s="12"/>
      <c r="D9413" s="13"/>
      <c r="E9413" s="13"/>
      <c r="F9413" s="13"/>
      <c r="G9413" s="12"/>
      <c r="H9413" s="11"/>
    </row>
    <row r="9414" spans="3:8" x14ac:dyDescent="0.25">
      <c r="C9414" s="12"/>
      <c r="D9414" s="13"/>
      <c r="E9414" s="13"/>
      <c r="F9414" s="13"/>
      <c r="G9414" s="12"/>
      <c r="H9414" s="11"/>
    </row>
    <row r="9415" spans="3:8" x14ac:dyDescent="0.25">
      <c r="C9415" s="12"/>
      <c r="D9415" s="13"/>
      <c r="E9415" s="13"/>
      <c r="F9415" s="13"/>
      <c r="G9415" s="12"/>
      <c r="H9415" s="11"/>
    </row>
    <row r="9416" spans="3:8" x14ac:dyDescent="0.25">
      <c r="C9416" s="12"/>
      <c r="D9416" s="13"/>
      <c r="E9416" s="13"/>
      <c r="F9416" s="13"/>
      <c r="G9416" s="12"/>
      <c r="H9416" s="11"/>
    </row>
    <row r="9417" spans="3:8" x14ac:dyDescent="0.25">
      <c r="C9417" s="12"/>
      <c r="D9417" s="13"/>
      <c r="E9417" s="13"/>
      <c r="F9417" s="13"/>
      <c r="G9417" s="12"/>
      <c r="H9417" s="11"/>
    </row>
    <row r="9418" spans="3:8" x14ac:dyDescent="0.25">
      <c r="C9418" s="12"/>
      <c r="D9418" s="13"/>
      <c r="E9418" s="13"/>
      <c r="F9418" s="13"/>
      <c r="G9418" s="12"/>
      <c r="H9418" s="11"/>
    </row>
    <row r="9419" spans="3:8" x14ac:dyDescent="0.25">
      <c r="C9419" s="12"/>
      <c r="D9419" s="13"/>
      <c r="E9419" s="13"/>
      <c r="F9419" s="13"/>
      <c r="G9419" s="12"/>
      <c r="H9419" s="11"/>
    </row>
    <row r="9420" spans="3:8" x14ac:dyDescent="0.25">
      <c r="C9420" s="12"/>
      <c r="D9420" s="13"/>
      <c r="E9420" s="13"/>
      <c r="F9420" s="13"/>
      <c r="G9420" s="12"/>
      <c r="H9420" s="11"/>
    </row>
    <row r="9421" spans="3:8" x14ac:dyDescent="0.25">
      <c r="C9421" s="12"/>
      <c r="D9421" s="13"/>
      <c r="E9421" s="13"/>
      <c r="F9421" s="13"/>
      <c r="G9421" s="12"/>
      <c r="H9421" s="11"/>
    </row>
    <row r="9422" spans="3:8" x14ac:dyDescent="0.25">
      <c r="C9422" s="12"/>
      <c r="D9422" s="13"/>
      <c r="E9422" s="13"/>
      <c r="F9422" s="13"/>
      <c r="G9422" s="12"/>
      <c r="H9422" s="11"/>
    </row>
    <row r="9423" spans="3:8" x14ac:dyDescent="0.25">
      <c r="C9423" s="12"/>
      <c r="D9423" s="13"/>
      <c r="E9423" s="13"/>
      <c r="F9423" s="13"/>
      <c r="G9423" s="12"/>
      <c r="H9423" s="11"/>
    </row>
    <row r="9424" spans="3:8" x14ac:dyDescent="0.25">
      <c r="C9424" s="12"/>
      <c r="D9424" s="13"/>
      <c r="E9424" s="13"/>
      <c r="F9424" s="13"/>
      <c r="G9424" s="12"/>
      <c r="H9424" s="11"/>
    </row>
    <row r="9425" spans="3:8" x14ac:dyDescent="0.25">
      <c r="C9425" s="12"/>
      <c r="D9425" s="13"/>
      <c r="E9425" s="13"/>
      <c r="F9425" s="13"/>
      <c r="G9425" s="12"/>
      <c r="H9425" s="11"/>
    </row>
    <row r="9426" spans="3:8" x14ac:dyDescent="0.25">
      <c r="C9426" s="12"/>
      <c r="D9426" s="13"/>
      <c r="E9426" s="13"/>
      <c r="F9426" s="13"/>
      <c r="G9426" s="12"/>
      <c r="H9426" s="11"/>
    </row>
    <row r="9427" spans="3:8" x14ac:dyDescent="0.25">
      <c r="C9427" s="12"/>
      <c r="D9427" s="13"/>
      <c r="E9427" s="13"/>
      <c r="F9427" s="13"/>
      <c r="G9427" s="12"/>
      <c r="H9427" s="11"/>
    </row>
    <row r="9428" spans="3:8" x14ac:dyDescent="0.25">
      <c r="C9428" s="12"/>
      <c r="D9428" s="13"/>
      <c r="E9428" s="13"/>
      <c r="F9428" s="13"/>
      <c r="G9428" s="12"/>
      <c r="H9428" s="11"/>
    </row>
    <row r="9429" spans="3:8" x14ac:dyDescent="0.25">
      <c r="C9429" s="12"/>
      <c r="D9429" s="13"/>
      <c r="E9429" s="13"/>
      <c r="F9429" s="13"/>
      <c r="G9429" s="12"/>
      <c r="H9429" s="11"/>
    </row>
    <row r="9430" spans="3:8" x14ac:dyDescent="0.25">
      <c r="C9430" s="12"/>
      <c r="D9430" s="13"/>
      <c r="E9430" s="13"/>
      <c r="F9430" s="13"/>
      <c r="G9430" s="12"/>
      <c r="H9430" s="11"/>
    </row>
    <row r="9431" spans="3:8" x14ac:dyDescent="0.25">
      <c r="C9431" s="12"/>
      <c r="D9431" s="13"/>
      <c r="E9431" s="13"/>
      <c r="F9431" s="13"/>
      <c r="G9431" s="12"/>
      <c r="H9431" s="11"/>
    </row>
    <row r="9432" spans="3:8" x14ac:dyDescent="0.25">
      <c r="C9432" s="12"/>
      <c r="D9432" s="13"/>
      <c r="E9432" s="13"/>
      <c r="F9432" s="13"/>
      <c r="G9432" s="12"/>
      <c r="H9432" s="11"/>
    </row>
    <row r="9433" spans="3:8" x14ac:dyDescent="0.25">
      <c r="C9433" s="12"/>
      <c r="D9433" s="13"/>
      <c r="E9433" s="13"/>
      <c r="F9433" s="13"/>
      <c r="G9433" s="12"/>
      <c r="H9433" s="11"/>
    </row>
    <row r="9434" spans="3:8" x14ac:dyDescent="0.25">
      <c r="C9434" s="12"/>
      <c r="D9434" s="13"/>
      <c r="E9434" s="13"/>
      <c r="F9434" s="13"/>
      <c r="G9434" s="12"/>
      <c r="H9434" s="11"/>
    </row>
    <row r="9435" spans="3:8" x14ac:dyDescent="0.25">
      <c r="C9435" s="12"/>
      <c r="D9435" s="13"/>
      <c r="E9435" s="13"/>
      <c r="F9435" s="13"/>
      <c r="G9435" s="12"/>
      <c r="H9435" s="11"/>
    </row>
    <row r="9436" spans="3:8" x14ac:dyDescent="0.25">
      <c r="C9436" s="12"/>
      <c r="D9436" s="13"/>
      <c r="E9436" s="13"/>
      <c r="F9436" s="13"/>
      <c r="G9436" s="12"/>
      <c r="H9436" s="11"/>
    </row>
    <row r="9437" spans="3:8" x14ac:dyDescent="0.25">
      <c r="C9437" s="12"/>
      <c r="D9437" s="13"/>
      <c r="E9437" s="13"/>
      <c r="F9437" s="13"/>
      <c r="G9437" s="12"/>
      <c r="H9437" s="11"/>
    </row>
    <row r="9438" spans="3:8" x14ac:dyDescent="0.25">
      <c r="C9438" s="12"/>
      <c r="D9438" s="13"/>
      <c r="E9438" s="13"/>
      <c r="F9438" s="13"/>
      <c r="G9438" s="12"/>
      <c r="H9438" s="11"/>
    </row>
    <row r="9439" spans="3:8" x14ac:dyDescent="0.25">
      <c r="C9439" s="12"/>
      <c r="D9439" s="13"/>
      <c r="E9439" s="13"/>
      <c r="F9439" s="13"/>
      <c r="G9439" s="12"/>
      <c r="H9439" s="11"/>
    </row>
    <row r="9440" spans="3:8" x14ac:dyDescent="0.25">
      <c r="C9440" s="12"/>
      <c r="D9440" s="13"/>
      <c r="E9440" s="13"/>
      <c r="F9440" s="13"/>
      <c r="G9440" s="12"/>
      <c r="H9440" s="11"/>
    </row>
    <row r="9441" spans="3:8" x14ac:dyDescent="0.25">
      <c r="C9441" s="12"/>
      <c r="D9441" s="13"/>
      <c r="E9441" s="13"/>
      <c r="F9441" s="13"/>
      <c r="G9441" s="12"/>
      <c r="H9441" s="11"/>
    </row>
    <row r="9442" spans="3:8" x14ac:dyDescent="0.25">
      <c r="C9442" s="12"/>
      <c r="D9442" s="13"/>
      <c r="E9442" s="13"/>
      <c r="F9442" s="13"/>
      <c r="G9442" s="12"/>
      <c r="H9442" s="11"/>
    </row>
    <row r="9443" spans="3:8" x14ac:dyDescent="0.25">
      <c r="C9443" s="12"/>
      <c r="D9443" s="13"/>
      <c r="E9443" s="13"/>
      <c r="F9443" s="13"/>
      <c r="G9443" s="12"/>
      <c r="H9443" s="11"/>
    </row>
    <row r="9444" spans="3:8" x14ac:dyDescent="0.25">
      <c r="C9444" s="12"/>
      <c r="D9444" s="13"/>
      <c r="E9444" s="13"/>
      <c r="F9444" s="13"/>
      <c r="G9444" s="12"/>
      <c r="H9444" s="11"/>
    </row>
    <row r="9445" spans="3:8" x14ac:dyDescent="0.25">
      <c r="C9445" s="12"/>
      <c r="D9445" s="13"/>
      <c r="E9445" s="13"/>
      <c r="F9445" s="13"/>
      <c r="G9445" s="12"/>
      <c r="H9445" s="11"/>
    </row>
    <row r="9446" spans="3:8" x14ac:dyDescent="0.25">
      <c r="C9446" s="12"/>
      <c r="D9446" s="13"/>
      <c r="E9446" s="13"/>
      <c r="F9446" s="13"/>
      <c r="G9446" s="12"/>
      <c r="H9446" s="11"/>
    </row>
    <row r="9447" spans="3:8" x14ac:dyDescent="0.25">
      <c r="C9447" s="12"/>
      <c r="D9447" s="13"/>
      <c r="E9447" s="13"/>
      <c r="F9447" s="13"/>
      <c r="G9447" s="12"/>
      <c r="H9447" s="11"/>
    </row>
    <row r="9448" spans="3:8" x14ac:dyDescent="0.25">
      <c r="C9448" s="12"/>
      <c r="D9448" s="13"/>
      <c r="E9448" s="13"/>
      <c r="F9448" s="13"/>
      <c r="G9448" s="12"/>
      <c r="H9448" s="11"/>
    </row>
    <row r="9449" spans="3:8" x14ac:dyDescent="0.25">
      <c r="C9449" s="12"/>
      <c r="D9449" s="13"/>
      <c r="E9449" s="13"/>
      <c r="F9449" s="13"/>
      <c r="G9449" s="12"/>
      <c r="H9449" s="11"/>
    </row>
    <row r="9450" spans="3:8" x14ac:dyDescent="0.25">
      <c r="C9450" s="12"/>
      <c r="D9450" s="13"/>
      <c r="E9450" s="13"/>
      <c r="F9450" s="13"/>
      <c r="G9450" s="12"/>
      <c r="H9450" s="11"/>
    </row>
    <row r="9451" spans="3:8" x14ac:dyDescent="0.25">
      <c r="C9451" s="12"/>
      <c r="D9451" s="13"/>
      <c r="E9451" s="13"/>
      <c r="F9451" s="13"/>
      <c r="G9451" s="12"/>
      <c r="H9451" s="11"/>
    </row>
    <row r="9452" spans="3:8" x14ac:dyDescent="0.25">
      <c r="C9452" s="12"/>
      <c r="D9452" s="13"/>
      <c r="E9452" s="13"/>
      <c r="F9452" s="13"/>
      <c r="G9452" s="12"/>
      <c r="H9452" s="11"/>
    </row>
    <row r="9453" spans="3:8" x14ac:dyDescent="0.25">
      <c r="C9453" s="12"/>
      <c r="D9453" s="13"/>
      <c r="E9453" s="13"/>
      <c r="F9453" s="13"/>
      <c r="G9453" s="12"/>
      <c r="H9453" s="11"/>
    </row>
    <row r="9454" spans="3:8" x14ac:dyDescent="0.25">
      <c r="C9454" s="12"/>
      <c r="D9454" s="13"/>
      <c r="E9454" s="13"/>
      <c r="F9454" s="13"/>
      <c r="G9454" s="12"/>
      <c r="H9454" s="11"/>
    </row>
    <row r="9455" spans="3:8" x14ac:dyDescent="0.25">
      <c r="C9455" s="12"/>
      <c r="D9455" s="13"/>
      <c r="E9455" s="13"/>
      <c r="F9455" s="13"/>
      <c r="G9455" s="12"/>
      <c r="H9455" s="11"/>
    </row>
    <row r="9456" spans="3:8" x14ac:dyDescent="0.25">
      <c r="C9456" s="12"/>
      <c r="D9456" s="13"/>
      <c r="E9456" s="13"/>
      <c r="F9456" s="13"/>
      <c r="G9456" s="12"/>
      <c r="H9456" s="11"/>
    </row>
    <row r="9457" spans="3:8" x14ac:dyDescent="0.25">
      <c r="C9457" s="12"/>
      <c r="D9457" s="13"/>
      <c r="E9457" s="13"/>
      <c r="F9457" s="13"/>
      <c r="G9457" s="12"/>
      <c r="H9457" s="11"/>
    </row>
    <row r="9458" spans="3:8" x14ac:dyDescent="0.25">
      <c r="C9458" s="12"/>
      <c r="D9458" s="13"/>
      <c r="E9458" s="13"/>
      <c r="F9458" s="13"/>
      <c r="G9458" s="12"/>
      <c r="H9458" s="11"/>
    </row>
    <row r="9459" spans="3:8" x14ac:dyDescent="0.25">
      <c r="C9459" s="12"/>
      <c r="D9459" s="13"/>
      <c r="E9459" s="13"/>
      <c r="F9459" s="13"/>
      <c r="G9459" s="12"/>
      <c r="H9459" s="11"/>
    </row>
    <row r="9460" spans="3:8" x14ac:dyDescent="0.25">
      <c r="C9460" s="12"/>
      <c r="D9460" s="13"/>
      <c r="E9460" s="13"/>
      <c r="F9460" s="13"/>
      <c r="G9460" s="12"/>
      <c r="H9460" s="11"/>
    </row>
    <row r="9461" spans="3:8" x14ac:dyDescent="0.25">
      <c r="C9461" s="12"/>
      <c r="D9461" s="13"/>
      <c r="E9461" s="13"/>
      <c r="F9461" s="13"/>
      <c r="G9461" s="12"/>
      <c r="H9461" s="11"/>
    </row>
    <row r="9462" spans="3:8" x14ac:dyDescent="0.25">
      <c r="C9462" s="12"/>
      <c r="D9462" s="13"/>
      <c r="E9462" s="13"/>
      <c r="F9462" s="13"/>
      <c r="G9462" s="12"/>
      <c r="H9462" s="11"/>
    </row>
    <row r="9463" spans="3:8" x14ac:dyDescent="0.25">
      <c r="C9463" s="12"/>
      <c r="D9463" s="13"/>
      <c r="E9463" s="13"/>
      <c r="F9463" s="13"/>
      <c r="G9463" s="12"/>
      <c r="H9463" s="11"/>
    </row>
    <row r="9464" spans="3:8" x14ac:dyDescent="0.25">
      <c r="C9464" s="12"/>
      <c r="D9464" s="13"/>
      <c r="E9464" s="13"/>
      <c r="F9464" s="13"/>
      <c r="G9464" s="12"/>
      <c r="H9464" s="11"/>
    </row>
    <row r="9465" spans="3:8" x14ac:dyDescent="0.25">
      <c r="C9465" s="12"/>
      <c r="D9465" s="13"/>
      <c r="E9465" s="13"/>
      <c r="F9465" s="13"/>
      <c r="G9465" s="12"/>
      <c r="H9465" s="11"/>
    </row>
    <row r="9466" spans="3:8" x14ac:dyDescent="0.25">
      <c r="C9466" s="12"/>
      <c r="D9466" s="13"/>
      <c r="E9466" s="13"/>
      <c r="F9466" s="13"/>
      <c r="G9466" s="12"/>
      <c r="H9466" s="11"/>
    </row>
    <row r="9467" spans="3:8" x14ac:dyDescent="0.25">
      <c r="C9467" s="12"/>
      <c r="D9467" s="13"/>
      <c r="E9467" s="13"/>
      <c r="F9467" s="13"/>
      <c r="G9467" s="12"/>
      <c r="H9467" s="11"/>
    </row>
    <row r="9468" spans="3:8" x14ac:dyDescent="0.25">
      <c r="C9468" s="12"/>
      <c r="D9468" s="13"/>
      <c r="E9468" s="13"/>
      <c r="F9468" s="13"/>
      <c r="G9468" s="12"/>
      <c r="H9468" s="11"/>
    </row>
    <row r="9469" spans="3:8" x14ac:dyDescent="0.25">
      <c r="C9469" s="12"/>
      <c r="D9469" s="13"/>
      <c r="E9469" s="13"/>
      <c r="F9469" s="13"/>
      <c r="G9469" s="12"/>
      <c r="H9469" s="11"/>
    </row>
    <row r="9470" spans="3:8" x14ac:dyDescent="0.25">
      <c r="C9470" s="12"/>
      <c r="D9470" s="13"/>
      <c r="E9470" s="13"/>
      <c r="F9470" s="13"/>
      <c r="G9470" s="12"/>
      <c r="H9470" s="11"/>
    </row>
    <row r="9471" spans="3:8" x14ac:dyDescent="0.25">
      <c r="C9471" s="12"/>
      <c r="D9471" s="13"/>
      <c r="E9471" s="13"/>
      <c r="F9471" s="13"/>
      <c r="G9471" s="12"/>
      <c r="H9471" s="11"/>
    </row>
    <row r="9472" spans="3:8" x14ac:dyDescent="0.25">
      <c r="C9472" s="12"/>
      <c r="D9472" s="13"/>
      <c r="E9472" s="13"/>
      <c r="F9472" s="13"/>
      <c r="G9472" s="12"/>
      <c r="H9472" s="11"/>
    </row>
    <row r="9473" spans="3:8" x14ac:dyDescent="0.25">
      <c r="C9473" s="12"/>
      <c r="D9473" s="13"/>
      <c r="E9473" s="13"/>
      <c r="F9473" s="13"/>
      <c r="G9473" s="12"/>
      <c r="H9473" s="11"/>
    </row>
    <row r="9474" spans="3:8" x14ac:dyDescent="0.25">
      <c r="C9474" s="12"/>
      <c r="D9474" s="13"/>
      <c r="E9474" s="13"/>
      <c r="F9474" s="13"/>
      <c r="G9474" s="12"/>
      <c r="H9474" s="11"/>
    </row>
    <row r="9475" spans="3:8" x14ac:dyDescent="0.25">
      <c r="C9475" s="12"/>
      <c r="D9475" s="13"/>
      <c r="E9475" s="13"/>
      <c r="F9475" s="13"/>
      <c r="G9475" s="12"/>
      <c r="H9475" s="11"/>
    </row>
    <row r="9476" spans="3:8" x14ac:dyDescent="0.25">
      <c r="C9476" s="12"/>
      <c r="D9476" s="13"/>
      <c r="E9476" s="13"/>
      <c r="F9476" s="13"/>
      <c r="G9476" s="12"/>
      <c r="H9476" s="11"/>
    </row>
    <row r="9477" spans="3:8" x14ac:dyDescent="0.25">
      <c r="C9477" s="12"/>
      <c r="D9477" s="13"/>
      <c r="E9477" s="13"/>
      <c r="F9477" s="13"/>
      <c r="G9477" s="12"/>
      <c r="H9477" s="11"/>
    </row>
    <row r="9478" spans="3:8" x14ac:dyDescent="0.25">
      <c r="C9478" s="12"/>
      <c r="D9478" s="13"/>
      <c r="E9478" s="13"/>
      <c r="F9478" s="13"/>
      <c r="G9478" s="12"/>
      <c r="H9478" s="11"/>
    </row>
    <row r="9479" spans="3:8" x14ac:dyDescent="0.25">
      <c r="C9479" s="12"/>
      <c r="D9479" s="13"/>
      <c r="E9479" s="13"/>
      <c r="F9479" s="13"/>
      <c r="G9479" s="12"/>
      <c r="H9479" s="11"/>
    </row>
    <row r="9480" spans="3:8" x14ac:dyDescent="0.25">
      <c r="C9480" s="12"/>
      <c r="D9480" s="13"/>
      <c r="E9480" s="13"/>
      <c r="F9480" s="13"/>
      <c r="G9480" s="12"/>
      <c r="H9480" s="11"/>
    </row>
    <row r="9481" spans="3:8" x14ac:dyDescent="0.25">
      <c r="C9481" s="12"/>
      <c r="D9481" s="13"/>
      <c r="E9481" s="13"/>
      <c r="F9481" s="13"/>
      <c r="G9481" s="12"/>
      <c r="H9481" s="11"/>
    </row>
    <row r="9482" spans="3:8" x14ac:dyDescent="0.25">
      <c r="C9482" s="12"/>
      <c r="D9482" s="13"/>
      <c r="E9482" s="13"/>
      <c r="F9482" s="13"/>
      <c r="G9482" s="12"/>
      <c r="H9482" s="11"/>
    </row>
    <row r="9483" spans="3:8" x14ac:dyDescent="0.25">
      <c r="C9483" s="12"/>
      <c r="D9483" s="13"/>
      <c r="E9483" s="13"/>
      <c r="F9483" s="13"/>
      <c r="G9483" s="12"/>
      <c r="H9483" s="11"/>
    </row>
    <row r="9484" spans="3:8" x14ac:dyDescent="0.25">
      <c r="C9484" s="12"/>
      <c r="D9484" s="13"/>
      <c r="E9484" s="13"/>
      <c r="F9484" s="13"/>
      <c r="G9484" s="12"/>
      <c r="H9484" s="11"/>
    </row>
    <row r="9485" spans="3:8" x14ac:dyDescent="0.25">
      <c r="C9485" s="12"/>
      <c r="D9485" s="13"/>
      <c r="E9485" s="13"/>
      <c r="F9485" s="13"/>
      <c r="G9485" s="12"/>
      <c r="H9485" s="11"/>
    </row>
    <row r="9486" spans="3:8" x14ac:dyDescent="0.25">
      <c r="C9486" s="12"/>
      <c r="D9486" s="13"/>
      <c r="E9486" s="13"/>
      <c r="F9486" s="13"/>
      <c r="G9486" s="12"/>
      <c r="H9486" s="11"/>
    </row>
    <row r="9487" spans="3:8" x14ac:dyDescent="0.25">
      <c r="C9487" s="12"/>
      <c r="D9487" s="13"/>
      <c r="E9487" s="13"/>
      <c r="F9487" s="13"/>
      <c r="G9487" s="12"/>
      <c r="H9487" s="11"/>
    </row>
    <row r="9488" spans="3:8" x14ac:dyDescent="0.25">
      <c r="C9488" s="12"/>
      <c r="D9488" s="13"/>
      <c r="E9488" s="13"/>
      <c r="F9488" s="13"/>
      <c r="G9488" s="12"/>
      <c r="H9488" s="11"/>
    </row>
    <row r="9489" spans="3:8" x14ac:dyDescent="0.25">
      <c r="C9489" s="12"/>
      <c r="D9489" s="13"/>
      <c r="E9489" s="13"/>
      <c r="F9489" s="13"/>
      <c r="G9489" s="12"/>
      <c r="H9489" s="11"/>
    </row>
    <row r="9490" spans="3:8" x14ac:dyDescent="0.25">
      <c r="C9490" s="12"/>
      <c r="D9490" s="13"/>
      <c r="E9490" s="13"/>
      <c r="F9490" s="13"/>
      <c r="G9490" s="12"/>
      <c r="H9490" s="11"/>
    </row>
    <row r="9491" spans="3:8" x14ac:dyDescent="0.25">
      <c r="C9491" s="12"/>
      <c r="D9491" s="13"/>
      <c r="E9491" s="13"/>
      <c r="F9491" s="13"/>
      <c r="G9491" s="12"/>
      <c r="H9491" s="11"/>
    </row>
    <row r="9492" spans="3:8" x14ac:dyDescent="0.25">
      <c r="C9492" s="12"/>
      <c r="D9492" s="13"/>
      <c r="E9492" s="13"/>
      <c r="F9492" s="13"/>
      <c r="G9492" s="12"/>
      <c r="H9492" s="11"/>
    </row>
    <row r="9493" spans="3:8" x14ac:dyDescent="0.25">
      <c r="C9493" s="12"/>
      <c r="D9493" s="13"/>
      <c r="E9493" s="13"/>
      <c r="F9493" s="13"/>
      <c r="G9493" s="12"/>
      <c r="H9493" s="11"/>
    </row>
    <row r="9494" spans="3:8" x14ac:dyDescent="0.25">
      <c r="C9494" s="12"/>
      <c r="D9494" s="13"/>
      <c r="E9494" s="13"/>
      <c r="F9494" s="13"/>
      <c r="G9494" s="12"/>
      <c r="H9494" s="11"/>
    </row>
    <row r="9495" spans="3:8" x14ac:dyDescent="0.25">
      <c r="C9495" s="12"/>
      <c r="D9495" s="13"/>
      <c r="E9495" s="13"/>
      <c r="F9495" s="13"/>
      <c r="G9495" s="12"/>
      <c r="H9495" s="11"/>
    </row>
    <row r="9496" spans="3:8" x14ac:dyDescent="0.25">
      <c r="C9496" s="12"/>
      <c r="D9496" s="13"/>
      <c r="E9496" s="13"/>
      <c r="F9496" s="13"/>
      <c r="G9496" s="12"/>
      <c r="H9496" s="11"/>
    </row>
    <row r="9497" spans="3:8" x14ac:dyDescent="0.25">
      <c r="C9497" s="12"/>
      <c r="D9497" s="13"/>
      <c r="E9497" s="13"/>
      <c r="F9497" s="13"/>
      <c r="G9497" s="12"/>
      <c r="H9497" s="11"/>
    </row>
    <row r="9498" spans="3:8" x14ac:dyDescent="0.25">
      <c r="C9498" s="12"/>
      <c r="D9498" s="13"/>
      <c r="E9498" s="13"/>
      <c r="F9498" s="13"/>
      <c r="G9498" s="12"/>
      <c r="H9498" s="11"/>
    </row>
    <row r="9499" spans="3:8" x14ac:dyDescent="0.25">
      <c r="C9499" s="12"/>
      <c r="D9499" s="13"/>
      <c r="E9499" s="13"/>
      <c r="F9499" s="13"/>
      <c r="G9499" s="12"/>
      <c r="H9499" s="11"/>
    </row>
    <row r="9500" spans="3:8" x14ac:dyDescent="0.25">
      <c r="C9500" s="12"/>
      <c r="D9500" s="13"/>
      <c r="E9500" s="13"/>
      <c r="F9500" s="13"/>
      <c r="G9500" s="12"/>
      <c r="H9500" s="11"/>
    </row>
    <row r="9501" spans="3:8" x14ac:dyDescent="0.25">
      <c r="C9501" s="12"/>
      <c r="D9501" s="13"/>
      <c r="E9501" s="13"/>
      <c r="F9501" s="13"/>
      <c r="G9501" s="12"/>
      <c r="H9501" s="11"/>
    </row>
    <row r="9502" spans="3:8" x14ac:dyDescent="0.25">
      <c r="C9502" s="12"/>
      <c r="D9502" s="13"/>
      <c r="E9502" s="13"/>
      <c r="F9502" s="13"/>
      <c r="G9502" s="12"/>
      <c r="H9502" s="11"/>
    </row>
    <row r="9503" spans="3:8" x14ac:dyDescent="0.25">
      <c r="C9503" s="12"/>
      <c r="D9503" s="13"/>
      <c r="E9503" s="13"/>
      <c r="F9503" s="13"/>
      <c r="G9503" s="12"/>
      <c r="H9503" s="11"/>
    </row>
    <row r="9504" spans="3:8" x14ac:dyDescent="0.25">
      <c r="C9504" s="12"/>
      <c r="D9504" s="13"/>
      <c r="E9504" s="13"/>
      <c r="F9504" s="13"/>
      <c r="G9504" s="12"/>
      <c r="H9504" s="11"/>
    </row>
    <row r="9505" spans="3:8" x14ac:dyDescent="0.25">
      <c r="C9505" s="12"/>
      <c r="D9505" s="13"/>
      <c r="E9505" s="13"/>
      <c r="F9505" s="13"/>
      <c r="G9505" s="12"/>
      <c r="H9505" s="11"/>
    </row>
    <row r="9506" spans="3:8" x14ac:dyDescent="0.25">
      <c r="C9506" s="12"/>
      <c r="D9506" s="13"/>
      <c r="E9506" s="13"/>
      <c r="F9506" s="13"/>
      <c r="G9506" s="12"/>
      <c r="H9506" s="11"/>
    </row>
    <row r="9507" spans="3:8" x14ac:dyDescent="0.25">
      <c r="C9507" s="12"/>
      <c r="D9507" s="13"/>
      <c r="E9507" s="13"/>
      <c r="F9507" s="13"/>
      <c r="G9507" s="12"/>
      <c r="H9507" s="11"/>
    </row>
    <row r="9508" spans="3:8" x14ac:dyDescent="0.25">
      <c r="C9508" s="12"/>
      <c r="D9508" s="13"/>
      <c r="E9508" s="13"/>
      <c r="F9508" s="13"/>
      <c r="G9508" s="12"/>
      <c r="H9508" s="11"/>
    </row>
    <row r="9509" spans="3:8" x14ac:dyDescent="0.25">
      <c r="C9509" s="12"/>
      <c r="D9509" s="13"/>
      <c r="E9509" s="13"/>
      <c r="F9509" s="13"/>
      <c r="G9509" s="12"/>
      <c r="H9509" s="11"/>
    </row>
    <row r="9510" spans="3:8" x14ac:dyDescent="0.25">
      <c r="C9510" s="12"/>
      <c r="D9510" s="13"/>
      <c r="E9510" s="13"/>
      <c r="F9510" s="13"/>
      <c r="G9510" s="12"/>
      <c r="H9510" s="11"/>
    </row>
    <row r="9511" spans="3:8" x14ac:dyDescent="0.25">
      <c r="C9511" s="12"/>
      <c r="D9511" s="13"/>
      <c r="E9511" s="13"/>
      <c r="F9511" s="13"/>
      <c r="G9511" s="12"/>
      <c r="H9511" s="11"/>
    </row>
    <row r="9512" spans="3:8" x14ac:dyDescent="0.25">
      <c r="C9512" s="12"/>
      <c r="D9512" s="13"/>
      <c r="E9512" s="13"/>
      <c r="F9512" s="13"/>
      <c r="G9512" s="12"/>
      <c r="H9512" s="11"/>
    </row>
    <row r="9513" spans="3:8" x14ac:dyDescent="0.25">
      <c r="C9513" s="12"/>
      <c r="D9513" s="13"/>
      <c r="E9513" s="13"/>
      <c r="F9513" s="13"/>
      <c r="G9513" s="12"/>
      <c r="H9513" s="11"/>
    </row>
    <row r="9514" spans="3:8" x14ac:dyDescent="0.25">
      <c r="C9514" s="12"/>
      <c r="D9514" s="13"/>
      <c r="E9514" s="13"/>
      <c r="F9514" s="13"/>
      <c r="G9514" s="12"/>
      <c r="H9514" s="11"/>
    </row>
    <row r="9515" spans="3:8" x14ac:dyDescent="0.25">
      <c r="C9515" s="12"/>
      <c r="D9515" s="13"/>
      <c r="E9515" s="13"/>
      <c r="F9515" s="13"/>
      <c r="G9515" s="12"/>
      <c r="H9515" s="11"/>
    </row>
    <row r="9516" spans="3:8" x14ac:dyDescent="0.25">
      <c r="C9516" s="12"/>
      <c r="D9516" s="13"/>
      <c r="E9516" s="13"/>
      <c r="F9516" s="13"/>
      <c r="G9516" s="12"/>
      <c r="H9516" s="11"/>
    </row>
    <row r="9517" spans="3:8" x14ac:dyDescent="0.25">
      <c r="C9517" s="12"/>
      <c r="D9517" s="13"/>
      <c r="E9517" s="13"/>
      <c r="F9517" s="13"/>
      <c r="G9517" s="12"/>
      <c r="H9517" s="11"/>
    </row>
    <row r="9518" spans="3:8" x14ac:dyDescent="0.25">
      <c r="C9518" s="12"/>
      <c r="D9518" s="13"/>
      <c r="E9518" s="13"/>
      <c r="F9518" s="13"/>
      <c r="G9518" s="12"/>
      <c r="H9518" s="11"/>
    </row>
    <row r="9519" spans="3:8" x14ac:dyDescent="0.25">
      <c r="C9519" s="12"/>
      <c r="D9519" s="13"/>
      <c r="E9519" s="13"/>
      <c r="F9519" s="13"/>
      <c r="G9519" s="12"/>
      <c r="H9519" s="11"/>
    </row>
    <row r="9520" spans="3:8" x14ac:dyDescent="0.25">
      <c r="C9520" s="12"/>
      <c r="D9520" s="13"/>
      <c r="E9520" s="13"/>
      <c r="F9520" s="13"/>
      <c r="G9520" s="12"/>
      <c r="H9520" s="11"/>
    </row>
    <row r="9521" spans="3:8" x14ac:dyDescent="0.25">
      <c r="C9521" s="12"/>
      <c r="D9521" s="13"/>
      <c r="E9521" s="13"/>
      <c r="F9521" s="13"/>
      <c r="G9521" s="12"/>
      <c r="H9521" s="11"/>
    </row>
    <row r="9522" spans="3:8" x14ac:dyDescent="0.25">
      <c r="C9522" s="12"/>
      <c r="D9522" s="13"/>
      <c r="E9522" s="13"/>
      <c r="F9522" s="13"/>
      <c r="G9522" s="12"/>
      <c r="H9522" s="11"/>
    </row>
    <row r="9523" spans="3:8" x14ac:dyDescent="0.25">
      <c r="C9523" s="12"/>
      <c r="D9523" s="13"/>
      <c r="E9523" s="13"/>
      <c r="F9523" s="13"/>
      <c r="G9523" s="12"/>
      <c r="H9523" s="11"/>
    </row>
    <row r="9524" spans="3:8" x14ac:dyDescent="0.25">
      <c r="C9524" s="12"/>
      <c r="D9524" s="13"/>
      <c r="E9524" s="13"/>
      <c r="F9524" s="13"/>
      <c r="G9524" s="12"/>
      <c r="H9524" s="11"/>
    </row>
    <row r="9525" spans="3:8" x14ac:dyDescent="0.25">
      <c r="C9525" s="12"/>
      <c r="D9525" s="13"/>
      <c r="E9525" s="13"/>
      <c r="F9525" s="13"/>
      <c r="G9525" s="12"/>
      <c r="H9525" s="11"/>
    </row>
    <row r="9526" spans="3:8" x14ac:dyDescent="0.25">
      <c r="C9526" s="12"/>
      <c r="D9526" s="13"/>
      <c r="E9526" s="13"/>
      <c r="F9526" s="13"/>
      <c r="G9526" s="12"/>
      <c r="H9526" s="11"/>
    </row>
    <row r="9527" spans="3:8" x14ac:dyDescent="0.25">
      <c r="C9527" s="12"/>
      <c r="D9527" s="13"/>
      <c r="E9527" s="13"/>
      <c r="F9527" s="13"/>
      <c r="G9527" s="12"/>
      <c r="H9527" s="11"/>
    </row>
    <row r="9528" spans="3:8" x14ac:dyDescent="0.25">
      <c r="C9528" s="12"/>
      <c r="D9528" s="13"/>
      <c r="E9528" s="13"/>
      <c r="F9528" s="13"/>
      <c r="G9528" s="12"/>
      <c r="H9528" s="11"/>
    </row>
    <row r="9529" spans="3:8" x14ac:dyDescent="0.25">
      <c r="C9529" s="12"/>
      <c r="D9529" s="13"/>
      <c r="E9529" s="13"/>
      <c r="F9529" s="13"/>
      <c r="G9529" s="12"/>
      <c r="H9529" s="11"/>
    </row>
    <row r="9530" spans="3:8" x14ac:dyDescent="0.25">
      <c r="C9530" s="12"/>
      <c r="D9530" s="13"/>
      <c r="E9530" s="13"/>
      <c r="F9530" s="13"/>
      <c r="G9530" s="12"/>
      <c r="H9530" s="11"/>
    </row>
    <row r="9531" spans="3:8" x14ac:dyDescent="0.25">
      <c r="C9531" s="12"/>
      <c r="D9531" s="13"/>
      <c r="E9531" s="13"/>
      <c r="F9531" s="13"/>
      <c r="G9531" s="12"/>
      <c r="H9531" s="11"/>
    </row>
    <row r="9532" spans="3:8" x14ac:dyDescent="0.25">
      <c r="C9532" s="12"/>
      <c r="D9532" s="13"/>
      <c r="E9532" s="13"/>
      <c r="F9532" s="13"/>
      <c r="G9532" s="12"/>
      <c r="H9532" s="11"/>
    </row>
    <row r="9533" spans="3:8" x14ac:dyDescent="0.25">
      <c r="C9533" s="12"/>
      <c r="D9533" s="13"/>
      <c r="E9533" s="13"/>
      <c r="F9533" s="13"/>
      <c r="G9533" s="12"/>
      <c r="H9533" s="11"/>
    </row>
    <row r="9534" spans="3:8" x14ac:dyDescent="0.25">
      <c r="C9534" s="12"/>
      <c r="D9534" s="13"/>
      <c r="E9534" s="13"/>
      <c r="F9534" s="13"/>
      <c r="G9534" s="12"/>
      <c r="H9534" s="11"/>
    </row>
    <row r="9535" spans="3:8" x14ac:dyDescent="0.25">
      <c r="C9535" s="12"/>
      <c r="D9535" s="13"/>
      <c r="E9535" s="13"/>
      <c r="F9535" s="13"/>
      <c r="G9535" s="12"/>
      <c r="H9535" s="11"/>
    </row>
    <row r="9536" spans="3:8" x14ac:dyDescent="0.25">
      <c r="C9536" s="12"/>
      <c r="D9536" s="13"/>
      <c r="E9536" s="13"/>
      <c r="F9536" s="13"/>
      <c r="G9536" s="12"/>
      <c r="H9536" s="11"/>
    </row>
    <row r="9537" spans="3:8" x14ac:dyDescent="0.25">
      <c r="C9537" s="12"/>
      <c r="D9537" s="13"/>
      <c r="E9537" s="13"/>
      <c r="F9537" s="13"/>
      <c r="G9537" s="12"/>
      <c r="H9537" s="11"/>
    </row>
    <row r="9538" spans="3:8" x14ac:dyDescent="0.25">
      <c r="C9538" s="12"/>
      <c r="D9538" s="13"/>
      <c r="E9538" s="13"/>
      <c r="F9538" s="13"/>
      <c r="G9538" s="12"/>
      <c r="H9538" s="11"/>
    </row>
    <row r="9539" spans="3:8" x14ac:dyDescent="0.25">
      <c r="C9539" s="12"/>
      <c r="D9539" s="13"/>
      <c r="E9539" s="13"/>
      <c r="F9539" s="13"/>
      <c r="G9539" s="12"/>
      <c r="H9539" s="11"/>
    </row>
    <row r="9540" spans="3:8" x14ac:dyDescent="0.25">
      <c r="C9540" s="12"/>
      <c r="D9540" s="13"/>
      <c r="E9540" s="13"/>
      <c r="F9540" s="13"/>
      <c r="G9540" s="12"/>
      <c r="H9540" s="11"/>
    </row>
    <row r="9541" spans="3:8" x14ac:dyDescent="0.25">
      <c r="C9541" s="12"/>
      <c r="D9541" s="13"/>
      <c r="E9541" s="13"/>
      <c r="F9541" s="13"/>
      <c r="G9541" s="12"/>
      <c r="H9541" s="11"/>
    </row>
    <row r="9542" spans="3:8" x14ac:dyDescent="0.25">
      <c r="C9542" s="12"/>
      <c r="D9542" s="13"/>
      <c r="E9542" s="13"/>
      <c r="F9542" s="13"/>
      <c r="G9542" s="12"/>
      <c r="H9542" s="11"/>
    </row>
    <row r="9543" spans="3:8" x14ac:dyDescent="0.25">
      <c r="C9543" s="12"/>
      <c r="D9543" s="13"/>
      <c r="E9543" s="13"/>
      <c r="F9543" s="13"/>
      <c r="G9543" s="12"/>
      <c r="H9543" s="11"/>
    </row>
    <row r="9544" spans="3:8" x14ac:dyDescent="0.25">
      <c r="C9544" s="12"/>
      <c r="D9544" s="13"/>
      <c r="E9544" s="13"/>
      <c r="F9544" s="13"/>
      <c r="G9544" s="12"/>
      <c r="H9544" s="11"/>
    </row>
    <row r="9545" spans="3:8" x14ac:dyDescent="0.25">
      <c r="C9545" s="12"/>
      <c r="D9545" s="13"/>
      <c r="E9545" s="13"/>
      <c r="F9545" s="13"/>
      <c r="G9545" s="12"/>
      <c r="H9545" s="11"/>
    </row>
    <row r="9546" spans="3:8" x14ac:dyDescent="0.25">
      <c r="C9546" s="12"/>
      <c r="D9546" s="13"/>
      <c r="E9546" s="13"/>
      <c r="F9546" s="13"/>
      <c r="G9546" s="12"/>
      <c r="H9546" s="11"/>
    </row>
    <row r="9547" spans="3:8" x14ac:dyDescent="0.25">
      <c r="C9547" s="12"/>
      <c r="D9547" s="13"/>
      <c r="E9547" s="13"/>
      <c r="F9547" s="13"/>
      <c r="G9547" s="12"/>
      <c r="H9547" s="11"/>
    </row>
    <row r="9548" spans="3:8" x14ac:dyDescent="0.25">
      <c r="C9548" s="12"/>
      <c r="D9548" s="13"/>
      <c r="E9548" s="13"/>
      <c r="F9548" s="13"/>
      <c r="G9548" s="12"/>
      <c r="H9548" s="11"/>
    </row>
    <row r="9549" spans="3:8" x14ac:dyDescent="0.25">
      <c r="C9549" s="12"/>
      <c r="D9549" s="13"/>
      <c r="E9549" s="13"/>
      <c r="F9549" s="13"/>
      <c r="G9549" s="12"/>
      <c r="H9549" s="11"/>
    </row>
    <row r="9550" spans="3:8" x14ac:dyDescent="0.25">
      <c r="C9550" s="12"/>
      <c r="D9550" s="13"/>
      <c r="E9550" s="13"/>
      <c r="F9550" s="13"/>
      <c r="G9550" s="12"/>
      <c r="H9550" s="11"/>
    </row>
    <row r="9551" spans="3:8" x14ac:dyDescent="0.25">
      <c r="C9551" s="12"/>
      <c r="D9551" s="13"/>
      <c r="E9551" s="13"/>
      <c r="F9551" s="13"/>
      <c r="G9551" s="12"/>
      <c r="H9551" s="11"/>
    </row>
    <row r="9552" spans="3:8" x14ac:dyDescent="0.25">
      <c r="C9552" s="12"/>
      <c r="D9552" s="13"/>
      <c r="E9552" s="13"/>
      <c r="F9552" s="13"/>
      <c r="G9552" s="12"/>
      <c r="H9552" s="11"/>
    </row>
    <row r="9553" spans="3:8" x14ac:dyDescent="0.25">
      <c r="C9553" s="12"/>
      <c r="D9553" s="13"/>
      <c r="E9553" s="13"/>
      <c r="F9553" s="13"/>
      <c r="G9553" s="12"/>
      <c r="H9553" s="11"/>
    </row>
    <row r="9554" spans="3:8" x14ac:dyDescent="0.25">
      <c r="C9554" s="12"/>
      <c r="D9554" s="13"/>
      <c r="E9554" s="13"/>
      <c r="F9554" s="13"/>
      <c r="G9554" s="12"/>
      <c r="H9554" s="11"/>
    </row>
    <row r="9555" spans="3:8" x14ac:dyDescent="0.25">
      <c r="C9555" s="12"/>
      <c r="D9555" s="13"/>
      <c r="E9555" s="13"/>
      <c r="F9555" s="13"/>
      <c r="G9555" s="12"/>
      <c r="H9555" s="11"/>
    </row>
    <row r="9556" spans="3:8" x14ac:dyDescent="0.25">
      <c r="C9556" s="12"/>
      <c r="D9556" s="13"/>
      <c r="E9556" s="13"/>
      <c r="F9556" s="13"/>
      <c r="G9556" s="12"/>
      <c r="H9556" s="11"/>
    </row>
    <row r="9557" spans="3:8" x14ac:dyDescent="0.25">
      <c r="C9557" s="12"/>
      <c r="D9557" s="13"/>
      <c r="E9557" s="13"/>
      <c r="F9557" s="13"/>
      <c r="G9557" s="12"/>
      <c r="H9557" s="11"/>
    </row>
    <row r="9558" spans="3:8" x14ac:dyDescent="0.25">
      <c r="C9558" s="12"/>
      <c r="D9558" s="13"/>
      <c r="E9558" s="13"/>
      <c r="F9558" s="13"/>
      <c r="G9558" s="12"/>
      <c r="H9558" s="11"/>
    </row>
    <row r="9559" spans="3:8" x14ac:dyDescent="0.25">
      <c r="C9559" s="12"/>
      <c r="D9559" s="13"/>
      <c r="E9559" s="13"/>
      <c r="F9559" s="13"/>
      <c r="G9559" s="12"/>
      <c r="H9559" s="11"/>
    </row>
    <row r="9560" spans="3:8" x14ac:dyDescent="0.25">
      <c r="C9560" s="12"/>
      <c r="D9560" s="13"/>
      <c r="E9560" s="13"/>
      <c r="F9560" s="13"/>
      <c r="G9560" s="12"/>
      <c r="H9560" s="11"/>
    </row>
    <row r="9561" spans="3:8" x14ac:dyDescent="0.25">
      <c r="C9561" s="12"/>
      <c r="D9561" s="13"/>
      <c r="E9561" s="13"/>
      <c r="F9561" s="13"/>
      <c r="G9561" s="12"/>
      <c r="H9561" s="11"/>
    </row>
    <row r="9562" spans="3:8" x14ac:dyDescent="0.25">
      <c r="C9562" s="12"/>
      <c r="D9562" s="13"/>
      <c r="E9562" s="13"/>
      <c r="F9562" s="13"/>
      <c r="G9562" s="12"/>
      <c r="H9562" s="11"/>
    </row>
    <row r="9563" spans="3:8" x14ac:dyDescent="0.25">
      <c r="C9563" s="12"/>
      <c r="D9563" s="13"/>
      <c r="E9563" s="13"/>
      <c r="F9563" s="13"/>
      <c r="G9563" s="12"/>
      <c r="H9563" s="11"/>
    </row>
    <row r="9564" spans="3:8" x14ac:dyDescent="0.25">
      <c r="C9564" s="12"/>
      <c r="D9564" s="13"/>
      <c r="E9564" s="13"/>
      <c r="F9564" s="13"/>
      <c r="G9564" s="12"/>
      <c r="H9564" s="11"/>
    </row>
    <row r="9565" spans="3:8" x14ac:dyDescent="0.25">
      <c r="C9565" s="12"/>
      <c r="D9565" s="13"/>
      <c r="E9565" s="13"/>
      <c r="F9565" s="13"/>
      <c r="G9565" s="12"/>
      <c r="H9565" s="11"/>
    </row>
    <row r="9566" spans="3:8" x14ac:dyDescent="0.25">
      <c r="C9566" s="12"/>
      <c r="D9566" s="13"/>
      <c r="E9566" s="13"/>
      <c r="F9566" s="13"/>
      <c r="G9566" s="12"/>
      <c r="H9566" s="11"/>
    </row>
    <row r="9567" spans="3:8" x14ac:dyDescent="0.25">
      <c r="C9567" s="12"/>
      <c r="D9567" s="13"/>
      <c r="E9567" s="13"/>
      <c r="F9567" s="13"/>
      <c r="G9567" s="12"/>
      <c r="H9567" s="11"/>
    </row>
    <row r="9568" spans="3:8" x14ac:dyDescent="0.25">
      <c r="C9568" s="12"/>
      <c r="D9568" s="13"/>
      <c r="E9568" s="13"/>
      <c r="F9568" s="13"/>
      <c r="G9568" s="12"/>
      <c r="H9568" s="11"/>
    </row>
    <row r="9569" spans="3:8" x14ac:dyDescent="0.25">
      <c r="C9569" s="12"/>
      <c r="D9569" s="13"/>
      <c r="E9569" s="13"/>
      <c r="F9569" s="13"/>
      <c r="G9569" s="12"/>
      <c r="H9569" s="11"/>
    </row>
    <row r="9570" spans="3:8" x14ac:dyDescent="0.25">
      <c r="C9570" s="12"/>
      <c r="D9570" s="13"/>
      <c r="E9570" s="13"/>
      <c r="F9570" s="13"/>
      <c r="G9570" s="12"/>
      <c r="H9570" s="11"/>
    </row>
    <row r="9571" spans="3:8" x14ac:dyDescent="0.25">
      <c r="C9571" s="12"/>
      <c r="D9571" s="13"/>
      <c r="E9571" s="13"/>
      <c r="F9571" s="13"/>
      <c r="G9571" s="12"/>
      <c r="H9571" s="11"/>
    </row>
    <row r="9572" spans="3:8" x14ac:dyDescent="0.25">
      <c r="C9572" s="12"/>
      <c r="D9572" s="13"/>
      <c r="E9572" s="13"/>
      <c r="F9572" s="13"/>
      <c r="G9572" s="12"/>
      <c r="H9572" s="11"/>
    </row>
    <row r="9573" spans="3:8" x14ac:dyDescent="0.25">
      <c r="C9573" s="12"/>
      <c r="D9573" s="13"/>
      <c r="E9573" s="13"/>
      <c r="F9573" s="13"/>
      <c r="G9573" s="12"/>
      <c r="H9573" s="11"/>
    </row>
    <row r="9574" spans="3:8" x14ac:dyDescent="0.25">
      <c r="C9574" s="12"/>
      <c r="D9574" s="13"/>
      <c r="E9574" s="13"/>
      <c r="F9574" s="13"/>
      <c r="G9574" s="12"/>
      <c r="H9574" s="11"/>
    </row>
    <row r="9575" spans="3:8" x14ac:dyDescent="0.25">
      <c r="C9575" s="12"/>
      <c r="D9575" s="13"/>
      <c r="E9575" s="13"/>
      <c r="F9575" s="13"/>
      <c r="G9575" s="12"/>
      <c r="H9575" s="11"/>
    </row>
    <row r="9576" spans="3:8" x14ac:dyDescent="0.25">
      <c r="C9576" s="12"/>
      <c r="D9576" s="13"/>
      <c r="E9576" s="13"/>
      <c r="F9576" s="13"/>
      <c r="G9576" s="12"/>
      <c r="H9576" s="11"/>
    </row>
    <row r="9577" spans="3:8" x14ac:dyDescent="0.25">
      <c r="C9577" s="12"/>
      <c r="D9577" s="13"/>
      <c r="E9577" s="13"/>
      <c r="F9577" s="13"/>
      <c r="G9577" s="12"/>
      <c r="H9577" s="11"/>
    </row>
    <row r="9578" spans="3:8" x14ac:dyDescent="0.25">
      <c r="C9578" s="12"/>
      <c r="D9578" s="13"/>
      <c r="E9578" s="13"/>
      <c r="F9578" s="13"/>
      <c r="G9578" s="12"/>
      <c r="H9578" s="11"/>
    </row>
    <row r="9579" spans="3:8" x14ac:dyDescent="0.25">
      <c r="C9579" s="12"/>
      <c r="D9579" s="13"/>
      <c r="E9579" s="13"/>
      <c r="F9579" s="13"/>
      <c r="G9579" s="12"/>
      <c r="H9579" s="11"/>
    </row>
    <row r="9580" spans="3:8" x14ac:dyDescent="0.25">
      <c r="C9580" s="12"/>
      <c r="D9580" s="13"/>
      <c r="E9580" s="13"/>
      <c r="F9580" s="13"/>
      <c r="G9580" s="12"/>
      <c r="H9580" s="11"/>
    </row>
    <row r="9581" spans="3:8" x14ac:dyDescent="0.25">
      <c r="C9581" s="12"/>
      <c r="D9581" s="13"/>
      <c r="E9581" s="13"/>
      <c r="F9581" s="13"/>
      <c r="G9581" s="12"/>
      <c r="H9581" s="11"/>
    </row>
    <row r="9582" spans="3:8" x14ac:dyDescent="0.25">
      <c r="C9582" s="12"/>
      <c r="D9582" s="13"/>
      <c r="E9582" s="13"/>
      <c r="F9582" s="13"/>
      <c r="G9582" s="12"/>
      <c r="H9582" s="11"/>
    </row>
    <row r="9583" spans="3:8" x14ac:dyDescent="0.25">
      <c r="C9583" s="12"/>
      <c r="D9583" s="13"/>
      <c r="E9583" s="13"/>
      <c r="F9583" s="13"/>
      <c r="G9583" s="12"/>
      <c r="H9583" s="11"/>
    </row>
    <row r="9584" spans="3:8" x14ac:dyDescent="0.25">
      <c r="C9584" s="12"/>
      <c r="D9584" s="13"/>
      <c r="E9584" s="13"/>
      <c r="F9584" s="13"/>
      <c r="G9584" s="12"/>
      <c r="H9584" s="11"/>
    </row>
    <row r="9585" spans="3:8" x14ac:dyDescent="0.25">
      <c r="C9585" s="12"/>
      <c r="D9585" s="13"/>
      <c r="E9585" s="13"/>
      <c r="F9585" s="13"/>
      <c r="G9585" s="12"/>
      <c r="H9585" s="11"/>
    </row>
    <row r="9586" spans="3:8" x14ac:dyDescent="0.25">
      <c r="C9586" s="12"/>
      <c r="D9586" s="13"/>
      <c r="E9586" s="13"/>
      <c r="F9586" s="13"/>
      <c r="G9586" s="12"/>
      <c r="H9586" s="11"/>
    </row>
    <row r="9587" spans="3:8" x14ac:dyDescent="0.25">
      <c r="C9587" s="12"/>
      <c r="D9587" s="13"/>
      <c r="E9587" s="13"/>
      <c r="F9587" s="13"/>
      <c r="G9587" s="12"/>
      <c r="H9587" s="11"/>
    </row>
    <row r="9588" spans="3:8" x14ac:dyDescent="0.25">
      <c r="C9588" s="12"/>
      <c r="D9588" s="13"/>
      <c r="E9588" s="13"/>
      <c r="F9588" s="13"/>
      <c r="G9588" s="12"/>
      <c r="H9588" s="11"/>
    </row>
    <row r="9589" spans="3:8" x14ac:dyDescent="0.25">
      <c r="C9589" s="12"/>
      <c r="D9589" s="13"/>
      <c r="E9589" s="13"/>
      <c r="F9589" s="13"/>
      <c r="G9589" s="12"/>
      <c r="H9589" s="11"/>
    </row>
    <row r="9590" spans="3:8" x14ac:dyDescent="0.25">
      <c r="C9590" s="12"/>
      <c r="D9590" s="13"/>
      <c r="E9590" s="13"/>
      <c r="F9590" s="13"/>
      <c r="G9590" s="12"/>
      <c r="H9590" s="11"/>
    </row>
    <row r="9591" spans="3:8" x14ac:dyDescent="0.25">
      <c r="C9591" s="12"/>
      <c r="D9591" s="13"/>
      <c r="E9591" s="13"/>
      <c r="F9591" s="13"/>
      <c r="G9591" s="12"/>
      <c r="H9591" s="11"/>
    </row>
    <row r="9592" spans="3:8" x14ac:dyDescent="0.25">
      <c r="C9592" s="12"/>
      <c r="D9592" s="13"/>
      <c r="E9592" s="13"/>
      <c r="F9592" s="13"/>
      <c r="G9592" s="12"/>
      <c r="H9592" s="11"/>
    </row>
    <row r="9593" spans="3:8" x14ac:dyDescent="0.25">
      <c r="C9593" s="12"/>
      <c r="D9593" s="13"/>
      <c r="E9593" s="13"/>
      <c r="F9593" s="13"/>
      <c r="G9593" s="12"/>
      <c r="H9593" s="11"/>
    </row>
    <row r="9594" spans="3:8" x14ac:dyDescent="0.25">
      <c r="C9594" s="12"/>
      <c r="D9594" s="13"/>
      <c r="E9594" s="13"/>
      <c r="F9594" s="13"/>
      <c r="G9594" s="12"/>
      <c r="H9594" s="11"/>
    </row>
    <row r="9595" spans="3:8" x14ac:dyDescent="0.25">
      <c r="C9595" s="12"/>
      <c r="D9595" s="13"/>
      <c r="E9595" s="13"/>
      <c r="F9595" s="13"/>
      <c r="G9595" s="12"/>
      <c r="H9595" s="11"/>
    </row>
    <row r="9596" spans="3:8" x14ac:dyDescent="0.25">
      <c r="C9596" s="12"/>
      <c r="D9596" s="13"/>
      <c r="E9596" s="13"/>
      <c r="F9596" s="13"/>
      <c r="G9596" s="12"/>
      <c r="H9596" s="11"/>
    </row>
    <row r="9597" spans="3:8" x14ac:dyDescent="0.25">
      <c r="C9597" s="12"/>
      <c r="D9597" s="13"/>
      <c r="E9597" s="13"/>
      <c r="F9597" s="13"/>
      <c r="G9597" s="12"/>
      <c r="H9597" s="11"/>
    </row>
    <row r="9598" spans="3:8" x14ac:dyDescent="0.25">
      <c r="C9598" s="12"/>
      <c r="D9598" s="13"/>
      <c r="E9598" s="13"/>
      <c r="F9598" s="13"/>
      <c r="G9598" s="12"/>
      <c r="H9598" s="11"/>
    </row>
    <row r="9599" spans="3:8" x14ac:dyDescent="0.25">
      <c r="C9599" s="12"/>
      <c r="D9599" s="13"/>
      <c r="E9599" s="13"/>
      <c r="F9599" s="13"/>
      <c r="G9599" s="12"/>
      <c r="H9599" s="11"/>
    </row>
    <row r="9600" spans="3:8" x14ac:dyDescent="0.25">
      <c r="C9600" s="12"/>
      <c r="D9600" s="13"/>
      <c r="E9600" s="13"/>
      <c r="F9600" s="13"/>
      <c r="G9600" s="12"/>
      <c r="H9600" s="11"/>
    </row>
    <row r="9601" spans="3:8" x14ac:dyDescent="0.25">
      <c r="C9601" s="12"/>
      <c r="D9601" s="13"/>
      <c r="E9601" s="13"/>
      <c r="F9601" s="13"/>
      <c r="G9601" s="12"/>
      <c r="H9601" s="11"/>
    </row>
    <row r="9602" spans="3:8" x14ac:dyDescent="0.25">
      <c r="C9602" s="12"/>
      <c r="D9602" s="13"/>
      <c r="E9602" s="13"/>
      <c r="F9602" s="13"/>
      <c r="G9602" s="12"/>
      <c r="H9602" s="11"/>
    </row>
    <row r="9603" spans="3:8" x14ac:dyDescent="0.25">
      <c r="C9603" s="12"/>
      <c r="D9603" s="13"/>
      <c r="E9603" s="13"/>
      <c r="F9603" s="13"/>
      <c r="G9603" s="12"/>
      <c r="H9603" s="11"/>
    </row>
    <row r="9604" spans="3:8" x14ac:dyDescent="0.25">
      <c r="C9604" s="12"/>
      <c r="D9604" s="13"/>
      <c r="E9604" s="13"/>
      <c r="F9604" s="13"/>
      <c r="G9604" s="12"/>
      <c r="H9604" s="11"/>
    </row>
    <row r="9605" spans="3:8" x14ac:dyDescent="0.25">
      <c r="C9605" s="12"/>
      <c r="D9605" s="13"/>
      <c r="E9605" s="13"/>
      <c r="F9605" s="13"/>
      <c r="G9605" s="12"/>
      <c r="H9605" s="11"/>
    </row>
    <row r="9606" spans="3:8" x14ac:dyDescent="0.25">
      <c r="C9606" s="12"/>
      <c r="D9606" s="13"/>
      <c r="E9606" s="13"/>
      <c r="F9606" s="13"/>
      <c r="G9606" s="12"/>
      <c r="H9606" s="11"/>
    </row>
    <row r="9607" spans="3:8" x14ac:dyDescent="0.25">
      <c r="C9607" s="12"/>
      <c r="D9607" s="13"/>
      <c r="E9607" s="13"/>
      <c r="F9607" s="13"/>
      <c r="G9607" s="12"/>
      <c r="H9607" s="11"/>
    </row>
    <row r="9608" spans="3:8" x14ac:dyDescent="0.25">
      <c r="C9608" s="12"/>
      <c r="D9608" s="13"/>
      <c r="E9608" s="13"/>
      <c r="F9608" s="13"/>
      <c r="G9608" s="12"/>
      <c r="H9608" s="11"/>
    </row>
    <row r="9609" spans="3:8" x14ac:dyDescent="0.25">
      <c r="C9609" s="12"/>
      <c r="D9609" s="13"/>
      <c r="E9609" s="13"/>
      <c r="F9609" s="13"/>
      <c r="G9609" s="12"/>
      <c r="H9609" s="11"/>
    </row>
    <row r="9610" spans="3:8" x14ac:dyDescent="0.25">
      <c r="C9610" s="12"/>
      <c r="D9610" s="13"/>
      <c r="E9610" s="13"/>
      <c r="F9610" s="13"/>
      <c r="G9610" s="12"/>
      <c r="H9610" s="11"/>
    </row>
    <row r="9611" spans="3:8" x14ac:dyDescent="0.25">
      <c r="C9611" s="12"/>
      <c r="D9611" s="13"/>
      <c r="E9611" s="13"/>
      <c r="F9611" s="13"/>
      <c r="G9611" s="12"/>
      <c r="H9611" s="11"/>
    </row>
    <row r="9612" spans="3:8" x14ac:dyDescent="0.25">
      <c r="C9612" s="12"/>
      <c r="D9612" s="13"/>
      <c r="E9612" s="13"/>
      <c r="F9612" s="13"/>
      <c r="G9612" s="12"/>
      <c r="H9612" s="11"/>
    </row>
    <row r="9613" spans="3:8" x14ac:dyDescent="0.25">
      <c r="C9613" s="12"/>
      <c r="D9613" s="13"/>
      <c r="E9613" s="13"/>
      <c r="F9613" s="13"/>
      <c r="G9613" s="12"/>
      <c r="H9613" s="11"/>
    </row>
    <row r="9614" spans="3:8" x14ac:dyDescent="0.25">
      <c r="C9614" s="12"/>
      <c r="D9614" s="13"/>
      <c r="E9614" s="13"/>
      <c r="F9614" s="13"/>
      <c r="G9614" s="12"/>
      <c r="H9614" s="11"/>
    </row>
    <row r="9615" spans="3:8" x14ac:dyDescent="0.25">
      <c r="C9615" s="12"/>
      <c r="D9615" s="13"/>
      <c r="E9615" s="13"/>
      <c r="F9615" s="13"/>
      <c r="G9615" s="12"/>
      <c r="H9615" s="11"/>
    </row>
    <row r="9616" spans="3:8" x14ac:dyDescent="0.25">
      <c r="C9616" s="12"/>
      <c r="D9616" s="13"/>
      <c r="E9616" s="13"/>
      <c r="F9616" s="13"/>
      <c r="G9616" s="12"/>
      <c r="H9616" s="11"/>
    </row>
    <row r="9617" spans="3:8" x14ac:dyDescent="0.25">
      <c r="C9617" s="12"/>
      <c r="D9617" s="13"/>
      <c r="E9617" s="13"/>
      <c r="F9617" s="13"/>
      <c r="G9617" s="12"/>
      <c r="H9617" s="11"/>
    </row>
    <row r="9618" spans="3:8" x14ac:dyDescent="0.25">
      <c r="C9618" s="12"/>
      <c r="D9618" s="13"/>
      <c r="E9618" s="13"/>
      <c r="F9618" s="13"/>
      <c r="G9618" s="12"/>
      <c r="H9618" s="11"/>
    </row>
    <row r="9619" spans="3:8" x14ac:dyDescent="0.25">
      <c r="C9619" s="12"/>
      <c r="D9619" s="13"/>
      <c r="E9619" s="13"/>
      <c r="F9619" s="13"/>
      <c r="G9619" s="12"/>
      <c r="H9619" s="11"/>
    </row>
    <row r="9620" spans="3:8" x14ac:dyDescent="0.25">
      <c r="C9620" s="12"/>
      <c r="D9620" s="13"/>
      <c r="E9620" s="13"/>
      <c r="F9620" s="13"/>
      <c r="G9620" s="12"/>
      <c r="H9620" s="11"/>
    </row>
    <row r="9621" spans="3:8" x14ac:dyDescent="0.25">
      <c r="C9621" s="12"/>
      <c r="D9621" s="13"/>
      <c r="E9621" s="13"/>
      <c r="F9621" s="13"/>
      <c r="G9621" s="12"/>
      <c r="H9621" s="11"/>
    </row>
    <row r="9622" spans="3:8" x14ac:dyDescent="0.25">
      <c r="C9622" s="12"/>
      <c r="D9622" s="13"/>
      <c r="E9622" s="13"/>
      <c r="F9622" s="13"/>
      <c r="G9622" s="12"/>
      <c r="H9622" s="11"/>
    </row>
    <row r="9623" spans="3:8" x14ac:dyDescent="0.25">
      <c r="C9623" s="12"/>
      <c r="D9623" s="13"/>
      <c r="E9623" s="13"/>
      <c r="F9623" s="13"/>
      <c r="G9623" s="12"/>
      <c r="H9623" s="11"/>
    </row>
    <row r="9624" spans="3:8" x14ac:dyDescent="0.25">
      <c r="C9624" s="12"/>
      <c r="D9624" s="13"/>
      <c r="E9624" s="13"/>
      <c r="F9624" s="13"/>
      <c r="G9624" s="12"/>
      <c r="H9624" s="11"/>
    </row>
    <row r="9625" spans="3:8" x14ac:dyDescent="0.25">
      <c r="C9625" s="12"/>
      <c r="D9625" s="13"/>
      <c r="E9625" s="13"/>
      <c r="F9625" s="13"/>
      <c r="G9625" s="12"/>
      <c r="H9625" s="11"/>
    </row>
    <row r="9626" spans="3:8" x14ac:dyDescent="0.25">
      <c r="C9626" s="12"/>
      <c r="D9626" s="13"/>
      <c r="E9626" s="13"/>
      <c r="F9626" s="13"/>
      <c r="G9626" s="12"/>
      <c r="H9626" s="11"/>
    </row>
    <row r="9627" spans="3:8" x14ac:dyDescent="0.25">
      <c r="C9627" s="12"/>
      <c r="D9627" s="13"/>
      <c r="E9627" s="13"/>
      <c r="F9627" s="13"/>
      <c r="G9627" s="12"/>
      <c r="H9627" s="11"/>
    </row>
    <row r="9628" spans="3:8" x14ac:dyDescent="0.25">
      <c r="C9628" s="12"/>
      <c r="D9628" s="13"/>
      <c r="E9628" s="13"/>
      <c r="F9628" s="13"/>
      <c r="G9628" s="12"/>
      <c r="H9628" s="11"/>
    </row>
    <row r="9629" spans="3:8" x14ac:dyDescent="0.25">
      <c r="C9629" s="12"/>
      <c r="D9629" s="13"/>
      <c r="E9629" s="13"/>
      <c r="F9629" s="13"/>
      <c r="G9629" s="12"/>
      <c r="H9629" s="11"/>
    </row>
    <row r="9630" spans="3:8" x14ac:dyDescent="0.25">
      <c r="C9630" s="12"/>
      <c r="D9630" s="13"/>
      <c r="E9630" s="13"/>
      <c r="F9630" s="13"/>
      <c r="G9630" s="12"/>
      <c r="H9630" s="11"/>
    </row>
    <row r="9631" spans="3:8" x14ac:dyDescent="0.25">
      <c r="C9631" s="12"/>
      <c r="D9631" s="13"/>
      <c r="E9631" s="13"/>
      <c r="F9631" s="13"/>
      <c r="G9631" s="12"/>
      <c r="H9631" s="11"/>
    </row>
    <row r="9632" spans="3:8" x14ac:dyDescent="0.25">
      <c r="C9632" s="12"/>
      <c r="D9632" s="13"/>
      <c r="E9632" s="13"/>
      <c r="F9632" s="13"/>
      <c r="G9632" s="12"/>
      <c r="H9632" s="11"/>
    </row>
    <row r="9633" spans="3:8" x14ac:dyDescent="0.25">
      <c r="C9633" s="12"/>
      <c r="D9633" s="13"/>
      <c r="E9633" s="13"/>
      <c r="F9633" s="13"/>
      <c r="G9633" s="12"/>
      <c r="H9633" s="11"/>
    </row>
    <row r="9634" spans="3:8" x14ac:dyDescent="0.25">
      <c r="C9634" s="12"/>
      <c r="D9634" s="13"/>
      <c r="E9634" s="13"/>
      <c r="F9634" s="13"/>
      <c r="G9634" s="12"/>
      <c r="H9634" s="11"/>
    </row>
    <row r="9635" spans="3:8" x14ac:dyDescent="0.25">
      <c r="C9635" s="12"/>
      <c r="D9635" s="13"/>
      <c r="E9635" s="13"/>
      <c r="F9635" s="13"/>
      <c r="G9635" s="12"/>
      <c r="H9635" s="11"/>
    </row>
    <row r="9636" spans="3:8" x14ac:dyDescent="0.25">
      <c r="C9636" s="12"/>
      <c r="D9636" s="13"/>
      <c r="E9636" s="13"/>
      <c r="F9636" s="13"/>
      <c r="G9636" s="12"/>
      <c r="H9636" s="11"/>
    </row>
    <row r="9637" spans="3:8" x14ac:dyDescent="0.25">
      <c r="C9637" s="12"/>
      <c r="D9637" s="13"/>
      <c r="E9637" s="13"/>
      <c r="F9637" s="13"/>
      <c r="G9637" s="12"/>
      <c r="H9637" s="11"/>
    </row>
    <row r="9638" spans="3:8" x14ac:dyDescent="0.25">
      <c r="C9638" s="12"/>
      <c r="D9638" s="13"/>
      <c r="E9638" s="13"/>
      <c r="F9638" s="13"/>
      <c r="G9638" s="12"/>
      <c r="H9638" s="11"/>
    </row>
    <row r="9639" spans="3:8" x14ac:dyDescent="0.25">
      <c r="C9639" s="12"/>
      <c r="D9639" s="13"/>
      <c r="E9639" s="13"/>
      <c r="F9639" s="13"/>
      <c r="G9639" s="12"/>
      <c r="H9639" s="11"/>
    </row>
    <row r="9640" spans="3:8" x14ac:dyDescent="0.25">
      <c r="C9640" s="12"/>
      <c r="D9640" s="13"/>
      <c r="E9640" s="13"/>
      <c r="F9640" s="13"/>
      <c r="G9640" s="12"/>
      <c r="H9640" s="11"/>
    </row>
    <row r="9641" spans="3:8" x14ac:dyDescent="0.25">
      <c r="C9641" s="12"/>
      <c r="D9641" s="13"/>
      <c r="E9641" s="13"/>
      <c r="F9641" s="13"/>
      <c r="G9641" s="12"/>
      <c r="H9641" s="11"/>
    </row>
    <row r="9642" spans="3:8" x14ac:dyDescent="0.25">
      <c r="C9642" s="12"/>
      <c r="D9642" s="13"/>
      <c r="E9642" s="13"/>
      <c r="F9642" s="13"/>
      <c r="G9642" s="12"/>
      <c r="H9642" s="11"/>
    </row>
    <row r="9643" spans="3:8" x14ac:dyDescent="0.25">
      <c r="C9643" s="12"/>
      <c r="D9643" s="13"/>
      <c r="E9643" s="13"/>
      <c r="F9643" s="13"/>
      <c r="G9643" s="12"/>
      <c r="H9643" s="11"/>
    </row>
    <row r="9644" spans="3:8" x14ac:dyDescent="0.25">
      <c r="C9644" s="12"/>
      <c r="D9644" s="13"/>
      <c r="E9644" s="13"/>
      <c r="F9644" s="13"/>
      <c r="G9644" s="12"/>
      <c r="H9644" s="11"/>
    </row>
    <row r="9645" spans="3:8" x14ac:dyDescent="0.25">
      <c r="C9645" s="12"/>
      <c r="D9645" s="13"/>
      <c r="E9645" s="13"/>
      <c r="F9645" s="13"/>
      <c r="G9645" s="12"/>
      <c r="H9645" s="11"/>
    </row>
    <row r="9646" spans="3:8" x14ac:dyDescent="0.25">
      <c r="C9646" s="12"/>
      <c r="D9646" s="13"/>
      <c r="E9646" s="13"/>
      <c r="F9646" s="13"/>
      <c r="G9646" s="12"/>
      <c r="H9646" s="11"/>
    </row>
    <row r="9647" spans="3:8" x14ac:dyDescent="0.25">
      <c r="C9647" s="12"/>
      <c r="D9647" s="13"/>
      <c r="E9647" s="13"/>
      <c r="F9647" s="13"/>
      <c r="G9647" s="12"/>
      <c r="H9647" s="11"/>
    </row>
    <row r="9648" spans="3:8" x14ac:dyDescent="0.25">
      <c r="C9648" s="12"/>
      <c r="D9648" s="13"/>
      <c r="E9648" s="13"/>
      <c r="F9648" s="13"/>
      <c r="G9648" s="12"/>
      <c r="H9648" s="11"/>
    </row>
    <row r="9649" spans="3:8" x14ac:dyDescent="0.25">
      <c r="C9649" s="12"/>
      <c r="D9649" s="13"/>
      <c r="E9649" s="13"/>
      <c r="F9649" s="13"/>
      <c r="G9649" s="12"/>
      <c r="H9649" s="11"/>
    </row>
    <row r="9650" spans="3:8" x14ac:dyDescent="0.25">
      <c r="C9650" s="12"/>
      <c r="D9650" s="13"/>
      <c r="E9650" s="13"/>
      <c r="F9650" s="13"/>
      <c r="G9650" s="12"/>
      <c r="H9650" s="11"/>
    </row>
    <row r="9651" spans="3:8" x14ac:dyDescent="0.25">
      <c r="C9651" s="12"/>
      <c r="D9651" s="13"/>
      <c r="E9651" s="13"/>
      <c r="F9651" s="13"/>
      <c r="G9651" s="12"/>
      <c r="H9651" s="11"/>
    </row>
    <row r="9652" spans="3:8" x14ac:dyDescent="0.25">
      <c r="C9652" s="12"/>
      <c r="D9652" s="13"/>
      <c r="E9652" s="13"/>
      <c r="F9652" s="13"/>
      <c r="G9652" s="12"/>
      <c r="H9652" s="11"/>
    </row>
    <row r="9653" spans="3:8" x14ac:dyDescent="0.25">
      <c r="C9653" s="12"/>
      <c r="D9653" s="13"/>
      <c r="E9653" s="13"/>
      <c r="F9653" s="13"/>
      <c r="G9653" s="12"/>
      <c r="H9653" s="11"/>
    </row>
    <row r="9654" spans="3:8" x14ac:dyDescent="0.25">
      <c r="C9654" s="12"/>
      <c r="D9654" s="13"/>
      <c r="E9654" s="13"/>
      <c r="F9654" s="13"/>
      <c r="G9654" s="12"/>
      <c r="H9654" s="11"/>
    </row>
    <row r="9655" spans="3:8" x14ac:dyDescent="0.25">
      <c r="C9655" s="12"/>
      <c r="D9655" s="13"/>
      <c r="E9655" s="13"/>
      <c r="F9655" s="13"/>
      <c r="G9655" s="12"/>
      <c r="H9655" s="11"/>
    </row>
    <row r="9656" spans="3:8" x14ac:dyDescent="0.25">
      <c r="C9656" s="12"/>
      <c r="D9656" s="13"/>
      <c r="E9656" s="13"/>
      <c r="F9656" s="13"/>
      <c r="G9656" s="12"/>
      <c r="H9656" s="11"/>
    </row>
    <row r="9657" spans="3:8" x14ac:dyDescent="0.25">
      <c r="C9657" s="12"/>
      <c r="D9657" s="13"/>
      <c r="E9657" s="13"/>
      <c r="F9657" s="13"/>
      <c r="G9657" s="12"/>
      <c r="H9657" s="11"/>
    </row>
    <row r="9658" spans="3:8" x14ac:dyDescent="0.25">
      <c r="C9658" s="12"/>
      <c r="D9658" s="13"/>
      <c r="E9658" s="13"/>
      <c r="F9658" s="13"/>
      <c r="G9658" s="12"/>
      <c r="H9658" s="11"/>
    </row>
    <row r="9659" spans="3:8" x14ac:dyDescent="0.25">
      <c r="C9659" s="12"/>
      <c r="D9659" s="13"/>
      <c r="E9659" s="13"/>
      <c r="F9659" s="13"/>
      <c r="G9659" s="12"/>
      <c r="H9659" s="11"/>
    </row>
    <row r="9660" spans="3:8" x14ac:dyDescent="0.25">
      <c r="C9660" s="12"/>
      <c r="D9660" s="13"/>
      <c r="E9660" s="13"/>
      <c r="F9660" s="13"/>
      <c r="G9660" s="12"/>
      <c r="H9660" s="11"/>
    </row>
    <row r="9661" spans="3:8" x14ac:dyDescent="0.25">
      <c r="C9661" s="12"/>
      <c r="D9661" s="13"/>
      <c r="E9661" s="13"/>
      <c r="F9661" s="13"/>
      <c r="G9661" s="12"/>
      <c r="H9661" s="11"/>
    </row>
    <row r="9662" spans="3:8" x14ac:dyDescent="0.25">
      <c r="C9662" s="12"/>
      <c r="D9662" s="13"/>
      <c r="E9662" s="13"/>
      <c r="F9662" s="13"/>
      <c r="G9662" s="12"/>
      <c r="H9662" s="11"/>
    </row>
    <row r="9663" spans="3:8" x14ac:dyDescent="0.25">
      <c r="C9663" s="12"/>
      <c r="D9663" s="13"/>
      <c r="E9663" s="13"/>
      <c r="F9663" s="13"/>
      <c r="G9663" s="12"/>
      <c r="H9663" s="11"/>
    </row>
    <row r="9664" spans="3:8" x14ac:dyDescent="0.25">
      <c r="C9664" s="12"/>
      <c r="D9664" s="13"/>
      <c r="E9664" s="13"/>
      <c r="F9664" s="13"/>
      <c r="G9664" s="12"/>
      <c r="H9664" s="11"/>
    </row>
    <row r="9665" spans="3:8" x14ac:dyDescent="0.25">
      <c r="C9665" s="12"/>
      <c r="D9665" s="13"/>
      <c r="E9665" s="13"/>
      <c r="F9665" s="13"/>
      <c r="G9665" s="12"/>
      <c r="H9665" s="11"/>
    </row>
    <row r="9666" spans="3:8" x14ac:dyDescent="0.25">
      <c r="C9666" s="12"/>
      <c r="D9666" s="13"/>
      <c r="E9666" s="13"/>
      <c r="F9666" s="13"/>
      <c r="G9666" s="12"/>
      <c r="H9666" s="11"/>
    </row>
    <row r="9667" spans="3:8" x14ac:dyDescent="0.25">
      <c r="C9667" s="12"/>
      <c r="D9667" s="13"/>
      <c r="E9667" s="13"/>
      <c r="F9667" s="13"/>
      <c r="G9667" s="12"/>
      <c r="H9667" s="11"/>
    </row>
    <row r="9668" spans="3:8" x14ac:dyDescent="0.25">
      <c r="C9668" s="12"/>
      <c r="D9668" s="13"/>
      <c r="E9668" s="13"/>
      <c r="F9668" s="13"/>
      <c r="G9668" s="12"/>
      <c r="H9668" s="11"/>
    </row>
    <row r="9669" spans="3:8" x14ac:dyDescent="0.25">
      <c r="C9669" s="12"/>
      <c r="D9669" s="13"/>
      <c r="E9669" s="13"/>
      <c r="F9669" s="13"/>
      <c r="G9669" s="12"/>
      <c r="H9669" s="11"/>
    </row>
    <row r="9670" spans="3:8" x14ac:dyDescent="0.25">
      <c r="C9670" s="12"/>
      <c r="D9670" s="13"/>
      <c r="E9670" s="13"/>
      <c r="F9670" s="13"/>
      <c r="G9670" s="12"/>
      <c r="H9670" s="11"/>
    </row>
    <row r="9671" spans="3:8" x14ac:dyDescent="0.25">
      <c r="C9671" s="12"/>
      <c r="D9671" s="13"/>
      <c r="E9671" s="13"/>
      <c r="F9671" s="13"/>
      <c r="G9671" s="12"/>
      <c r="H9671" s="11"/>
    </row>
    <row r="9672" spans="3:8" x14ac:dyDescent="0.25">
      <c r="C9672" s="12"/>
      <c r="D9672" s="13"/>
      <c r="E9672" s="13"/>
      <c r="F9672" s="13"/>
      <c r="G9672" s="12"/>
      <c r="H9672" s="11"/>
    </row>
    <row r="9673" spans="3:8" x14ac:dyDescent="0.25">
      <c r="C9673" s="12"/>
      <c r="D9673" s="13"/>
      <c r="E9673" s="13"/>
      <c r="F9673" s="13"/>
      <c r="G9673" s="12"/>
      <c r="H9673" s="11"/>
    </row>
    <row r="9674" spans="3:8" x14ac:dyDescent="0.25">
      <c r="C9674" s="12"/>
      <c r="D9674" s="13"/>
      <c r="E9674" s="13"/>
      <c r="F9674" s="13"/>
      <c r="G9674" s="12"/>
      <c r="H9674" s="11"/>
    </row>
    <row r="9675" spans="3:8" x14ac:dyDescent="0.25">
      <c r="C9675" s="12"/>
      <c r="D9675" s="13"/>
      <c r="E9675" s="13"/>
      <c r="F9675" s="13"/>
      <c r="G9675" s="12"/>
      <c r="H9675" s="11"/>
    </row>
    <row r="9676" spans="3:8" x14ac:dyDescent="0.25">
      <c r="C9676" s="12"/>
      <c r="D9676" s="13"/>
      <c r="E9676" s="13"/>
      <c r="F9676" s="13"/>
      <c r="G9676" s="12"/>
      <c r="H9676" s="11"/>
    </row>
    <row r="9677" spans="3:8" x14ac:dyDescent="0.25">
      <c r="C9677" s="12"/>
      <c r="D9677" s="13"/>
      <c r="E9677" s="13"/>
      <c r="F9677" s="13"/>
      <c r="G9677" s="12"/>
      <c r="H9677" s="11"/>
    </row>
    <row r="9678" spans="3:8" x14ac:dyDescent="0.25">
      <c r="C9678" s="12"/>
      <c r="D9678" s="13"/>
      <c r="E9678" s="13"/>
      <c r="F9678" s="13"/>
      <c r="G9678" s="12"/>
      <c r="H9678" s="11"/>
    </row>
    <row r="9679" spans="3:8" x14ac:dyDescent="0.25">
      <c r="C9679" s="12"/>
      <c r="D9679" s="13"/>
      <c r="E9679" s="13"/>
      <c r="F9679" s="13"/>
      <c r="G9679" s="12"/>
      <c r="H9679" s="11"/>
    </row>
    <row r="9680" spans="3:8" x14ac:dyDescent="0.25">
      <c r="C9680" s="12"/>
      <c r="D9680" s="13"/>
      <c r="E9680" s="13"/>
      <c r="F9680" s="13"/>
      <c r="G9680" s="12"/>
      <c r="H9680" s="11"/>
    </row>
    <row r="9681" spans="3:8" x14ac:dyDescent="0.25">
      <c r="C9681" s="12"/>
      <c r="D9681" s="13"/>
      <c r="E9681" s="13"/>
      <c r="F9681" s="13"/>
      <c r="G9681" s="12"/>
      <c r="H9681" s="11"/>
    </row>
    <row r="9682" spans="3:8" x14ac:dyDescent="0.25">
      <c r="C9682" s="12"/>
      <c r="D9682" s="13"/>
      <c r="E9682" s="13"/>
      <c r="F9682" s="13"/>
      <c r="G9682" s="12"/>
      <c r="H9682" s="11"/>
    </row>
    <row r="9683" spans="3:8" x14ac:dyDescent="0.25">
      <c r="C9683" s="12"/>
      <c r="D9683" s="13"/>
      <c r="E9683" s="13"/>
      <c r="F9683" s="13"/>
      <c r="G9683" s="12"/>
      <c r="H9683" s="11"/>
    </row>
    <row r="9684" spans="3:8" x14ac:dyDescent="0.25">
      <c r="C9684" s="12"/>
      <c r="D9684" s="13"/>
      <c r="E9684" s="13"/>
      <c r="F9684" s="13"/>
      <c r="G9684" s="12"/>
      <c r="H9684" s="11"/>
    </row>
    <row r="9685" spans="3:8" x14ac:dyDescent="0.25">
      <c r="C9685" s="12"/>
      <c r="D9685" s="13"/>
      <c r="E9685" s="13"/>
      <c r="F9685" s="13"/>
      <c r="G9685" s="12"/>
      <c r="H9685" s="11"/>
    </row>
    <row r="9686" spans="3:8" x14ac:dyDescent="0.25">
      <c r="C9686" s="12"/>
      <c r="D9686" s="13"/>
      <c r="E9686" s="13"/>
      <c r="F9686" s="13"/>
      <c r="G9686" s="12"/>
      <c r="H9686" s="11"/>
    </row>
    <row r="9687" spans="3:8" x14ac:dyDescent="0.25">
      <c r="C9687" s="12"/>
      <c r="D9687" s="13"/>
      <c r="E9687" s="13"/>
      <c r="F9687" s="13"/>
      <c r="G9687" s="12"/>
      <c r="H9687" s="11"/>
    </row>
    <row r="9688" spans="3:8" x14ac:dyDescent="0.25">
      <c r="C9688" s="12"/>
      <c r="D9688" s="13"/>
      <c r="E9688" s="13"/>
      <c r="F9688" s="13"/>
      <c r="G9688" s="12"/>
      <c r="H9688" s="11"/>
    </row>
    <row r="9689" spans="3:8" x14ac:dyDescent="0.25">
      <c r="C9689" s="12"/>
      <c r="D9689" s="13"/>
      <c r="E9689" s="13"/>
      <c r="F9689" s="13"/>
      <c r="G9689" s="12"/>
      <c r="H9689" s="11"/>
    </row>
    <row r="9690" spans="3:8" x14ac:dyDescent="0.25">
      <c r="C9690" s="12"/>
      <c r="D9690" s="13"/>
      <c r="E9690" s="13"/>
      <c r="F9690" s="13"/>
      <c r="G9690" s="12"/>
      <c r="H9690" s="11"/>
    </row>
    <row r="9691" spans="3:8" x14ac:dyDescent="0.25">
      <c r="C9691" s="12"/>
      <c r="D9691" s="13"/>
      <c r="E9691" s="13"/>
      <c r="F9691" s="13"/>
      <c r="G9691" s="12"/>
      <c r="H9691" s="11"/>
    </row>
    <row r="9692" spans="3:8" x14ac:dyDescent="0.25">
      <c r="C9692" s="12"/>
      <c r="D9692" s="13"/>
      <c r="E9692" s="13"/>
      <c r="F9692" s="13"/>
      <c r="G9692" s="12"/>
      <c r="H9692" s="11"/>
    </row>
    <row r="9693" spans="3:8" x14ac:dyDescent="0.25">
      <c r="C9693" s="12"/>
      <c r="D9693" s="13"/>
      <c r="E9693" s="13"/>
      <c r="F9693" s="13"/>
      <c r="G9693" s="12"/>
      <c r="H9693" s="11"/>
    </row>
    <row r="9694" spans="3:8" x14ac:dyDescent="0.25">
      <c r="C9694" s="12"/>
      <c r="D9694" s="13"/>
      <c r="E9694" s="13"/>
      <c r="F9694" s="13"/>
      <c r="G9694" s="12"/>
      <c r="H9694" s="11"/>
    </row>
    <row r="9695" spans="3:8" x14ac:dyDescent="0.25">
      <c r="C9695" s="12"/>
      <c r="D9695" s="13"/>
      <c r="E9695" s="13"/>
      <c r="F9695" s="13"/>
      <c r="G9695" s="12"/>
      <c r="H9695" s="11"/>
    </row>
    <row r="9696" spans="3:8" x14ac:dyDescent="0.25">
      <c r="C9696" s="12"/>
      <c r="D9696" s="13"/>
      <c r="E9696" s="13"/>
      <c r="F9696" s="13"/>
      <c r="G9696" s="12"/>
      <c r="H9696" s="11"/>
    </row>
    <row r="9697" spans="3:8" x14ac:dyDescent="0.25">
      <c r="C9697" s="12"/>
      <c r="D9697" s="13"/>
      <c r="E9697" s="13"/>
      <c r="F9697" s="13"/>
      <c r="G9697" s="12"/>
      <c r="H9697" s="11"/>
    </row>
    <row r="9698" spans="3:8" x14ac:dyDescent="0.25">
      <c r="C9698" s="12"/>
      <c r="D9698" s="13"/>
      <c r="E9698" s="13"/>
      <c r="F9698" s="13"/>
      <c r="G9698" s="12"/>
      <c r="H9698" s="11"/>
    </row>
    <row r="9699" spans="3:8" x14ac:dyDescent="0.25">
      <c r="C9699" s="12"/>
      <c r="D9699" s="13"/>
      <c r="E9699" s="13"/>
      <c r="F9699" s="13"/>
      <c r="G9699" s="12"/>
      <c r="H9699" s="11"/>
    </row>
    <row r="9700" spans="3:8" x14ac:dyDescent="0.25">
      <c r="C9700" s="12"/>
      <c r="D9700" s="13"/>
      <c r="E9700" s="13"/>
      <c r="F9700" s="13"/>
      <c r="G9700" s="12"/>
      <c r="H9700" s="11"/>
    </row>
    <row r="9701" spans="3:8" x14ac:dyDescent="0.25">
      <c r="C9701" s="12"/>
      <c r="D9701" s="13"/>
      <c r="E9701" s="13"/>
      <c r="F9701" s="13"/>
      <c r="G9701" s="12"/>
      <c r="H9701" s="11"/>
    </row>
    <row r="9702" spans="3:8" x14ac:dyDescent="0.25">
      <c r="C9702" s="12"/>
      <c r="D9702" s="13"/>
      <c r="E9702" s="13"/>
      <c r="F9702" s="13"/>
      <c r="G9702" s="12"/>
      <c r="H9702" s="11"/>
    </row>
    <row r="9703" spans="3:8" x14ac:dyDescent="0.25">
      <c r="C9703" s="12"/>
      <c r="D9703" s="13"/>
      <c r="E9703" s="13"/>
      <c r="F9703" s="13"/>
      <c r="G9703" s="12"/>
      <c r="H9703" s="11"/>
    </row>
    <row r="9704" spans="3:8" x14ac:dyDescent="0.25">
      <c r="C9704" s="12"/>
      <c r="D9704" s="13"/>
      <c r="E9704" s="13"/>
      <c r="F9704" s="13"/>
      <c r="G9704" s="12"/>
      <c r="H9704" s="11"/>
    </row>
    <row r="9705" spans="3:8" x14ac:dyDescent="0.25">
      <c r="C9705" s="12"/>
      <c r="D9705" s="13"/>
      <c r="E9705" s="13"/>
      <c r="F9705" s="13"/>
      <c r="G9705" s="12"/>
      <c r="H9705" s="11"/>
    </row>
    <row r="9706" spans="3:8" x14ac:dyDescent="0.25">
      <c r="C9706" s="12"/>
      <c r="D9706" s="13"/>
      <c r="E9706" s="13"/>
      <c r="F9706" s="13"/>
      <c r="G9706" s="12"/>
      <c r="H9706" s="11"/>
    </row>
    <row r="9707" spans="3:8" x14ac:dyDescent="0.25">
      <c r="C9707" s="12"/>
      <c r="D9707" s="13"/>
      <c r="E9707" s="13"/>
      <c r="F9707" s="13"/>
      <c r="G9707" s="12"/>
      <c r="H9707" s="11"/>
    </row>
    <row r="9708" spans="3:8" x14ac:dyDescent="0.25">
      <c r="C9708" s="12"/>
      <c r="D9708" s="13"/>
      <c r="E9708" s="13"/>
      <c r="F9708" s="13"/>
      <c r="G9708" s="12"/>
      <c r="H9708" s="11"/>
    </row>
    <row r="9709" spans="3:8" x14ac:dyDescent="0.25">
      <c r="C9709" s="12"/>
      <c r="D9709" s="13"/>
      <c r="E9709" s="13"/>
      <c r="F9709" s="13"/>
      <c r="G9709" s="12"/>
      <c r="H9709" s="11"/>
    </row>
    <row r="9710" spans="3:8" x14ac:dyDescent="0.25">
      <c r="C9710" s="12"/>
      <c r="D9710" s="13"/>
      <c r="E9710" s="13"/>
      <c r="F9710" s="13"/>
      <c r="G9710" s="12"/>
      <c r="H9710" s="11"/>
    </row>
    <row r="9711" spans="3:8" x14ac:dyDescent="0.25">
      <c r="C9711" s="12"/>
      <c r="D9711" s="13"/>
      <c r="E9711" s="13"/>
      <c r="F9711" s="13"/>
      <c r="G9711" s="12"/>
      <c r="H9711" s="11"/>
    </row>
    <row r="9712" spans="3:8" x14ac:dyDescent="0.25">
      <c r="C9712" s="12"/>
      <c r="D9712" s="13"/>
      <c r="E9712" s="13"/>
      <c r="F9712" s="13"/>
      <c r="G9712" s="12"/>
      <c r="H9712" s="11"/>
    </row>
    <row r="9713" spans="3:8" x14ac:dyDescent="0.25">
      <c r="C9713" s="12"/>
      <c r="D9713" s="13"/>
      <c r="E9713" s="13"/>
      <c r="F9713" s="13"/>
      <c r="G9713" s="12"/>
      <c r="H9713" s="11"/>
    </row>
    <row r="9714" spans="3:8" x14ac:dyDescent="0.25">
      <c r="C9714" s="12"/>
      <c r="D9714" s="13"/>
      <c r="E9714" s="13"/>
      <c r="F9714" s="13"/>
      <c r="G9714" s="12"/>
      <c r="H9714" s="11"/>
    </row>
    <row r="9715" spans="3:8" x14ac:dyDescent="0.25">
      <c r="C9715" s="12"/>
      <c r="D9715" s="13"/>
      <c r="E9715" s="13"/>
      <c r="F9715" s="13"/>
      <c r="G9715" s="12"/>
      <c r="H9715" s="11"/>
    </row>
    <row r="9716" spans="3:8" x14ac:dyDescent="0.25">
      <c r="C9716" s="12"/>
      <c r="D9716" s="13"/>
      <c r="E9716" s="13"/>
      <c r="F9716" s="13"/>
      <c r="G9716" s="12"/>
      <c r="H9716" s="11"/>
    </row>
    <row r="9717" spans="3:8" x14ac:dyDescent="0.25">
      <c r="C9717" s="12"/>
      <c r="D9717" s="13"/>
      <c r="E9717" s="13"/>
      <c r="F9717" s="13"/>
      <c r="G9717" s="12"/>
      <c r="H9717" s="11"/>
    </row>
    <row r="9718" spans="3:8" x14ac:dyDescent="0.25">
      <c r="C9718" s="12"/>
      <c r="D9718" s="13"/>
      <c r="E9718" s="13"/>
      <c r="F9718" s="13"/>
      <c r="G9718" s="12"/>
      <c r="H9718" s="11"/>
    </row>
    <row r="9719" spans="3:8" x14ac:dyDescent="0.25">
      <c r="C9719" s="12"/>
      <c r="D9719" s="13"/>
      <c r="E9719" s="13"/>
      <c r="F9719" s="13"/>
      <c r="G9719" s="12"/>
      <c r="H9719" s="11"/>
    </row>
    <row r="9720" spans="3:8" x14ac:dyDescent="0.25">
      <c r="C9720" s="12"/>
      <c r="D9720" s="13"/>
      <c r="E9720" s="13"/>
      <c r="F9720" s="13"/>
      <c r="G9720" s="12"/>
      <c r="H9720" s="11"/>
    </row>
    <row r="9721" spans="3:8" x14ac:dyDescent="0.25">
      <c r="C9721" s="12"/>
      <c r="D9721" s="13"/>
      <c r="E9721" s="13"/>
      <c r="F9721" s="13"/>
      <c r="G9721" s="12"/>
      <c r="H9721" s="11"/>
    </row>
    <row r="9722" spans="3:8" x14ac:dyDescent="0.25">
      <c r="C9722" s="12"/>
      <c r="D9722" s="13"/>
      <c r="E9722" s="13"/>
      <c r="F9722" s="13"/>
      <c r="G9722" s="12"/>
      <c r="H9722" s="11"/>
    </row>
    <row r="9723" spans="3:8" x14ac:dyDescent="0.25">
      <c r="C9723" s="12"/>
      <c r="D9723" s="13"/>
      <c r="E9723" s="13"/>
      <c r="F9723" s="13"/>
      <c r="G9723" s="12"/>
      <c r="H9723" s="11"/>
    </row>
    <row r="9724" spans="3:8" x14ac:dyDescent="0.25">
      <c r="C9724" s="12"/>
      <c r="D9724" s="13"/>
      <c r="E9724" s="13"/>
      <c r="F9724" s="13"/>
      <c r="G9724" s="12"/>
      <c r="H9724" s="11"/>
    </row>
    <row r="9725" spans="3:8" x14ac:dyDescent="0.25">
      <c r="C9725" s="12"/>
      <c r="D9725" s="13"/>
      <c r="E9725" s="13"/>
      <c r="F9725" s="13"/>
      <c r="G9725" s="12"/>
      <c r="H9725" s="11"/>
    </row>
    <row r="9726" spans="3:8" x14ac:dyDescent="0.25">
      <c r="C9726" s="12"/>
      <c r="D9726" s="13"/>
      <c r="E9726" s="13"/>
      <c r="F9726" s="13"/>
      <c r="G9726" s="12"/>
      <c r="H9726" s="11"/>
    </row>
    <row r="9727" spans="3:8" x14ac:dyDescent="0.25">
      <c r="C9727" s="12"/>
      <c r="D9727" s="13"/>
      <c r="E9727" s="13"/>
      <c r="F9727" s="13"/>
      <c r="G9727" s="12"/>
      <c r="H9727" s="11"/>
    </row>
    <row r="9728" spans="3:8" x14ac:dyDescent="0.25">
      <c r="C9728" s="12"/>
      <c r="D9728" s="13"/>
      <c r="E9728" s="13"/>
      <c r="F9728" s="13"/>
      <c r="G9728" s="12"/>
      <c r="H9728" s="11"/>
    </row>
    <row r="9729" spans="3:8" x14ac:dyDescent="0.25">
      <c r="C9729" s="12"/>
      <c r="D9729" s="13"/>
      <c r="E9729" s="13"/>
      <c r="F9729" s="13"/>
      <c r="G9729" s="12"/>
      <c r="H9729" s="11"/>
    </row>
    <row r="9730" spans="3:8" x14ac:dyDescent="0.25">
      <c r="C9730" s="12"/>
      <c r="D9730" s="13"/>
      <c r="E9730" s="13"/>
      <c r="F9730" s="13"/>
      <c r="G9730" s="12"/>
      <c r="H9730" s="11"/>
    </row>
    <row r="9731" spans="3:8" x14ac:dyDescent="0.25">
      <c r="C9731" s="12"/>
      <c r="D9731" s="13"/>
      <c r="E9731" s="13"/>
      <c r="F9731" s="13"/>
      <c r="G9731" s="12"/>
      <c r="H9731" s="11"/>
    </row>
    <row r="9732" spans="3:8" x14ac:dyDescent="0.25">
      <c r="C9732" s="12"/>
      <c r="D9732" s="13"/>
      <c r="E9732" s="13"/>
      <c r="F9732" s="13"/>
      <c r="G9732" s="12"/>
      <c r="H9732" s="11"/>
    </row>
    <row r="9733" spans="3:8" x14ac:dyDescent="0.25">
      <c r="C9733" s="12"/>
      <c r="D9733" s="13"/>
      <c r="E9733" s="13"/>
      <c r="F9733" s="13"/>
      <c r="G9733" s="12"/>
      <c r="H9733" s="11"/>
    </row>
    <row r="9734" spans="3:8" x14ac:dyDescent="0.25">
      <c r="C9734" s="12"/>
      <c r="D9734" s="13"/>
      <c r="E9734" s="13"/>
      <c r="F9734" s="13"/>
      <c r="G9734" s="12"/>
      <c r="H9734" s="11"/>
    </row>
    <row r="9735" spans="3:8" x14ac:dyDescent="0.25">
      <c r="C9735" s="12"/>
      <c r="D9735" s="13"/>
      <c r="E9735" s="13"/>
      <c r="F9735" s="13"/>
      <c r="G9735" s="12"/>
      <c r="H9735" s="11"/>
    </row>
    <row r="9736" spans="3:8" x14ac:dyDescent="0.25">
      <c r="C9736" s="12"/>
      <c r="D9736" s="13"/>
      <c r="E9736" s="13"/>
      <c r="F9736" s="13"/>
      <c r="G9736" s="12"/>
      <c r="H9736" s="11"/>
    </row>
    <row r="9737" spans="3:8" x14ac:dyDescent="0.25">
      <c r="C9737" s="12"/>
      <c r="D9737" s="13"/>
      <c r="E9737" s="13"/>
      <c r="F9737" s="13"/>
      <c r="G9737" s="12"/>
      <c r="H9737" s="11"/>
    </row>
    <row r="9738" spans="3:8" x14ac:dyDescent="0.25">
      <c r="C9738" s="12"/>
      <c r="D9738" s="13"/>
      <c r="E9738" s="13"/>
      <c r="F9738" s="13"/>
      <c r="G9738" s="12"/>
      <c r="H9738" s="11"/>
    </row>
    <row r="9739" spans="3:8" x14ac:dyDescent="0.25">
      <c r="C9739" s="12"/>
      <c r="D9739" s="13"/>
      <c r="E9739" s="13"/>
      <c r="F9739" s="13"/>
      <c r="G9739" s="12"/>
      <c r="H9739" s="11"/>
    </row>
    <row r="9740" spans="3:8" x14ac:dyDescent="0.25">
      <c r="C9740" s="12"/>
      <c r="D9740" s="13"/>
      <c r="E9740" s="13"/>
      <c r="F9740" s="13"/>
      <c r="G9740" s="12"/>
      <c r="H9740" s="11"/>
    </row>
    <row r="9741" spans="3:8" x14ac:dyDescent="0.25">
      <c r="C9741" s="12"/>
      <c r="D9741" s="13"/>
      <c r="E9741" s="13"/>
      <c r="F9741" s="13"/>
      <c r="G9741" s="12"/>
      <c r="H9741" s="11"/>
    </row>
    <row r="9742" spans="3:8" x14ac:dyDescent="0.25">
      <c r="C9742" s="12"/>
      <c r="D9742" s="13"/>
      <c r="E9742" s="13"/>
      <c r="F9742" s="13"/>
      <c r="G9742" s="12"/>
      <c r="H9742" s="11"/>
    </row>
    <row r="9743" spans="3:8" x14ac:dyDescent="0.25">
      <c r="C9743" s="12"/>
      <c r="D9743" s="13"/>
      <c r="E9743" s="13"/>
      <c r="F9743" s="13"/>
      <c r="G9743" s="12"/>
      <c r="H9743" s="11"/>
    </row>
    <row r="9744" spans="3:8" x14ac:dyDescent="0.25">
      <c r="C9744" s="12"/>
      <c r="D9744" s="13"/>
      <c r="E9744" s="13"/>
      <c r="F9744" s="13"/>
      <c r="G9744" s="12"/>
      <c r="H9744" s="11"/>
    </row>
    <row r="9745" spans="3:8" x14ac:dyDescent="0.25">
      <c r="C9745" s="12"/>
      <c r="D9745" s="13"/>
      <c r="E9745" s="13"/>
      <c r="F9745" s="13"/>
      <c r="G9745" s="12"/>
      <c r="H9745" s="11"/>
    </row>
    <row r="9746" spans="3:8" x14ac:dyDescent="0.25">
      <c r="C9746" s="12"/>
      <c r="D9746" s="13"/>
      <c r="E9746" s="13"/>
      <c r="F9746" s="13"/>
      <c r="G9746" s="12"/>
      <c r="H9746" s="11"/>
    </row>
    <row r="9747" spans="3:8" x14ac:dyDescent="0.25">
      <c r="C9747" s="12"/>
      <c r="D9747" s="13"/>
      <c r="E9747" s="13"/>
      <c r="F9747" s="13"/>
      <c r="G9747" s="12"/>
      <c r="H9747" s="11"/>
    </row>
    <row r="9748" spans="3:8" x14ac:dyDescent="0.25">
      <c r="C9748" s="12"/>
      <c r="D9748" s="13"/>
      <c r="E9748" s="13"/>
      <c r="F9748" s="13"/>
      <c r="G9748" s="12"/>
      <c r="H9748" s="11"/>
    </row>
    <row r="9749" spans="3:8" x14ac:dyDescent="0.25">
      <c r="C9749" s="12"/>
      <c r="D9749" s="13"/>
      <c r="E9749" s="13"/>
      <c r="F9749" s="13"/>
      <c r="G9749" s="12"/>
      <c r="H9749" s="11"/>
    </row>
    <row r="9750" spans="3:8" x14ac:dyDescent="0.25">
      <c r="C9750" s="12"/>
      <c r="D9750" s="13"/>
      <c r="E9750" s="13"/>
      <c r="F9750" s="13"/>
      <c r="G9750" s="12"/>
      <c r="H9750" s="11"/>
    </row>
    <row r="9751" spans="3:8" x14ac:dyDescent="0.25">
      <c r="C9751" s="12"/>
      <c r="D9751" s="13"/>
      <c r="E9751" s="13"/>
      <c r="F9751" s="13"/>
      <c r="G9751" s="12"/>
      <c r="H9751" s="11"/>
    </row>
    <row r="9752" spans="3:8" x14ac:dyDescent="0.25">
      <c r="C9752" s="12"/>
      <c r="D9752" s="13"/>
      <c r="E9752" s="13"/>
      <c r="F9752" s="13"/>
      <c r="G9752" s="12"/>
      <c r="H9752" s="11"/>
    </row>
    <row r="9753" spans="3:8" x14ac:dyDescent="0.25">
      <c r="C9753" s="12"/>
      <c r="D9753" s="13"/>
      <c r="E9753" s="13"/>
      <c r="F9753" s="13"/>
      <c r="G9753" s="12"/>
      <c r="H9753" s="11"/>
    </row>
    <row r="9754" spans="3:8" x14ac:dyDescent="0.25">
      <c r="C9754" s="12"/>
      <c r="D9754" s="13"/>
      <c r="E9754" s="13"/>
      <c r="F9754" s="13"/>
      <c r="G9754" s="12"/>
      <c r="H9754" s="11"/>
    </row>
    <row r="9755" spans="3:8" x14ac:dyDescent="0.25">
      <c r="C9755" s="12"/>
      <c r="D9755" s="13"/>
      <c r="E9755" s="13"/>
      <c r="F9755" s="13"/>
      <c r="G9755" s="12"/>
      <c r="H9755" s="11"/>
    </row>
    <row r="9756" spans="3:8" x14ac:dyDescent="0.25">
      <c r="C9756" s="12"/>
      <c r="D9756" s="13"/>
      <c r="E9756" s="13"/>
      <c r="F9756" s="13"/>
      <c r="G9756" s="12"/>
      <c r="H9756" s="11"/>
    </row>
    <row r="9757" spans="3:8" x14ac:dyDescent="0.25">
      <c r="C9757" s="12"/>
      <c r="D9757" s="13"/>
      <c r="E9757" s="13"/>
      <c r="F9757" s="13"/>
      <c r="G9757" s="12"/>
      <c r="H9757" s="11"/>
    </row>
    <row r="9758" spans="3:8" x14ac:dyDescent="0.25">
      <c r="C9758" s="12"/>
      <c r="D9758" s="13"/>
      <c r="E9758" s="13"/>
      <c r="F9758" s="13"/>
      <c r="G9758" s="12"/>
      <c r="H9758" s="11"/>
    </row>
    <row r="9759" spans="3:8" x14ac:dyDescent="0.25">
      <c r="C9759" s="12"/>
      <c r="D9759" s="13"/>
      <c r="E9759" s="13"/>
      <c r="F9759" s="13"/>
      <c r="G9759" s="12"/>
      <c r="H9759" s="11"/>
    </row>
    <row r="9760" spans="3:8" x14ac:dyDescent="0.25">
      <c r="C9760" s="12"/>
      <c r="D9760" s="13"/>
      <c r="E9760" s="13"/>
      <c r="F9760" s="13"/>
      <c r="G9760" s="12"/>
      <c r="H9760" s="11"/>
    </row>
    <row r="9761" spans="3:8" x14ac:dyDescent="0.25">
      <c r="C9761" s="12"/>
      <c r="D9761" s="13"/>
      <c r="E9761" s="13"/>
      <c r="F9761" s="13"/>
      <c r="G9761" s="12"/>
      <c r="H9761" s="11"/>
    </row>
    <row r="9762" spans="3:8" x14ac:dyDescent="0.25">
      <c r="C9762" s="12"/>
      <c r="D9762" s="13"/>
      <c r="E9762" s="13"/>
      <c r="F9762" s="13"/>
      <c r="G9762" s="12"/>
      <c r="H9762" s="11"/>
    </row>
    <row r="9763" spans="3:8" x14ac:dyDescent="0.25">
      <c r="C9763" s="12"/>
      <c r="D9763" s="13"/>
      <c r="E9763" s="13"/>
      <c r="F9763" s="13"/>
      <c r="G9763" s="12"/>
      <c r="H9763" s="11"/>
    </row>
    <row r="9764" spans="3:8" x14ac:dyDescent="0.25">
      <c r="C9764" s="12"/>
      <c r="D9764" s="13"/>
      <c r="E9764" s="13"/>
      <c r="F9764" s="13"/>
      <c r="G9764" s="12"/>
      <c r="H9764" s="11"/>
    </row>
    <row r="9765" spans="3:8" x14ac:dyDescent="0.25">
      <c r="C9765" s="12"/>
      <c r="D9765" s="13"/>
      <c r="E9765" s="13"/>
      <c r="F9765" s="13"/>
      <c r="G9765" s="12"/>
      <c r="H9765" s="11"/>
    </row>
    <row r="9766" spans="3:8" x14ac:dyDescent="0.25">
      <c r="C9766" s="12"/>
      <c r="D9766" s="13"/>
      <c r="E9766" s="13"/>
      <c r="F9766" s="13"/>
      <c r="G9766" s="12"/>
      <c r="H9766" s="11"/>
    </row>
    <row r="9767" spans="3:8" x14ac:dyDescent="0.25">
      <c r="C9767" s="12"/>
      <c r="D9767" s="13"/>
      <c r="E9767" s="13"/>
      <c r="F9767" s="13"/>
      <c r="G9767" s="12"/>
      <c r="H9767" s="11"/>
    </row>
    <row r="9768" spans="3:8" x14ac:dyDescent="0.25">
      <c r="C9768" s="12"/>
      <c r="D9768" s="13"/>
      <c r="E9768" s="13"/>
      <c r="F9768" s="13"/>
      <c r="G9768" s="12"/>
      <c r="H9768" s="11"/>
    </row>
    <row r="9769" spans="3:8" x14ac:dyDescent="0.25">
      <c r="C9769" s="12"/>
      <c r="D9769" s="13"/>
      <c r="E9769" s="13"/>
      <c r="F9769" s="13"/>
      <c r="G9769" s="12"/>
      <c r="H9769" s="11"/>
    </row>
    <row r="9770" spans="3:8" x14ac:dyDescent="0.25">
      <c r="C9770" s="12"/>
      <c r="D9770" s="13"/>
      <c r="E9770" s="13"/>
      <c r="F9770" s="13"/>
      <c r="G9770" s="12"/>
      <c r="H9770" s="11"/>
    </row>
    <row r="9771" spans="3:8" x14ac:dyDescent="0.25">
      <c r="C9771" s="12"/>
      <c r="D9771" s="13"/>
      <c r="E9771" s="13"/>
      <c r="F9771" s="13"/>
      <c r="G9771" s="12"/>
      <c r="H9771" s="11"/>
    </row>
    <row r="9772" spans="3:8" x14ac:dyDescent="0.25">
      <c r="C9772" s="12"/>
      <c r="D9772" s="13"/>
      <c r="E9772" s="13"/>
      <c r="F9772" s="13"/>
      <c r="G9772" s="12"/>
      <c r="H9772" s="11"/>
    </row>
    <row r="9773" spans="3:8" x14ac:dyDescent="0.25">
      <c r="C9773" s="12"/>
      <c r="D9773" s="13"/>
      <c r="E9773" s="13"/>
      <c r="F9773" s="13"/>
      <c r="G9773" s="12"/>
      <c r="H9773" s="11"/>
    </row>
    <row r="9774" spans="3:8" x14ac:dyDescent="0.25">
      <c r="C9774" s="12"/>
      <c r="D9774" s="13"/>
      <c r="E9774" s="13"/>
      <c r="F9774" s="13"/>
      <c r="G9774" s="12"/>
      <c r="H9774" s="11"/>
    </row>
    <row r="9775" spans="3:8" x14ac:dyDescent="0.25">
      <c r="C9775" s="12"/>
      <c r="D9775" s="13"/>
      <c r="E9775" s="13"/>
      <c r="F9775" s="13"/>
      <c r="G9775" s="12"/>
      <c r="H9775" s="11"/>
    </row>
    <row r="9776" spans="3:8" x14ac:dyDescent="0.25">
      <c r="C9776" s="12"/>
      <c r="D9776" s="13"/>
      <c r="E9776" s="13"/>
      <c r="F9776" s="13"/>
      <c r="G9776" s="12"/>
      <c r="H9776" s="11"/>
    </row>
    <row r="9777" spans="3:8" x14ac:dyDescent="0.25">
      <c r="C9777" s="12"/>
      <c r="D9777" s="13"/>
      <c r="E9777" s="13"/>
      <c r="F9777" s="13"/>
      <c r="G9777" s="12"/>
      <c r="H9777" s="11"/>
    </row>
    <row r="9778" spans="3:8" x14ac:dyDescent="0.25">
      <c r="C9778" s="12"/>
      <c r="D9778" s="13"/>
      <c r="E9778" s="13"/>
      <c r="F9778" s="13"/>
      <c r="G9778" s="12"/>
      <c r="H9778" s="11"/>
    </row>
    <row r="9779" spans="3:8" x14ac:dyDescent="0.25">
      <c r="C9779" s="12"/>
      <c r="D9779" s="13"/>
      <c r="E9779" s="13"/>
      <c r="F9779" s="13"/>
      <c r="G9779" s="12"/>
      <c r="H9779" s="11"/>
    </row>
    <row r="9780" spans="3:8" x14ac:dyDescent="0.25">
      <c r="C9780" s="12"/>
      <c r="D9780" s="13"/>
      <c r="E9780" s="13"/>
      <c r="F9780" s="13"/>
      <c r="G9780" s="12"/>
      <c r="H9780" s="11"/>
    </row>
    <row r="9781" spans="3:8" x14ac:dyDescent="0.25">
      <c r="C9781" s="12"/>
      <c r="D9781" s="13"/>
      <c r="E9781" s="13"/>
      <c r="F9781" s="13"/>
      <c r="G9781" s="12"/>
      <c r="H9781" s="11"/>
    </row>
    <row r="9782" spans="3:8" x14ac:dyDescent="0.25">
      <c r="C9782" s="12"/>
      <c r="D9782" s="13"/>
      <c r="E9782" s="13"/>
      <c r="F9782" s="13"/>
      <c r="G9782" s="12"/>
      <c r="H9782" s="11"/>
    </row>
    <row r="9783" spans="3:8" x14ac:dyDescent="0.25">
      <c r="C9783" s="12"/>
      <c r="D9783" s="13"/>
      <c r="E9783" s="13"/>
      <c r="F9783" s="13"/>
      <c r="G9783" s="12"/>
      <c r="H9783" s="11"/>
    </row>
    <row r="9784" spans="3:8" x14ac:dyDescent="0.25">
      <c r="C9784" s="12"/>
      <c r="D9784" s="13"/>
      <c r="E9784" s="13"/>
      <c r="F9784" s="13"/>
      <c r="G9784" s="12"/>
      <c r="H9784" s="11"/>
    </row>
    <row r="9785" spans="3:8" x14ac:dyDescent="0.25">
      <c r="C9785" s="12"/>
      <c r="D9785" s="13"/>
      <c r="E9785" s="13"/>
      <c r="F9785" s="13"/>
      <c r="G9785" s="12"/>
      <c r="H9785" s="11"/>
    </row>
    <row r="9786" spans="3:8" x14ac:dyDescent="0.25">
      <c r="C9786" s="12"/>
      <c r="D9786" s="13"/>
      <c r="E9786" s="13"/>
      <c r="F9786" s="13"/>
      <c r="G9786" s="12"/>
      <c r="H9786" s="11"/>
    </row>
    <row r="9787" spans="3:8" x14ac:dyDescent="0.25">
      <c r="C9787" s="12"/>
      <c r="D9787" s="13"/>
      <c r="E9787" s="13"/>
      <c r="F9787" s="13"/>
      <c r="G9787" s="12"/>
      <c r="H9787" s="11"/>
    </row>
    <row r="9788" spans="3:8" x14ac:dyDescent="0.25">
      <c r="C9788" s="12"/>
      <c r="D9788" s="13"/>
      <c r="E9788" s="13"/>
      <c r="F9788" s="13"/>
      <c r="G9788" s="12"/>
      <c r="H9788" s="11"/>
    </row>
    <row r="9789" spans="3:8" x14ac:dyDescent="0.25">
      <c r="C9789" s="12"/>
      <c r="D9789" s="13"/>
      <c r="E9789" s="13"/>
      <c r="F9789" s="13"/>
      <c r="G9789" s="12"/>
      <c r="H9789" s="11"/>
    </row>
    <row r="9790" spans="3:8" x14ac:dyDescent="0.25">
      <c r="C9790" s="12"/>
      <c r="D9790" s="13"/>
      <c r="E9790" s="13"/>
      <c r="F9790" s="13"/>
      <c r="G9790" s="12"/>
      <c r="H9790" s="11"/>
    </row>
    <row r="9791" spans="3:8" x14ac:dyDescent="0.25">
      <c r="C9791" s="12"/>
      <c r="D9791" s="13"/>
      <c r="E9791" s="13"/>
      <c r="F9791" s="13"/>
      <c r="G9791" s="12"/>
      <c r="H9791" s="11"/>
    </row>
    <row r="9792" spans="3:8" x14ac:dyDescent="0.25">
      <c r="C9792" s="12"/>
      <c r="D9792" s="13"/>
      <c r="E9792" s="13"/>
      <c r="F9792" s="13"/>
      <c r="G9792" s="12"/>
      <c r="H9792" s="11"/>
    </row>
    <row r="9793" spans="3:8" x14ac:dyDescent="0.25">
      <c r="C9793" s="12"/>
      <c r="D9793" s="13"/>
      <c r="E9793" s="13"/>
      <c r="F9793" s="13"/>
      <c r="G9793" s="12"/>
      <c r="H9793" s="11"/>
    </row>
    <row r="9794" spans="3:8" x14ac:dyDescent="0.25">
      <c r="C9794" s="12"/>
      <c r="D9794" s="13"/>
      <c r="E9794" s="13"/>
      <c r="F9794" s="13"/>
      <c r="G9794" s="12"/>
      <c r="H9794" s="11"/>
    </row>
    <row r="9795" spans="3:8" x14ac:dyDescent="0.25">
      <c r="C9795" s="12"/>
      <c r="D9795" s="13"/>
      <c r="E9795" s="13"/>
      <c r="F9795" s="13"/>
      <c r="G9795" s="12"/>
      <c r="H9795" s="11"/>
    </row>
    <row r="9796" spans="3:8" x14ac:dyDescent="0.25">
      <c r="C9796" s="12"/>
      <c r="D9796" s="13"/>
      <c r="E9796" s="13"/>
      <c r="F9796" s="13"/>
      <c r="G9796" s="12"/>
      <c r="H9796" s="11"/>
    </row>
    <row r="9797" spans="3:8" x14ac:dyDescent="0.25">
      <c r="C9797" s="12"/>
      <c r="D9797" s="13"/>
      <c r="E9797" s="13"/>
      <c r="F9797" s="13"/>
      <c r="G9797" s="12"/>
      <c r="H9797" s="11"/>
    </row>
    <row r="9798" spans="3:8" x14ac:dyDescent="0.25">
      <c r="C9798" s="12"/>
      <c r="D9798" s="13"/>
      <c r="E9798" s="13"/>
      <c r="F9798" s="13"/>
      <c r="G9798" s="12"/>
      <c r="H9798" s="11"/>
    </row>
    <row r="9799" spans="3:8" x14ac:dyDescent="0.25">
      <c r="C9799" s="12"/>
      <c r="D9799" s="13"/>
      <c r="E9799" s="13"/>
      <c r="F9799" s="13"/>
      <c r="G9799" s="12"/>
      <c r="H9799" s="11"/>
    </row>
    <row r="9800" spans="3:8" x14ac:dyDescent="0.25">
      <c r="C9800" s="12"/>
      <c r="D9800" s="13"/>
      <c r="E9800" s="13"/>
      <c r="F9800" s="13"/>
      <c r="G9800" s="12"/>
      <c r="H9800" s="11"/>
    </row>
    <row r="9801" spans="3:8" x14ac:dyDescent="0.25">
      <c r="C9801" s="12"/>
      <c r="D9801" s="13"/>
      <c r="E9801" s="13"/>
      <c r="F9801" s="13"/>
      <c r="G9801" s="12"/>
      <c r="H9801" s="11"/>
    </row>
    <row r="9802" spans="3:8" x14ac:dyDescent="0.25">
      <c r="C9802" s="12"/>
      <c r="D9802" s="13"/>
      <c r="E9802" s="13"/>
      <c r="F9802" s="13"/>
      <c r="G9802" s="12"/>
      <c r="H9802" s="11"/>
    </row>
    <row r="9803" spans="3:8" x14ac:dyDescent="0.25">
      <c r="C9803" s="12"/>
      <c r="D9803" s="13"/>
      <c r="E9803" s="13"/>
      <c r="F9803" s="13"/>
      <c r="G9803" s="12"/>
      <c r="H9803" s="11"/>
    </row>
    <row r="9804" spans="3:8" x14ac:dyDescent="0.25">
      <c r="C9804" s="12"/>
      <c r="D9804" s="13"/>
      <c r="E9804" s="13"/>
      <c r="F9804" s="13"/>
      <c r="G9804" s="12"/>
      <c r="H9804" s="11"/>
    </row>
    <row r="9805" spans="3:8" x14ac:dyDescent="0.25">
      <c r="C9805" s="12"/>
      <c r="D9805" s="13"/>
      <c r="E9805" s="13"/>
      <c r="F9805" s="13"/>
      <c r="G9805" s="12"/>
      <c r="H9805" s="11"/>
    </row>
    <row r="9806" spans="3:8" x14ac:dyDescent="0.25">
      <c r="C9806" s="12"/>
      <c r="D9806" s="13"/>
      <c r="E9806" s="13"/>
      <c r="F9806" s="13"/>
      <c r="G9806" s="12"/>
      <c r="H9806" s="11"/>
    </row>
    <row r="9807" spans="3:8" x14ac:dyDescent="0.25">
      <c r="C9807" s="12"/>
      <c r="D9807" s="13"/>
      <c r="E9807" s="13"/>
      <c r="F9807" s="13"/>
      <c r="G9807" s="12"/>
      <c r="H9807" s="11"/>
    </row>
    <row r="9808" spans="3:8" x14ac:dyDescent="0.25">
      <c r="C9808" s="12"/>
      <c r="D9808" s="13"/>
      <c r="E9808" s="13"/>
      <c r="F9808" s="13"/>
      <c r="G9808" s="12"/>
      <c r="H9808" s="11"/>
    </row>
    <row r="9809" spans="3:8" x14ac:dyDescent="0.25">
      <c r="C9809" s="12"/>
      <c r="D9809" s="13"/>
      <c r="E9809" s="13"/>
      <c r="F9809" s="13"/>
      <c r="G9809" s="12"/>
      <c r="H9809" s="11"/>
    </row>
    <row r="9810" spans="3:8" x14ac:dyDescent="0.25">
      <c r="C9810" s="12"/>
      <c r="D9810" s="13"/>
      <c r="E9810" s="13"/>
      <c r="F9810" s="13"/>
      <c r="G9810" s="12"/>
      <c r="H9810" s="11"/>
    </row>
    <row r="9811" spans="3:8" x14ac:dyDescent="0.25">
      <c r="C9811" s="12"/>
      <c r="D9811" s="13"/>
      <c r="E9811" s="13"/>
      <c r="F9811" s="13"/>
      <c r="G9811" s="12"/>
      <c r="H9811" s="11"/>
    </row>
    <row r="9812" spans="3:8" x14ac:dyDescent="0.25">
      <c r="C9812" s="12"/>
      <c r="D9812" s="13"/>
      <c r="E9812" s="13"/>
      <c r="F9812" s="13"/>
      <c r="G9812" s="12"/>
      <c r="H9812" s="11"/>
    </row>
    <row r="9813" spans="3:8" x14ac:dyDescent="0.25">
      <c r="C9813" s="12"/>
      <c r="D9813" s="13"/>
      <c r="E9813" s="13"/>
      <c r="F9813" s="13"/>
      <c r="G9813" s="12"/>
      <c r="H9813" s="11"/>
    </row>
    <row r="9814" spans="3:8" x14ac:dyDescent="0.25">
      <c r="C9814" s="12"/>
      <c r="D9814" s="13"/>
      <c r="E9814" s="13"/>
      <c r="F9814" s="13"/>
      <c r="G9814" s="12"/>
      <c r="H9814" s="11"/>
    </row>
    <row r="9815" spans="3:8" x14ac:dyDescent="0.25">
      <c r="C9815" s="12"/>
      <c r="D9815" s="13"/>
      <c r="E9815" s="13"/>
      <c r="F9815" s="13"/>
      <c r="G9815" s="12"/>
      <c r="H9815" s="11"/>
    </row>
    <row r="9816" spans="3:8" x14ac:dyDescent="0.25">
      <c r="C9816" s="12"/>
      <c r="D9816" s="13"/>
      <c r="E9816" s="13"/>
      <c r="F9816" s="13"/>
      <c r="G9816" s="12"/>
      <c r="H9816" s="11"/>
    </row>
    <row r="9817" spans="3:8" x14ac:dyDescent="0.25">
      <c r="C9817" s="12"/>
      <c r="D9817" s="13"/>
      <c r="E9817" s="13"/>
      <c r="F9817" s="13"/>
      <c r="G9817" s="12"/>
      <c r="H9817" s="11"/>
    </row>
    <row r="9818" spans="3:8" x14ac:dyDescent="0.25">
      <c r="C9818" s="12"/>
      <c r="D9818" s="13"/>
      <c r="E9818" s="13"/>
      <c r="F9818" s="13"/>
      <c r="G9818" s="12"/>
      <c r="H9818" s="11"/>
    </row>
    <row r="9819" spans="3:8" x14ac:dyDescent="0.25">
      <c r="C9819" s="12"/>
      <c r="D9819" s="13"/>
      <c r="E9819" s="13"/>
      <c r="F9819" s="13"/>
      <c r="G9819" s="12"/>
      <c r="H9819" s="11"/>
    </row>
    <row r="9820" spans="3:8" x14ac:dyDescent="0.25">
      <c r="C9820" s="12"/>
      <c r="D9820" s="13"/>
      <c r="E9820" s="13"/>
      <c r="F9820" s="13"/>
      <c r="G9820" s="12"/>
      <c r="H9820" s="11"/>
    </row>
    <row r="9821" spans="3:8" x14ac:dyDescent="0.25">
      <c r="C9821" s="12"/>
      <c r="D9821" s="13"/>
      <c r="E9821" s="13"/>
      <c r="F9821" s="13"/>
      <c r="G9821" s="12"/>
      <c r="H9821" s="11"/>
    </row>
    <row r="9822" spans="3:8" x14ac:dyDescent="0.25">
      <c r="C9822" s="12"/>
      <c r="D9822" s="13"/>
      <c r="E9822" s="13"/>
      <c r="F9822" s="13"/>
      <c r="G9822" s="12"/>
      <c r="H9822" s="11"/>
    </row>
    <row r="9823" spans="3:8" x14ac:dyDescent="0.25">
      <c r="C9823" s="12"/>
      <c r="D9823" s="13"/>
      <c r="E9823" s="13"/>
      <c r="F9823" s="13"/>
      <c r="G9823" s="12"/>
      <c r="H9823" s="11"/>
    </row>
    <row r="9824" spans="3:8" x14ac:dyDescent="0.25">
      <c r="C9824" s="12"/>
      <c r="D9824" s="13"/>
      <c r="E9824" s="13"/>
      <c r="F9824" s="13"/>
      <c r="G9824" s="12"/>
      <c r="H9824" s="11"/>
    </row>
    <row r="9825" spans="3:8" x14ac:dyDescent="0.25">
      <c r="C9825" s="12"/>
      <c r="D9825" s="13"/>
      <c r="E9825" s="13"/>
      <c r="F9825" s="13"/>
      <c r="G9825" s="12"/>
      <c r="H9825" s="11"/>
    </row>
    <row r="9826" spans="3:8" x14ac:dyDescent="0.25">
      <c r="C9826" s="12"/>
      <c r="D9826" s="13"/>
      <c r="E9826" s="13"/>
      <c r="F9826" s="13"/>
      <c r="G9826" s="12"/>
      <c r="H9826" s="11"/>
    </row>
    <row r="9827" spans="3:8" x14ac:dyDescent="0.25">
      <c r="C9827" s="12"/>
      <c r="D9827" s="13"/>
      <c r="E9827" s="13"/>
      <c r="F9827" s="13"/>
      <c r="G9827" s="12"/>
      <c r="H9827" s="11"/>
    </row>
    <row r="9828" spans="3:8" x14ac:dyDescent="0.25">
      <c r="C9828" s="12"/>
      <c r="D9828" s="13"/>
      <c r="E9828" s="13"/>
      <c r="F9828" s="13"/>
      <c r="G9828" s="12"/>
      <c r="H9828" s="11"/>
    </row>
    <row r="9829" spans="3:8" x14ac:dyDescent="0.25">
      <c r="C9829" s="12"/>
      <c r="D9829" s="13"/>
      <c r="E9829" s="13"/>
      <c r="F9829" s="13"/>
      <c r="G9829" s="12"/>
      <c r="H9829" s="11"/>
    </row>
    <row r="9830" spans="3:8" x14ac:dyDescent="0.25">
      <c r="C9830" s="12"/>
      <c r="D9830" s="13"/>
      <c r="E9830" s="13"/>
      <c r="F9830" s="13"/>
      <c r="G9830" s="12"/>
      <c r="H9830" s="11"/>
    </row>
    <row r="9831" spans="3:8" x14ac:dyDescent="0.25">
      <c r="C9831" s="12"/>
      <c r="D9831" s="13"/>
      <c r="E9831" s="13"/>
      <c r="F9831" s="13"/>
      <c r="G9831" s="12"/>
      <c r="H9831" s="11"/>
    </row>
    <row r="9832" spans="3:8" x14ac:dyDescent="0.25">
      <c r="C9832" s="12"/>
      <c r="D9832" s="13"/>
      <c r="E9832" s="13"/>
      <c r="F9832" s="13"/>
      <c r="G9832" s="12"/>
      <c r="H9832" s="11"/>
    </row>
    <row r="9833" spans="3:8" x14ac:dyDescent="0.25">
      <c r="C9833" s="12"/>
      <c r="D9833" s="13"/>
      <c r="E9833" s="13"/>
      <c r="F9833" s="13"/>
      <c r="G9833" s="12"/>
      <c r="H9833" s="11"/>
    </row>
    <row r="9834" spans="3:8" x14ac:dyDescent="0.25">
      <c r="C9834" s="12"/>
      <c r="D9834" s="13"/>
      <c r="E9834" s="13"/>
      <c r="F9834" s="13"/>
      <c r="G9834" s="12"/>
      <c r="H9834" s="11"/>
    </row>
    <row r="9835" spans="3:8" x14ac:dyDescent="0.25">
      <c r="C9835" s="12"/>
      <c r="D9835" s="13"/>
      <c r="E9835" s="13"/>
      <c r="F9835" s="13"/>
      <c r="G9835" s="12"/>
      <c r="H9835" s="11"/>
    </row>
    <row r="9836" spans="3:8" x14ac:dyDescent="0.25">
      <c r="C9836" s="12"/>
      <c r="D9836" s="13"/>
      <c r="E9836" s="13"/>
      <c r="F9836" s="13"/>
      <c r="G9836" s="12"/>
      <c r="H9836" s="11"/>
    </row>
    <row r="9837" spans="3:8" x14ac:dyDescent="0.25">
      <c r="C9837" s="12"/>
      <c r="D9837" s="13"/>
      <c r="E9837" s="13"/>
      <c r="F9837" s="13"/>
      <c r="G9837" s="12"/>
      <c r="H9837" s="11"/>
    </row>
    <row r="9838" spans="3:8" x14ac:dyDescent="0.25">
      <c r="C9838" s="12"/>
      <c r="D9838" s="13"/>
      <c r="E9838" s="13"/>
      <c r="F9838" s="13"/>
      <c r="G9838" s="12"/>
      <c r="H9838" s="11"/>
    </row>
    <row r="9839" spans="3:8" x14ac:dyDescent="0.25">
      <c r="C9839" s="12"/>
      <c r="D9839" s="13"/>
      <c r="E9839" s="13"/>
      <c r="F9839" s="13"/>
      <c r="G9839" s="12"/>
      <c r="H9839" s="11"/>
    </row>
    <row r="9840" spans="3:8" x14ac:dyDescent="0.25">
      <c r="C9840" s="12"/>
      <c r="D9840" s="13"/>
      <c r="E9840" s="13"/>
      <c r="F9840" s="13"/>
      <c r="G9840" s="12"/>
      <c r="H9840" s="11"/>
    </row>
    <row r="9841" spans="3:8" x14ac:dyDescent="0.25">
      <c r="C9841" s="12"/>
      <c r="D9841" s="13"/>
      <c r="E9841" s="13"/>
      <c r="F9841" s="13"/>
      <c r="G9841" s="12"/>
      <c r="H9841" s="11"/>
    </row>
    <row r="9842" spans="3:8" x14ac:dyDescent="0.25">
      <c r="C9842" s="12"/>
      <c r="D9842" s="13"/>
      <c r="E9842" s="13"/>
      <c r="F9842" s="13"/>
      <c r="G9842" s="12"/>
      <c r="H9842" s="11"/>
    </row>
    <row r="9843" spans="3:8" x14ac:dyDescent="0.25">
      <c r="C9843" s="12"/>
      <c r="D9843" s="13"/>
      <c r="E9843" s="13"/>
      <c r="F9843" s="13"/>
      <c r="G9843" s="12"/>
      <c r="H9843" s="11"/>
    </row>
    <row r="9844" spans="3:8" x14ac:dyDescent="0.25">
      <c r="C9844" s="12"/>
      <c r="D9844" s="13"/>
      <c r="E9844" s="13"/>
      <c r="F9844" s="13"/>
      <c r="G9844" s="12"/>
      <c r="H9844" s="11"/>
    </row>
    <row r="9845" spans="3:8" x14ac:dyDescent="0.25">
      <c r="C9845" s="12"/>
      <c r="D9845" s="13"/>
      <c r="E9845" s="13"/>
      <c r="F9845" s="13"/>
      <c r="G9845" s="12"/>
      <c r="H9845" s="11"/>
    </row>
    <row r="9846" spans="3:8" x14ac:dyDescent="0.25">
      <c r="C9846" s="12"/>
      <c r="D9846" s="13"/>
      <c r="E9846" s="13"/>
      <c r="F9846" s="13"/>
      <c r="G9846" s="12"/>
      <c r="H9846" s="11"/>
    </row>
    <row r="9847" spans="3:8" x14ac:dyDescent="0.25">
      <c r="C9847" s="12"/>
      <c r="D9847" s="13"/>
      <c r="E9847" s="13"/>
      <c r="F9847" s="13"/>
      <c r="G9847" s="12"/>
      <c r="H9847" s="11"/>
    </row>
    <row r="9848" spans="3:8" x14ac:dyDescent="0.25">
      <c r="C9848" s="12"/>
      <c r="D9848" s="13"/>
      <c r="E9848" s="13"/>
      <c r="F9848" s="13"/>
      <c r="G9848" s="12"/>
      <c r="H9848" s="11"/>
    </row>
    <row r="9849" spans="3:8" x14ac:dyDescent="0.25">
      <c r="C9849" s="12"/>
      <c r="D9849" s="13"/>
      <c r="E9849" s="13"/>
      <c r="F9849" s="13"/>
      <c r="G9849" s="12"/>
      <c r="H9849" s="11"/>
    </row>
    <row r="9850" spans="3:8" x14ac:dyDescent="0.25">
      <c r="C9850" s="12"/>
      <c r="D9850" s="13"/>
      <c r="E9850" s="13"/>
      <c r="F9850" s="13"/>
      <c r="G9850" s="12"/>
      <c r="H9850" s="11"/>
    </row>
    <row r="9851" spans="3:8" x14ac:dyDescent="0.25">
      <c r="C9851" s="12"/>
      <c r="D9851" s="13"/>
      <c r="E9851" s="13"/>
      <c r="F9851" s="13"/>
      <c r="G9851" s="12"/>
      <c r="H9851" s="11"/>
    </row>
    <row r="9852" spans="3:8" x14ac:dyDescent="0.25">
      <c r="C9852" s="12"/>
      <c r="D9852" s="13"/>
      <c r="E9852" s="13"/>
      <c r="F9852" s="13"/>
      <c r="G9852" s="12"/>
      <c r="H9852" s="11"/>
    </row>
    <row r="9853" spans="3:8" x14ac:dyDescent="0.25">
      <c r="C9853" s="12"/>
      <c r="D9853" s="13"/>
      <c r="E9853" s="13"/>
      <c r="F9853" s="13"/>
      <c r="G9853" s="12"/>
      <c r="H9853" s="11"/>
    </row>
    <row r="9854" spans="3:8" x14ac:dyDescent="0.25">
      <c r="C9854" s="12"/>
      <c r="D9854" s="13"/>
      <c r="E9854" s="13"/>
      <c r="F9854" s="13"/>
      <c r="G9854" s="12"/>
      <c r="H9854" s="11"/>
    </row>
    <row r="9855" spans="3:8" x14ac:dyDescent="0.25">
      <c r="C9855" s="12"/>
      <c r="D9855" s="13"/>
      <c r="E9855" s="13"/>
      <c r="F9855" s="13"/>
      <c r="G9855" s="12"/>
      <c r="H9855" s="11"/>
    </row>
    <row r="9856" spans="3:8" x14ac:dyDescent="0.25">
      <c r="C9856" s="12"/>
      <c r="D9856" s="13"/>
      <c r="E9856" s="13"/>
      <c r="F9856" s="13"/>
      <c r="G9856" s="12"/>
      <c r="H9856" s="11"/>
    </row>
    <row r="9857" spans="3:8" x14ac:dyDescent="0.25">
      <c r="C9857" s="12"/>
      <c r="D9857" s="13"/>
      <c r="E9857" s="13"/>
      <c r="F9857" s="13"/>
      <c r="G9857" s="12"/>
      <c r="H9857" s="11"/>
    </row>
    <row r="9858" spans="3:8" x14ac:dyDescent="0.25">
      <c r="C9858" s="12"/>
      <c r="D9858" s="13"/>
      <c r="E9858" s="13"/>
      <c r="F9858" s="13"/>
      <c r="G9858" s="12"/>
      <c r="H9858" s="11"/>
    </row>
    <row r="9859" spans="3:8" x14ac:dyDescent="0.25">
      <c r="C9859" s="12"/>
      <c r="D9859" s="13"/>
      <c r="E9859" s="13"/>
      <c r="F9859" s="13"/>
      <c r="G9859" s="12"/>
      <c r="H9859" s="11"/>
    </row>
    <row r="9860" spans="3:8" x14ac:dyDescent="0.25">
      <c r="C9860" s="12"/>
      <c r="D9860" s="13"/>
      <c r="E9860" s="13"/>
      <c r="F9860" s="13"/>
      <c r="G9860" s="12"/>
      <c r="H9860" s="11"/>
    </row>
    <row r="9861" spans="3:8" x14ac:dyDescent="0.25">
      <c r="C9861" s="12"/>
      <c r="D9861" s="13"/>
      <c r="E9861" s="13"/>
      <c r="F9861" s="13"/>
      <c r="G9861" s="12"/>
      <c r="H9861" s="11"/>
    </row>
    <row r="9862" spans="3:8" x14ac:dyDescent="0.25">
      <c r="C9862" s="12"/>
      <c r="D9862" s="13"/>
      <c r="E9862" s="13"/>
      <c r="F9862" s="13"/>
      <c r="G9862" s="12"/>
      <c r="H9862" s="11"/>
    </row>
    <row r="9863" spans="3:8" x14ac:dyDescent="0.25">
      <c r="C9863" s="12"/>
      <c r="D9863" s="13"/>
      <c r="E9863" s="13"/>
      <c r="F9863" s="13"/>
      <c r="G9863" s="12"/>
      <c r="H9863" s="11"/>
    </row>
    <row r="9864" spans="3:8" x14ac:dyDescent="0.25">
      <c r="C9864" s="12"/>
      <c r="D9864" s="13"/>
      <c r="E9864" s="13"/>
      <c r="F9864" s="13"/>
      <c r="G9864" s="12"/>
      <c r="H9864" s="11"/>
    </row>
    <row r="9865" spans="3:8" x14ac:dyDescent="0.25">
      <c r="C9865" s="12"/>
      <c r="D9865" s="13"/>
      <c r="E9865" s="13"/>
      <c r="F9865" s="13"/>
      <c r="G9865" s="12"/>
      <c r="H9865" s="11"/>
    </row>
    <row r="9866" spans="3:8" x14ac:dyDescent="0.25">
      <c r="C9866" s="12"/>
      <c r="D9866" s="13"/>
      <c r="E9866" s="13"/>
      <c r="F9866" s="13"/>
      <c r="G9866" s="12"/>
      <c r="H9866" s="11"/>
    </row>
    <row r="9867" spans="3:8" x14ac:dyDescent="0.25">
      <c r="C9867" s="12"/>
      <c r="D9867" s="13"/>
      <c r="E9867" s="13"/>
      <c r="F9867" s="13"/>
      <c r="G9867" s="12"/>
      <c r="H9867" s="11"/>
    </row>
    <row r="9868" spans="3:8" x14ac:dyDescent="0.25">
      <c r="C9868" s="12"/>
      <c r="D9868" s="13"/>
      <c r="E9868" s="13"/>
      <c r="F9868" s="13"/>
      <c r="G9868" s="12"/>
      <c r="H9868" s="11"/>
    </row>
    <row r="9869" spans="3:8" x14ac:dyDescent="0.25">
      <c r="C9869" s="12"/>
      <c r="D9869" s="13"/>
      <c r="E9869" s="13"/>
      <c r="F9869" s="13"/>
      <c r="G9869" s="12"/>
      <c r="H9869" s="11"/>
    </row>
    <row r="9870" spans="3:8" x14ac:dyDescent="0.25">
      <c r="C9870" s="12"/>
      <c r="D9870" s="13"/>
      <c r="E9870" s="13"/>
      <c r="F9870" s="13"/>
      <c r="G9870" s="12"/>
      <c r="H9870" s="11"/>
    </row>
    <row r="9871" spans="3:8" x14ac:dyDescent="0.25">
      <c r="C9871" s="12"/>
      <c r="D9871" s="13"/>
      <c r="E9871" s="13"/>
      <c r="F9871" s="13"/>
      <c r="G9871" s="12"/>
      <c r="H9871" s="11"/>
    </row>
    <row r="9872" spans="3:8" x14ac:dyDescent="0.25">
      <c r="C9872" s="12"/>
      <c r="D9872" s="13"/>
      <c r="E9872" s="13"/>
      <c r="F9872" s="13"/>
      <c r="G9872" s="12"/>
      <c r="H9872" s="11"/>
    </row>
    <row r="9873" spans="3:8" x14ac:dyDescent="0.25">
      <c r="C9873" s="12"/>
      <c r="D9873" s="13"/>
      <c r="E9873" s="13"/>
      <c r="F9873" s="13"/>
      <c r="G9873" s="12"/>
      <c r="H9873" s="11"/>
    </row>
    <row r="9874" spans="3:8" x14ac:dyDescent="0.25">
      <c r="C9874" s="12"/>
      <c r="D9874" s="13"/>
      <c r="E9874" s="13"/>
      <c r="F9874" s="13"/>
      <c r="G9874" s="12"/>
      <c r="H9874" s="11"/>
    </row>
    <row r="9875" spans="3:8" x14ac:dyDescent="0.25">
      <c r="C9875" s="12"/>
      <c r="D9875" s="13"/>
      <c r="E9875" s="13"/>
      <c r="F9875" s="13"/>
      <c r="G9875" s="12"/>
      <c r="H9875" s="11"/>
    </row>
    <row r="9876" spans="3:8" x14ac:dyDescent="0.25">
      <c r="C9876" s="12"/>
      <c r="D9876" s="13"/>
      <c r="E9876" s="13"/>
      <c r="F9876" s="13"/>
      <c r="G9876" s="12"/>
      <c r="H9876" s="11"/>
    </row>
    <row r="9877" spans="3:8" x14ac:dyDescent="0.25">
      <c r="C9877" s="12"/>
      <c r="D9877" s="13"/>
      <c r="E9877" s="13"/>
      <c r="F9877" s="13"/>
      <c r="G9877" s="12"/>
      <c r="H9877" s="11"/>
    </row>
    <row r="9878" spans="3:8" x14ac:dyDescent="0.25">
      <c r="C9878" s="12"/>
      <c r="D9878" s="13"/>
      <c r="E9878" s="13"/>
      <c r="F9878" s="13"/>
      <c r="G9878" s="12"/>
      <c r="H9878" s="11"/>
    </row>
    <row r="9879" spans="3:8" x14ac:dyDescent="0.25">
      <c r="C9879" s="12"/>
      <c r="D9879" s="13"/>
      <c r="E9879" s="13"/>
      <c r="F9879" s="13"/>
      <c r="G9879" s="12"/>
      <c r="H9879" s="11"/>
    </row>
    <row r="9880" spans="3:8" x14ac:dyDescent="0.25">
      <c r="C9880" s="12"/>
      <c r="D9880" s="13"/>
      <c r="E9880" s="13"/>
      <c r="F9880" s="13"/>
      <c r="G9880" s="12"/>
      <c r="H9880" s="11"/>
    </row>
    <row r="9881" spans="3:8" x14ac:dyDescent="0.25">
      <c r="C9881" s="12"/>
      <c r="D9881" s="13"/>
      <c r="E9881" s="13"/>
      <c r="F9881" s="13"/>
      <c r="G9881" s="12"/>
      <c r="H9881" s="11"/>
    </row>
    <row r="9882" spans="3:8" x14ac:dyDescent="0.25">
      <c r="C9882" s="12"/>
      <c r="D9882" s="13"/>
      <c r="E9882" s="13"/>
      <c r="F9882" s="13"/>
      <c r="G9882" s="12"/>
      <c r="H9882" s="11"/>
    </row>
    <row r="9883" spans="3:8" x14ac:dyDescent="0.25">
      <c r="C9883" s="12"/>
      <c r="D9883" s="13"/>
      <c r="E9883" s="13"/>
      <c r="F9883" s="13"/>
      <c r="G9883" s="12"/>
      <c r="H9883" s="11"/>
    </row>
    <row r="9884" spans="3:8" x14ac:dyDescent="0.25">
      <c r="C9884" s="12"/>
      <c r="D9884" s="13"/>
      <c r="E9884" s="13"/>
      <c r="F9884" s="13"/>
      <c r="G9884" s="12"/>
      <c r="H9884" s="11"/>
    </row>
    <row r="9885" spans="3:8" x14ac:dyDescent="0.25">
      <c r="C9885" s="12"/>
      <c r="D9885" s="13"/>
      <c r="E9885" s="13"/>
      <c r="F9885" s="13"/>
      <c r="G9885" s="12"/>
      <c r="H9885" s="11"/>
    </row>
    <row r="9886" spans="3:8" x14ac:dyDescent="0.25">
      <c r="C9886" s="12"/>
      <c r="D9886" s="13"/>
      <c r="E9886" s="13"/>
      <c r="F9886" s="13"/>
      <c r="G9886" s="12"/>
      <c r="H9886" s="11"/>
    </row>
    <row r="9887" spans="3:8" x14ac:dyDescent="0.25">
      <c r="C9887" s="12"/>
      <c r="D9887" s="13"/>
      <c r="E9887" s="13"/>
      <c r="F9887" s="13"/>
      <c r="G9887" s="12"/>
      <c r="H9887" s="11"/>
    </row>
    <row r="9888" spans="3:8" x14ac:dyDescent="0.25">
      <c r="C9888" s="12"/>
      <c r="D9888" s="13"/>
      <c r="E9888" s="13"/>
      <c r="F9888" s="13"/>
      <c r="G9888" s="12"/>
      <c r="H9888" s="11"/>
    </row>
    <row r="9889" spans="3:8" x14ac:dyDescent="0.25">
      <c r="C9889" s="12"/>
      <c r="D9889" s="13"/>
      <c r="E9889" s="13"/>
      <c r="F9889" s="13"/>
      <c r="G9889" s="12"/>
      <c r="H9889" s="11"/>
    </row>
    <row r="9890" spans="3:8" x14ac:dyDescent="0.25">
      <c r="C9890" s="12"/>
      <c r="D9890" s="13"/>
      <c r="E9890" s="13"/>
      <c r="F9890" s="13"/>
      <c r="G9890" s="12"/>
      <c r="H9890" s="11"/>
    </row>
    <row r="9891" spans="3:8" x14ac:dyDescent="0.25">
      <c r="C9891" s="12"/>
      <c r="D9891" s="13"/>
      <c r="E9891" s="13"/>
      <c r="F9891" s="13"/>
      <c r="G9891" s="12"/>
      <c r="H9891" s="11"/>
    </row>
    <row r="9892" spans="3:8" x14ac:dyDescent="0.25">
      <c r="C9892" s="12"/>
      <c r="D9892" s="13"/>
      <c r="E9892" s="13"/>
      <c r="F9892" s="13"/>
      <c r="G9892" s="12"/>
      <c r="H9892" s="11"/>
    </row>
    <row r="9893" spans="3:8" x14ac:dyDescent="0.25">
      <c r="C9893" s="12"/>
      <c r="D9893" s="13"/>
      <c r="E9893" s="13"/>
      <c r="F9893" s="13"/>
      <c r="G9893" s="12"/>
      <c r="H9893" s="11"/>
    </row>
    <row r="9894" spans="3:8" x14ac:dyDescent="0.25">
      <c r="C9894" s="12"/>
      <c r="D9894" s="13"/>
      <c r="E9894" s="13"/>
      <c r="F9894" s="13"/>
      <c r="G9894" s="12"/>
      <c r="H9894" s="11"/>
    </row>
    <row r="9895" spans="3:8" x14ac:dyDescent="0.25">
      <c r="C9895" s="12"/>
      <c r="D9895" s="13"/>
      <c r="E9895" s="13"/>
      <c r="F9895" s="13"/>
      <c r="G9895" s="12"/>
      <c r="H9895" s="11"/>
    </row>
    <row r="9896" spans="3:8" x14ac:dyDescent="0.25">
      <c r="C9896" s="12"/>
      <c r="D9896" s="13"/>
      <c r="E9896" s="13"/>
      <c r="F9896" s="13"/>
      <c r="G9896" s="12"/>
      <c r="H9896" s="11"/>
    </row>
    <row r="9897" spans="3:8" x14ac:dyDescent="0.25">
      <c r="C9897" s="12"/>
      <c r="D9897" s="13"/>
      <c r="E9897" s="13"/>
      <c r="F9897" s="13"/>
      <c r="G9897" s="12"/>
      <c r="H9897" s="11"/>
    </row>
    <row r="9898" spans="3:8" x14ac:dyDescent="0.25">
      <c r="C9898" s="12"/>
      <c r="D9898" s="13"/>
      <c r="E9898" s="13"/>
      <c r="F9898" s="13"/>
      <c r="G9898" s="12"/>
      <c r="H9898" s="11"/>
    </row>
    <row r="9899" spans="3:8" x14ac:dyDescent="0.25">
      <c r="C9899" s="12"/>
      <c r="D9899" s="13"/>
      <c r="E9899" s="13"/>
      <c r="F9899" s="13"/>
      <c r="G9899" s="12"/>
      <c r="H9899" s="11"/>
    </row>
    <row r="9900" spans="3:8" x14ac:dyDescent="0.25">
      <c r="C9900" s="12"/>
      <c r="D9900" s="13"/>
      <c r="E9900" s="13"/>
      <c r="F9900" s="13"/>
      <c r="G9900" s="12"/>
      <c r="H9900" s="11"/>
    </row>
    <row r="9901" spans="3:8" x14ac:dyDescent="0.25">
      <c r="C9901" s="12"/>
      <c r="D9901" s="13"/>
      <c r="E9901" s="13"/>
      <c r="F9901" s="13"/>
      <c r="G9901" s="12"/>
      <c r="H9901" s="11"/>
    </row>
    <row r="9902" spans="3:8" x14ac:dyDescent="0.25">
      <c r="C9902" s="12"/>
      <c r="D9902" s="13"/>
      <c r="E9902" s="13"/>
      <c r="F9902" s="13"/>
      <c r="G9902" s="12"/>
      <c r="H9902" s="11"/>
    </row>
    <row r="9903" spans="3:8" x14ac:dyDescent="0.25">
      <c r="C9903" s="12"/>
      <c r="D9903" s="13"/>
      <c r="E9903" s="13"/>
      <c r="F9903" s="13"/>
      <c r="G9903" s="12"/>
      <c r="H9903" s="11"/>
    </row>
    <row r="9904" spans="3:8" x14ac:dyDescent="0.25">
      <c r="C9904" s="12"/>
      <c r="D9904" s="13"/>
      <c r="E9904" s="13"/>
      <c r="F9904" s="13"/>
      <c r="G9904" s="12"/>
      <c r="H9904" s="11"/>
    </row>
    <row r="9905" spans="3:8" x14ac:dyDescent="0.25">
      <c r="C9905" s="12"/>
      <c r="D9905" s="13"/>
      <c r="E9905" s="13"/>
      <c r="F9905" s="13"/>
      <c r="G9905" s="12"/>
      <c r="H9905" s="11"/>
    </row>
    <row r="9906" spans="3:8" x14ac:dyDescent="0.25">
      <c r="C9906" s="12"/>
      <c r="D9906" s="13"/>
      <c r="E9906" s="13"/>
      <c r="F9906" s="13"/>
      <c r="G9906" s="12"/>
      <c r="H9906" s="11"/>
    </row>
    <row r="9907" spans="3:8" x14ac:dyDescent="0.25">
      <c r="C9907" s="12"/>
      <c r="D9907" s="13"/>
      <c r="E9907" s="13"/>
      <c r="F9907" s="13"/>
      <c r="G9907" s="12"/>
      <c r="H9907" s="11"/>
    </row>
    <row r="9908" spans="3:8" x14ac:dyDescent="0.25">
      <c r="C9908" s="12"/>
      <c r="D9908" s="13"/>
      <c r="E9908" s="13"/>
      <c r="F9908" s="13"/>
      <c r="G9908" s="12"/>
      <c r="H9908" s="11"/>
    </row>
    <row r="9909" spans="3:8" x14ac:dyDescent="0.25">
      <c r="C9909" s="12"/>
      <c r="D9909" s="13"/>
      <c r="E9909" s="13"/>
      <c r="F9909" s="13"/>
      <c r="G9909" s="12"/>
      <c r="H9909" s="11"/>
    </row>
    <row r="9910" spans="3:8" x14ac:dyDescent="0.25">
      <c r="C9910" s="12"/>
      <c r="D9910" s="13"/>
      <c r="E9910" s="13"/>
      <c r="F9910" s="13"/>
      <c r="G9910" s="12"/>
      <c r="H9910" s="11"/>
    </row>
    <row r="9911" spans="3:8" x14ac:dyDescent="0.25">
      <c r="C9911" s="12"/>
      <c r="D9911" s="13"/>
      <c r="E9911" s="13"/>
      <c r="F9911" s="13"/>
      <c r="G9911" s="12"/>
      <c r="H9911" s="11"/>
    </row>
    <row r="9912" spans="3:8" x14ac:dyDescent="0.25">
      <c r="C9912" s="12"/>
      <c r="D9912" s="13"/>
      <c r="E9912" s="13"/>
      <c r="F9912" s="13"/>
      <c r="G9912" s="12"/>
      <c r="H9912" s="11"/>
    </row>
    <row r="9913" spans="3:8" x14ac:dyDescent="0.25">
      <c r="C9913" s="12"/>
      <c r="D9913" s="13"/>
      <c r="E9913" s="13"/>
      <c r="F9913" s="13"/>
      <c r="G9913" s="12"/>
      <c r="H9913" s="11"/>
    </row>
    <row r="9914" spans="3:8" x14ac:dyDescent="0.25">
      <c r="C9914" s="12"/>
      <c r="D9914" s="13"/>
      <c r="E9914" s="13"/>
      <c r="F9914" s="13"/>
      <c r="G9914" s="12"/>
      <c r="H9914" s="11"/>
    </row>
    <row r="9915" spans="3:8" x14ac:dyDescent="0.25">
      <c r="C9915" s="12"/>
      <c r="D9915" s="13"/>
      <c r="E9915" s="13"/>
      <c r="F9915" s="13"/>
      <c r="G9915" s="12"/>
      <c r="H9915" s="11"/>
    </row>
    <row r="9916" spans="3:8" x14ac:dyDescent="0.25">
      <c r="C9916" s="12"/>
      <c r="D9916" s="13"/>
      <c r="E9916" s="13"/>
      <c r="F9916" s="13"/>
      <c r="G9916" s="12"/>
      <c r="H9916" s="11"/>
    </row>
    <row r="9917" spans="3:8" x14ac:dyDescent="0.25">
      <c r="C9917" s="12"/>
      <c r="D9917" s="13"/>
      <c r="E9917" s="13"/>
      <c r="F9917" s="13"/>
      <c r="G9917" s="12"/>
      <c r="H9917" s="11"/>
    </row>
    <row r="9918" spans="3:8" x14ac:dyDescent="0.25">
      <c r="C9918" s="12"/>
      <c r="D9918" s="13"/>
      <c r="E9918" s="13"/>
      <c r="F9918" s="13"/>
      <c r="G9918" s="12"/>
      <c r="H9918" s="11"/>
    </row>
    <row r="9919" spans="3:8" x14ac:dyDescent="0.25">
      <c r="C9919" s="12"/>
      <c r="D9919" s="13"/>
      <c r="E9919" s="13"/>
      <c r="F9919" s="13"/>
      <c r="G9919" s="12"/>
      <c r="H9919" s="11"/>
    </row>
    <row r="9920" spans="3:8" x14ac:dyDescent="0.25">
      <c r="C9920" s="12"/>
      <c r="D9920" s="13"/>
      <c r="E9920" s="13"/>
      <c r="F9920" s="13"/>
      <c r="G9920" s="12"/>
      <c r="H9920" s="11"/>
    </row>
    <row r="9921" spans="3:8" x14ac:dyDescent="0.25">
      <c r="C9921" s="12"/>
      <c r="D9921" s="13"/>
      <c r="E9921" s="13"/>
      <c r="F9921" s="13"/>
      <c r="G9921" s="12"/>
      <c r="H9921" s="11"/>
    </row>
    <row r="9922" spans="3:8" x14ac:dyDescent="0.25">
      <c r="C9922" s="12"/>
      <c r="D9922" s="13"/>
      <c r="E9922" s="13"/>
      <c r="F9922" s="13"/>
      <c r="G9922" s="12"/>
      <c r="H9922" s="11"/>
    </row>
    <row r="9923" spans="3:8" x14ac:dyDescent="0.25">
      <c r="C9923" s="12"/>
      <c r="D9923" s="13"/>
      <c r="E9923" s="13"/>
      <c r="F9923" s="13"/>
      <c r="G9923" s="12"/>
      <c r="H9923" s="11"/>
    </row>
    <row r="9924" spans="3:8" x14ac:dyDescent="0.25">
      <c r="C9924" s="12"/>
      <c r="D9924" s="13"/>
      <c r="E9924" s="13"/>
      <c r="F9924" s="13"/>
      <c r="G9924" s="12"/>
      <c r="H9924" s="11"/>
    </row>
    <row r="9925" spans="3:8" x14ac:dyDescent="0.25">
      <c r="C9925" s="12"/>
      <c r="D9925" s="13"/>
      <c r="E9925" s="13"/>
      <c r="F9925" s="13"/>
      <c r="G9925" s="12"/>
      <c r="H9925" s="11"/>
    </row>
    <row r="9926" spans="3:8" x14ac:dyDescent="0.25">
      <c r="C9926" s="12"/>
      <c r="D9926" s="13"/>
      <c r="E9926" s="13"/>
      <c r="F9926" s="13"/>
      <c r="G9926" s="12"/>
      <c r="H9926" s="11"/>
    </row>
    <row r="9927" spans="3:8" x14ac:dyDescent="0.25">
      <c r="C9927" s="12"/>
      <c r="D9927" s="13"/>
      <c r="E9927" s="13"/>
      <c r="F9927" s="13"/>
      <c r="G9927" s="12"/>
      <c r="H9927" s="11"/>
    </row>
    <row r="9928" spans="3:8" x14ac:dyDescent="0.25">
      <c r="C9928" s="12"/>
      <c r="D9928" s="13"/>
      <c r="E9928" s="13"/>
      <c r="F9928" s="13"/>
      <c r="G9928" s="12"/>
      <c r="H9928" s="11"/>
    </row>
    <row r="9929" spans="3:8" x14ac:dyDescent="0.25">
      <c r="C9929" s="12"/>
      <c r="D9929" s="13"/>
      <c r="E9929" s="13"/>
      <c r="F9929" s="13"/>
      <c r="G9929" s="12"/>
      <c r="H9929" s="11"/>
    </row>
    <row r="9930" spans="3:8" x14ac:dyDescent="0.25">
      <c r="C9930" s="12"/>
      <c r="D9930" s="13"/>
      <c r="E9930" s="13"/>
      <c r="F9930" s="13"/>
      <c r="G9930" s="12"/>
      <c r="H9930" s="11"/>
    </row>
    <row r="9931" spans="3:8" x14ac:dyDescent="0.25">
      <c r="C9931" s="12"/>
      <c r="D9931" s="13"/>
      <c r="E9931" s="13"/>
      <c r="F9931" s="13"/>
      <c r="G9931" s="12"/>
      <c r="H9931" s="11"/>
    </row>
    <row r="9932" spans="3:8" x14ac:dyDescent="0.25">
      <c r="C9932" s="12"/>
      <c r="D9932" s="13"/>
      <c r="E9932" s="13"/>
      <c r="F9932" s="13"/>
      <c r="G9932" s="12"/>
      <c r="H9932" s="11"/>
    </row>
    <row r="9933" spans="3:8" x14ac:dyDescent="0.25">
      <c r="C9933" s="12"/>
      <c r="D9933" s="13"/>
      <c r="E9933" s="13"/>
      <c r="F9933" s="13"/>
      <c r="G9933" s="12"/>
      <c r="H9933" s="11"/>
    </row>
    <row r="9934" spans="3:8" x14ac:dyDescent="0.25">
      <c r="C9934" s="12"/>
      <c r="D9934" s="13"/>
      <c r="E9934" s="13"/>
      <c r="F9934" s="13"/>
      <c r="G9934" s="12"/>
      <c r="H9934" s="11"/>
    </row>
    <row r="9935" spans="3:8" x14ac:dyDescent="0.25">
      <c r="C9935" s="12"/>
      <c r="D9935" s="13"/>
      <c r="E9935" s="13"/>
      <c r="F9935" s="13"/>
      <c r="G9935" s="12"/>
      <c r="H9935" s="11"/>
    </row>
    <row r="9936" spans="3:8" x14ac:dyDescent="0.25">
      <c r="C9936" s="12"/>
      <c r="D9936" s="13"/>
      <c r="E9936" s="13"/>
      <c r="F9936" s="13"/>
      <c r="G9936" s="12"/>
      <c r="H9936" s="11"/>
    </row>
    <row r="9937" spans="3:8" x14ac:dyDescent="0.25">
      <c r="C9937" s="12"/>
      <c r="D9937" s="13"/>
      <c r="E9937" s="13"/>
      <c r="F9937" s="13"/>
      <c r="G9937" s="12"/>
      <c r="H9937" s="11"/>
    </row>
    <row r="9938" spans="3:8" x14ac:dyDescent="0.25">
      <c r="C9938" s="12"/>
      <c r="D9938" s="13"/>
      <c r="E9938" s="13"/>
      <c r="F9938" s="13"/>
      <c r="G9938" s="12"/>
      <c r="H9938" s="11"/>
    </row>
    <row r="9939" spans="3:8" x14ac:dyDescent="0.25">
      <c r="C9939" s="12"/>
      <c r="D9939" s="13"/>
      <c r="E9939" s="13"/>
      <c r="F9939" s="13"/>
      <c r="G9939" s="12"/>
      <c r="H9939" s="11"/>
    </row>
    <row r="9940" spans="3:8" x14ac:dyDescent="0.25">
      <c r="C9940" s="12"/>
      <c r="D9940" s="13"/>
      <c r="E9940" s="13"/>
      <c r="F9940" s="13"/>
      <c r="G9940" s="12"/>
      <c r="H9940" s="11"/>
    </row>
    <row r="9941" spans="3:8" x14ac:dyDescent="0.25">
      <c r="C9941" s="12"/>
      <c r="D9941" s="13"/>
      <c r="E9941" s="13"/>
      <c r="F9941" s="13"/>
      <c r="G9941" s="12"/>
      <c r="H9941" s="11"/>
    </row>
    <row r="9942" spans="3:8" x14ac:dyDescent="0.25">
      <c r="C9942" s="12"/>
      <c r="D9942" s="13"/>
      <c r="E9942" s="13"/>
      <c r="F9942" s="13"/>
      <c r="G9942" s="12"/>
      <c r="H9942" s="11"/>
    </row>
    <row r="9943" spans="3:8" x14ac:dyDescent="0.25">
      <c r="C9943" s="12"/>
      <c r="D9943" s="13"/>
      <c r="E9943" s="13"/>
      <c r="F9943" s="13"/>
      <c r="G9943" s="12"/>
      <c r="H9943" s="11"/>
    </row>
    <row r="9944" spans="3:8" x14ac:dyDescent="0.25">
      <c r="C9944" s="12"/>
      <c r="D9944" s="13"/>
      <c r="E9944" s="13"/>
      <c r="F9944" s="13"/>
      <c r="G9944" s="12"/>
      <c r="H9944" s="11"/>
    </row>
    <row r="9945" spans="3:8" x14ac:dyDescent="0.25">
      <c r="C9945" s="12"/>
      <c r="D9945" s="13"/>
      <c r="E9945" s="13"/>
      <c r="F9945" s="13"/>
      <c r="G9945" s="12"/>
      <c r="H9945" s="11"/>
    </row>
    <row r="9946" spans="3:8" x14ac:dyDescent="0.25">
      <c r="C9946" s="12"/>
      <c r="D9946" s="13"/>
      <c r="E9946" s="13"/>
      <c r="F9946" s="13"/>
      <c r="G9946" s="12"/>
      <c r="H9946" s="11"/>
    </row>
    <row r="9947" spans="3:8" x14ac:dyDescent="0.25">
      <c r="C9947" s="12"/>
      <c r="D9947" s="13"/>
      <c r="E9947" s="13"/>
      <c r="F9947" s="13"/>
      <c r="G9947" s="12"/>
      <c r="H9947" s="11"/>
    </row>
    <row r="9948" spans="3:8" x14ac:dyDescent="0.25">
      <c r="C9948" s="12"/>
      <c r="D9948" s="13"/>
      <c r="E9948" s="13"/>
      <c r="F9948" s="13"/>
      <c r="G9948" s="12"/>
      <c r="H9948" s="11"/>
    </row>
    <row r="9949" spans="3:8" x14ac:dyDescent="0.25">
      <c r="C9949" s="12"/>
      <c r="D9949" s="13"/>
      <c r="E9949" s="13"/>
      <c r="F9949" s="13"/>
      <c r="G9949" s="12"/>
      <c r="H9949" s="11"/>
    </row>
    <row r="9950" spans="3:8" x14ac:dyDescent="0.25">
      <c r="C9950" s="12"/>
      <c r="D9950" s="13"/>
      <c r="E9950" s="13"/>
      <c r="F9950" s="13"/>
      <c r="G9950" s="12"/>
      <c r="H9950" s="11"/>
    </row>
    <row r="9951" spans="3:8" x14ac:dyDescent="0.25">
      <c r="C9951" s="12"/>
      <c r="D9951" s="13"/>
      <c r="E9951" s="13"/>
      <c r="F9951" s="13"/>
      <c r="G9951" s="12"/>
      <c r="H9951" s="11"/>
    </row>
    <row r="9952" spans="3:8" x14ac:dyDescent="0.25">
      <c r="C9952" s="12"/>
      <c r="D9952" s="13"/>
      <c r="E9952" s="13"/>
      <c r="F9952" s="13"/>
      <c r="G9952" s="12"/>
      <c r="H9952" s="11"/>
    </row>
    <row r="9953" spans="3:8" x14ac:dyDescent="0.25">
      <c r="C9953" s="12"/>
      <c r="D9953" s="13"/>
      <c r="E9953" s="13"/>
      <c r="F9953" s="13"/>
      <c r="G9953" s="12"/>
      <c r="H9953" s="11"/>
    </row>
    <row r="9954" spans="3:8" x14ac:dyDescent="0.25">
      <c r="C9954" s="12"/>
      <c r="D9954" s="13"/>
      <c r="E9954" s="13"/>
      <c r="F9954" s="13"/>
      <c r="G9954" s="12"/>
      <c r="H9954" s="11"/>
    </row>
    <row r="9955" spans="3:8" x14ac:dyDescent="0.25">
      <c r="C9955" s="12"/>
      <c r="D9955" s="13"/>
      <c r="E9955" s="13"/>
      <c r="F9955" s="13"/>
      <c r="G9955" s="12"/>
      <c r="H9955" s="11"/>
    </row>
    <row r="9956" spans="3:8" x14ac:dyDescent="0.25">
      <c r="C9956" s="12"/>
      <c r="D9956" s="13"/>
      <c r="E9956" s="13"/>
      <c r="F9956" s="13"/>
      <c r="G9956" s="12"/>
      <c r="H9956" s="11"/>
    </row>
    <row r="9957" spans="3:8" x14ac:dyDescent="0.25">
      <c r="C9957" s="12"/>
      <c r="D9957" s="13"/>
      <c r="E9957" s="13"/>
      <c r="F9957" s="13"/>
      <c r="G9957" s="12"/>
      <c r="H9957" s="11"/>
    </row>
    <row r="9958" spans="3:8" x14ac:dyDescent="0.25">
      <c r="C9958" s="12"/>
      <c r="D9958" s="13"/>
      <c r="E9958" s="13"/>
      <c r="F9958" s="13"/>
      <c r="G9958" s="12"/>
      <c r="H9958" s="11"/>
    </row>
    <row r="9959" spans="3:8" x14ac:dyDescent="0.25">
      <c r="C9959" s="12"/>
      <c r="D9959" s="13"/>
      <c r="E9959" s="13"/>
      <c r="F9959" s="13"/>
      <c r="G9959" s="12"/>
      <c r="H9959" s="11"/>
    </row>
    <row r="9960" spans="3:8" x14ac:dyDescent="0.25">
      <c r="C9960" s="12"/>
      <c r="D9960" s="13"/>
      <c r="E9960" s="13"/>
      <c r="F9960" s="13"/>
      <c r="G9960" s="12"/>
      <c r="H9960" s="11"/>
    </row>
    <row r="9961" spans="3:8" x14ac:dyDescent="0.25">
      <c r="C9961" s="12"/>
      <c r="D9961" s="13"/>
      <c r="E9961" s="13"/>
      <c r="F9961" s="13"/>
      <c r="G9961" s="12"/>
      <c r="H9961" s="11"/>
    </row>
    <row r="9962" spans="3:8" x14ac:dyDescent="0.25">
      <c r="C9962" s="12"/>
      <c r="D9962" s="13"/>
      <c r="E9962" s="13"/>
      <c r="F9962" s="13"/>
      <c r="G9962" s="12"/>
      <c r="H9962" s="11"/>
    </row>
    <row r="9963" spans="3:8" x14ac:dyDescent="0.25">
      <c r="C9963" s="12"/>
      <c r="D9963" s="13"/>
      <c r="E9963" s="13"/>
      <c r="F9963" s="13"/>
      <c r="G9963" s="12"/>
      <c r="H9963" s="11"/>
    </row>
    <row r="9964" spans="3:8" x14ac:dyDescent="0.25">
      <c r="C9964" s="12"/>
      <c r="D9964" s="13"/>
      <c r="E9964" s="13"/>
      <c r="F9964" s="13"/>
      <c r="G9964" s="12"/>
      <c r="H9964" s="11"/>
    </row>
    <row r="9965" spans="3:8" x14ac:dyDescent="0.25">
      <c r="C9965" s="12"/>
      <c r="D9965" s="13"/>
      <c r="E9965" s="13"/>
      <c r="F9965" s="13"/>
      <c r="G9965" s="12"/>
      <c r="H9965" s="11"/>
    </row>
    <row r="9966" spans="3:8" x14ac:dyDescent="0.25">
      <c r="C9966" s="12"/>
      <c r="D9966" s="13"/>
      <c r="E9966" s="13"/>
      <c r="F9966" s="13"/>
      <c r="G9966" s="12"/>
      <c r="H9966" s="11"/>
    </row>
    <row r="9967" spans="3:8" x14ac:dyDescent="0.25">
      <c r="C9967" s="12"/>
      <c r="D9967" s="13"/>
      <c r="E9967" s="13"/>
      <c r="F9967" s="13"/>
      <c r="G9967" s="12"/>
      <c r="H9967" s="11"/>
    </row>
    <row r="9968" spans="3:8" x14ac:dyDescent="0.25">
      <c r="C9968" s="12"/>
      <c r="D9968" s="13"/>
      <c r="E9968" s="13"/>
      <c r="F9968" s="13"/>
      <c r="G9968" s="12"/>
      <c r="H9968" s="11"/>
    </row>
    <row r="9969" spans="3:8" x14ac:dyDescent="0.25">
      <c r="C9969" s="12"/>
      <c r="D9969" s="13"/>
      <c r="E9969" s="13"/>
      <c r="F9969" s="13"/>
      <c r="G9969" s="12"/>
      <c r="H9969" s="11"/>
    </row>
    <row r="9970" spans="3:8" x14ac:dyDescent="0.25">
      <c r="C9970" s="12"/>
      <c r="D9970" s="13"/>
      <c r="E9970" s="13"/>
      <c r="F9970" s="13"/>
      <c r="G9970" s="12"/>
      <c r="H9970" s="11"/>
    </row>
    <row r="9971" spans="3:8" x14ac:dyDescent="0.25">
      <c r="C9971" s="12"/>
      <c r="D9971" s="13"/>
      <c r="E9971" s="13"/>
      <c r="F9971" s="13"/>
      <c r="G9971" s="12"/>
      <c r="H9971" s="11"/>
    </row>
    <row r="9972" spans="3:8" x14ac:dyDescent="0.25">
      <c r="C9972" s="12"/>
      <c r="D9972" s="13"/>
      <c r="E9972" s="13"/>
      <c r="F9972" s="13"/>
      <c r="G9972" s="12"/>
      <c r="H9972" s="11"/>
    </row>
    <row r="9973" spans="3:8" x14ac:dyDescent="0.25">
      <c r="C9973" s="12"/>
      <c r="D9973" s="13"/>
      <c r="E9973" s="13"/>
      <c r="F9973" s="13"/>
      <c r="G9973" s="12"/>
      <c r="H9973" s="11"/>
    </row>
    <row r="9974" spans="3:8" x14ac:dyDescent="0.25">
      <c r="C9974" s="12"/>
      <c r="D9974" s="13"/>
      <c r="E9974" s="13"/>
      <c r="F9974" s="13"/>
      <c r="G9974" s="12"/>
      <c r="H9974" s="11"/>
    </row>
    <row r="9975" spans="3:8" x14ac:dyDescent="0.25">
      <c r="C9975" s="12"/>
      <c r="D9975" s="13"/>
      <c r="E9975" s="13"/>
      <c r="F9975" s="13"/>
      <c r="G9975" s="12"/>
      <c r="H9975" s="11"/>
    </row>
    <row r="9976" spans="3:8" x14ac:dyDescent="0.25">
      <c r="C9976" s="12"/>
      <c r="D9976" s="13"/>
      <c r="E9976" s="13"/>
      <c r="F9976" s="13"/>
      <c r="G9976" s="12"/>
      <c r="H9976" s="11"/>
    </row>
    <row r="9977" spans="3:8" x14ac:dyDescent="0.25">
      <c r="C9977" s="12"/>
      <c r="D9977" s="13"/>
      <c r="E9977" s="13"/>
      <c r="F9977" s="13"/>
      <c r="G9977" s="12"/>
      <c r="H9977" s="11"/>
    </row>
    <row r="9978" spans="3:8" x14ac:dyDescent="0.25">
      <c r="C9978" s="12"/>
      <c r="D9978" s="13"/>
      <c r="E9978" s="13"/>
      <c r="F9978" s="13"/>
      <c r="G9978" s="12"/>
      <c r="H9978" s="11"/>
    </row>
    <row r="9979" spans="3:8" x14ac:dyDescent="0.25">
      <c r="C9979" s="12"/>
      <c r="D9979" s="13"/>
      <c r="E9979" s="13"/>
      <c r="F9979" s="13"/>
      <c r="G9979" s="12"/>
      <c r="H9979" s="11"/>
    </row>
    <row r="9980" spans="3:8" x14ac:dyDescent="0.25">
      <c r="C9980" s="12"/>
      <c r="D9980" s="13"/>
      <c r="E9980" s="13"/>
      <c r="F9980" s="13"/>
      <c r="G9980" s="12"/>
      <c r="H9980" s="11"/>
    </row>
    <row r="9981" spans="3:8" x14ac:dyDescent="0.25">
      <c r="C9981" s="12"/>
      <c r="D9981" s="13"/>
      <c r="E9981" s="13"/>
      <c r="F9981" s="13"/>
      <c r="G9981" s="12"/>
      <c r="H9981" s="11"/>
    </row>
    <row r="9982" spans="3:8" x14ac:dyDescent="0.25">
      <c r="C9982" s="12"/>
      <c r="D9982" s="13"/>
      <c r="E9982" s="13"/>
      <c r="F9982" s="13"/>
      <c r="G9982" s="12"/>
      <c r="H9982" s="11"/>
    </row>
    <row r="9983" spans="3:8" x14ac:dyDescent="0.25">
      <c r="C9983" s="12"/>
      <c r="D9983" s="13"/>
      <c r="E9983" s="13"/>
      <c r="F9983" s="13"/>
      <c r="G9983" s="12"/>
      <c r="H9983" s="11"/>
    </row>
    <row r="9984" spans="3:8" x14ac:dyDescent="0.25">
      <c r="C9984" s="12"/>
      <c r="D9984" s="13"/>
      <c r="E9984" s="13"/>
      <c r="F9984" s="13"/>
      <c r="G9984" s="12"/>
      <c r="H9984" s="11"/>
    </row>
    <row r="9985" spans="3:8" x14ac:dyDescent="0.25">
      <c r="C9985" s="12"/>
      <c r="D9985" s="13"/>
      <c r="E9985" s="13"/>
      <c r="F9985" s="13"/>
      <c r="G9985" s="12"/>
      <c r="H9985" s="11"/>
    </row>
    <row r="9986" spans="3:8" x14ac:dyDescent="0.25">
      <c r="C9986" s="12"/>
      <c r="D9986" s="13"/>
      <c r="E9986" s="13"/>
      <c r="F9986" s="13"/>
      <c r="G9986" s="12"/>
      <c r="H9986" s="11"/>
    </row>
    <row r="9987" spans="3:8" x14ac:dyDescent="0.25">
      <c r="C9987" s="12"/>
      <c r="D9987" s="13"/>
      <c r="E9987" s="13"/>
      <c r="F9987" s="13"/>
      <c r="G9987" s="12"/>
      <c r="H9987" s="11"/>
    </row>
    <row r="9988" spans="3:8" x14ac:dyDescent="0.25">
      <c r="C9988" s="12"/>
      <c r="D9988" s="13"/>
      <c r="E9988" s="13"/>
      <c r="F9988" s="13"/>
      <c r="G9988" s="12"/>
      <c r="H9988" s="11"/>
    </row>
    <row r="9989" spans="3:8" x14ac:dyDescent="0.25">
      <c r="C9989" s="12"/>
      <c r="D9989" s="13"/>
      <c r="E9989" s="13"/>
      <c r="F9989" s="13"/>
      <c r="G9989" s="12"/>
      <c r="H9989" s="11"/>
    </row>
    <row r="9990" spans="3:8" x14ac:dyDescent="0.25">
      <c r="C9990" s="12"/>
      <c r="D9990" s="13"/>
      <c r="E9990" s="13"/>
      <c r="F9990" s="13"/>
      <c r="G9990" s="12"/>
      <c r="H9990" s="11"/>
    </row>
    <row r="9991" spans="3:8" x14ac:dyDescent="0.25">
      <c r="C9991" s="12"/>
      <c r="D9991" s="13"/>
      <c r="E9991" s="13"/>
      <c r="F9991" s="13"/>
      <c r="G9991" s="12"/>
      <c r="H9991" s="11"/>
    </row>
    <row r="9992" spans="3:8" x14ac:dyDescent="0.25">
      <c r="C9992" s="12"/>
      <c r="D9992" s="13"/>
      <c r="E9992" s="13"/>
      <c r="F9992" s="13"/>
      <c r="G9992" s="12"/>
      <c r="H9992" s="11"/>
    </row>
    <row r="9993" spans="3:8" x14ac:dyDescent="0.25">
      <c r="C9993" s="12"/>
      <c r="D9993" s="13"/>
      <c r="E9993" s="13"/>
      <c r="F9993" s="13"/>
      <c r="G9993" s="12"/>
      <c r="H9993" s="11"/>
    </row>
    <row r="9994" spans="3:8" x14ac:dyDescent="0.25">
      <c r="C9994" s="12"/>
      <c r="D9994" s="13"/>
      <c r="E9994" s="13"/>
      <c r="F9994" s="13"/>
      <c r="G9994" s="12"/>
      <c r="H9994" s="11"/>
    </row>
    <row r="9995" spans="3:8" x14ac:dyDescent="0.25">
      <c r="C9995" s="12"/>
      <c r="D9995" s="13"/>
      <c r="E9995" s="13"/>
      <c r="F9995" s="13"/>
      <c r="G9995" s="12"/>
      <c r="H9995" s="11"/>
    </row>
    <row r="9996" spans="3:8" x14ac:dyDescent="0.25">
      <c r="C9996" s="12"/>
      <c r="D9996" s="13"/>
      <c r="E9996" s="13"/>
      <c r="F9996" s="13"/>
      <c r="G9996" s="12"/>
      <c r="H9996" s="11"/>
    </row>
    <row r="9997" spans="3:8" x14ac:dyDescent="0.25">
      <c r="C9997" s="12"/>
      <c r="D9997" s="13"/>
      <c r="E9997" s="13"/>
      <c r="F9997" s="13"/>
      <c r="G9997" s="12"/>
      <c r="H9997" s="11"/>
    </row>
  </sheetData>
  <dataValidations disablePrompts="1" count="1">
    <dataValidation type="list" allowBlank="1" showInputMessage="1" showErrorMessage="1" sqref="O5:O18 O198:O201 O298:O311 O505:O518 O698:O701 O798:O811 O1005:O1018 O1198:O1201 O1298:O1311 O1505:O1518 O1698:O1701 O1798:O1811 O2005:O2018 O2198:O2201 O2298:O2311 O2505:O2518 O2698:O2701 O2798:O2811 O3005:O3018 O3198:O3201 O3298:O3311 O3505:O3518 O3698:O3701 O3798:O3811 O4007:O4020 O4200:O4203 O4300:O4313 O4507:O4520 O4700:O4703 O4800:O4813">
      <formula1>Country_list</formula1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Woche</vt:lpstr>
      <vt:lpstr>Montag</vt:lpstr>
      <vt:lpstr>Dienstag</vt:lpstr>
      <vt:lpstr>Mittwoch</vt:lpstr>
      <vt:lpstr>Donnerstag</vt:lpstr>
      <vt:lpstr>Freitag</vt:lpstr>
      <vt:lpstr>Sonnabend</vt:lpstr>
      <vt:lpstr>Sonntag</vt:lpstr>
      <vt:lpstr>Lebensmittel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Priyendra.Kumar</dc:creator>
  <cp:lastModifiedBy>bernd</cp:lastModifiedBy>
  <dcterms:created xsi:type="dcterms:W3CDTF">2018-05-19T09:36:25Z</dcterms:created>
  <dcterms:modified xsi:type="dcterms:W3CDTF">2018-10-13T18:31:40Z</dcterms:modified>
</cp:coreProperties>
</file>